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1"/>
  <workbookPr filterPrivacy="1" updateLinks="never" codeName="ThisWorkbook"/>
  <xr:revisionPtr revIDLastSave="3" documentId="13_ncr:1_{AB5D15DA-346C-43D5-9241-211DCBF31B86}" xr6:coauthVersionLast="47" xr6:coauthVersionMax="47" xr10:uidLastSave="{A2E7E869-AB2A-4298-BE2E-6EE4DFC85FAF}"/>
  <bookViews>
    <workbookView xWindow="-110" yWindow="-110" windowWidth="19420" windowHeight="10420" tabRatio="761" xr2:uid="{00000000-000D-0000-FFFF-FFFF00000000}"/>
  </bookViews>
  <sheets>
    <sheet name="Dashboard" sheetId="1" r:id="rId1"/>
    <sheet name="Schedule" sheetId="9" r:id="rId2"/>
    <sheet name="Budget" sheetId="13" r:id="rId3"/>
    <sheet name="Resources" sheetId="4" r:id="rId4"/>
    <sheet name="Risks" sheetId="5" r:id="rId5"/>
    <sheet name="Issues" sheetId="12" r:id="rId6"/>
    <sheet name="Actions" sheetId="7" r:id="rId7"/>
    <sheet name="Change Requests" sheetId="6" r:id="rId8"/>
    <sheet name="Decisions" sheetId="11" r:id="rId9"/>
    <sheet name="Config" sheetId="8" r:id="rId10"/>
    <sheet name="Data" sheetId="14" r:id="rId11"/>
  </sheets>
  <externalReferences>
    <externalReference r:id="rId12"/>
  </externalReferences>
  <definedNames>
    <definedName name="_xlnm._FilterDatabase" localSheetId="1" hidden="1">Schedule!$B$8:$JK$213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6" i="14" l="1"/>
  <c r="N15" i="14"/>
  <c r="N13" i="14"/>
  <c r="N12" i="14"/>
  <c r="K16" i="14"/>
  <c r="K15" i="14"/>
  <c r="K14" i="14"/>
  <c r="K13" i="14"/>
  <c r="H15" i="14"/>
  <c r="H14" i="14"/>
  <c r="H13" i="14"/>
  <c r="H12" i="14"/>
  <c r="E15" i="14"/>
  <c r="E14" i="14"/>
  <c r="E13" i="14"/>
  <c r="E12" i="14"/>
  <c r="B15" i="14"/>
  <c r="B14" i="14"/>
  <c r="B13" i="14"/>
  <c r="B12" i="14"/>
  <c r="N17" i="14" l="1"/>
  <c r="T22" i="1" s="1"/>
  <c r="H16" i="14"/>
  <c r="N22" i="1" s="1"/>
  <c r="K17" i="14"/>
  <c r="Q22" i="1" s="1"/>
  <c r="F7" i="4"/>
  <c r="F8" i="4"/>
  <c r="F9" i="4"/>
  <c r="F10" i="4"/>
  <c r="F11" i="4"/>
  <c r="F12" i="4"/>
  <c r="F13" i="4"/>
  <c r="N3" i="14" l="1"/>
  <c r="E5" i="14"/>
  <c r="E4" i="14"/>
  <c r="S6" i="1" l="1"/>
  <c r="E6" i="14" l="1"/>
  <c r="E3" i="14"/>
  <c r="J9" i="9"/>
  <c r="B10" i="9" l="1"/>
  <c r="B3" i="14"/>
  <c r="B11" i="9" l="1"/>
  <c r="B12" i="9" s="1"/>
  <c r="B13" i="9" s="1"/>
  <c r="B14" i="9" s="1"/>
  <c r="B15" i="9" s="1"/>
  <c r="E7" i="4"/>
  <c r="G7" i="4" l="1"/>
  <c r="E8" i="4"/>
  <c r="G8" i="4" s="1"/>
  <c r="E9" i="4"/>
  <c r="G9" i="4" s="1"/>
  <c r="E10" i="4"/>
  <c r="G10" i="4" s="1"/>
  <c r="E11" i="4"/>
  <c r="G11" i="4" s="1"/>
  <c r="E12" i="4"/>
  <c r="G12" i="4" s="1"/>
  <c r="E13" i="4"/>
  <c r="G13" i="4" s="1"/>
  <c r="N4" i="14" l="1"/>
  <c r="D8" i="13"/>
  <c r="D26" i="13" s="1"/>
  <c r="J4" i="14" s="1"/>
  <c r="H26" i="13"/>
  <c r="J5" i="14" s="1"/>
  <c r="G26" i="13"/>
  <c r="I5" i="14" s="1"/>
  <c r="C26" i="13"/>
  <c r="I4" i="14" s="1"/>
  <c r="L26" i="13"/>
  <c r="J6" i="14" s="1"/>
  <c r="K26" i="13"/>
  <c r="I6" i="14" s="1"/>
  <c r="I7" i="14" l="1"/>
  <c r="K5" i="14"/>
  <c r="K6" i="14"/>
  <c r="O3" i="14"/>
  <c r="N5" i="14"/>
  <c r="J7" i="14"/>
  <c r="K4" i="14"/>
  <c r="I6" i="4"/>
  <c r="J6" i="4" s="1"/>
  <c r="K6" i="4" s="1"/>
  <c r="L6" i="4" s="1"/>
  <c r="M6" i="4" s="1"/>
  <c r="N6" i="4" s="1"/>
  <c r="O6" i="4" s="1"/>
  <c r="P6" i="4" s="1"/>
  <c r="Q6" i="4" s="1"/>
  <c r="R6" i="4" s="1"/>
  <c r="S6" i="4" s="1"/>
  <c r="T6" i="4" s="1"/>
  <c r="U6" i="4" s="1"/>
  <c r="V6" i="4" s="1"/>
  <c r="W6" i="4" s="1"/>
  <c r="X6" i="4" s="1"/>
  <c r="Y6" i="4" s="1"/>
  <c r="Z6" i="4" s="1"/>
  <c r="AA6" i="4" s="1"/>
  <c r="AB6" i="4" s="1"/>
  <c r="AC6" i="4" s="1"/>
  <c r="AD6" i="4" s="1"/>
  <c r="AE6" i="4" s="1"/>
  <c r="AF6" i="4" s="1"/>
  <c r="AG6" i="4" s="1"/>
  <c r="AH6" i="4" s="1"/>
  <c r="AI6" i="4" s="1"/>
  <c r="AJ6" i="4" s="1"/>
  <c r="AK6" i="4" s="1"/>
  <c r="AL6" i="4" s="1"/>
  <c r="AM6" i="4" s="1"/>
  <c r="AN6" i="4" s="1"/>
  <c r="AO6" i="4" s="1"/>
  <c r="AP6" i="4" s="1"/>
  <c r="AQ6" i="4" s="1"/>
  <c r="AR6" i="4" s="1"/>
  <c r="AS6" i="4" s="1"/>
  <c r="AT6" i="4" s="1"/>
  <c r="AU6" i="4" s="1"/>
  <c r="AV6" i="4" s="1"/>
  <c r="AW6" i="4" s="1"/>
  <c r="AX6" i="4" s="1"/>
  <c r="G9" i="9"/>
  <c r="J10" i="9" s="1"/>
  <c r="K10" i="9" s="1"/>
  <c r="K9" i="9"/>
  <c r="M6" i="9"/>
  <c r="M8" i="9" l="1"/>
  <c r="K7" i="14"/>
  <c r="O4" i="14"/>
  <c r="O5" i="14" s="1"/>
  <c r="L9" i="9"/>
  <c r="G10" i="9"/>
  <c r="L10" i="9"/>
  <c r="M213" i="9"/>
  <c r="M212" i="9"/>
  <c r="M211" i="9"/>
  <c r="M208" i="9"/>
  <c r="M207" i="9"/>
  <c r="M206" i="9"/>
  <c r="M205" i="9"/>
  <c r="M210" i="9"/>
  <c r="M209" i="9"/>
  <c r="M204" i="9"/>
  <c r="M203" i="9"/>
  <c r="M201" i="9"/>
  <c r="M200" i="9"/>
  <c r="M196" i="9"/>
  <c r="M199" i="9"/>
  <c r="M195" i="9"/>
  <c r="M193" i="9"/>
  <c r="M202" i="9"/>
  <c r="M192" i="9"/>
  <c r="M189" i="9"/>
  <c r="M185" i="9"/>
  <c r="M181" i="9"/>
  <c r="M197" i="9"/>
  <c r="M194" i="9"/>
  <c r="M188" i="9"/>
  <c r="M184" i="9"/>
  <c r="M180" i="9"/>
  <c r="M198" i="9"/>
  <c r="M183" i="9"/>
  <c r="M177" i="9"/>
  <c r="M173" i="9"/>
  <c r="M190" i="9"/>
  <c r="M182" i="9"/>
  <c r="M176" i="9"/>
  <c r="M191" i="9"/>
  <c r="M175" i="9"/>
  <c r="M169" i="9"/>
  <c r="M165" i="9"/>
  <c r="M161" i="9"/>
  <c r="M157" i="9"/>
  <c r="M153" i="9"/>
  <c r="M186" i="9"/>
  <c r="M174" i="9"/>
  <c r="M172" i="9"/>
  <c r="M168" i="9"/>
  <c r="M164" i="9"/>
  <c r="M160" i="9"/>
  <c r="M156" i="9"/>
  <c r="M152" i="9"/>
  <c r="M187" i="9"/>
  <c r="M171" i="9"/>
  <c r="M178" i="9"/>
  <c r="M179" i="9"/>
  <c r="M166" i="9"/>
  <c r="M163" i="9"/>
  <c r="M170" i="9"/>
  <c r="M162" i="9"/>
  <c r="M167" i="9"/>
  <c r="M159" i="9"/>
  <c r="M154" i="9"/>
  <c r="M148" i="9"/>
  <c r="M158" i="9"/>
  <c r="M147" i="9"/>
  <c r="M151" i="9"/>
  <c r="M150" i="9"/>
  <c r="M155" i="9"/>
  <c r="M149" i="9"/>
  <c r="M145" i="9"/>
  <c r="M146" i="9"/>
  <c r="M143" i="9"/>
  <c r="M139" i="9"/>
  <c r="M135" i="9"/>
  <c r="M142" i="9"/>
  <c r="M138" i="9"/>
  <c r="M134" i="9"/>
  <c r="M141" i="9"/>
  <c r="M137" i="9"/>
  <c r="M133" i="9"/>
  <c r="M144" i="9"/>
  <c r="M140" i="9"/>
  <c r="M136" i="9"/>
  <c r="M132" i="9"/>
  <c r="M129" i="9"/>
  <c r="M125" i="9"/>
  <c r="M121" i="9"/>
  <c r="M128" i="9"/>
  <c r="M124" i="9"/>
  <c r="M120" i="9"/>
  <c r="M116" i="9"/>
  <c r="M131" i="9"/>
  <c r="M127" i="9"/>
  <c r="M123" i="9"/>
  <c r="M119" i="9"/>
  <c r="M130" i="9"/>
  <c r="M126" i="9"/>
  <c r="M122" i="9"/>
  <c r="M118" i="9"/>
  <c r="M114" i="9"/>
  <c r="M110" i="9"/>
  <c r="M106" i="9"/>
  <c r="M102" i="9"/>
  <c r="M98" i="9"/>
  <c r="M94" i="9"/>
  <c r="M113" i="9"/>
  <c r="M109" i="9"/>
  <c r="M105" i="9"/>
  <c r="M101" i="9"/>
  <c r="M97" i="9"/>
  <c r="M93" i="9"/>
  <c r="M89" i="9"/>
  <c r="M112" i="9"/>
  <c r="M108" i="9"/>
  <c r="M117" i="9"/>
  <c r="M115" i="9"/>
  <c r="M111" i="9"/>
  <c r="M107" i="9"/>
  <c r="M103" i="9"/>
  <c r="M99" i="9"/>
  <c r="M95" i="9"/>
  <c r="M91" i="9"/>
  <c r="M100" i="9"/>
  <c r="M85" i="9"/>
  <c r="M81" i="9"/>
  <c r="M77" i="9"/>
  <c r="M73" i="9"/>
  <c r="M69" i="9"/>
  <c r="M65" i="9"/>
  <c r="M96" i="9"/>
  <c r="M92" i="9"/>
  <c r="M84" i="9"/>
  <c r="M80" i="9"/>
  <c r="M76" i="9"/>
  <c r="M72" i="9"/>
  <c r="M68" i="9"/>
  <c r="M64" i="9"/>
  <c r="M90" i="9"/>
  <c r="M87" i="9"/>
  <c r="M83" i="9"/>
  <c r="M79" i="9"/>
  <c r="M75" i="9"/>
  <c r="M71" i="9"/>
  <c r="M67" i="9"/>
  <c r="M104" i="9"/>
  <c r="M88" i="9"/>
  <c r="M86" i="9"/>
  <c r="M82" i="9"/>
  <c r="M78" i="9"/>
  <c r="M74" i="9"/>
  <c r="M70" i="9"/>
  <c r="M66" i="9"/>
  <c r="M62" i="9"/>
  <c r="M63" i="9"/>
  <c r="N6" i="9"/>
  <c r="M9" i="9"/>
  <c r="F11" i="9" l="1"/>
  <c r="M10" i="9"/>
  <c r="N212" i="9"/>
  <c r="N213" i="9"/>
  <c r="N211" i="9"/>
  <c r="N210" i="9"/>
  <c r="N206" i="9"/>
  <c r="N209" i="9"/>
  <c r="N205" i="9"/>
  <c r="N204" i="9"/>
  <c r="N207" i="9"/>
  <c r="N208" i="9"/>
  <c r="N202" i="9"/>
  <c r="N199" i="9"/>
  <c r="N195" i="9"/>
  <c r="N203" i="9"/>
  <c r="N201" i="9"/>
  <c r="N198" i="9"/>
  <c r="N192" i="9"/>
  <c r="N191" i="9"/>
  <c r="N197" i="9"/>
  <c r="N194" i="9"/>
  <c r="N188" i="9"/>
  <c r="N184" i="9"/>
  <c r="N200" i="9"/>
  <c r="N193" i="9"/>
  <c r="N187" i="9"/>
  <c r="N183" i="9"/>
  <c r="N190" i="9"/>
  <c r="N182" i="9"/>
  <c r="N176" i="9"/>
  <c r="N189" i="9"/>
  <c r="N181" i="9"/>
  <c r="N179" i="9"/>
  <c r="N175" i="9"/>
  <c r="N186" i="9"/>
  <c r="N174" i="9"/>
  <c r="N173" i="9"/>
  <c r="N172" i="9"/>
  <c r="N168" i="9"/>
  <c r="N164" i="9"/>
  <c r="N160" i="9"/>
  <c r="N156" i="9"/>
  <c r="N152" i="9"/>
  <c r="N196" i="9"/>
  <c r="N180" i="9"/>
  <c r="N171" i="9"/>
  <c r="N167" i="9"/>
  <c r="N163" i="9"/>
  <c r="N159" i="9"/>
  <c r="N155" i="9"/>
  <c r="N151" i="9"/>
  <c r="N178" i="9"/>
  <c r="N185" i="9"/>
  <c r="N177" i="9"/>
  <c r="N165" i="9"/>
  <c r="N170" i="9"/>
  <c r="N162" i="9"/>
  <c r="N169" i="9"/>
  <c r="N161" i="9"/>
  <c r="N166" i="9"/>
  <c r="N158" i="9"/>
  <c r="N153" i="9"/>
  <c r="N147" i="9"/>
  <c r="N150" i="9"/>
  <c r="N146" i="9"/>
  <c r="N149" i="9"/>
  <c r="N157" i="9"/>
  <c r="N154" i="9"/>
  <c r="N148" i="9"/>
  <c r="N145" i="9"/>
  <c r="N142" i="9"/>
  <c r="N138" i="9"/>
  <c r="N134" i="9"/>
  <c r="N141" i="9"/>
  <c r="N137" i="9"/>
  <c r="N133" i="9"/>
  <c r="N144" i="9"/>
  <c r="N140" i="9"/>
  <c r="N136" i="9"/>
  <c r="N143" i="9"/>
  <c r="N139" i="9"/>
  <c r="N135" i="9"/>
  <c r="N132" i="9"/>
  <c r="N128" i="9"/>
  <c r="N124" i="9"/>
  <c r="N120" i="9"/>
  <c r="N131" i="9"/>
  <c r="N127" i="9"/>
  <c r="N123" i="9"/>
  <c r="N119" i="9"/>
  <c r="N130" i="9"/>
  <c r="N126" i="9"/>
  <c r="N122" i="9"/>
  <c r="N118" i="9"/>
  <c r="N129" i="9"/>
  <c r="N125" i="9"/>
  <c r="N121" i="9"/>
  <c r="N117" i="9"/>
  <c r="N113" i="9"/>
  <c r="N109" i="9"/>
  <c r="N105" i="9"/>
  <c r="N101" i="9"/>
  <c r="N97" i="9"/>
  <c r="N93" i="9"/>
  <c r="N112" i="9"/>
  <c r="N108" i="9"/>
  <c r="N104" i="9"/>
  <c r="N100" i="9"/>
  <c r="N96" i="9"/>
  <c r="N92" i="9"/>
  <c r="N88" i="9"/>
  <c r="N115" i="9"/>
  <c r="N111" i="9"/>
  <c r="N107" i="9"/>
  <c r="N116" i="9"/>
  <c r="N114" i="9"/>
  <c r="N110" i="9"/>
  <c r="N106" i="9"/>
  <c r="N102" i="9"/>
  <c r="N98" i="9"/>
  <c r="N94" i="9"/>
  <c r="N90" i="9"/>
  <c r="N84" i="9"/>
  <c r="N80" i="9"/>
  <c r="N76" i="9"/>
  <c r="N72" i="9"/>
  <c r="N68" i="9"/>
  <c r="N64" i="9"/>
  <c r="N103" i="9"/>
  <c r="N91" i="9"/>
  <c r="N87" i="9"/>
  <c r="N83" i="9"/>
  <c r="N79" i="9"/>
  <c r="N75" i="9"/>
  <c r="N71" i="9"/>
  <c r="N67" i="9"/>
  <c r="N63" i="9"/>
  <c r="N99" i="9"/>
  <c r="N89" i="9"/>
  <c r="N86" i="9"/>
  <c r="N82" i="9"/>
  <c r="N78" i="9"/>
  <c r="N74" i="9"/>
  <c r="N70" i="9"/>
  <c r="N66" i="9"/>
  <c r="N95" i="9"/>
  <c r="N85" i="9"/>
  <c r="N81" i="9"/>
  <c r="N77" i="9"/>
  <c r="N73" i="9"/>
  <c r="N69" i="9"/>
  <c r="N65" i="9"/>
  <c r="N62" i="9"/>
  <c r="O6" i="9"/>
  <c r="N10" i="9"/>
  <c r="N8" i="9"/>
  <c r="N9" i="9"/>
  <c r="G11" i="9" l="1"/>
  <c r="N11" i="9" s="1"/>
  <c r="J11" i="9"/>
  <c r="K11" i="9" s="1"/>
  <c r="O213" i="9"/>
  <c r="O210" i="9"/>
  <c r="O212" i="9"/>
  <c r="O211" i="9"/>
  <c r="O209" i="9"/>
  <c r="O208" i="9"/>
  <c r="O206" i="9"/>
  <c r="O203" i="9"/>
  <c r="O207" i="9"/>
  <c r="O205" i="9"/>
  <c r="O202" i="9"/>
  <c r="O201" i="9"/>
  <c r="O198" i="9"/>
  <c r="O194" i="9"/>
  <c r="O204" i="9"/>
  <c r="O197" i="9"/>
  <c r="O191" i="9"/>
  <c r="O199" i="9"/>
  <c r="O200" i="9"/>
  <c r="O193" i="9"/>
  <c r="O187" i="9"/>
  <c r="O183" i="9"/>
  <c r="O195" i="9"/>
  <c r="O192" i="9"/>
  <c r="O190" i="9"/>
  <c r="O186" i="9"/>
  <c r="O182" i="9"/>
  <c r="O189" i="9"/>
  <c r="O181" i="9"/>
  <c r="O179" i="9"/>
  <c r="O175" i="9"/>
  <c r="O188" i="9"/>
  <c r="O178" i="9"/>
  <c r="O174" i="9"/>
  <c r="O196" i="9"/>
  <c r="O180" i="9"/>
  <c r="O171" i="9"/>
  <c r="O167" i="9"/>
  <c r="O163" i="9"/>
  <c r="O159" i="9"/>
  <c r="O155" i="9"/>
  <c r="O184" i="9"/>
  <c r="O170" i="9"/>
  <c r="O166" i="9"/>
  <c r="O162" i="9"/>
  <c r="O158" i="9"/>
  <c r="O154" i="9"/>
  <c r="O176" i="9"/>
  <c r="O173" i="9"/>
  <c r="O185" i="9"/>
  <c r="O177" i="9"/>
  <c r="O172" i="9"/>
  <c r="O164" i="9"/>
  <c r="O169" i="9"/>
  <c r="O161" i="9"/>
  <c r="O168" i="9"/>
  <c r="O160" i="9"/>
  <c r="O165" i="9"/>
  <c r="O157" i="9"/>
  <c r="O152" i="9"/>
  <c r="O150" i="9"/>
  <c r="O156" i="9"/>
  <c r="O151" i="9"/>
  <c r="O149" i="9"/>
  <c r="O145" i="9"/>
  <c r="O148" i="9"/>
  <c r="O153" i="9"/>
  <c r="O147" i="9"/>
  <c r="O141" i="9"/>
  <c r="O137" i="9"/>
  <c r="O133" i="9"/>
  <c r="O144" i="9"/>
  <c r="O140" i="9"/>
  <c r="O136" i="9"/>
  <c r="O132" i="9"/>
  <c r="O143" i="9"/>
  <c r="O139" i="9"/>
  <c r="O135" i="9"/>
  <c r="O146" i="9"/>
  <c r="O142" i="9"/>
  <c r="O138" i="9"/>
  <c r="O134" i="9"/>
  <c r="O131" i="9"/>
  <c r="O127" i="9"/>
  <c r="O123" i="9"/>
  <c r="O119" i="9"/>
  <c r="O130" i="9"/>
  <c r="O126" i="9"/>
  <c r="O122" i="9"/>
  <c r="O118" i="9"/>
  <c r="O129" i="9"/>
  <c r="O125" i="9"/>
  <c r="O121" i="9"/>
  <c r="O128" i="9"/>
  <c r="O124" i="9"/>
  <c r="O120" i="9"/>
  <c r="O112" i="9"/>
  <c r="O108" i="9"/>
  <c r="O104" i="9"/>
  <c r="O100" i="9"/>
  <c r="O96" i="9"/>
  <c r="O115" i="9"/>
  <c r="O111" i="9"/>
  <c r="O107" i="9"/>
  <c r="O103" i="9"/>
  <c r="O99" i="9"/>
  <c r="O95" i="9"/>
  <c r="O91" i="9"/>
  <c r="O117" i="9"/>
  <c r="O116" i="9"/>
  <c r="O114" i="9"/>
  <c r="O110" i="9"/>
  <c r="O113" i="9"/>
  <c r="O109" i="9"/>
  <c r="O105" i="9"/>
  <c r="O101" i="9"/>
  <c r="O97" i="9"/>
  <c r="O93" i="9"/>
  <c r="O89" i="9"/>
  <c r="O98" i="9"/>
  <c r="O92" i="9"/>
  <c r="O87" i="9"/>
  <c r="O83" i="9"/>
  <c r="O79" i="9"/>
  <c r="O75" i="9"/>
  <c r="O71" i="9"/>
  <c r="O67" i="9"/>
  <c r="O94" i="9"/>
  <c r="O90" i="9"/>
  <c r="O86" i="9"/>
  <c r="O82" i="9"/>
  <c r="O78" i="9"/>
  <c r="O74" i="9"/>
  <c r="O70" i="9"/>
  <c r="O66" i="9"/>
  <c r="O106" i="9"/>
  <c r="O88" i="9"/>
  <c r="O85" i="9"/>
  <c r="O81" i="9"/>
  <c r="O77" i="9"/>
  <c r="O73" i="9"/>
  <c r="O69" i="9"/>
  <c r="O65" i="9"/>
  <c r="O102" i="9"/>
  <c r="O84" i="9"/>
  <c r="O80" i="9"/>
  <c r="O76" i="9"/>
  <c r="O72" i="9"/>
  <c r="O68" i="9"/>
  <c r="O64" i="9"/>
  <c r="O63" i="9"/>
  <c r="O62" i="9"/>
  <c r="O10" i="9"/>
  <c r="O8" i="9"/>
  <c r="P6" i="9"/>
  <c r="O9" i="9"/>
  <c r="O11" i="9" l="1"/>
  <c r="L11" i="9"/>
  <c r="M11" i="9"/>
  <c r="F12" i="9"/>
  <c r="P213" i="9"/>
  <c r="P212" i="9"/>
  <c r="P210" i="9"/>
  <c r="P211" i="9"/>
  <c r="P209" i="9"/>
  <c r="P208" i="9"/>
  <c r="P207" i="9"/>
  <c r="P205" i="9"/>
  <c r="P202" i="9"/>
  <c r="P201" i="9"/>
  <c r="P206" i="9"/>
  <c r="P204" i="9"/>
  <c r="P203" i="9"/>
  <c r="P197" i="9"/>
  <c r="P200" i="9"/>
  <c r="P196" i="9"/>
  <c r="P199" i="9"/>
  <c r="P198" i="9"/>
  <c r="P194" i="9"/>
  <c r="P193" i="9"/>
  <c r="P195" i="9"/>
  <c r="P192" i="9"/>
  <c r="P190" i="9"/>
  <c r="P186" i="9"/>
  <c r="P182" i="9"/>
  <c r="P191" i="9"/>
  <c r="P189" i="9"/>
  <c r="P185" i="9"/>
  <c r="P181" i="9"/>
  <c r="P188" i="9"/>
  <c r="P178" i="9"/>
  <c r="P174" i="9"/>
  <c r="P187" i="9"/>
  <c r="P180" i="9"/>
  <c r="P177" i="9"/>
  <c r="P184" i="9"/>
  <c r="P170" i="9"/>
  <c r="P166" i="9"/>
  <c r="P162" i="9"/>
  <c r="P158" i="9"/>
  <c r="P154" i="9"/>
  <c r="P179" i="9"/>
  <c r="P169" i="9"/>
  <c r="P165" i="9"/>
  <c r="P161" i="9"/>
  <c r="P157" i="9"/>
  <c r="P153" i="9"/>
  <c r="P183" i="9"/>
  <c r="P176" i="9"/>
  <c r="P173" i="9"/>
  <c r="P172" i="9"/>
  <c r="P175" i="9"/>
  <c r="P171" i="9"/>
  <c r="P163" i="9"/>
  <c r="P168" i="9"/>
  <c r="P160" i="9"/>
  <c r="P167" i="9"/>
  <c r="P164" i="9"/>
  <c r="P156" i="9"/>
  <c r="P151" i="9"/>
  <c r="P149" i="9"/>
  <c r="P148" i="9"/>
  <c r="P159" i="9"/>
  <c r="P155" i="9"/>
  <c r="P147" i="9"/>
  <c r="P152" i="9"/>
  <c r="P150" i="9"/>
  <c r="P146" i="9"/>
  <c r="P144" i="9"/>
  <c r="P140" i="9"/>
  <c r="P136" i="9"/>
  <c r="P143" i="9"/>
  <c r="P139" i="9"/>
  <c r="P135" i="9"/>
  <c r="P142" i="9"/>
  <c r="P138" i="9"/>
  <c r="P134" i="9"/>
  <c r="P145" i="9"/>
  <c r="P141" i="9"/>
  <c r="P137" i="9"/>
  <c r="P133" i="9"/>
  <c r="P130" i="9"/>
  <c r="P126" i="9"/>
  <c r="P122" i="9"/>
  <c r="P118" i="9"/>
  <c r="P129" i="9"/>
  <c r="P125" i="9"/>
  <c r="P121" i="9"/>
  <c r="P117" i="9"/>
  <c r="P128" i="9"/>
  <c r="P124" i="9"/>
  <c r="P120" i="9"/>
  <c r="P132" i="9"/>
  <c r="P131" i="9"/>
  <c r="P127" i="9"/>
  <c r="P123" i="9"/>
  <c r="P119" i="9"/>
  <c r="P115" i="9"/>
  <c r="P111" i="9"/>
  <c r="P107" i="9"/>
  <c r="P103" i="9"/>
  <c r="P99" i="9"/>
  <c r="P95" i="9"/>
  <c r="P116" i="9"/>
  <c r="P114" i="9"/>
  <c r="P110" i="9"/>
  <c r="P106" i="9"/>
  <c r="P102" i="9"/>
  <c r="P98" i="9"/>
  <c r="P94" i="9"/>
  <c r="P90" i="9"/>
  <c r="P113" i="9"/>
  <c r="P109" i="9"/>
  <c r="P112" i="9"/>
  <c r="P108" i="9"/>
  <c r="P104" i="9"/>
  <c r="P100" i="9"/>
  <c r="P96" i="9"/>
  <c r="P92" i="9"/>
  <c r="P88" i="9"/>
  <c r="P105" i="9"/>
  <c r="P91" i="9"/>
  <c r="P86" i="9"/>
  <c r="P82" i="9"/>
  <c r="P78" i="9"/>
  <c r="P74" i="9"/>
  <c r="P70" i="9"/>
  <c r="P66" i="9"/>
  <c r="P101" i="9"/>
  <c r="P89" i="9"/>
  <c r="P85" i="9"/>
  <c r="P81" i="9"/>
  <c r="P77" i="9"/>
  <c r="P73" i="9"/>
  <c r="P69" i="9"/>
  <c r="P65" i="9"/>
  <c r="P97" i="9"/>
  <c r="P84" i="9"/>
  <c r="P80" i="9"/>
  <c r="P76" i="9"/>
  <c r="P72" i="9"/>
  <c r="P68" i="9"/>
  <c r="P93" i="9"/>
  <c r="P87" i="9"/>
  <c r="P83" i="9"/>
  <c r="P79" i="9"/>
  <c r="P75" i="9"/>
  <c r="P71" i="9"/>
  <c r="P67" i="9"/>
  <c r="P63" i="9"/>
  <c r="P62" i="9"/>
  <c r="P64" i="9"/>
  <c r="P8" i="9"/>
  <c r="P11" i="9"/>
  <c r="P9" i="9"/>
  <c r="Q6" i="9"/>
  <c r="P10" i="9"/>
  <c r="G12" i="9" l="1"/>
  <c r="P12" i="9" s="1"/>
  <c r="J12" i="9"/>
  <c r="K12" i="9" s="1"/>
  <c r="Q213" i="9"/>
  <c r="Q212" i="9"/>
  <c r="Q211" i="9"/>
  <c r="Q209" i="9"/>
  <c r="Q208" i="9"/>
  <c r="Q207" i="9"/>
  <c r="Q210" i="9"/>
  <c r="Q205" i="9"/>
  <c r="Q206" i="9"/>
  <c r="Q204" i="9"/>
  <c r="Q201" i="9"/>
  <c r="Q203" i="9"/>
  <c r="Q200" i="9"/>
  <c r="Q196" i="9"/>
  <c r="Q199" i="9"/>
  <c r="Q195" i="9"/>
  <c r="Q202" i="9"/>
  <c r="Q198" i="9"/>
  <c r="Q194" i="9"/>
  <c r="Q193" i="9"/>
  <c r="Q197" i="9"/>
  <c r="Q192" i="9"/>
  <c r="Q191" i="9"/>
  <c r="Q189" i="9"/>
  <c r="Q185" i="9"/>
  <c r="Q181" i="9"/>
  <c r="Q188" i="9"/>
  <c r="Q184" i="9"/>
  <c r="Q180" i="9"/>
  <c r="Q187" i="9"/>
  <c r="Q177" i="9"/>
  <c r="Q173" i="9"/>
  <c r="Q186" i="9"/>
  <c r="Q176" i="9"/>
  <c r="Q179" i="9"/>
  <c r="Q169" i="9"/>
  <c r="Q165" i="9"/>
  <c r="Q161" i="9"/>
  <c r="Q157" i="9"/>
  <c r="Q153" i="9"/>
  <c r="Q182" i="9"/>
  <c r="Q178" i="9"/>
  <c r="Q172" i="9"/>
  <c r="Q168" i="9"/>
  <c r="Q164" i="9"/>
  <c r="Q160" i="9"/>
  <c r="Q156" i="9"/>
  <c r="Q152" i="9"/>
  <c r="Q183" i="9"/>
  <c r="Q190" i="9"/>
  <c r="Q174" i="9"/>
  <c r="Q175" i="9"/>
  <c r="Q171" i="9"/>
  <c r="Q170" i="9"/>
  <c r="Q162" i="9"/>
  <c r="Q167" i="9"/>
  <c r="Q159" i="9"/>
  <c r="Q166" i="9"/>
  <c r="Q163" i="9"/>
  <c r="Q158" i="9"/>
  <c r="Q148" i="9"/>
  <c r="Q155" i="9"/>
  <c r="Q147" i="9"/>
  <c r="Q154" i="9"/>
  <c r="Q150" i="9"/>
  <c r="Q151" i="9"/>
  <c r="Q149" i="9"/>
  <c r="Q145" i="9"/>
  <c r="Q143" i="9"/>
  <c r="Q139" i="9"/>
  <c r="Q135" i="9"/>
  <c r="Q142" i="9"/>
  <c r="Q138" i="9"/>
  <c r="Q134" i="9"/>
  <c r="Q146" i="9"/>
  <c r="Q141" i="9"/>
  <c r="Q137" i="9"/>
  <c r="Q133" i="9"/>
  <c r="Q144" i="9"/>
  <c r="Q140" i="9"/>
  <c r="Q136" i="9"/>
  <c r="Q132" i="9"/>
  <c r="Q129" i="9"/>
  <c r="Q125" i="9"/>
  <c r="Q121" i="9"/>
  <c r="Q128" i="9"/>
  <c r="Q124" i="9"/>
  <c r="Q120" i="9"/>
  <c r="Q116" i="9"/>
  <c r="Q131" i="9"/>
  <c r="Q127" i="9"/>
  <c r="Q123" i="9"/>
  <c r="Q119" i="9"/>
  <c r="Q130" i="9"/>
  <c r="Q126" i="9"/>
  <c r="Q122" i="9"/>
  <c r="Q118" i="9"/>
  <c r="Q114" i="9"/>
  <c r="Q110" i="9"/>
  <c r="Q106" i="9"/>
  <c r="Q102" i="9"/>
  <c r="Q98" i="9"/>
  <c r="Q94" i="9"/>
  <c r="Q117" i="9"/>
  <c r="Q113" i="9"/>
  <c r="Q109" i="9"/>
  <c r="Q105" i="9"/>
  <c r="Q101" i="9"/>
  <c r="Q97" i="9"/>
  <c r="Q93" i="9"/>
  <c r="Q89" i="9"/>
  <c r="Q112" i="9"/>
  <c r="Q108" i="9"/>
  <c r="Q115" i="9"/>
  <c r="Q111" i="9"/>
  <c r="Q107" i="9"/>
  <c r="Q103" i="9"/>
  <c r="Q99" i="9"/>
  <c r="Q95" i="9"/>
  <c r="Q91" i="9"/>
  <c r="Q96" i="9"/>
  <c r="Q90" i="9"/>
  <c r="Q85" i="9"/>
  <c r="Q81" i="9"/>
  <c r="Q77" i="9"/>
  <c r="Q73" i="9"/>
  <c r="Q69" i="9"/>
  <c r="Q65" i="9"/>
  <c r="Q88" i="9"/>
  <c r="Q84" i="9"/>
  <c r="Q80" i="9"/>
  <c r="Q76" i="9"/>
  <c r="Q72" i="9"/>
  <c r="Q68" i="9"/>
  <c r="Q64" i="9"/>
  <c r="Q104" i="9"/>
  <c r="Q87" i="9"/>
  <c r="Q83" i="9"/>
  <c r="Q79" i="9"/>
  <c r="Q75" i="9"/>
  <c r="Q71" i="9"/>
  <c r="Q67" i="9"/>
  <c r="Q100" i="9"/>
  <c r="Q92" i="9"/>
  <c r="Q86" i="9"/>
  <c r="Q82" i="9"/>
  <c r="Q78" i="9"/>
  <c r="Q74" i="9"/>
  <c r="Q70" i="9"/>
  <c r="Q66" i="9"/>
  <c r="Q63" i="9"/>
  <c r="Q62" i="9"/>
  <c r="Q11" i="9"/>
  <c r="Q9" i="9"/>
  <c r="R6" i="9"/>
  <c r="Q10" i="9"/>
  <c r="Q8" i="9"/>
  <c r="L12" i="9" l="1"/>
  <c r="Q12" i="9"/>
  <c r="O12" i="9"/>
  <c r="F13" i="9"/>
  <c r="M12" i="9"/>
  <c r="N12" i="9"/>
  <c r="R8" i="9"/>
  <c r="S6" i="9"/>
  <c r="G13" i="9" l="1"/>
  <c r="M13" i="9" s="1"/>
  <c r="J13" i="9"/>
  <c r="K13" i="9" s="1"/>
  <c r="S8" i="9"/>
  <c r="T6" i="9"/>
  <c r="L13" i="9" l="1"/>
  <c r="O13" i="9"/>
  <c r="Q13" i="9"/>
  <c r="F14" i="9"/>
  <c r="G14" i="9" s="1"/>
  <c r="F15" i="9" s="1"/>
  <c r="P13" i="9"/>
  <c r="N13" i="9"/>
  <c r="T213" i="9"/>
  <c r="T212" i="9"/>
  <c r="T211" i="9"/>
  <c r="T210" i="9"/>
  <c r="T206" i="9"/>
  <c r="T205" i="9"/>
  <c r="T209" i="9"/>
  <c r="T207" i="9"/>
  <c r="T204" i="9"/>
  <c r="T208" i="9"/>
  <c r="T203" i="9"/>
  <c r="T202" i="9"/>
  <c r="T201" i="9"/>
  <c r="T200" i="9"/>
  <c r="T199" i="9"/>
  <c r="T195" i="9"/>
  <c r="T198" i="9"/>
  <c r="T197" i="9"/>
  <c r="T192" i="9"/>
  <c r="T196" i="9"/>
  <c r="T191" i="9"/>
  <c r="T188" i="9"/>
  <c r="T184" i="9"/>
  <c r="T187" i="9"/>
  <c r="T183" i="9"/>
  <c r="T186" i="9"/>
  <c r="T180" i="9"/>
  <c r="T176" i="9"/>
  <c r="T193" i="9"/>
  <c r="T185" i="9"/>
  <c r="T179" i="9"/>
  <c r="T175" i="9"/>
  <c r="T182" i="9"/>
  <c r="T178" i="9"/>
  <c r="T172" i="9"/>
  <c r="T168" i="9"/>
  <c r="T164" i="9"/>
  <c r="T160" i="9"/>
  <c r="T156" i="9"/>
  <c r="T152" i="9"/>
  <c r="T189" i="9"/>
  <c r="T177" i="9"/>
  <c r="T173" i="9"/>
  <c r="T171" i="9"/>
  <c r="T167" i="9"/>
  <c r="T163" i="9"/>
  <c r="T159" i="9"/>
  <c r="T155" i="9"/>
  <c r="T151" i="9"/>
  <c r="T194" i="9"/>
  <c r="T190" i="9"/>
  <c r="T174" i="9"/>
  <c r="T181" i="9"/>
  <c r="T169" i="9"/>
  <c r="T161" i="9"/>
  <c r="T166" i="9"/>
  <c r="T158" i="9"/>
  <c r="T165" i="9"/>
  <c r="T170" i="9"/>
  <c r="T162" i="9"/>
  <c r="T147" i="9"/>
  <c r="T154" i="9"/>
  <c r="T150" i="9"/>
  <c r="T146" i="9"/>
  <c r="T157" i="9"/>
  <c r="T153" i="9"/>
  <c r="T149" i="9"/>
  <c r="T148" i="9"/>
  <c r="T142" i="9"/>
  <c r="T138" i="9"/>
  <c r="T134" i="9"/>
  <c r="T141" i="9"/>
  <c r="T137" i="9"/>
  <c r="T133" i="9"/>
  <c r="T145" i="9"/>
  <c r="T144" i="9"/>
  <c r="T140" i="9"/>
  <c r="T136" i="9"/>
  <c r="T143" i="9"/>
  <c r="T139" i="9"/>
  <c r="T135" i="9"/>
  <c r="T128" i="9"/>
  <c r="T124" i="9"/>
  <c r="T120" i="9"/>
  <c r="T131" i="9"/>
  <c r="T127" i="9"/>
  <c r="T123" i="9"/>
  <c r="T119" i="9"/>
  <c r="T132" i="9"/>
  <c r="T130" i="9"/>
  <c r="T126" i="9"/>
  <c r="T122" i="9"/>
  <c r="T118" i="9"/>
  <c r="T129" i="9"/>
  <c r="T125" i="9"/>
  <c r="T121" i="9"/>
  <c r="T117" i="9"/>
  <c r="T116" i="9"/>
  <c r="T113" i="9"/>
  <c r="T109" i="9"/>
  <c r="T105" i="9"/>
  <c r="T101" i="9"/>
  <c r="T97" i="9"/>
  <c r="T93" i="9"/>
  <c r="T112" i="9"/>
  <c r="T108" i="9"/>
  <c r="T104" i="9"/>
  <c r="T100" i="9"/>
  <c r="T96" i="9"/>
  <c r="T92" i="9"/>
  <c r="T88" i="9"/>
  <c r="T115" i="9"/>
  <c r="T111" i="9"/>
  <c r="T107" i="9"/>
  <c r="T114" i="9"/>
  <c r="T110" i="9"/>
  <c r="T106" i="9"/>
  <c r="T102" i="9"/>
  <c r="T98" i="9"/>
  <c r="T94" i="9"/>
  <c r="T90" i="9"/>
  <c r="T103" i="9"/>
  <c r="T89" i="9"/>
  <c r="T84" i="9"/>
  <c r="T80" i="9"/>
  <c r="T76" i="9"/>
  <c r="T72" i="9"/>
  <c r="T68" i="9"/>
  <c r="T64" i="9"/>
  <c r="T99" i="9"/>
  <c r="T87" i="9"/>
  <c r="T83" i="9"/>
  <c r="T79" i="9"/>
  <c r="T75" i="9"/>
  <c r="T71" i="9"/>
  <c r="T67" i="9"/>
  <c r="T63" i="9"/>
  <c r="T95" i="9"/>
  <c r="T86" i="9"/>
  <c r="T82" i="9"/>
  <c r="T78" i="9"/>
  <c r="T74" i="9"/>
  <c r="T70" i="9"/>
  <c r="T66" i="9"/>
  <c r="T91" i="9"/>
  <c r="T85" i="9"/>
  <c r="T81" i="9"/>
  <c r="T77" i="9"/>
  <c r="T73" i="9"/>
  <c r="T69" i="9"/>
  <c r="T65" i="9"/>
  <c r="T62" i="9"/>
  <c r="T8" i="9"/>
  <c r="T12" i="9"/>
  <c r="T10" i="9"/>
  <c r="U6" i="9"/>
  <c r="T13" i="9"/>
  <c r="T11" i="9"/>
  <c r="T9" i="9"/>
  <c r="J14" i="9" l="1"/>
  <c r="K14" i="9" s="1"/>
  <c r="G15" i="9"/>
  <c r="M15" i="9" s="1"/>
  <c r="J15" i="9"/>
  <c r="K15" i="9" s="1"/>
  <c r="L15" i="9" s="1"/>
  <c r="Q14" i="9"/>
  <c r="P14" i="9"/>
  <c r="M14" i="9"/>
  <c r="O14" i="9"/>
  <c r="T14" i="9"/>
  <c r="U213" i="9"/>
  <c r="U211" i="9"/>
  <c r="U212" i="9"/>
  <c r="U210" i="9"/>
  <c r="U209" i="9"/>
  <c r="U208" i="9"/>
  <c r="U207" i="9"/>
  <c r="U206" i="9"/>
  <c r="U203" i="9"/>
  <c r="U204" i="9"/>
  <c r="U202" i="9"/>
  <c r="U201" i="9"/>
  <c r="U198" i="9"/>
  <c r="U194" i="9"/>
  <c r="U197" i="9"/>
  <c r="U196" i="9"/>
  <c r="U191" i="9"/>
  <c r="U205" i="9"/>
  <c r="U200" i="9"/>
  <c r="U195" i="9"/>
  <c r="U187" i="9"/>
  <c r="U183" i="9"/>
  <c r="U190" i="9"/>
  <c r="U186" i="9"/>
  <c r="U182" i="9"/>
  <c r="U193" i="9"/>
  <c r="U185" i="9"/>
  <c r="U179" i="9"/>
  <c r="U175" i="9"/>
  <c r="U199" i="9"/>
  <c r="U184" i="9"/>
  <c r="U178" i="9"/>
  <c r="U174" i="9"/>
  <c r="U189" i="9"/>
  <c r="U177" i="9"/>
  <c r="U173" i="9"/>
  <c r="U171" i="9"/>
  <c r="U167" i="9"/>
  <c r="U163" i="9"/>
  <c r="U159" i="9"/>
  <c r="U155" i="9"/>
  <c r="U192" i="9"/>
  <c r="U176" i="9"/>
  <c r="U170" i="9"/>
  <c r="U166" i="9"/>
  <c r="U162" i="9"/>
  <c r="U158" i="9"/>
  <c r="U154" i="9"/>
  <c r="U188" i="9"/>
  <c r="U180" i="9"/>
  <c r="U181" i="9"/>
  <c r="U172" i="9"/>
  <c r="U168" i="9"/>
  <c r="U160" i="9"/>
  <c r="U165" i="9"/>
  <c r="U157" i="9"/>
  <c r="U164" i="9"/>
  <c r="U169" i="9"/>
  <c r="U161" i="9"/>
  <c r="U156" i="9"/>
  <c r="U150" i="9"/>
  <c r="U153" i="9"/>
  <c r="U149" i="9"/>
  <c r="U145" i="9"/>
  <c r="U152" i="9"/>
  <c r="U151" i="9"/>
  <c r="U148" i="9"/>
  <c r="U147" i="9"/>
  <c r="U141" i="9"/>
  <c r="U137" i="9"/>
  <c r="U133" i="9"/>
  <c r="U146" i="9"/>
  <c r="U144" i="9"/>
  <c r="U140" i="9"/>
  <c r="U136" i="9"/>
  <c r="U132" i="9"/>
  <c r="U143" i="9"/>
  <c r="U139" i="9"/>
  <c r="U135" i="9"/>
  <c r="U142" i="9"/>
  <c r="U138" i="9"/>
  <c r="U134" i="9"/>
  <c r="U131" i="9"/>
  <c r="U127" i="9"/>
  <c r="U123" i="9"/>
  <c r="U119" i="9"/>
  <c r="U130" i="9"/>
  <c r="U126" i="9"/>
  <c r="U122" i="9"/>
  <c r="U118" i="9"/>
  <c r="U129" i="9"/>
  <c r="U125" i="9"/>
  <c r="U121" i="9"/>
  <c r="U128" i="9"/>
  <c r="U124" i="9"/>
  <c r="U120" i="9"/>
  <c r="U117" i="9"/>
  <c r="U112" i="9"/>
  <c r="U108" i="9"/>
  <c r="U104" i="9"/>
  <c r="U100" i="9"/>
  <c r="U96" i="9"/>
  <c r="U115" i="9"/>
  <c r="U111" i="9"/>
  <c r="U107" i="9"/>
  <c r="U103" i="9"/>
  <c r="U99" i="9"/>
  <c r="U95" i="9"/>
  <c r="U91" i="9"/>
  <c r="U114" i="9"/>
  <c r="U110" i="9"/>
  <c r="U116" i="9"/>
  <c r="U113" i="9"/>
  <c r="U109" i="9"/>
  <c r="U105" i="9"/>
  <c r="U101" i="9"/>
  <c r="U97" i="9"/>
  <c r="U93" i="9"/>
  <c r="U89" i="9"/>
  <c r="U94" i="9"/>
  <c r="U88" i="9"/>
  <c r="U87" i="9"/>
  <c r="U83" i="9"/>
  <c r="U79" i="9"/>
  <c r="U75" i="9"/>
  <c r="U71" i="9"/>
  <c r="U67" i="9"/>
  <c r="U106" i="9"/>
  <c r="U86" i="9"/>
  <c r="U82" i="9"/>
  <c r="U78" i="9"/>
  <c r="U74" i="9"/>
  <c r="U70" i="9"/>
  <c r="U66" i="9"/>
  <c r="U102" i="9"/>
  <c r="U92" i="9"/>
  <c r="U85" i="9"/>
  <c r="U81" i="9"/>
  <c r="U77" i="9"/>
  <c r="U73" i="9"/>
  <c r="U69" i="9"/>
  <c r="U65" i="9"/>
  <c r="U98" i="9"/>
  <c r="U90" i="9"/>
  <c r="U84" i="9"/>
  <c r="U80" i="9"/>
  <c r="U76" i="9"/>
  <c r="U72" i="9"/>
  <c r="U68" i="9"/>
  <c r="U64" i="9"/>
  <c r="U63" i="9"/>
  <c r="U62" i="9"/>
  <c r="U14" i="9"/>
  <c r="U12" i="9"/>
  <c r="U10" i="9"/>
  <c r="V6" i="9"/>
  <c r="U13" i="9"/>
  <c r="U11" i="9"/>
  <c r="U9" i="9"/>
  <c r="U8" i="9"/>
  <c r="N14" i="9"/>
  <c r="L14" i="9" l="1"/>
  <c r="U15" i="9"/>
  <c r="P15" i="9"/>
  <c r="O15" i="9"/>
  <c r="N15" i="9"/>
  <c r="V213" i="9"/>
  <c r="V212" i="9"/>
  <c r="V210" i="9"/>
  <c r="V209" i="9"/>
  <c r="V211" i="9"/>
  <c r="V208" i="9"/>
  <c r="V207" i="9"/>
  <c r="V206" i="9"/>
  <c r="V205" i="9"/>
  <c r="V204" i="9"/>
  <c r="V202" i="9"/>
  <c r="V201" i="9"/>
  <c r="V203" i="9"/>
  <c r="V197" i="9"/>
  <c r="V196" i="9"/>
  <c r="V200" i="9"/>
  <c r="V195" i="9"/>
  <c r="V193" i="9"/>
  <c r="V190" i="9"/>
  <c r="V186" i="9"/>
  <c r="V182" i="9"/>
  <c r="V198" i="9"/>
  <c r="V189" i="9"/>
  <c r="V185" i="9"/>
  <c r="V181" i="9"/>
  <c r="V199" i="9"/>
  <c r="V184" i="9"/>
  <c r="V178" i="9"/>
  <c r="V174" i="9"/>
  <c r="V191" i="9"/>
  <c r="V183" i="9"/>
  <c r="V177" i="9"/>
  <c r="V192" i="9"/>
  <c r="V176" i="9"/>
  <c r="V170" i="9"/>
  <c r="V166" i="9"/>
  <c r="V162" i="9"/>
  <c r="V158" i="9"/>
  <c r="V154" i="9"/>
  <c r="V187" i="9"/>
  <c r="V175" i="9"/>
  <c r="V169" i="9"/>
  <c r="V165" i="9"/>
  <c r="V161" i="9"/>
  <c r="V157" i="9"/>
  <c r="V153" i="9"/>
  <c r="V194" i="9"/>
  <c r="V188" i="9"/>
  <c r="V172" i="9"/>
  <c r="V179" i="9"/>
  <c r="V171" i="9"/>
  <c r="V180" i="9"/>
  <c r="V173" i="9"/>
  <c r="V167" i="9"/>
  <c r="V164" i="9"/>
  <c r="V156" i="9"/>
  <c r="V163" i="9"/>
  <c r="V168" i="9"/>
  <c r="V160" i="9"/>
  <c r="V155" i="9"/>
  <c r="V149" i="9"/>
  <c r="V159" i="9"/>
  <c r="V152" i="9"/>
  <c r="V151" i="9"/>
  <c r="V148" i="9"/>
  <c r="V147" i="9"/>
  <c r="V150" i="9"/>
  <c r="V146" i="9"/>
  <c r="V144" i="9"/>
  <c r="V140" i="9"/>
  <c r="V136" i="9"/>
  <c r="V145" i="9"/>
  <c r="V143" i="9"/>
  <c r="V139" i="9"/>
  <c r="V135" i="9"/>
  <c r="V142" i="9"/>
  <c r="V138" i="9"/>
  <c r="V134" i="9"/>
  <c r="V141" i="9"/>
  <c r="V137" i="9"/>
  <c r="V133" i="9"/>
  <c r="V130" i="9"/>
  <c r="V126" i="9"/>
  <c r="V122" i="9"/>
  <c r="V118" i="9"/>
  <c r="V132" i="9"/>
  <c r="V129" i="9"/>
  <c r="V125" i="9"/>
  <c r="V121" i="9"/>
  <c r="V117" i="9"/>
  <c r="V128" i="9"/>
  <c r="V124" i="9"/>
  <c r="V120" i="9"/>
  <c r="V131" i="9"/>
  <c r="V127" i="9"/>
  <c r="V123" i="9"/>
  <c r="V119" i="9"/>
  <c r="V115" i="9"/>
  <c r="V111" i="9"/>
  <c r="V107" i="9"/>
  <c r="V103" i="9"/>
  <c r="V99" i="9"/>
  <c r="V95" i="9"/>
  <c r="V114" i="9"/>
  <c r="V110" i="9"/>
  <c r="V106" i="9"/>
  <c r="V102" i="9"/>
  <c r="V98" i="9"/>
  <c r="V94" i="9"/>
  <c r="V90" i="9"/>
  <c r="V116" i="9"/>
  <c r="V113" i="9"/>
  <c r="V109" i="9"/>
  <c r="V112" i="9"/>
  <c r="V108" i="9"/>
  <c r="V104" i="9"/>
  <c r="V100" i="9"/>
  <c r="V96" i="9"/>
  <c r="V92" i="9"/>
  <c r="V88" i="9"/>
  <c r="V101" i="9"/>
  <c r="V86" i="9"/>
  <c r="V82" i="9"/>
  <c r="V78" i="9"/>
  <c r="V74" i="9"/>
  <c r="V70" i="9"/>
  <c r="V66" i="9"/>
  <c r="V97" i="9"/>
  <c r="V85" i="9"/>
  <c r="V81" i="9"/>
  <c r="V77" i="9"/>
  <c r="V73" i="9"/>
  <c r="V69" i="9"/>
  <c r="V65" i="9"/>
  <c r="V93" i="9"/>
  <c r="V91" i="9"/>
  <c r="V84" i="9"/>
  <c r="V80" i="9"/>
  <c r="V76" i="9"/>
  <c r="V72" i="9"/>
  <c r="V68" i="9"/>
  <c r="V105" i="9"/>
  <c r="V89" i="9"/>
  <c r="V87" i="9"/>
  <c r="V83" i="9"/>
  <c r="V79" i="9"/>
  <c r="V75" i="9"/>
  <c r="V71" i="9"/>
  <c r="V67" i="9"/>
  <c r="V63" i="9"/>
  <c r="V64" i="9"/>
  <c r="V62" i="9"/>
  <c r="V15" i="9"/>
  <c r="V13" i="9"/>
  <c r="V11" i="9"/>
  <c r="V9" i="9"/>
  <c r="W6" i="9"/>
  <c r="V8" i="9"/>
  <c r="V14" i="9"/>
  <c r="V12" i="9"/>
  <c r="V10" i="9"/>
  <c r="Q15" i="9"/>
  <c r="F16" i="9"/>
  <c r="T15" i="9"/>
  <c r="G16" i="9" l="1"/>
  <c r="J16" i="9"/>
  <c r="K16" i="9" s="1"/>
  <c r="L16" i="9" s="1"/>
  <c r="W213" i="9"/>
  <c r="W212" i="9"/>
  <c r="W211" i="9"/>
  <c r="W208" i="9"/>
  <c r="W210" i="9"/>
  <c r="W209" i="9"/>
  <c r="W207" i="9"/>
  <c r="W205" i="9"/>
  <c r="W204" i="9"/>
  <c r="W201" i="9"/>
  <c r="W206" i="9"/>
  <c r="W200" i="9"/>
  <c r="W203" i="9"/>
  <c r="W196" i="9"/>
  <c r="W202" i="9"/>
  <c r="W199" i="9"/>
  <c r="W195" i="9"/>
  <c r="W193" i="9"/>
  <c r="W194" i="9"/>
  <c r="W192" i="9"/>
  <c r="W198" i="9"/>
  <c r="W189" i="9"/>
  <c r="W185" i="9"/>
  <c r="W181" i="9"/>
  <c r="W188" i="9"/>
  <c r="W184" i="9"/>
  <c r="W180" i="9"/>
  <c r="W191" i="9"/>
  <c r="W183" i="9"/>
  <c r="W177" i="9"/>
  <c r="W173" i="9"/>
  <c r="W190" i="9"/>
  <c r="W182" i="9"/>
  <c r="W176" i="9"/>
  <c r="W187" i="9"/>
  <c r="W175" i="9"/>
  <c r="W169" i="9"/>
  <c r="W165" i="9"/>
  <c r="W161" i="9"/>
  <c r="W157" i="9"/>
  <c r="W153" i="9"/>
  <c r="W197" i="9"/>
  <c r="W174" i="9"/>
  <c r="W172" i="9"/>
  <c r="W168" i="9"/>
  <c r="W164" i="9"/>
  <c r="W160" i="9"/>
  <c r="W156" i="9"/>
  <c r="W152" i="9"/>
  <c r="W179" i="9"/>
  <c r="W171" i="9"/>
  <c r="W186" i="9"/>
  <c r="W178" i="9"/>
  <c r="W166" i="9"/>
  <c r="W163" i="9"/>
  <c r="W170" i="9"/>
  <c r="W162" i="9"/>
  <c r="W167" i="9"/>
  <c r="W159" i="9"/>
  <c r="W154" i="9"/>
  <c r="W151" i="9"/>
  <c r="W148" i="9"/>
  <c r="W147" i="9"/>
  <c r="W150" i="9"/>
  <c r="W158" i="9"/>
  <c r="W155" i="9"/>
  <c r="W149" i="9"/>
  <c r="W145" i="9"/>
  <c r="W146" i="9"/>
  <c r="W143" i="9"/>
  <c r="W139" i="9"/>
  <c r="W135" i="9"/>
  <c r="W142" i="9"/>
  <c r="W138" i="9"/>
  <c r="W134" i="9"/>
  <c r="W141" i="9"/>
  <c r="W137" i="9"/>
  <c r="W133" i="9"/>
  <c r="W144" i="9"/>
  <c r="W140" i="9"/>
  <c r="W136" i="9"/>
  <c r="W132" i="9"/>
  <c r="W129" i="9"/>
  <c r="W125" i="9"/>
  <c r="W121" i="9"/>
  <c r="W128" i="9"/>
  <c r="W124" i="9"/>
  <c r="W120" i="9"/>
  <c r="W116" i="9"/>
  <c r="W131" i="9"/>
  <c r="W127" i="9"/>
  <c r="W123" i="9"/>
  <c r="W119" i="9"/>
  <c r="W130" i="9"/>
  <c r="W126" i="9"/>
  <c r="W122" i="9"/>
  <c r="W118" i="9"/>
  <c r="W114" i="9"/>
  <c r="W110" i="9"/>
  <c r="W106" i="9"/>
  <c r="W102" i="9"/>
  <c r="W98" i="9"/>
  <c r="W94" i="9"/>
  <c r="W113" i="9"/>
  <c r="W109" i="9"/>
  <c r="W105" i="9"/>
  <c r="W101" i="9"/>
  <c r="W97" i="9"/>
  <c r="W93" i="9"/>
  <c r="W89" i="9"/>
  <c r="W112" i="9"/>
  <c r="W108" i="9"/>
  <c r="W117" i="9"/>
  <c r="W115" i="9"/>
  <c r="W111" i="9"/>
  <c r="W107" i="9"/>
  <c r="W103" i="9"/>
  <c r="W99" i="9"/>
  <c r="W95" i="9"/>
  <c r="W91" i="9"/>
  <c r="W85" i="9"/>
  <c r="W81" i="9"/>
  <c r="W77" i="9"/>
  <c r="W73" i="9"/>
  <c r="W69" i="9"/>
  <c r="W65" i="9"/>
  <c r="W104" i="9"/>
  <c r="W92" i="9"/>
  <c r="W84" i="9"/>
  <c r="W80" i="9"/>
  <c r="W76" i="9"/>
  <c r="W72" i="9"/>
  <c r="W68" i="9"/>
  <c r="W64" i="9"/>
  <c r="W100" i="9"/>
  <c r="W90" i="9"/>
  <c r="W87" i="9"/>
  <c r="W83" i="9"/>
  <c r="W79" i="9"/>
  <c r="W75" i="9"/>
  <c r="W71" i="9"/>
  <c r="W67" i="9"/>
  <c r="W96" i="9"/>
  <c r="W88" i="9"/>
  <c r="W86" i="9"/>
  <c r="W82" i="9"/>
  <c r="W78" i="9"/>
  <c r="W74" i="9"/>
  <c r="W70" i="9"/>
  <c r="W66" i="9"/>
  <c r="W62" i="9"/>
  <c r="W63" i="9"/>
  <c r="W15" i="9"/>
  <c r="W13" i="9"/>
  <c r="W11" i="9"/>
  <c r="W9" i="9"/>
  <c r="W8" i="9"/>
  <c r="W14" i="9"/>
  <c r="W12" i="9"/>
  <c r="W10" i="9"/>
  <c r="X6" i="9"/>
  <c r="W16" i="9" l="1"/>
  <c r="V16" i="9"/>
  <c r="O16" i="9"/>
  <c r="U16" i="9"/>
  <c r="P16" i="9"/>
  <c r="X212" i="9"/>
  <c r="X211" i="9"/>
  <c r="X213" i="9"/>
  <c r="X210" i="9"/>
  <c r="X209" i="9"/>
  <c r="X206" i="9"/>
  <c r="X205" i="9"/>
  <c r="X208" i="9"/>
  <c r="X204" i="9"/>
  <c r="X203" i="9"/>
  <c r="X202" i="9"/>
  <c r="X207" i="9"/>
  <c r="X199" i="9"/>
  <c r="X195" i="9"/>
  <c r="X200" i="9"/>
  <c r="X198" i="9"/>
  <c r="X194" i="9"/>
  <c r="X192" i="9"/>
  <c r="X191" i="9"/>
  <c r="X188" i="9"/>
  <c r="X184" i="9"/>
  <c r="X196" i="9"/>
  <c r="X193" i="9"/>
  <c r="X187" i="9"/>
  <c r="X183" i="9"/>
  <c r="X190" i="9"/>
  <c r="X182" i="9"/>
  <c r="X176" i="9"/>
  <c r="X189" i="9"/>
  <c r="X181" i="9"/>
  <c r="X180" i="9"/>
  <c r="X179" i="9"/>
  <c r="X175" i="9"/>
  <c r="X197" i="9"/>
  <c r="X174" i="9"/>
  <c r="X172" i="9"/>
  <c r="X168" i="9"/>
  <c r="X164" i="9"/>
  <c r="X160" i="9"/>
  <c r="X156" i="9"/>
  <c r="X152" i="9"/>
  <c r="X201" i="9"/>
  <c r="X185" i="9"/>
  <c r="X171" i="9"/>
  <c r="X167" i="9"/>
  <c r="X163" i="9"/>
  <c r="X159" i="9"/>
  <c r="X155" i="9"/>
  <c r="X151" i="9"/>
  <c r="X177" i="9"/>
  <c r="X186" i="9"/>
  <c r="X178" i="9"/>
  <c r="X173" i="9"/>
  <c r="X165" i="9"/>
  <c r="X170" i="9"/>
  <c r="X162" i="9"/>
  <c r="X169" i="9"/>
  <c r="X161" i="9"/>
  <c r="X166" i="9"/>
  <c r="X158" i="9"/>
  <c r="X153" i="9"/>
  <c r="X147" i="9"/>
  <c r="X157" i="9"/>
  <c r="X150" i="9"/>
  <c r="X146" i="9"/>
  <c r="X149" i="9"/>
  <c r="X154" i="9"/>
  <c r="X148" i="9"/>
  <c r="X145" i="9"/>
  <c r="X142" i="9"/>
  <c r="X138" i="9"/>
  <c r="X134" i="9"/>
  <c r="X141" i="9"/>
  <c r="X137" i="9"/>
  <c r="X133" i="9"/>
  <c r="X144" i="9"/>
  <c r="X140" i="9"/>
  <c r="X136" i="9"/>
  <c r="X143" i="9"/>
  <c r="X139" i="9"/>
  <c r="X135" i="9"/>
  <c r="X132" i="9"/>
  <c r="X128" i="9"/>
  <c r="X124" i="9"/>
  <c r="X120" i="9"/>
  <c r="X131" i="9"/>
  <c r="X127" i="9"/>
  <c r="X123" i="9"/>
  <c r="X119" i="9"/>
  <c r="X130" i="9"/>
  <c r="X126" i="9"/>
  <c r="X122" i="9"/>
  <c r="X118" i="9"/>
  <c r="X129" i="9"/>
  <c r="X125" i="9"/>
  <c r="X121" i="9"/>
  <c r="X117" i="9"/>
  <c r="X113" i="9"/>
  <c r="X109" i="9"/>
  <c r="X105" i="9"/>
  <c r="X101" i="9"/>
  <c r="X97" i="9"/>
  <c r="X93" i="9"/>
  <c r="X116" i="9"/>
  <c r="X112" i="9"/>
  <c r="X108" i="9"/>
  <c r="X104" i="9"/>
  <c r="X100" i="9"/>
  <c r="X96" i="9"/>
  <c r="X92" i="9"/>
  <c r="X88" i="9"/>
  <c r="X115" i="9"/>
  <c r="X111" i="9"/>
  <c r="X107" i="9"/>
  <c r="X114" i="9"/>
  <c r="X110" i="9"/>
  <c r="X106" i="9"/>
  <c r="X102" i="9"/>
  <c r="X98" i="9"/>
  <c r="X94" i="9"/>
  <c r="X90" i="9"/>
  <c r="X99" i="9"/>
  <c r="X84" i="9"/>
  <c r="X80" i="9"/>
  <c r="X76" i="9"/>
  <c r="X72" i="9"/>
  <c r="X68" i="9"/>
  <c r="X64" i="9"/>
  <c r="X95" i="9"/>
  <c r="X91" i="9"/>
  <c r="X87" i="9"/>
  <c r="X83" i="9"/>
  <c r="X79" i="9"/>
  <c r="X75" i="9"/>
  <c r="X71" i="9"/>
  <c r="X67" i="9"/>
  <c r="X63" i="9"/>
  <c r="X89" i="9"/>
  <c r="X86" i="9"/>
  <c r="X82" i="9"/>
  <c r="X78" i="9"/>
  <c r="X74" i="9"/>
  <c r="X70" i="9"/>
  <c r="X66" i="9"/>
  <c r="X103" i="9"/>
  <c r="X85" i="9"/>
  <c r="X81" i="9"/>
  <c r="X77" i="9"/>
  <c r="X73" i="9"/>
  <c r="X69" i="9"/>
  <c r="X65" i="9"/>
  <c r="X62" i="9"/>
  <c r="X8" i="9"/>
  <c r="X16" i="9"/>
  <c r="X14" i="9"/>
  <c r="X12" i="9"/>
  <c r="X10" i="9"/>
  <c r="Y6" i="9"/>
  <c r="X15" i="9"/>
  <c r="X13" i="9"/>
  <c r="X11" i="9"/>
  <c r="X9" i="9"/>
  <c r="T16" i="9"/>
  <c r="N16" i="9"/>
  <c r="Q16" i="9"/>
  <c r="M16" i="9"/>
  <c r="Z6" i="9" l="1"/>
  <c r="Y8" i="9"/>
  <c r="Z8" i="9" l="1"/>
  <c r="AA6" i="9"/>
  <c r="AA213" i="9" l="1"/>
  <c r="AA212" i="9"/>
  <c r="AA210" i="9"/>
  <c r="AA211" i="9"/>
  <c r="AA208" i="9"/>
  <c r="AA209" i="9"/>
  <c r="AA203" i="9"/>
  <c r="AA207" i="9"/>
  <c r="AA206" i="9"/>
  <c r="AA202" i="9"/>
  <c r="AA205" i="9"/>
  <c r="AA201" i="9"/>
  <c r="AA204" i="9"/>
  <c r="AA200" i="9"/>
  <c r="AA198" i="9"/>
  <c r="AA194" i="9"/>
  <c r="AA197" i="9"/>
  <c r="AA191" i="9"/>
  <c r="AA199" i="9"/>
  <c r="AA196" i="9"/>
  <c r="AA193" i="9"/>
  <c r="AA187" i="9"/>
  <c r="AA183" i="9"/>
  <c r="AA192" i="9"/>
  <c r="AA190" i="9"/>
  <c r="AA186" i="9"/>
  <c r="AA182" i="9"/>
  <c r="AA189" i="9"/>
  <c r="AA181" i="9"/>
  <c r="AA180" i="9"/>
  <c r="AA179" i="9"/>
  <c r="AA175" i="9"/>
  <c r="AA195" i="9"/>
  <c r="AA188" i="9"/>
  <c r="AA178" i="9"/>
  <c r="AA174" i="9"/>
  <c r="AA185" i="9"/>
  <c r="AA171" i="9"/>
  <c r="AA167" i="9"/>
  <c r="AA163" i="9"/>
  <c r="AA159" i="9"/>
  <c r="AA155" i="9"/>
  <c r="AA173" i="9"/>
  <c r="AA170" i="9"/>
  <c r="AA166" i="9"/>
  <c r="AA162" i="9"/>
  <c r="AA158" i="9"/>
  <c r="AA154" i="9"/>
  <c r="AA184" i="9"/>
  <c r="AA177" i="9"/>
  <c r="AA176" i="9"/>
  <c r="AA172" i="9"/>
  <c r="AA164" i="9"/>
  <c r="AA169" i="9"/>
  <c r="AA161" i="9"/>
  <c r="AA168" i="9"/>
  <c r="AA160" i="9"/>
  <c r="AA165" i="9"/>
  <c r="AA157" i="9"/>
  <c r="AA152" i="9"/>
  <c r="AA150" i="9"/>
  <c r="AA149" i="9"/>
  <c r="AA145" i="9"/>
  <c r="AA148" i="9"/>
  <c r="AA156" i="9"/>
  <c r="AA153" i="9"/>
  <c r="AA151" i="9"/>
  <c r="AA147" i="9"/>
  <c r="AA141" i="9"/>
  <c r="AA137" i="9"/>
  <c r="AA133" i="9"/>
  <c r="AA144" i="9"/>
  <c r="AA140" i="9"/>
  <c r="AA136" i="9"/>
  <c r="AA132" i="9"/>
  <c r="AA143" i="9"/>
  <c r="AA139" i="9"/>
  <c r="AA135" i="9"/>
  <c r="AA146" i="9"/>
  <c r="AA142" i="9"/>
  <c r="AA138" i="9"/>
  <c r="AA134" i="9"/>
  <c r="AA131" i="9"/>
  <c r="AA127" i="9"/>
  <c r="AA123" i="9"/>
  <c r="AA119" i="9"/>
  <c r="AA130" i="9"/>
  <c r="AA126" i="9"/>
  <c r="AA122" i="9"/>
  <c r="AA118" i="9"/>
  <c r="AA129" i="9"/>
  <c r="AA125" i="9"/>
  <c r="AA121" i="9"/>
  <c r="AA128" i="9"/>
  <c r="AA124" i="9"/>
  <c r="AA120" i="9"/>
  <c r="AA116" i="9"/>
  <c r="AA112" i="9"/>
  <c r="AA108" i="9"/>
  <c r="AA104" i="9"/>
  <c r="AA100" i="9"/>
  <c r="AA96" i="9"/>
  <c r="AA115" i="9"/>
  <c r="AA111" i="9"/>
  <c r="AA107" i="9"/>
  <c r="AA103" i="9"/>
  <c r="AA99" i="9"/>
  <c r="AA95" i="9"/>
  <c r="AA91" i="9"/>
  <c r="AA117" i="9"/>
  <c r="AA114" i="9"/>
  <c r="AA110" i="9"/>
  <c r="AA113" i="9"/>
  <c r="AA109" i="9"/>
  <c r="AA105" i="9"/>
  <c r="AA101" i="9"/>
  <c r="AA97" i="9"/>
  <c r="AA93" i="9"/>
  <c r="AA89" i="9"/>
  <c r="AA106" i="9"/>
  <c r="AA92" i="9"/>
  <c r="AA87" i="9"/>
  <c r="AA83" i="9"/>
  <c r="AA79" i="9"/>
  <c r="AA75" i="9"/>
  <c r="AA71" i="9"/>
  <c r="AA67" i="9"/>
  <c r="AA102" i="9"/>
  <c r="AA90" i="9"/>
  <c r="AA86" i="9"/>
  <c r="AA82" i="9"/>
  <c r="AA78" i="9"/>
  <c r="AA74" i="9"/>
  <c r="AA70" i="9"/>
  <c r="AA66" i="9"/>
  <c r="AA98" i="9"/>
  <c r="AA88" i="9"/>
  <c r="AA85" i="9"/>
  <c r="AA81" i="9"/>
  <c r="AA77" i="9"/>
  <c r="AA73" i="9"/>
  <c r="AA69" i="9"/>
  <c r="AA65" i="9"/>
  <c r="AA94" i="9"/>
  <c r="AA84" i="9"/>
  <c r="AA80" i="9"/>
  <c r="AA76" i="9"/>
  <c r="AA72" i="9"/>
  <c r="AA68" i="9"/>
  <c r="AA64" i="9"/>
  <c r="AA63" i="9"/>
  <c r="AA62" i="9"/>
  <c r="AA16" i="9"/>
  <c r="AA14" i="9"/>
  <c r="AA12" i="9"/>
  <c r="AA10" i="9"/>
  <c r="AA8" i="9"/>
  <c r="AB6" i="9"/>
  <c r="AA15" i="9"/>
  <c r="AA13" i="9"/>
  <c r="AA11" i="9"/>
  <c r="AA9" i="9"/>
  <c r="AB213" i="9" l="1"/>
  <c r="AB212" i="9"/>
  <c r="AB210" i="9"/>
  <c r="AB211" i="9"/>
  <c r="AB209" i="9"/>
  <c r="AB208" i="9"/>
  <c r="AB207" i="9"/>
  <c r="AB206" i="9"/>
  <c r="AB205" i="9"/>
  <c r="AB203" i="9"/>
  <c r="AB202" i="9"/>
  <c r="AB201" i="9"/>
  <c r="AB204" i="9"/>
  <c r="AB197" i="9"/>
  <c r="AB196" i="9"/>
  <c r="AB199" i="9"/>
  <c r="AB198" i="9"/>
  <c r="AB193" i="9"/>
  <c r="AB192" i="9"/>
  <c r="AB190" i="9"/>
  <c r="AB186" i="9"/>
  <c r="AB182" i="9"/>
  <c r="AB194" i="9"/>
  <c r="AB191" i="9"/>
  <c r="AB189" i="9"/>
  <c r="AB185" i="9"/>
  <c r="AB181" i="9"/>
  <c r="AB195" i="9"/>
  <c r="AB188" i="9"/>
  <c r="AB178" i="9"/>
  <c r="AB174" i="9"/>
  <c r="AB200" i="9"/>
  <c r="AB187" i="9"/>
  <c r="AB177" i="9"/>
  <c r="AB173" i="9"/>
  <c r="AB170" i="9"/>
  <c r="AB166" i="9"/>
  <c r="AB162" i="9"/>
  <c r="AB158" i="9"/>
  <c r="AB154" i="9"/>
  <c r="AB183" i="9"/>
  <c r="AB180" i="9"/>
  <c r="AB179" i="9"/>
  <c r="AB169" i="9"/>
  <c r="AB165" i="9"/>
  <c r="AB161" i="9"/>
  <c r="AB157" i="9"/>
  <c r="AB153" i="9"/>
  <c r="AB184" i="9"/>
  <c r="AB175" i="9"/>
  <c r="AB176" i="9"/>
  <c r="AB172" i="9"/>
  <c r="AB171" i="9"/>
  <c r="AB163" i="9"/>
  <c r="AB168" i="9"/>
  <c r="AB160" i="9"/>
  <c r="AB167" i="9"/>
  <c r="AB164" i="9"/>
  <c r="AB156" i="9"/>
  <c r="AB159" i="9"/>
  <c r="AB149" i="9"/>
  <c r="AB148" i="9"/>
  <c r="AB155" i="9"/>
  <c r="AB151" i="9"/>
  <c r="AB147" i="9"/>
  <c r="AB152" i="9"/>
  <c r="AB150" i="9"/>
  <c r="AB146" i="9"/>
  <c r="AB144" i="9"/>
  <c r="AB140" i="9"/>
  <c r="AB136" i="9"/>
  <c r="AB143" i="9"/>
  <c r="AB139" i="9"/>
  <c r="AB135" i="9"/>
  <c r="AB131" i="9"/>
  <c r="AB142" i="9"/>
  <c r="AB138" i="9"/>
  <c r="AB134" i="9"/>
  <c r="AB145" i="9"/>
  <c r="AB141" i="9"/>
  <c r="AB137" i="9"/>
  <c r="AB133" i="9"/>
  <c r="AB130" i="9"/>
  <c r="AB126" i="9"/>
  <c r="AB122" i="9"/>
  <c r="AB118" i="9"/>
  <c r="AB129" i="9"/>
  <c r="AB125" i="9"/>
  <c r="AB121" i="9"/>
  <c r="AB117" i="9"/>
  <c r="AB128" i="9"/>
  <c r="AB124" i="9"/>
  <c r="AB120" i="9"/>
  <c r="AB132" i="9"/>
  <c r="AB127" i="9"/>
  <c r="AB123" i="9"/>
  <c r="AB119" i="9"/>
  <c r="AB115" i="9"/>
  <c r="AB111" i="9"/>
  <c r="AB107" i="9"/>
  <c r="AB103" i="9"/>
  <c r="AB99" i="9"/>
  <c r="AB95" i="9"/>
  <c r="AB114" i="9"/>
  <c r="AB110" i="9"/>
  <c r="AB106" i="9"/>
  <c r="AB102" i="9"/>
  <c r="AB98" i="9"/>
  <c r="AB94" i="9"/>
  <c r="AB90" i="9"/>
  <c r="AB113" i="9"/>
  <c r="AB109" i="9"/>
  <c r="AB116" i="9"/>
  <c r="AB112" i="9"/>
  <c r="AB108" i="9"/>
  <c r="AB104" i="9"/>
  <c r="AB100" i="9"/>
  <c r="AB96" i="9"/>
  <c r="AB92" i="9"/>
  <c r="AB88" i="9"/>
  <c r="AB97" i="9"/>
  <c r="AB91" i="9"/>
  <c r="AB86" i="9"/>
  <c r="AB82" i="9"/>
  <c r="AB78" i="9"/>
  <c r="AB74" i="9"/>
  <c r="AB70" i="9"/>
  <c r="AB66" i="9"/>
  <c r="AB93" i="9"/>
  <c r="AB89" i="9"/>
  <c r="AB85" i="9"/>
  <c r="AB81" i="9"/>
  <c r="AB77" i="9"/>
  <c r="AB73" i="9"/>
  <c r="AB69" i="9"/>
  <c r="AB65" i="9"/>
  <c r="AB105" i="9"/>
  <c r="AB84" i="9"/>
  <c r="AB80" i="9"/>
  <c r="AB76" i="9"/>
  <c r="AB72" i="9"/>
  <c r="AB68" i="9"/>
  <c r="AB101" i="9"/>
  <c r="AB87" i="9"/>
  <c r="AB83" i="9"/>
  <c r="AB79" i="9"/>
  <c r="AB75" i="9"/>
  <c r="AB71" i="9"/>
  <c r="AB67" i="9"/>
  <c r="AB63" i="9"/>
  <c r="AB64" i="9"/>
  <c r="AB62" i="9"/>
  <c r="AB8" i="9"/>
  <c r="AB15" i="9"/>
  <c r="AB13" i="9"/>
  <c r="AB11" i="9"/>
  <c r="AB9" i="9"/>
  <c r="AC6" i="9"/>
  <c r="AB16" i="9"/>
  <c r="AB14" i="9"/>
  <c r="AB12" i="9"/>
  <c r="AB10" i="9"/>
  <c r="AC213" i="9" l="1"/>
  <c r="AC212" i="9"/>
  <c r="AC211" i="9"/>
  <c r="AC210" i="9"/>
  <c r="AC208" i="9"/>
  <c r="AC207" i="9"/>
  <c r="AC209" i="9"/>
  <c r="AC206" i="9"/>
  <c r="AC205" i="9"/>
  <c r="AC204" i="9"/>
  <c r="AC201" i="9"/>
  <c r="AC200" i="9"/>
  <c r="AC202" i="9"/>
  <c r="AC196" i="9"/>
  <c r="AC199" i="9"/>
  <c r="AC195" i="9"/>
  <c r="AC198" i="9"/>
  <c r="AC193" i="9"/>
  <c r="AC197" i="9"/>
  <c r="AC192" i="9"/>
  <c r="AC194" i="9"/>
  <c r="AC191" i="9"/>
  <c r="AC189" i="9"/>
  <c r="AC185" i="9"/>
  <c r="AC181" i="9"/>
  <c r="AC203" i="9"/>
  <c r="AC188" i="9"/>
  <c r="AC184" i="9"/>
  <c r="AC180" i="9"/>
  <c r="AC187" i="9"/>
  <c r="AC177" i="9"/>
  <c r="AC173" i="9"/>
  <c r="AC186" i="9"/>
  <c r="AC176" i="9"/>
  <c r="AC183" i="9"/>
  <c r="AC179" i="9"/>
  <c r="AC169" i="9"/>
  <c r="AC165" i="9"/>
  <c r="AC161" i="9"/>
  <c r="AC157" i="9"/>
  <c r="AC153" i="9"/>
  <c r="AC190" i="9"/>
  <c r="AC178" i="9"/>
  <c r="AC172" i="9"/>
  <c r="AC168" i="9"/>
  <c r="AC164" i="9"/>
  <c r="AC160" i="9"/>
  <c r="AC156" i="9"/>
  <c r="AC152" i="9"/>
  <c r="AC175" i="9"/>
  <c r="AC182" i="9"/>
  <c r="AC171" i="9"/>
  <c r="AC174" i="9"/>
  <c r="AC170" i="9"/>
  <c r="AC162" i="9"/>
  <c r="AC167" i="9"/>
  <c r="AC159" i="9"/>
  <c r="AC166" i="9"/>
  <c r="AC163" i="9"/>
  <c r="AC148" i="9"/>
  <c r="AC155" i="9"/>
  <c r="AC151" i="9"/>
  <c r="AC147" i="9"/>
  <c r="AC158" i="9"/>
  <c r="AC154" i="9"/>
  <c r="AC150" i="9"/>
  <c r="AC149" i="9"/>
  <c r="AC145" i="9"/>
  <c r="AC143" i="9"/>
  <c r="AC139" i="9"/>
  <c r="AC135" i="9"/>
  <c r="AC142" i="9"/>
  <c r="AC138" i="9"/>
  <c r="AC134" i="9"/>
  <c r="AC146" i="9"/>
  <c r="AC141" i="9"/>
  <c r="AC137" i="9"/>
  <c r="AC133" i="9"/>
  <c r="AC144" i="9"/>
  <c r="AC140" i="9"/>
  <c r="AC136" i="9"/>
  <c r="AC132" i="9"/>
  <c r="AC129" i="9"/>
  <c r="AC125" i="9"/>
  <c r="AC121" i="9"/>
  <c r="AC128" i="9"/>
  <c r="AC124" i="9"/>
  <c r="AC120" i="9"/>
  <c r="AC116" i="9"/>
  <c r="AC127" i="9"/>
  <c r="AC123" i="9"/>
  <c r="AC119" i="9"/>
  <c r="AC131" i="9"/>
  <c r="AC130" i="9"/>
  <c r="AC126" i="9"/>
  <c r="AC122" i="9"/>
  <c r="AC118" i="9"/>
  <c r="AC114" i="9"/>
  <c r="AC110" i="9"/>
  <c r="AC106" i="9"/>
  <c r="AC102" i="9"/>
  <c r="AC98" i="9"/>
  <c r="AC94" i="9"/>
  <c r="AC117" i="9"/>
  <c r="AC113" i="9"/>
  <c r="AC109" i="9"/>
  <c r="AC105" i="9"/>
  <c r="AC101" i="9"/>
  <c r="AC97" i="9"/>
  <c r="AC93" i="9"/>
  <c r="AC89" i="9"/>
  <c r="AC112" i="9"/>
  <c r="AC108" i="9"/>
  <c r="AC115" i="9"/>
  <c r="AC111" i="9"/>
  <c r="AC107" i="9"/>
  <c r="AC103" i="9"/>
  <c r="AC99" i="9"/>
  <c r="AC95" i="9"/>
  <c r="AC91" i="9"/>
  <c r="AC104" i="9"/>
  <c r="AC90" i="9"/>
  <c r="AC85" i="9"/>
  <c r="AC81" i="9"/>
  <c r="AC77" i="9"/>
  <c r="AC73" i="9"/>
  <c r="AC69" i="9"/>
  <c r="AC65" i="9"/>
  <c r="AC100" i="9"/>
  <c r="AC88" i="9"/>
  <c r="AC84" i="9"/>
  <c r="AC80" i="9"/>
  <c r="AC76" i="9"/>
  <c r="AC72" i="9"/>
  <c r="AC68" i="9"/>
  <c r="AC64" i="9"/>
  <c r="AC96" i="9"/>
  <c r="AC87" i="9"/>
  <c r="AC83" i="9"/>
  <c r="AC79" i="9"/>
  <c r="AC75" i="9"/>
  <c r="AC71" i="9"/>
  <c r="AC67" i="9"/>
  <c r="AC92" i="9"/>
  <c r="AC86" i="9"/>
  <c r="AC82" i="9"/>
  <c r="AC78" i="9"/>
  <c r="AC74" i="9"/>
  <c r="AC70" i="9"/>
  <c r="AC66" i="9"/>
  <c r="AC63" i="9"/>
  <c r="AC62" i="9"/>
  <c r="AC15" i="9"/>
  <c r="AC13" i="9"/>
  <c r="AC11" i="9"/>
  <c r="AC9" i="9"/>
  <c r="AD6" i="9"/>
  <c r="AC16" i="9"/>
  <c r="AC14" i="9"/>
  <c r="AC12" i="9"/>
  <c r="AC10" i="9"/>
  <c r="AC8" i="9"/>
  <c r="AD212" i="9" l="1"/>
  <c r="AD211" i="9"/>
  <c r="AD213" i="9"/>
  <c r="AD210" i="9"/>
  <c r="AD209" i="9"/>
  <c r="AD206" i="9"/>
  <c r="AD208" i="9"/>
  <c r="AD205" i="9"/>
  <c r="AD207" i="9"/>
  <c r="AD204" i="9"/>
  <c r="AD203" i="9"/>
  <c r="AD202" i="9"/>
  <c r="AD199" i="9"/>
  <c r="AD195" i="9"/>
  <c r="AD198" i="9"/>
  <c r="AD197" i="9"/>
  <c r="AD192" i="9"/>
  <c r="AD196" i="9"/>
  <c r="AD194" i="9"/>
  <c r="AD191" i="9"/>
  <c r="AD188" i="9"/>
  <c r="AD184" i="9"/>
  <c r="AD187" i="9"/>
  <c r="AD183" i="9"/>
  <c r="AD200" i="9"/>
  <c r="AD186" i="9"/>
  <c r="AD176" i="9"/>
  <c r="AD185" i="9"/>
  <c r="AD179" i="9"/>
  <c r="AD175" i="9"/>
  <c r="AD201" i="9"/>
  <c r="AD190" i="9"/>
  <c r="AD180" i="9"/>
  <c r="AD178" i="9"/>
  <c r="AD172" i="9"/>
  <c r="AD168" i="9"/>
  <c r="AD164" i="9"/>
  <c r="AD160" i="9"/>
  <c r="AD156" i="9"/>
  <c r="AD152" i="9"/>
  <c r="AD193" i="9"/>
  <c r="AD181" i="9"/>
  <c r="AD177" i="9"/>
  <c r="AD171" i="9"/>
  <c r="AD167" i="9"/>
  <c r="AD163" i="9"/>
  <c r="AD159" i="9"/>
  <c r="AD155" i="9"/>
  <c r="AD151" i="9"/>
  <c r="AD189" i="9"/>
  <c r="AD182" i="9"/>
  <c r="AD173" i="9"/>
  <c r="AD174" i="9"/>
  <c r="AD169" i="9"/>
  <c r="AD161" i="9"/>
  <c r="AD166" i="9"/>
  <c r="AD158" i="9"/>
  <c r="AD165" i="9"/>
  <c r="AD170" i="9"/>
  <c r="AD162" i="9"/>
  <c r="AD157" i="9"/>
  <c r="AD147" i="9"/>
  <c r="AD154" i="9"/>
  <c r="AD150" i="9"/>
  <c r="AD146" i="9"/>
  <c r="AD153" i="9"/>
  <c r="AD149" i="9"/>
  <c r="AD148" i="9"/>
  <c r="AD142" i="9"/>
  <c r="AD138" i="9"/>
  <c r="AD134" i="9"/>
  <c r="AD141" i="9"/>
  <c r="AD137" i="9"/>
  <c r="AD133" i="9"/>
  <c r="AD145" i="9"/>
  <c r="AD144" i="9"/>
  <c r="AD140" i="9"/>
  <c r="AD136" i="9"/>
  <c r="AD143" i="9"/>
  <c r="AD139" i="9"/>
  <c r="AD135" i="9"/>
  <c r="AD131" i="9"/>
  <c r="AD128" i="9"/>
  <c r="AD124" i="9"/>
  <c r="AD120" i="9"/>
  <c r="AD127" i="9"/>
  <c r="AD123" i="9"/>
  <c r="AD119" i="9"/>
  <c r="AD132" i="9"/>
  <c r="AD130" i="9"/>
  <c r="AD126" i="9"/>
  <c r="AD122" i="9"/>
  <c r="AD118" i="9"/>
  <c r="AD129" i="9"/>
  <c r="AD125" i="9"/>
  <c r="AD121" i="9"/>
  <c r="AD117" i="9"/>
  <c r="AD113" i="9"/>
  <c r="AD109" i="9"/>
  <c r="AD105" i="9"/>
  <c r="AD101" i="9"/>
  <c r="AD97" i="9"/>
  <c r="AD93" i="9"/>
  <c r="AD112" i="9"/>
  <c r="AD108" i="9"/>
  <c r="AD104" i="9"/>
  <c r="AD100" i="9"/>
  <c r="AD96" i="9"/>
  <c r="AD92" i="9"/>
  <c r="AD88" i="9"/>
  <c r="AD116" i="9"/>
  <c r="AD115" i="9"/>
  <c r="AD111" i="9"/>
  <c r="AD107" i="9"/>
  <c r="AD114" i="9"/>
  <c r="AD110" i="9"/>
  <c r="AD106" i="9"/>
  <c r="AD102" i="9"/>
  <c r="AD98" i="9"/>
  <c r="AD94" i="9"/>
  <c r="AD90" i="9"/>
  <c r="AD95" i="9"/>
  <c r="AD89" i="9"/>
  <c r="AD84" i="9"/>
  <c r="AD80" i="9"/>
  <c r="AD76" i="9"/>
  <c r="AD72" i="9"/>
  <c r="AD68" i="9"/>
  <c r="AD64" i="9"/>
  <c r="AD87" i="9"/>
  <c r="AD83" i="9"/>
  <c r="AD79" i="9"/>
  <c r="AD75" i="9"/>
  <c r="AD71" i="9"/>
  <c r="AD67" i="9"/>
  <c r="AD63" i="9"/>
  <c r="AD103" i="9"/>
  <c r="AD86" i="9"/>
  <c r="AD82" i="9"/>
  <c r="AD78" i="9"/>
  <c r="AD74" i="9"/>
  <c r="AD70" i="9"/>
  <c r="AD66" i="9"/>
  <c r="AD99" i="9"/>
  <c r="AD91" i="9"/>
  <c r="AD85" i="9"/>
  <c r="AD81" i="9"/>
  <c r="AD77" i="9"/>
  <c r="AD73" i="9"/>
  <c r="AD69" i="9"/>
  <c r="AD65" i="9"/>
  <c r="AD62" i="9"/>
  <c r="AD16" i="9"/>
  <c r="AD14" i="9"/>
  <c r="AD12" i="9"/>
  <c r="AD10" i="9"/>
  <c r="AD8" i="9"/>
  <c r="AE6" i="9"/>
  <c r="AD15" i="9"/>
  <c r="AD13" i="9"/>
  <c r="AD11" i="9"/>
  <c r="AD9" i="9"/>
  <c r="AE213" i="9" l="1"/>
  <c r="AE211" i="9"/>
  <c r="AE210" i="9"/>
  <c r="AE209" i="9"/>
  <c r="AE208" i="9"/>
  <c r="AE207" i="9"/>
  <c r="AE212" i="9"/>
  <c r="AE203" i="9"/>
  <c r="AE206" i="9"/>
  <c r="AE205" i="9"/>
  <c r="AE204" i="9"/>
  <c r="AE202" i="9"/>
  <c r="AE201" i="9"/>
  <c r="AE198" i="9"/>
  <c r="AE194" i="9"/>
  <c r="AE200" i="9"/>
  <c r="AE197" i="9"/>
  <c r="AE196" i="9"/>
  <c r="AE191" i="9"/>
  <c r="AE195" i="9"/>
  <c r="AE187" i="9"/>
  <c r="AE183" i="9"/>
  <c r="AE199" i="9"/>
  <c r="AE190" i="9"/>
  <c r="AE186" i="9"/>
  <c r="AE182" i="9"/>
  <c r="AE185" i="9"/>
  <c r="AE179" i="9"/>
  <c r="AE175" i="9"/>
  <c r="AE192" i="9"/>
  <c r="AE184" i="9"/>
  <c r="AE180" i="9"/>
  <c r="AE178" i="9"/>
  <c r="AE174" i="9"/>
  <c r="AE193" i="9"/>
  <c r="AE181" i="9"/>
  <c r="AE177" i="9"/>
  <c r="AE171" i="9"/>
  <c r="AE167" i="9"/>
  <c r="AE163" i="9"/>
  <c r="AE159" i="9"/>
  <c r="AE155" i="9"/>
  <c r="AE188" i="9"/>
  <c r="AE176" i="9"/>
  <c r="AE170" i="9"/>
  <c r="AE166" i="9"/>
  <c r="AE162" i="9"/>
  <c r="AE158" i="9"/>
  <c r="AE154" i="9"/>
  <c r="AE189" i="9"/>
  <c r="AE173" i="9"/>
  <c r="AE172" i="9"/>
  <c r="AE168" i="9"/>
  <c r="AE160" i="9"/>
  <c r="AE165" i="9"/>
  <c r="AE157" i="9"/>
  <c r="AE164" i="9"/>
  <c r="AE169" i="9"/>
  <c r="AE161" i="9"/>
  <c r="AE151" i="9"/>
  <c r="AE150" i="9"/>
  <c r="AE153" i="9"/>
  <c r="AE149" i="9"/>
  <c r="AE145" i="9"/>
  <c r="AE156" i="9"/>
  <c r="AE152" i="9"/>
  <c r="AE148" i="9"/>
  <c r="AE147" i="9"/>
  <c r="AE141" i="9"/>
  <c r="AE137" i="9"/>
  <c r="AE133" i="9"/>
  <c r="AE146" i="9"/>
  <c r="AE144" i="9"/>
  <c r="AE140" i="9"/>
  <c r="AE136" i="9"/>
  <c r="AE132" i="9"/>
  <c r="AE143" i="9"/>
  <c r="AE139" i="9"/>
  <c r="AE135" i="9"/>
  <c r="AE142" i="9"/>
  <c r="AE138" i="9"/>
  <c r="AE134" i="9"/>
  <c r="AE127" i="9"/>
  <c r="AE123" i="9"/>
  <c r="AE119" i="9"/>
  <c r="AE130" i="9"/>
  <c r="AE126" i="9"/>
  <c r="AE122" i="9"/>
  <c r="AE118" i="9"/>
  <c r="AE131" i="9"/>
  <c r="AE129" i="9"/>
  <c r="AE125" i="9"/>
  <c r="AE121" i="9"/>
  <c r="AE128" i="9"/>
  <c r="AE124" i="9"/>
  <c r="AE120" i="9"/>
  <c r="AE117" i="9"/>
  <c r="AE112" i="9"/>
  <c r="AE108" i="9"/>
  <c r="AE104" i="9"/>
  <c r="AE100" i="9"/>
  <c r="AE96" i="9"/>
  <c r="AE116" i="9"/>
  <c r="AE115" i="9"/>
  <c r="AE111" i="9"/>
  <c r="AE107" i="9"/>
  <c r="AE103" i="9"/>
  <c r="AE99" i="9"/>
  <c r="AE95" i="9"/>
  <c r="AE91" i="9"/>
  <c r="AE114" i="9"/>
  <c r="AE110" i="9"/>
  <c r="AE113" i="9"/>
  <c r="AE109" i="9"/>
  <c r="AE105" i="9"/>
  <c r="AE101" i="9"/>
  <c r="AE97" i="9"/>
  <c r="AE93" i="9"/>
  <c r="AE89" i="9"/>
  <c r="AE102" i="9"/>
  <c r="AE88" i="9"/>
  <c r="AE87" i="9"/>
  <c r="AE83" i="9"/>
  <c r="AE79" i="9"/>
  <c r="AE75" i="9"/>
  <c r="AE71" i="9"/>
  <c r="AE67" i="9"/>
  <c r="AE98" i="9"/>
  <c r="AE86" i="9"/>
  <c r="AE82" i="9"/>
  <c r="AE78" i="9"/>
  <c r="AE74" i="9"/>
  <c r="AE70" i="9"/>
  <c r="AE66" i="9"/>
  <c r="AE94" i="9"/>
  <c r="AE92" i="9"/>
  <c r="AE85" i="9"/>
  <c r="AE81" i="9"/>
  <c r="AE77" i="9"/>
  <c r="AE73" i="9"/>
  <c r="AE69" i="9"/>
  <c r="AE65" i="9"/>
  <c r="AE106" i="9"/>
  <c r="AE90" i="9"/>
  <c r="AE84" i="9"/>
  <c r="AE80" i="9"/>
  <c r="AE76" i="9"/>
  <c r="AE72" i="9"/>
  <c r="AE68" i="9"/>
  <c r="AE64" i="9"/>
  <c r="AE63" i="9"/>
  <c r="AE62" i="9"/>
  <c r="AE16" i="9"/>
  <c r="AE14" i="9"/>
  <c r="AE12" i="9"/>
  <c r="AE10" i="9"/>
  <c r="AE8" i="9"/>
  <c r="AE15" i="9"/>
  <c r="AE13" i="9"/>
  <c r="AE11" i="9"/>
  <c r="AE9" i="9"/>
  <c r="AF6" i="9"/>
  <c r="AF8" i="9" l="1"/>
  <c r="AG6" i="9"/>
  <c r="AH6" i="9" l="1"/>
  <c r="AG8" i="9"/>
  <c r="AH213" i="9" l="1"/>
  <c r="AH212" i="9"/>
  <c r="AH210" i="9"/>
  <c r="AH209" i="9"/>
  <c r="AH208" i="9"/>
  <c r="AH207" i="9"/>
  <c r="AH211" i="9"/>
  <c r="AH206" i="9"/>
  <c r="AH205" i="9"/>
  <c r="AH204" i="9"/>
  <c r="AH202" i="9"/>
  <c r="AH203" i="9"/>
  <c r="AH201" i="9"/>
  <c r="AH200" i="9"/>
  <c r="AH197" i="9"/>
  <c r="AH196" i="9"/>
  <c r="AH195" i="9"/>
  <c r="AH194" i="9"/>
  <c r="AH193" i="9"/>
  <c r="AH199" i="9"/>
  <c r="AH190" i="9"/>
  <c r="AH186" i="9"/>
  <c r="AH182" i="9"/>
  <c r="AH189" i="9"/>
  <c r="AH185" i="9"/>
  <c r="AH181" i="9"/>
  <c r="AH192" i="9"/>
  <c r="AH184" i="9"/>
  <c r="AH180" i="9"/>
  <c r="AH178" i="9"/>
  <c r="AH174" i="9"/>
  <c r="AH183" i="9"/>
  <c r="AH177" i="9"/>
  <c r="AH188" i="9"/>
  <c r="AH176" i="9"/>
  <c r="AH170" i="9"/>
  <c r="AH166" i="9"/>
  <c r="AH162" i="9"/>
  <c r="AH158" i="9"/>
  <c r="AH154" i="9"/>
  <c r="AH198" i="9"/>
  <c r="AH175" i="9"/>
  <c r="AH173" i="9"/>
  <c r="AH169" i="9"/>
  <c r="AH165" i="9"/>
  <c r="AH161" i="9"/>
  <c r="AH157" i="9"/>
  <c r="AH153" i="9"/>
  <c r="AH172" i="9"/>
  <c r="AH191" i="9"/>
  <c r="AH171" i="9"/>
  <c r="AH187" i="9"/>
  <c r="AH179" i="9"/>
  <c r="AH167" i="9"/>
  <c r="AH164" i="9"/>
  <c r="AH156" i="9"/>
  <c r="AH163" i="9"/>
  <c r="AH168" i="9"/>
  <c r="AH160" i="9"/>
  <c r="AH155" i="9"/>
  <c r="AH149" i="9"/>
  <c r="AH152" i="9"/>
  <c r="AH148" i="9"/>
  <c r="AH147" i="9"/>
  <c r="AH159" i="9"/>
  <c r="AH151" i="9"/>
  <c r="AH150" i="9"/>
  <c r="AH146" i="9"/>
  <c r="AH144" i="9"/>
  <c r="AH140" i="9"/>
  <c r="AH136" i="9"/>
  <c r="AH145" i="9"/>
  <c r="AH143" i="9"/>
  <c r="AH139" i="9"/>
  <c r="AH135" i="9"/>
  <c r="AH131" i="9"/>
  <c r="AH142" i="9"/>
  <c r="AH138" i="9"/>
  <c r="AH134" i="9"/>
  <c r="AH141" i="9"/>
  <c r="AH137" i="9"/>
  <c r="AH133" i="9"/>
  <c r="AH130" i="9"/>
  <c r="AH126" i="9"/>
  <c r="AH122" i="9"/>
  <c r="AH118" i="9"/>
  <c r="AH132" i="9"/>
  <c r="AH129" i="9"/>
  <c r="AH125" i="9"/>
  <c r="AH121" i="9"/>
  <c r="AH117" i="9"/>
  <c r="AH128" i="9"/>
  <c r="AH124" i="9"/>
  <c r="AH120" i="9"/>
  <c r="AH127" i="9"/>
  <c r="AH123" i="9"/>
  <c r="AH119" i="9"/>
  <c r="AH116" i="9"/>
  <c r="AH115" i="9"/>
  <c r="AH111" i="9"/>
  <c r="AH107" i="9"/>
  <c r="AH103" i="9"/>
  <c r="AH99" i="9"/>
  <c r="AH95" i="9"/>
  <c r="AH114" i="9"/>
  <c r="AH110" i="9"/>
  <c r="AH106" i="9"/>
  <c r="AH102" i="9"/>
  <c r="AH98" i="9"/>
  <c r="AH94" i="9"/>
  <c r="AH90" i="9"/>
  <c r="AH113" i="9"/>
  <c r="AH109" i="9"/>
  <c r="AH112" i="9"/>
  <c r="AH108" i="9"/>
  <c r="AH104" i="9"/>
  <c r="AH100" i="9"/>
  <c r="AH96" i="9"/>
  <c r="AH92" i="9"/>
  <c r="AH88" i="9"/>
  <c r="AH93" i="9"/>
  <c r="AH86" i="9"/>
  <c r="AH82" i="9"/>
  <c r="AH78" i="9"/>
  <c r="AH74" i="9"/>
  <c r="AH70" i="9"/>
  <c r="AH66" i="9"/>
  <c r="AH105" i="9"/>
  <c r="AH85" i="9"/>
  <c r="AH81" i="9"/>
  <c r="AH77" i="9"/>
  <c r="AH73" i="9"/>
  <c r="AH69" i="9"/>
  <c r="AH65" i="9"/>
  <c r="AH101" i="9"/>
  <c r="AH91" i="9"/>
  <c r="AH84" i="9"/>
  <c r="AH80" i="9"/>
  <c r="AH76" i="9"/>
  <c r="AH72" i="9"/>
  <c r="AH68" i="9"/>
  <c r="AH97" i="9"/>
  <c r="AH89" i="9"/>
  <c r="AH87" i="9"/>
  <c r="AH83" i="9"/>
  <c r="AH79" i="9"/>
  <c r="AH75" i="9"/>
  <c r="AH71" i="9"/>
  <c r="AH67" i="9"/>
  <c r="AH63" i="9"/>
  <c r="AH64" i="9"/>
  <c r="AH62" i="9"/>
  <c r="AI6" i="9"/>
  <c r="AH15" i="9"/>
  <c r="AH13" i="9"/>
  <c r="AH11" i="9"/>
  <c r="AH9" i="9"/>
  <c r="AH8" i="9"/>
  <c r="AH16" i="9"/>
  <c r="AH14" i="9"/>
  <c r="AH12" i="9"/>
  <c r="AH10" i="9"/>
  <c r="AI213" i="9" l="1"/>
  <c r="AI212" i="9"/>
  <c r="AI211" i="9"/>
  <c r="AI208" i="9"/>
  <c r="AI207" i="9"/>
  <c r="AI210" i="9"/>
  <c r="AI206" i="9"/>
  <c r="AI205" i="9"/>
  <c r="AI204" i="9"/>
  <c r="AI203" i="9"/>
  <c r="AI201" i="9"/>
  <c r="AI200" i="9"/>
  <c r="AI196" i="9"/>
  <c r="AI209" i="9"/>
  <c r="AI199" i="9"/>
  <c r="AI195" i="9"/>
  <c r="AI193" i="9"/>
  <c r="AI192" i="9"/>
  <c r="AI189" i="9"/>
  <c r="AI185" i="9"/>
  <c r="AI181" i="9"/>
  <c r="AI197" i="9"/>
  <c r="AI188" i="9"/>
  <c r="AI184" i="9"/>
  <c r="AI180" i="9"/>
  <c r="AI183" i="9"/>
  <c r="AI177" i="9"/>
  <c r="AI173" i="9"/>
  <c r="AI202" i="9"/>
  <c r="AI194" i="9"/>
  <c r="AI190" i="9"/>
  <c r="AI182" i="9"/>
  <c r="AI176" i="9"/>
  <c r="AI198" i="9"/>
  <c r="AI175" i="9"/>
  <c r="AI169" i="9"/>
  <c r="AI165" i="9"/>
  <c r="AI161" i="9"/>
  <c r="AI157" i="9"/>
  <c r="AI153" i="9"/>
  <c r="AI186" i="9"/>
  <c r="AI174" i="9"/>
  <c r="AI172" i="9"/>
  <c r="AI168" i="9"/>
  <c r="AI164" i="9"/>
  <c r="AI160" i="9"/>
  <c r="AI156" i="9"/>
  <c r="AI152" i="9"/>
  <c r="AI191" i="9"/>
  <c r="AI171" i="9"/>
  <c r="AI178" i="9"/>
  <c r="AI187" i="9"/>
  <c r="AI179" i="9"/>
  <c r="AI166" i="9"/>
  <c r="AI163" i="9"/>
  <c r="AI170" i="9"/>
  <c r="AI162" i="9"/>
  <c r="AI167" i="9"/>
  <c r="AI159" i="9"/>
  <c r="AI154" i="9"/>
  <c r="AI148" i="9"/>
  <c r="AI158" i="9"/>
  <c r="AI147" i="9"/>
  <c r="AI151" i="9"/>
  <c r="AI150" i="9"/>
  <c r="AI155" i="9"/>
  <c r="AI149" i="9"/>
  <c r="AI145" i="9"/>
  <c r="AI146" i="9"/>
  <c r="AI143" i="9"/>
  <c r="AI139" i="9"/>
  <c r="AI135" i="9"/>
  <c r="AI142" i="9"/>
  <c r="AI138" i="9"/>
  <c r="AI134" i="9"/>
  <c r="AI141" i="9"/>
  <c r="AI137" i="9"/>
  <c r="AI133" i="9"/>
  <c r="AI144" i="9"/>
  <c r="AI140" i="9"/>
  <c r="AI136" i="9"/>
  <c r="AI132" i="9"/>
  <c r="AI129" i="9"/>
  <c r="AI125" i="9"/>
  <c r="AI121" i="9"/>
  <c r="AI131" i="9"/>
  <c r="AI128" i="9"/>
  <c r="AI124" i="9"/>
  <c r="AI120" i="9"/>
  <c r="AI116" i="9"/>
  <c r="AI127" i="9"/>
  <c r="AI123" i="9"/>
  <c r="AI119" i="9"/>
  <c r="AI130" i="9"/>
  <c r="AI126" i="9"/>
  <c r="AI122" i="9"/>
  <c r="AI118" i="9"/>
  <c r="AI114" i="9"/>
  <c r="AI110" i="9"/>
  <c r="AI106" i="9"/>
  <c r="AI102" i="9"/>
  <c r="AI98" i="9"/>
  <c r="AI94" i="9"/>
  <c r="AI113" i="9"/>
  <c r="AI109" i="9"/>
  <c r="AI105" i="9"/>
  <c r="AI101" i="9"/>
  <c r="AI97" i="9"/>
  <c r="AI93" i="9"/>
  <c r="AI89" i="9"/>
  <c r="AI112" i="9"/>
  <c r="AI108" i="9"/>
  <c r="AI117" i="9"/>
  <c r="AI115" i="9"/>
  <c r="AI111" i="9"/>
  <c r="AI107" i="9"/>
  <c r="AI103" i="9"/>
  <c r="AI99" i="9"/>
  <c r="AI95" i="9"/>
  <c r="AI91" i="9"/>
  <c r="AI100" i="9"/>
  <c r="AI85" i="9"/>
  <c r="AI81" i="9"/>
  <c r="AI77" i="9"/>
  <c r="AI73" i="9"/>
  <c r="AI69" i="9"/>
  <c r="AI65" i="9"/>
  <c r="AI96" i="9"/>
  <c r="AI92" i="9"/>
  <c r="AI84" i="9"/>
  <c r="AI80" i="9"/>
  <c r="AI76" i="9"/>
  <c r="AI72" i="9"/>
  <c r="AI68" i="9"/>
  <c r="AI64" i="9"/>
  <c r="AI90" i="9"/>
  <c r="AI87" i="9"/>
  <c r="AI83" i="9"/>
  <c r="AI79" i="9"/>
  <c r="AI75" i="9"/>
  <c r="AI71" i="9"/>
  <c r="AI67" i="9"/>
  <c r="AI104" i="9"/>
  <c r="AI88" i="9"/>
  <c r="AI86" i="9"/>
  <c r="AI82" i="9"/>
  <c r="AI78" i="9"/>
  <c r="AI74" i="9"/>
  <c r="AI70" i="9"/>
  <c r="AI66" i="9"/>
  <c r="AI62" i="9"/>
  <c r="AI63" i="9"/>
  <c r="AI15" i="9"/>
  <c r="AI13" i="9"/>
  <c r="AI11" i="9"/>
  <c r="AI9" i="9"/>
  <c r="AI8" i="9"/>
  <c r="AJ6" i="9"/>
  <c r="AI16" i="9"/>
  <c r="AI14" i="9"/>
  <c r="AI12" i="9"/>
  <c r="AI10" i="9"/>
  <c r="AJ212" i="9" l="1"/>
  <c r="AJ213" i="9"/>
  <c r="AJ211" i="9"/>
  <c r="AJ210" i="9"/>
  <c r="AJ206" i="9"/>
  <c r="AJ209" i="9"/>
  <c r="AJ205" i="9"/>
  <c r="AJ204" i="9"/>
  <c r="AJ208" i="9"/>
  <c r="AJ207" i="9"/>
  <c r="AJ202" i="9"/>
  <c r="AJ199" i="9"/>
  <c r="AJ195" i="9"/>
  <c r="AJ201" i="9"/>
  <c r="AJ198" i="9"/>
  <c r="AJ192" i="9"/>
  <c r="AJ200" i="9"/>
  <c r="AJ191" i="9"/>
  <c r="AJ203" i="9"/>
  <c r="AJ197" i="9"/>
  <c r="AJ188" i="9"/>
  <c r="AJ184" i="9"/>
  <c r="AJ193" i="9"/>
  <c r="AJ187" i="9"/>
  <c r="AJ183" i="9"/>
  <c r="AJ194" i="9"/>
  <c r="AJ190" i="9"/>
  <c r="AJ182" i="9"/>
  <c r="AJ176" i="9"/>
  <c r="AJ196" i="9"/>
  <c r="AJ189" i="9"/>
  <c r="AJ181" i="9"/>
  <c r="AJ179" i="9"/>
  <c r="AJ175" i="9"/>
  <c r="AJ186" i="9"/>
  <c r="AJ174" i="9"/>
  <c r="AJ173" i="9"/>
  <c r="AJ172" i="9"/>
  <c r="AJ168" i="9"/>
  <c r="AJ164" i="9"/>
  <c r="AJ160" i="9"/>
  <c r="AJ156" i="9"/>
  <c r="AJ152" i="9"/>
  <c r="AJ171" i="9"/>
  <c r="AJ167" i="9"/>
  <c r="AJ163" i="9"/>
  <c r="AJ159" i="9"/>
  <c r="AJ155" i="9"/>
  <c r="AJ151" i="9"/>
  <c r="AJ185" i="9"/>
  <c r="AJ178" i="9"/>
  <c r="AJ180" i="9"/>
  <c r="AJ177" i="9"/>
  <c r="AJ165" i="9"/>
  <c r="AJ170" i="9"/>
  <c r="AJ162" i="9"/>
  <c r="AJ169" i="9"/>
  <c r="AJ161" i="9"/>
  <c r="AJ166" i="9"/>
  <c r="AJ158" i="9"/>
  <c r="AJ153" i="9"/>
  <c r="AJ147" i="9"/>
  <c r="AJ150" i="9"/>
  <c r="AJ146" i="9"/>
  <c r="AJ149" i="9"/>
  <c r="AJ157" i="9"/>
  <c r="AJ154" i="9"/>
  <c r="AJ148" i="9"/>
  <c r="AJ145" i="9"/>
  <c r="AJ142" i="9"/>
  <c r="AJ138" i="9"/>
  <c r="AJ134" i="9"/>
  <c r="AJ141" i="9"/>
  <c r="AJ137" i="9"/>
  <c r="AJ133" i="9"/>
  <c r="AJ144" i="9"/>
  <c r="AJ140" i="9"/>
  <c r="AJ136" i="9"/>
  <c r="AJ143" i="9"/>
  <c r="AJ139" i="9"/>
  <c r="AJ135" i="9"/>
  <c r="AJ131" i="9"/>
  <c r="AJ132" i="9"/>
  <c r="AJ128" i="9"/>
  <c r="AJ124" i="9"/>
  <c r="AJ120" i="9"/>
  <c r="AJ127" i="9"/>
  <c r="AJ123" i="9"/>
  <c r="AJ119" i="9"/>
  <c r="AJ130" i="9"/>
  <c r="AJ126" i="9"/>
  <c r="AJ122" i="9"/>
  <c r="AJ118" i="9"/>
  <c r="AJ129" i="9"/>
  <c r="AJ125" i="9"/>
  <c r="AJ121" i="9"/>
  <c r="AJ117" i="9"/>
  <c r="AJ113" i="9"/>
  <c r="AJ109" i="9"/>
  <c r="AJ105" i="9"/>
  <c r="AJ101" i="9"/>
  <c r="AJ97" i="9"/>
  <c r="AJ93" i="9"/>
  <c r="AJ112" i="9"/>
  <c r="AJ108" i="9"/>
  <c r="AJ104" i="9"/>
  <c r="AJ100" i="9"/>
  <c r="AJ96" i="9"/>
  <c r="AJ92" i="9"/>
  <c r="AJ88" i="9"/>
  <c r="AJ115" i="9"/>
  <c r="AJ111" i="9"/>
  <c r="AJ107" i="9"/>
  <c r="AJ116" i="9"/>
  <c r="AJ114" i="9"/>
  <c r="AJ110" i="9"/>
  <c r="AJ106" i="9"/>
  <c r="AJ102" i="9"/>
  <c r="AJ98" i="9"/>
  <c r="AJ94" i="9"/>
  <c r="AJ90" i="9"/>
  <c r="AJ84" i="9"/>
  <c r="AJ80" i="9"/>
  <c r="AJ76" i="9"/>
  <c r="AJ72" i="9"/>
  <c r="AJ68" i="9"/>
  <c r="AJ64" i="9"/>
  <c r="AJ103" i="9"/>
  <c r="AJ91" i="9"/>
  <c r="AJ87" i="9"/>
  <c r="AJ83" i="9"/>
  <c r="AJ79" i="9"/>
  <c r="AJ75" i="9"/>
  <c r="AJ71" i="9"/>
  <c r="AJ67" i="9"/>
  <c r="AJ63" i="9"/>
  <c r="AJ99" i="9"/>
  <c r="AJ89" i="9"/>
  <c r="AJ86" i="9"/>
  <c r="AJ82" i="9"/>
  <c r="AJ78" i="9"/>
  <c r="AJ74" i="9"/>
  <c r="AJ70" i="9"/>
  <c r="AJ66" i="9"/>
  <c r="AJ95" i="9"/>
  <c r="AJ85" i="9"/>
  <c r="AJ81" i="9"/>
  <c r="AJ77" i="9"/>
  <c r="AJ73" i="9"/>
  <c r="AJ69" i="9"/>
  <c r="AJ65" i="9"/>
  <c r="AJ62" i="9"/>
  <c r="AJ8" i="9"/>
  <c r="AJ16" i="9"/>
  <c r="AJ14" i="9"/>
  <c r="AJ12" i="9"/>
  <c r="AJ10" i="9"/>
  <c r="AK6" i="9"/>
  <c r="AJ15" i="9"/>
  <c r="AJ13" i="9"/>
  <c r="AJ11" i="9"/>
  <c r="AJ9" i="9"/>
  <c r="AK213" i="9" l="1"/>
  <c r="AK210" i="9"/>
  <c r="AK212" i="9"/>
  <c r="AK211" i="9"/>
  <c r="AK209" i="9"/>
  <c r="AK208" i="9"/>
  <c r="AK206" i="9"/>
  <c r="AK203" i="9"/>
  <c r="AK207" i="9"/>
  <c r="AK205" i="9"/>
  <c r="AK202" i="9"/>
  <c r="AK201" i="9"/>
  <c r="AK198" i="9"/>
  <c r="AK194" i="9"/>
  <c r="AK197" i="9"/>
  <c r="AK200" i="9"/>
  <c r="AK191" i="9"/>
  <c r="AK199" i="9"/>
  <c r="AK193" i="9"/>
  <c r="AK187" i="9"/>
  <c r="AK183" i="9"/>
  <c r="AK204" i="9"/>
  <c r="AK195" i="9"/>
  <c r="AK192" i="9"/>
  <c r="AK190" i="9"/>
  <c r="AK186" i="9"/>
  <c r="AK182" i="9"/>
  <c r="AK196" i="9"/>
  <c r="AK189" i="9"/>
  <c r="AK181" i="9"/>
  <c r="AK179" i="9"/>
  <c r="AK175" i="9"/>
  <c r="AK188" i="9"/>
  <c r="AK178" i="9"/>
  <c r="AK174" i="9"/>
  <c r="AK171" i="9"/>
  <c r="AK167" i="9"/>
  <c r="AK163" i="9"/>
  <c r="AK159" i="9"/>
  <c r="AK155" i="9"/>
  <c r="AK184" i="9"/>
  <c r="AK170" i="9"/>
  <c r="AK166" i="9"/>
  <c r="AK162" i="9"/>
  <c r="AK158" i="9"/>
  <c r="AK154" i="9"/>
  <c r="AK185" i="9"/>
  <c r="AK180" i="9"/>
  <c r="AK176" i="9"/>
  <c r="AK177" i="9"/>
  <c r="AK173" i="9"/>
  <c r="AK172" i="9"/>
  <c r="AK164" i="9"/>
  <c r="AK169" i="9"/>
  <c r="AK161" i="9"/>
  <c r="AK168" i="9"/>
  <c r="AK160" i="9"/>
  <c r="AK165" i="9"/>
  <c r="AK157" i="9"/>
  <c r="AK152" i="9"/>
  <c r="AK150" i="9"/>
  <c r="AK156" i="9"/>
  <c r="AK151" i="9"/>
  <c r="AK149" i="9"/>
  <c r="AK145" i="9"/>
  <c r="AK148" i="9"/>
  <c r="AK153" i="9"/>
  <c r="AK147" i="9"/>
  <c r="AK141" i="9"/>
  <c r="AK137" i="9"/>
  <c r="AK133" i="9"/>
  <c r="AK144" i="9"/>
  <c r="AK140" i="9"/>
  <c r="AK136" i="9"/>
  <c r="AK132" i="9"/>
  <c r="AK143" i="9"/>
  <c r="AK139" i="9"/>
  <c r="AK135" i="9"/>
  <c r="AK146" i="9"/>
  <c r="AK142" i="9"/>
  <c r="AK138" i="9"/>
  <c r="AK134" i="9"/>
  <c r="AK131" i="9"/>
  <c r="AK127" i="9"/>
  <c r="AK123" i="9"/>
  <c r="AK119" i="9"/>
  <c r="AK130" i="9"/>
  <c r="AK126" i="9"/>
  <c r="AK122" i="9"/>
  <c r="AK118" i="9"/>
  <c r="AK129" i="9"/>
  <c r="AK125" i="9"/>
  <c r="AK121" i="9"/>
  <c r="AK128" i="9"/>
  <c r="AK124" i="9"/>
  <c r="AK120" i="9"/>
  <c r="AK116" i="9"/>
  <c r="AK112" i="9"/>
  <c r="AK108" i="9"/>
  <c r="AK104" i="9"/>
  <c r="AK100" i="9"/>
  <c r="AK96" i="9"/>
  <c r="AK115" i="9"/>
  <c r="AK111" i="9"/>
  <c r="AK107" i="9"/>
  <c r="AK103" i="9"/>
  <c r="AK99" i="9"/>
  <c r="AK95" i="9"/>
  <c r="AK91" i="9"/>
  <c r="AK117" i="9"/>
  <c r="AK114" i="9"/>
  <c r="AK110" i="9"/>
  <c r="AK113" i="9"/>
  <c r="AK109" i="9"/>
  <c r="AK105" i="9"/>
  <c r="AK101" i="9"/>
  <c r="AK97" i="9"/>
  <c r="AK93" i="9"/>
  <c r="AK89" i="9"/>
  <c r="AK98" i="9"/>
  <c r="AK92" i="9"/>
  <c r="AK87" i="9"/>
  <c r="AK83" i="9"/>
  <c r="AK79" i="9"/>
  <c r="AK75" i="9"/>
  <c r="AK71" i="9"/>
  <c r="AK67" i="9"/>
  <c r="AK94" i="9"/>
  <c r="AK90" i="9"/>
  <c r="AK86" i="9"/>
  <c r="AK82" i="9"/>
  <c r="AK78" i="9"/>
  <c r="AK74" i="9"/>
  <c r="AK70" i="9"/>
  <c r="AK66" i="9"/>
  <c r="AK106" i="9"/>
  <c r="AK88" i="9"/>
  <c r="AK85" i="9"/>
  <c r="AK81" i="9"/>
  <c r="AK77" i="9"/>
  <c r="AK73" i="9"/>
  <c r="AK69" i="9"/>
  <c r="AK65" i="9"/>
  <c r="AK102" i="9"/>
  <c r="AK84" i="9"/>
  <c r="AK80" i="9"/>
  <c r="AK76" i="9"/>
  <c r="AK72" i="9"/>
  <c r="AK68" i="9"/>
  <c r="AK64" i="9"/>
  <c r="AK63" i="9"/>
  <c r="AK62" i="9"/>
  <c r="AK16" i="9"/>
  <c r="AK14" i="9"/>
  <c r="AK12" i="9"/>
  <c r="AK10" i="9"/>
  <c r="AL6" i="9"/>
  <c r="AK15" i="9"/>
  <c r="AK13" i="9"/>
  <c r="AK11" i="9"/>
  <c r="AK9" i="9"/>
  <c r="AK8" i="9"/>
  <c r="AL213" i="9" l="1"/>
  <c r="AL212" i="9"/>
  <c r="AL210" i="9"/>
  <c r="AL211" i="9"/>
  <c r="AL209" i="9"/>
  <c r="AL208" i="9"/>
  <c r="AL207" i="9"/>
  <c r="AL205" i="9"/>
  <c r="AL202" i="9"/>
  <c r="AL201" i="9"/>
  <c r="AL204" i="9"/>
  <c r="AL203" i="9"/>
  <c r="AL197" i="9"/>
  <c r="AL200" i="9"/>
  <c r="AL196" i="9"/>
  <c r="AL199" i="9"/>
  <c r="AL198" i="9"/>
  <c r="AL194" i="9"/>
  <c r="AL193" i="9"/>
  <c r="AL195" i="9"/>
  <c r="AL192" i="9"/>
  <c r="AL190" i="9"/>
  <c r="AL186" i="9"/>
  <c r="AL182" i="9"/>
  <c r="AL191" i="9"/>
  <c r="AL189" i="9"/>
  <c r="AL185" i="9"/>
  <c r="AL181" i="9"/>
  <c r="AL188" i="9"/>
  <c r="AL178" i="9"/>
  <c r="AL174" i="9"/>
  <c r="AL206" i="9"/>
  <c r="AL187" i="9"/>
  <c r="AL180" i="9"/>
  <c r="AL177" i="9"/>
  <c r="AL184" i="9"/>
  <c r="AL170" i="9"/>
  <c r="AL166" i="9"/>
  <c r="AL162" i="9"/>
  <c r="AL158" i="9"/>
  <c r="AL154" i="9"/>
  <c r="AL179" i="9"/>
  <c r="AL169" i="9"/>
  <c r="AL165" i="9"/>
  <c r="AL161" i="9"/>
  <c r="AL157" i="9"/>
  <c r="AL153" i="9"/>
  <c r="AL176" i="9"/>
  <c r="AL183" i="9"/>
  <c r="AL173" i="9"/>
  <c r="AL172" i="9"/>
  <c r="AL175" i="9"/>
  <c r="AL171" i="9"/>
  <c r="AL163" i="9"/>
  <c r="AL168" i="9"/>
  <c r="AL160" i="9"/>
  <c r="AL167" i="9"/>
  <c r="AL164" i="9"/>
  <c r="AL156" i="9"/>
  <c r="AL151" i="9"/>
  <c r="AL149" i="9"/>
  <c r="AL148" i="9"/>
  <c r="AL159" i="9"/>
  <c r="AL155" i="9"/>
  <c r="AL147" i="9"/>
  <c r="AL152" i="9"/>
  <c r="AL150" i="9"/>
  <c r="AL146" i="9"/>
  <c r="AL144" i="9"/>
  <c r="AL140" i="9"/>
  <c r="AL136" i="9"/>
  <c r="AL143" i="9"/>
  <c r="AL139" i="9"/>
  <c r="AL135" i="9"/>
  <c r="AL131" i="9"/>
  <c r="AL142" i="9"/>
  <c r="AL138" i="9"/>
  <c r="AL134" i="9"/>
  <c r="AL145" i="9"/>
  <c r="AL141" i="9"/>
  <c r="AL137" i="9"/>
  <c r="AL133" i="9"/>
  <c r="AL130" i="9"/>
  <c r="AL126" i="9"/>
  <c r="AL122" i="9"/>
  <c r="AL118" i="9"/>
  <c r="AL129" i="9"/>
  <c r="AL125" i="9"/>
  <c r="AL121" i="9"/>
  <c r="AL117" i="9"/>
  <c r="AL128" i="9"/>
  <c r="AL124" i="9"/>
  <c r="AL120" i="9"/>
  <c r="AL132" i="9"/>
  <c r="AL127" i="9"/>
  <c r="AL123" i="9"/>
  <c r="AL119" i="9"/>
  <c r="AL115" i="9"/>
  <c r="AL111" i="9"/>
  <c r="AL107" i="9"/>
  <c r="AL103" i="9"/>
  <c r="AL99" i="9"/>
  <c r="AL95" i="9"/>
  <c r="AL114" i="9"/>
  <c r="AL110" i="9"/>
  <c r="AL106" i="9"/>
  <c r="AL102" i="9"/>
  <c r="AL98" i="9"/>
  <c r="AL94" i="9"/>
  <c r="AL90" i="9"/>
  <c r="AL116" i="9"/>
  <c r="AL113" i="9"/>
  <c r="AL109" i="9"/>
  <c r="AL112" i="9"/>
  <c r="AL108" i="9"/>
  <c r="AL104" i="9"/>
  <c r="AL100" i="9"/>
  <c r="AL96" i="9"/>
  <c r="AL92" i="9"/>
  <c r="AL88" i="9"/>
  <c r="AL105" i="9"/>
  <c r="AL91" i="9"/>
  <c r="AL86" i="9"/>
  <c r="AL82" i="9"/>
  <c r="AL78" i="9"/>
  <c r="AL74" i="9"/>
  <c r="AL70" i="9"/>
  <c r="AL66" i="9"/>
  <c r="AL101" i="9"/>
  <c r="AL89" i="9"/>
  <c r="AL85" i="9"/>
  <c r="AL81" i="9"/>
  <c r="AL77" i="9"/>
  <c r="AL73" i="9"/>
  <c r="AL69" i="9"/>
  <c r="AL65" i="9"/>
  <c r="AL97" i="9"/>
  <c r="AL84" i="9"/>
  <c r="AL80" i="9"/>
  <c r="AL76" i="9"/>
  <c r="AL72" i="9"/>
  <c r="AL68" i="9"/>
  <c r="AL93" i="9"/>
  <c r="AL87" i="9"/>
  <c r="AL83" i="9"/>
  <c r="AL79" i="9"/>
  <c r="AL75" i="9"/>
  <c r="AL71" i="9"/>
  <c r="AL67" i="9"/>
  <c r="AL63" i="9"/>
  <c r="AL62" i="9"/>
  <c r="AL64" i="9"/>
  <c r="AL15" i="9"/>
  <c r="AL13" i="9"/>
  <c r="AL11" i="9"/>
  <c r="AL9" i="9"/>
  <c r="AM6" i="9"/>
  <c r="AL8" i="9"/>
  <c r="AL16" i="9"/>
  <c r="AL14" i="9"/>
  <c r="AL12" i="9"/>
  <c r="AL10" i="9"/>
  <c r="AM8" i="9" l="1"/>
  <c r="AN6" i="9"/>
  <c r="AN8" i="9" l="1"/>
  <c r="AO6" i="9"/>
  <c r="AO213" i="9" l="1"/>
  <c r="AO212" i="9"/>
  <c r="AO211" i="9"/>
  <c r="AO209" i="9"/>
  <c r="AO208" i="9"/>
  <c r="AO207" i="9"/>
  <c r="AO210" i="9"/>
  <c r="AO205" i="9"/>
  <c r="AO206" i="9"/>
  <c r="AO204" i="9"/>
  <c r="AO201" i="9"/>
  <c r="AO203" i="9"/>
  <c r="AO200" i="9"/>
  <c r="AO196" i="9"/>
  <c r="AO199" i="9"/>
  <c r="AO195" i="9"/>
  <c r="AO198" i="9"/>
  <c r="AO194" i="9"/>
  <c r="AO193" i="9"/>
  <c r="AO197" i="9"/>
  <c r="AO192" i="9"/>
  <c r="AO191" i="9"/>
  <c r="AO189" i="9"/>
  <c r="AO185" i="9"/>
  <c r="AO181" i="9"/>
  <c r="AO188" i="9"/>
  <c r="AO184" i="9"/>
  <c r="AO180" i="9"/>
  <c r="AO202" i="9"/>
  <c r="AO187" i="9"/>
  <c r="AO177" i="9"/>
  <c r="AO173" i="9"/>
  <c r="AO186" i="9"/>
  <c r="AO176" i="9"/>
  <c r="AO179" i="9"/>
  <c r="AO169" i="9"/>
  <c r="AO165" i="9"/>
  <c r="AO161" i="9"/>
  <c r="AO157" i="9"/>
  <c r="AO153" i="9"/>
  <c r="AO182" i="9"/>
  <c r="AO178" i="9"/>
  <c r="AO172" i="9"/>
  <c r="AO168" i="9"/>
  <c r="AO164" i="9"/>
  <c r="AO160" i="9"/>
  <c r="AO156" i="9"/>
  <c r="AO152" i="9"/>
  <c r="AO190" i="9"/>
  <c r="AO183" i="9"/>
  <c r="AO174" i="9"/>
  <c r="AO175" i="9"/>
  <c r="AO171" i="9"/>
  <c r="AO170" i="9"/>
  <c r="AO162" i="9"/>
  <c r="AO167" i="9"/>
  <c r="AO159" i="9"/>
  <c r="AO166" i="9"/>
  <c r="AO163" i="9"/>
  <c r="AO158" i="9"/>
  <c r="AO148" i="9"/>
  <c r="AO155" i="9"/>
  <c r="AO147" i="9"/>
  <c r="AO154" i="9"/>
  <c r="AO150" i="9"/>
  <c r="AO151" i="9"/>
  <c r="AO149" i="9"/>
  <c r="AO145" i="9"/>
  <c r="AO143" i="9"/>
  <c r="AO139" i="9"/>
  <c r="AO135" i="9"/>
  <c r="AO142" i="9"/>
  <c r="AO138" i="9"/>
  <c r="AO134" i="9"/>
  <c r="AO146" i="9"/>
  <c r="AO141" i="9"/>
  <c r="AO137" i="9"/>
  <c r="AO133" i="9"/>
  <c r="AO144" i="9"/>
  <c r="AO140" i="9"/>
  <c r="AO136" i="9"/>
  <c r="AO132" i="9"/>
  <c r="AO129" i="9"/>
  <c r="AO125" i="9"/>
  <c r="AO121" i="9"/>
  <c r="AO128" i="9"/>
  <c r="AO124" i="9"/>
  <c r="AO120" i="9"/>
  <c r="AO116" i="9"/>
  <c r="AO127" i="9"/>
  <c r="AO123" i="9"/>
  <c r="AO119" i="9"/>
  <c r="AO131" i="9"/>
  <c r="AO130" i="9"/>
  <c r="AO126" i="9"/>
  <c r="AO122" i="9"/>
  <c r="AO118" i="9"/>
  <c r="AO114" i="9"/>
  <c r="AO110" i="9"/>
  <c r="AO106" i="9"/>
  <c r="AO102" i="9"/>
  <c r="AO98" i="9"/>
  <c r="AO94" i="9"/>
  <c r="AO117" i="9"/>
  <c r="AO113" i="9"/>
  <c r="AO109" i="9"/>
  <c r="AO105" i="9"/>
  <c r="AO101" i="9"/>
  <c r="AO97" i="9"/>
  <c r="AO93" i="9"/>
  <c r="AO89" i="9"/>
  <c r="AO112" i="9"/>
  <c r="AO108" i="9"/>
  <c r="AO115" i="9"/>
  <c r="AO111" i="9"/>
  <c r="AO107" i="9"/>
  <c r="AO103" i="9"/>
  <c r="AO99" i="9"/>
  <c r="AO95" i="9"/>
  <c r="AO91" i="9"/>
  <c r="AO96" i="9"/>
  <c r="AO90" i="9"/>
  <c r="AO85" i="9"/>
  <c r="AO81" i="9"/>
  <c r="AO77" i="9"/>
  <c r="AO73" i="9"/>
  <c r="AO69" i="9"/>
  <c r="AO65" i="9"/>
  <c r="AO88" i="9"/>
  <c r="AO84" i="9"/>
  <c r="AO80" i="9"/>
  <c r="AO76" i="9"/>
  <c r="AO72" i="9"/>
  <c r="AO68" i="9"/>
  <c r="AO64" i="9"/>
  <c r="AO104" i="9"/>
  <c r="AO87" i="9"/>
  <c r="AO83" i="9"/>
  <c r="AO79" i="9"/>
  <c r="AO75" i="9"/>
  <c r="AO71" i="9"/>
  <c r="AO67" i="9"/>
  <c r="AO100" i="9"/>
  <c r="AO92" i="9"/>
  <c r="AO86" i="9"/>
  <c r="AO82" i="9"/>
  <c r="AO78" i="9"/>
  <c r="AO74" i="9"/>
  <c r="AO70" i="9"/>
  <c r="AO66" i="9"/>
  <c r="AO63" i="9"/>
  <c r="AO62" i="9"/>
  <c r="AO15" i="9"/>
  <c r="AO13" i="9"/>
  <c r="AO11" i="9"/>
  <c r="AO9" i="9"/>
  <c r="AP6" i="9"/>
  <c r="AO16" i="9"/>
  <c r="AO14" i="9"/>
  <c r="AO12" i="9"/>
  <c r="AO10" i="9"/>
  <c r="AO8" i="9"/>
  <c r="AP213" i="9" l="1"/>
  <c r="AP212" i="9"/>
  <c r="AP211" i="9"/>
  <c r="AP210" i="9"/>
  <c r="AP206" i="9"/>
  <c r="AP205" i="9"/>
  <c r="AP207" i="9"/>
  <c r="AP204" i="9"/>
  <c r="AP209" i="9"/>
  <c r="AP208" i="9"/>
  <c r="AP203" i="9"/>
  <c r="AP202" i="9"/>
  <c r="AP201" i="9"/>
  <c r="AP200" i="9"/>
  <c r="AP199" i="9"/>
  <c r="AP195" i="9"/>
  <c r="AP198" i="9"/>
  <c r="AP197" i="9"/>
  <c r="AP192" i="9"/>
  <c r="AP196" i="9"/>
  <c r="AP191" i="9"/>
  <c r="AP188" i="9"/>
  <c r="AP184" i="9"/>
  <c r="AP194" i="9"/>
  <c r="AP187" i="9"/>
  <c r="AP183" i="9"/>
  <c r="AP186" i="9"/>
  <c r="AP180" i="9"/>
  <c r="AP176" i="9"/>
  <c r="AP193" i="9"/>
  <c r="AP185" i="9"/>
  <c r="AP179" i="9"/>
  <c r="AP175" i="9"/>
  <c r="AP182" i="9"/>
  <c r="AP178" i="9"/>
  <c r="AP172" i="9"/>
  <c r="AP168" i="9"/>
  <c r="AP164" i="9"/>
  <c r="AP160" i="9"/>
  <c r="AP156" i="9"/>
  <c r="AP152" i="9"/>
  <c r="AP189" i="9"/>
  <c r="AP177" i="9"/>
  <c r="AP173" i="9"/>
  <c r="AP171" i="9"/>
  <c r="AP167" i="9"/>
  <c r="AP163" i="9"/>
  <c r="AP159" i="9"/>
  <c r="AP155" i="9"/>
  <c r="AP151" i="9"/>
  <c r="AP190" i="9"/>
  <c r="AP181" i="9"/>
  <c r="AP174" i="9"/>
  <c r="AP169" i="9"/>
  <c r="AP161" i="9"/>
  <c r="AP166" i="9"/>
  <c r="AP158" i="9"/>
  <c r="AP165" i="9"/>
  <c r="AP170" i="9"/>
  <c r="AP162" i="9"/>
  <c r="AP147" i="9"/>
  <c r="AP154" i="9"/>
  <c r="AP150" i="9"/>
  <c r="AP146" i="9"/>
  <c r="AP157" i="9"/>
  <c r="AP153" i="9"/>
  <c r="AP149" i="9"/>
  <c r="AP148" i="9"/>
  <c r="AP142" i="9"/>
  <c r="AP138" i="9"/>
  <c r="AP134" i="9"/>
  <c r="AP141" i="9"/>
  <c r="AP137" i="9"/>
  <c r="AP133" i="9"/>
  <c r="AP145" i="9"/>
  <c r="AP144" i="9"/>
  <c r="AP140" i="9"/>
  <c r="AP136" i="9"/>
  <c r="AP143" i="9"/>
  <c r="AP139" i="9"/>
  <c r="AP135" i="9"/>
  <c r="AP131" i="9"/>
  <c r="AP128" i="9"/>
  <c r="AP124" i="9"/>
  <c r="AP120" i="9"/>
  <c r="AP127" i="9"/>
  <c r="AP123" i="9"/>
  <c r="AP119" i="9"/>
  <c r="AP132" i="9"/>
  <c r="AP130" i="9"/>
  <c r="AP126" i="9"/>
  <c r="AP122" i="9"/>
  <c r="AP118" i="9"/>
  <c r="AP129" i="9"/>
  <c r="AP125" i="9"/>
  <c r="AP121" i="9"/>
  <c r="AP117" i="9"/>
  <c r="AP113" i="9"/>
  <c r="AP109" i="9"/>
  <c r="AP105" i="9"/>
  <c r="AP101" i="9"/>
  <c r="AP97" i="9"/>
  <c r="AP93" i="9"/>
  <c r="AP116" i="9"/>
  <c r="AP112" i="9"/>
  <c r="AP108" i="9"/>
  <c r="AP104" i="9"/>
  <c r="AP100" i="9"/>
  <c r="AP96" i="9"/>
  <c r="AP92" i="9"/>
  <c r="AP88" i="9"/>
  <c r="AP115" i="9"/>
  <c r="AP111" i="9"/>
  <c r="AP107" i="9"/>
  <c r="AP114" i="9"/>
  <c r="AP110" i="9"/>
  <c r="AP106" i="9"/>
  <c r="AP102" i="9"/>
  <c r="AP98" i="9"/>
  <c r="AP94" i="9"/>
  <c r="AP90" i="9"/>
  <c r="AP103" i="9"/>
  <c r="AP89" i="9"/>
  <c r="AP84" i="9"/>
  <c r="AP80" i="9"/>
  <c r="AP76" i="9"/>
  <c r="AP72" i="9"/>
  <c r="AP68" i="9"/>
  <c r="AP64" i="9"/>
  <c r="AP99" i="9"/>
  <c r="AP87" i="9"/>
  <c r="AP83" i="9"/>
  <c r="AP79" i="9"/>
  <c r="AP75" i="9"/>
  <c r="AP71" i="9"/>
  <c r="AP67" i="9"/>
  <c r="AP63" i="9"/>
  <c r="AP95" i="9"/>
  <c r="AP86" i="9"/>
  <c r="AP82" i="9"/>
  <c r="AP78" i="9"/>
  <c r="AP74" i="9"/>
  <c r="AP70" i="9"/>
  <c r="AP66" i="9"/>
  <c r="AP91" i="9"/>
  <c r="AP85" i="9"/>
  <c r="AP81" i="9"/>
  <c r="AP77" i="9"/>
  <c r="AP73" i="9"/>
  <c r="AP69" i="9"/>
  <c r="AP65" i="9"/>
  <c r="AP62" i="9"/>
  <c r="AP16" i="9"/>
  <c r="AP14" i="9"/>
  <c r="AP12" i="9"/>
  <c r="AP10" i="9"/>
  <c r="AP8" i="9"/>
  <c r="AP15" i="9"/>
  <c r="AP13" i="9"/>
  <c r="AP11" i="9"/>
  <c r="AP9" i="9"/>
  <c r="AQ6" i="9"/>
  <c r="AQ213" i="9" l="1"/>
  <c r="AQ211" i="9"/>
  <c r="AQ212" i="9"/>
  <c r="AQ210" i="9"/>
  <c r="AQ209" i="9"/>
  <c r="AQ208" i="9"/>
  <c r="AQ207" i="9"/>
  <c r="AQ206" i="9"/>
  <c r="AQ203" i="9"/>
  <c r="AQ204" i="9"/>
  <c r="AQ202" i="9"/>
  <c r="AQ201" i="9"/>
  <c r="AQ198" i="9"/>
  <c r="AQ194" i="9"/>
  <c r="AQ197" i="9"/>
  <c r="AQ205" i="9"/>
  <c r="AQ196" i="9"/>
  <c r="AQ191" i="9"/>
  <c r="AQ195" i="9"/>
  <c r="AQ187" i="9"/>
  <c r="AQ183" i="9"/>
  <c r="AQ200" i="9"/>
  <c r="AQ190" i="9"/>
  <c r="AQ186" i="9"/>
  <c r="AQ182" i="9"/>
  <c r="AQ193" i="9"/>
  <c r="AQ185" i="9"/>
  <c r="AQ179" i="9"/>
  <c r="AQ175" i="9"/>
  <c r="AQ184" i="9"/>
  <c r="AQ178" i="9"/>
  <c r="AQ174" i="9"/>
  <c r="AQ189" i="9"/>
  <c r="AQ177" i="9"/>
  <c r="AQ173" i="9"/>
  <c r="AQ171" i="9"/>
  <c r="AQ167" i="9"/>
  <c r="AQ163" i="9"/>
  <c r="AQ159" i="9"/>
  <c r="AQ155" i="9"/>
  <c r="AQ199" i="9"/>
  <c r="AQ180" i="9"/>
  <c r="AQ176" i="9"/>
  <c r="AQ170" i="9"/>
  <c r="AQ166" i="9"/>
  <c r="AQ162" i="9"/>
  <c r="AQ158" i="9"/>
  <c r="AQ154" i="9"/>
  <c r="AQ192" i="9"/>
  <c r="AQ181" i="9"/>
  <c r="AQ172" i="9"/>
  <c r="AQ188" i="9"/>
  <c r="AQ168" i="9"/>
  <c r="AQ160" i="9"/>
  <c r="AQ165" i="9"/>
  <c r="AQ157" i="9"/>
  <c r="AQ164" i="9"/>
  <c r="AQ169" i="9"/>
  <c r="AQ161" i="9"/>
  <c r="AQ156" i="9"/>
  <c r="AQ150" i="9"/>
  <c r="AQ153" i="9"/>
  <c r="AQ149" i="9"/>
  <c r="AQ145" i="9"/>
  <c r="AQ152" i="9"/>
  <c r="AQ151" i="9"/>
  <c r="AQ148" i="9"/>
  <c r="AQ147" i="9"/>
  <c r="AQ141" i="9"/>
  <c r="AQ137" i="9"/>
  <c r="AQ133" i="9"/>
  <c r="AQ146" i="9"/>
  <c r="AQ144" i="9"/>
  <c r="AQ140" i="9"/>
  <c r="AQ136" i="9"/>
  <c r="AQ132" i="9"/>
  <c r="AQ143" i="9"/>
  <c r="AQ139" i="9"/>
  <c r="AQ135" i="9"/>
  <c r="AQ142" i="9"/>
  <c r="AQ138" i="9"/>
  <c r="AQ134" i="9"/>
  <c r="AQ127" i="9"/>
  <c r="AQ123" i="9"/>
  <c r="AQ119" i="9"/>
  <c r="AQ130" i="9"/>
  <c r="AQ126" i="9"/>
  <c r="AQ122" i="9"/>
  <c r="AQ118" i="9"/>
  <c r="AQ131" i="9"/>
  <c r="AQ129" i="9"/>
  <c r="AQ125" i="9"/>
  <c r="AQ121" i="9"/>
  <c r="AQ128" i="9"/>
  <c r="AQ124" i="9"/>
  <c r="AQ120" i="9"/>
  <c r="AQ116" i="9"/>
  <c r="AQ117" i="9"/>
  <c r="AQ112" i="9"/>
  <c r="AQ108" i="9"/>
  <c r="AQ104" i="9"/>
  <c r="AQ100" i="9"/>
  <c r="AQ96" i="9"/>
  <c r="AQ115" i="9"/>
  <c r="AQ111" i="9"/>
  <c r="AQ107" i="9"/>
  <c r="AQ103" i="9"/>
  <c r="AQ99" i="9"/>
  <c r="AQ95" i="9"/>
  <c r="AQ91" i="9"/>
  <c r="AQ87" i="9"/>
  <c r="AQ114" i="9"/>
  <c r="AQ110" i="9"/>
  <c r="AQ113" i="9"/>
  <c r="AQ109" i="9"/>
  <c r="AQ105" i="9"/>
  <c r="AQ101" i="9"/>
  <c r="AQ97" i="9"/>
  <c r="AQ93" i="9"/>
  <c r="AQ89" i="9"/>
  <c r="AQ94" i="9"/>
  <c r="AQ88" i="9"/>
  <c r="AQ83" i="9"/>
  <c r="AQ79" i="9"/>
  <c r="AQ75" i="9"/>
  <c r="AQ71" i="9"/>
  <c r="AQ67" i="9"/>
  <c r="AQ106" i="9"/>
  <c r="AQ86" i="9"/>
  <c r="AQ82" i="9"/>
  <c r="AQ78" i="9"/>
  <c r="AQ74" i="9"/>
  <c r="AQ70" i="9"/>
  <c r="AQ66" i="9"/>
  <c r="AQ102" i="9"/>
  <c r="AQ92" i="9"/>
  <c r="AQ85" i="9"/>
  <c r="AQ81" i="9"/>
  <c r="AQ77" i="9"/>
  <c r="AQ73" i="9"/>
  <c r="AQ69" i="9"/>
  <c r="AQ65" i="9"/>
  <c r="AQ98" i="9"/>
  <c r="AQ90" i="9"/>
  <c r="AQ84" i="9"/>
  <c r="AQ80" i="9"/>
  <c r="AQ76" i="9"/>
  <c r="AQ72" i="9"/>
  <c r="AQ68" i="9"/>
  <c r="AQ64" i="9"/>
  <c r="AQ63" i="9"/>
  <c r="AQ62" i="9"/>
  <c r="AQ16" i="9"/>
  <c r="AQ14" i="9"/>
  <c r="AQ12" i="9"/>
  <c r="AQ10" i="9"/>
  <c r="AQ8" i="9"/>
  <c r="AQ15" i="9"/>
  <c r="AQ13" i="9"/>
  <c r="AQ11" i="9"/>
  <c r="AQ9" i="9"/>
  <c r="AR6" i="9"/>
  <c r="AR213" i="9" l="1"/>
  <c r="AR212" i="9"/>
  <c r="AR210" i="9"/>
  <c r="AR209" i="9"/>
  <c r="AR208" i="9"/>
  <c r="AR211" i="9"/>
  <c r="AR207" i="9"/>
  <c r="AR206" i="9"/>
  <c r="AR205" i="9"/>
  <c r="AR204" i="9"/>
  <c r="AR202" i="9"/>
  <c r="AR201" i="9"/>
  <c r="AR197" i="9"/>
  <c r="AR203" i="9"/>
  <c r="AR196" i="9"/>
  <c r="AR195" i="9"/>
  <c r="AR193" i="9"/>
  <c r="AR200" i="9"/>
  <c r="AR194" i="9"/>
  <c r="AR190" i="9"/>
  <c r="AR186" i="9"/>
  <c r="AR182" i="9"/>
  <c r="AR198" i="9"/>
  <c r="AR189" i="9"/>
  <c r="AR185" i="9"/>
  <c r="AR181" i="9"/>
  <c r="AR184" i="9"/>
  <c r="AR178" i="9"/>
  <c r="AR174" i="9"/>
  <c r="AR191" i="9"/>
  <c r="AR183" i="9"/>
  <c r="AR177" i="9"/>
  <c r="AR199" i="9"/>
  <c r="AR180" i="9"/>
  <c r="AR176" i="9"/>
  <c r="AR170" i="9"/>
  <c r="AR166" i="9"/>
  <c r="AR162" i="9"/>
  <c r="AR158" i="9"/>
  <c r="AR154" i="9"/>
  <c r="AR187" i="9"/>
  <c r="AR175" i="9"/>
  <c r="AR169" i="9"/>
  <c r="AR165" i="9"/>
  <c r="AR161" i="9"/>
  <c r="AR157" i="9"/>
  <c r="AR153" i="9"/>
  <c r="AR192" i="9"/>
  <c r="AR172" i="9"/>
  <c r="AR179" i="9"/>
  <c r="AR173" i="9"/>
  <c r="AR171" i="9"/>
  <c r="AR188" i="9"/>
  <c r="AR167" i="9"/>
  <c r="AR164" i="9"/>
  <c r="AR156" i="9"/>
  <c r="AR163" i="9"/>
  <c r="AR168" i="9"/>
  <c r="AR160" i="9"/>
  <c r="AR155" i="9"/>
  <c r="AR149" i="9"/>
  <c r="AR159" i="9"/>
  <c r="AR152" i="9"/>
  <c r="AR151" i="9"/>
  <c r="AR148" i="9"/>
  <c r="AR147" i="9"/>
  <c r="AR150" i="9"/>
  <c r="AR146" i="9"/>
  <c r="AR144" i="9"/>
  <c r="AR140" i="9"/>
  <c r="AR136" i="9"/>
  <c r="AR145" i="9"/>
  <c r="AR143" i="9"/>
  <c r="AR139" i="9"/>
  <c r="AR135" i="9"/>
  <c r="AR131" i="9"/>
  <c r="AR142" i="9"/>
  <c r="AR138" i="9"/>
  <c r="AR134" i="9"/>
  <c r="AR141" i="9"/>
  <c r="AR137" i="9"/>
  <c r="AR133" i="9"/>
  <c r="AR130" i="9"/>
  <c r="AR126" i="9"/>
  <c r="AR122" i="9"/>
  <c r="AR118" i="9"/>
  <c r="AR132" i="9"/>
  <c r="AR129" i="9"/>
  <c r="AR125" i="9"/>
  <c r="AR121" i="9"/>
  <c r="AR117" i="9"/>
  <c r="AR128" i="9"/>
  <c r="AR124" i="9"/>
  <c r="AR120" i="9"/>
  <c r="AR127" i="9"/>
  <c r="AR123" i="9"/>
  <c r="AR119" i="9"/>
  <c r="AR116" i="9"/>
  <c r="AR115" i="9"/>
  <c r="AR111" i="9"/>
  <c r="AR107" i="9"/>
  <c r="AR103" i="9"/>
  <c r="AR99" i="9"/>
  <c r="AR95" i="9"/>
  <c r="AR114" i="9"/>
  <c r="AR110" i="9"/>
  <c r="AR106" i="9"/>
  <c r="AR102" i="9"/>
  <c r="AR98" i="9"/>
  <c r="AR94" i="9"/>
  <c r="AR90" i="9"/>
  <c r="AR113" i="9"/>
  <c r="AR109" i="9"/>
  <c r="AR112" i="9"/>
  <c r="AR108" i="9"/>
  <c r="AR104" i="9"/>
  <c r="AR100" i="9"/>
  <c r="AR96" i="9"/>
  <c r="AR92" i="9"/>
  <c r="AR88" i="9"/>
  <c r="AR101" i="9"/>
  <c r="AR87" i="9"/>
  <c r="AR86" i="9"/>
  <c r="AR82" i="9"/>
  <c r="AR78" i="9"/>
  <c r="AR74" i="9"/>
  <c r="AR70" i="9"/>
  <c r="AR66" i="9"/>
  <c r="AR97" i="9"/>
  <c r="AR85" i="9"/>
  <c r="AR81" i="9"/>
  <c r="AR77" i="9"/>
  <c r="AR73" i="9"/>
  <c r="AR69" i="9"/>
  <c r="AR65" i="9"/>
  <c r="AR93" i="9"/>
  <c r="AR91" i="9"/>
  <c r="AR84" i="9"/>
  <c r="AR80" i="9"/>
  <c r="AR76" i="9"/>
  <c r="AR72" i="9"/>
  <c r="AR68" i="9"/>
  <c r="AR105" i="9"/>
  <c r="AR89" i="9"/>
  <c r="AR83" i="9"/>
  <c r="AR79" i="9"/>
  <c r="AR75" i="9"/>
  <c r="AR71" i="9"/>
  <c r="AR67" i="9"/>
  <c r="AR63" i="9"/>
  <c r="AR64" i="9"/>
  <c r="AR62" i="9"/>
  <c r="AR8" i="9"/>
  <c r="AR15" i="9"/>
  <c r="AR13" i="9"/>
  <c r="AR11" i="9"/>
  <c r="AR9" i="9"/>
  <c r="AS6" i="9"/>
  <c r="AR16" i="9"/>
  <c r="AR14" i="9"/>
  <c r="AR12" i="9"/>
  <c r="AR10" i="9"/>
  <c r="AS213" i="9" l="1"/>
  <c r="AS212" i="9"/>
  <c r="AS211" i="9"/>
  <c r="AS208" i="9"/>
  <c r="AS210" i="9"/>
  <c r="AS209" i="9"/>
  <c r="AS207" i="9"/>
  <c r="AS205" i="9"/>
  <c r="AS204" i="9"/>
  <c r="AS201" i="9"/>
  <c r="AS200" i="9"/>
  <c r="AS206" i="9"/>
  <c r="AS203" i="9"/>
  <c r="AS196" i="9"/>
  <c r="AS202" i="9"/>
  <c r="AS199" i="9"/>
  <c r="AS195" i="9"/>
  <c r="AS193" i="9"/>
  <c r="AS194" i="9"/>
  <c r="AS192" i="9"/>
  <c r="AS198" i="9"/>
  <c r="AS189" i="9"/>
  <c r="AS185" i="9"/>
  <c r="AS181" i="9"/>
  <c r="AS188" i="9"/>
  <c r="AS184" i="9"/>
  <c r="AS180" i="9"/>
  <c r="AS191" i="9"/>
  <c r="AS183" i="9"/>
  <c r="AS177" i="9"/>
  <c r="AS173" i="9"/>
  <c r="AS197" i="9"/>
  <c r="AS190" i="9"/>
  <c r="AS182" i="9"/>
  <c r="AS176" i="9"/>
  <c r="AS187" i="9"/>
  <c r="AS175" i="9"/>
  <c r="AS169" i="9"/>
  <c r="AS165" i="9"/>
  <c r="AS161" i="9"/>
  <c r="AS157" i="9"/>
  <c r="AS153" i="9"/>
  <c r="AS174" i="9"/>
  <c r="AS172" i="9"/>
  <c r="AS168" i="9"/>
  <c r="AS164" i="9"/>
  <c r="AS160" i="9"/>
  <c r="AS156" i="9"/>
  <c r="AS152" i="9"/>
  <c r="AS186" i="9"/>
  <c r="AS179" i="9"/>
  <c r="AS171" i="9"/>
  <c r="AS178" i="9"/>
  <c r="AS166" i="9"/>
  <c r="AS163" i="9"/>
  <c r="AS170" i="9"/>
  <c r="AS162" i="9"/>
  <c r="AS167" i="9"/>
  <c r="AS159" i="9"/>
  <c r="AS154" i="9"/>
  <c r="AS151" i="9"/>
  <c r="AS148" i="9"/>
  <c r="AS147" i="9"/>
  <c r="AS150" i="9"/>
  <c r="AS158" i="9"/>
  <c r="AS155" i="9"/>
  <c r="AS149" i="9"/>
  <c r="AS145" i="9"/>
  <c r="AS146" i="9"/>
  <c r="AS143" i="9"/>
  <c r="AS139" i="9"/>
  <c r="AS135" i="9"/>
  <c r="AS142" i="9"/>
  <c r="AS138" i="9"/>
  <c r="AS134" i="9"/>
  <c r="AS141" i="9"/>
  <c r="AS137" i="9"/>
  <c r="AS133" i="9"/>
  <c r="AS144" i="9"/>
  <c r="AS140" i="9"/>
  <c r="AS136" i="9"/>
  <c r="AS132" i="9"/>
  <c r="AS129" i="9"/>
  <c r="AS125" i="9"/>
  <c r="AS121" i="9"/>
  <c r="AS131" i="9"/>
  <c r="AS128" i="9"/>
  <c r="AS124" i="9"/>
  <c r="AS120" i="9"/>
  <c r="AS116" i="9"/>
  <c r="AS127" i="9"/>
  <c r="AS123" i="9"/>
  <c r="AS119" i="9"/>
  <c r="AS130" i="9"/>
  <c r="AS126" i="9"/>
  <c r="AS122" i="9"/>
  <c r="AS118" i="9"/>
  <c r="AS114" i="9"/>
  <c r="AS110" i="9"/>
  <c r="AS106" i="9"/>
  <c r="AS102" i="9"/>
  <c r="AS98" i="9"/>
  <c r="AS94" i="9"/>
  <c r="AS113" i="9"/>
  <c r="AS109" i="9"/>
  <c r="AS105" i="9"/>
  <c r="AS101" i="9"/>
  <c r="AS97" i="9"/>
  <c r="AS93" i="9"/>
  <c r="AS89" i="9"/>
  <c r="AS112" i="9"/>
  <c r="AS108" i="9"/>
  <c r="AS117" i="9"/>
  <c r="AS115" i="9"/>
  <c r="AS111" i="9"/>
  <c r="AS107" i="9"/>
  <c r="AS103" i="9"/>
  <c r="AS99" i="9"/>
  <c r="AS95" i="9"/>
  <c r="AS91" i="9"/>
  <c r="AS87" i="9"/>
  <c r="AS85" i="9"/>
  <c r="AS81" i="9"/>
  <c r="AS77" i="9"/>
  <c r="AS73" i="9"/>
  <c r="AS69" i="9"/>
  <c r="AS65" i="9"/>
  <c r="AS104" i="9"/>
  <c r="AS92" i="9"/>
  <c r="AS84" i="9"/>
  <c r="AS80" i="9"/>
  <c r="AS76" i="9"/>
  <c r="AS72" i="9"/>
  <c r="AS68" i="9"/>
  <c r="AS64" i="9"/>
  <c r="AS100" i="9"/>
  <c r="AS90" i="9"/>
  <c r="AS83" i="9"/>
  <c r="AS79" i="9"/>
  <c r="AS75" i="9"/>
  <c r="AS71" i="9"/>
  <c r="AS67" i="9"/>
  <c r="AS96" i="9"/>
  <c r="AS88" i="9"/>
  <c r="AS86" i="9"/>
  <c r="AS82" i="9"/>
  <c r="AS78" i="9"/>
  <c r="AS74" i="9"/>
  <c r="AS70" i="9"/>
  <c r="AS66" i="9"/>
  <c r="AS62" i="9"/>
  <c r="AS63" i="9"/>
  <c r="AS15" i="9"/>
  <c r="AS13" i="9"/>
  <c r="AS11" i="9"/>
  <c r="AS9" i="9"/>
  <c r="AT6" i="9"/>
  <c r="AS16" i="9"/>
  <c r="AS14" i="9"/>
  <c r="AS12" i="9"/>
  <c r="AS10" i="9"/>
  <c r="AS8" i="9"/>
  <c r="AT8" i="9" l="1"/>
  <c r="AU6" i="9"/>
  <c r="AU8" i="9" l="1"/>
  <c r="AV6" i="9"/>
  <c r="AV212" i="9" l="1"/>
  <c r="AV211" i="9"/>
  <c r="AV213" i="9"/>
  <c r="AV210" i="9"/>
  <c r="AV209" i="9"/>
  <c r="AV206" i="9"/>
  <c r="AV205" i="9"/>
  <c r="AV208" i="9"/>
  <c r="AV204" i="9"/>
  <c r="AV207" i="9"/>
  <c r="AV203" i="9"/>
  <c r="AV202" i="9"/>
  <c r="AV199" i="9"/>
  <c r="AV195" i="9"/>
  <c r="AV200" i="9"/>
  <c r="AV198" i="9"/>
  <c r="AV194" i="9"/>
  <c r="AV192" i="9"/>
  <c r="AV201" i="9"/>
  <c r="AV191" i="9"/>
  <c r="AV188" i="9"/>
  <c r="AV184" i="9"/>
  <c r="AV196" i="9"/>
  <c r="AV193" i="9"/>
  <c r="AV187" i="9"/>
  <c r="AV183" i="9"/>
  <c r="AV197" i="9"/>
  <c r="AV190" i="9"/>
  <c r="AV182" i="9"/>
  <c r="AV176" i="9"/>
  <c r="AV189" i="9"/>
  <c r="AV181" i="9"/>
  <c r="AV180" i="9"/>
  <c r="AV179" i="9"/>
  <c r="AV175" i="9"/>
  <c r="AV174" i="9"/>
  <c r="AV172" i="9"/>
  <c r="AV168" i="9"/>
  <c r="AV164" i="9"/>
  <c r="AV160" i="9"/>
  <c r="AV156" i="9"/>
  <c r="AV152" i="9"/>
  <c r="AV185" i="9"/>
  <c r="AV171" i="9"/>
  <c r="AV167" i="9"/>
  <c r="AV163" i="9"/>
  <c r="AV159" i="9"/>
  <c r="AV155" i="9"/>
  <c r="AV151" i="9"/>
  <c r="AV186" i="9"/>
  <c r="AV173" i="9"/>
  <c r="AV177" i="9"/>
  <c r="AV178" i="9"/>
  <c r="AV165" i="9"/>
  <c r="AV170" i="9"/>
  <c r="AV162" i="9"/>
  <c r="AV169" i="9"/>
  <c r="AV161" i="9"/>
  <c r="AV166" i="9"/>
  <c r="AV158" i="9"/>
  <c r="AV153" i="9"/>
  <c r="AV147" i="9"/>
  <c r="AV157" i="9"/>
  <c r="AV150" i="9"/>
  <c r="AV146" i="9"/>
  <c r="AV149" i="9"/>
  <c r="AV154" i="9"/>
  <c r="AV148" i="9"/>
  <c r="AV145" i="9"/>
  <c r="AV142" i="9"/>
  <c r="AV138" i="9"/>
  <c r="AV134" i="9"/>
  <c r="AV141" i="9"/>
  <c r="AV137" i="9"/>
  <c r="AV133" i="9"/>
  <c r="AV144" i="9"/>
  <c r="AV140" i="9"/>
  <c r="AV136" i="9"/>
  <c r="AV143" i="9"/>
  <c r="AV139" i="9"/>
  <c r="AV135" i="9"/>
  <c r="AV131" i="9"/>
  <c r="AV132" i="9"/>
  <c r="AV128" i="9"/>
  <c r="AV124" i="9"/>
  <c r="AV120" i="9"/>
  <c r="AV127" i="9"/>
  <c r="AV123" i="9"/>
  <c r="AV119" i="9"/>
  <c r="AV130" i="9"/>
  <c r="AV126" i="9"/>
  <c r="AV122" i="9"/>
  <c r="AV118" i="9"/>
  <c r="AV129" i="9"/>
  <c r="AV125" i="9"/>
  <c r="AV121" i="9"/>
  <c r="AV117" i="9"/>
  <c r="AV113" i="9"/>
  <c r="AV109" i="9"/>
  <c r="AV105" i="9"/>
  <c r="AV101" i="9"/>
  <c r="AV97" i="9"/>
  <c r="AV93" i="9"/>
  <c r="AV112" i="9"/>
  <c r="AV108" i="9"/>
  <c r="AV104" i="9"/>
  <c r="AV100" i="9"/>
  <c r="AV96" i="9"/>
  <c r="AV92" i="9"/>
  <c r="AV88" i="9"/>
  <c r="AV115" i="9"/>
  <c r="AV111" i="9"/>
  <c r="AV107" i="9"/>
  <c r="AV116" i="9"/>
  <c r="AV114" i="9"/>
  <c r="AV110" i="9"/>
  <c r="AV106" i="9"/>
  <c r="AV102" i="9"/>
  <c r="AV98" i="9"/>
  <c r="AV94" i="9"/>
  <c r="AV90" i="9"/>
  <c r="AV99" i="9"/>
  <c r="AV84" i="9"/>
  <c r="AV80" i="9"/>
  <c r="AV76" i="9"/>
  <c r="AV72" i="9"/>
  <c r="AV68" i="9"/>
  <c r="AV64" i="9"/>
  <c r="AV95" i="9"/>
  <c r="AV91" i="9"/>
  <c r="AV83" i="9"/>
  <c r="AV79" i="9"/>
  <c r="AV75" i="9"/>
  <c r="AV71" i="9"/>
  <c r="AV67" i="9"/>
  <c r="AV63" i="9"/>
  <c r="AV89" i="9"/>
  <c r="AV86" i="9"/>
  <c r="AV82" i="9"/>
  <c r="AV78" i="9"/>
  <c r="AV74" i="9"/>
  <c r="AV70" i="9"/>
  <c r="AV66" i="9"/>
  <c r="AV103" i="9"/>
  <c r="AV87" i="9"/>
  <c r="AV85" i="9"/>
  <c r="AV81" i="9"/>
  <c r="AV77" i="9"/>
  <c r="AV73" i="9"/>
  <c r="AV69" i="9"/>
  <c r="AV65" i="9"/>
  <c r="AV62" i="9"/>
  <c r="AV8" i="9"/>
  <c r="AV16" i="9"/>
  <c r="AV14" i="9"/>
  <c r="AV12" i="9"/>
  <c r="AV10" i="9"/>
  <c r="AW6" i="9"/>
  <c r="AV15" i="9"/>
  <c r="AV13" i="9"/>
  <c r="AV11" i="9"/>
  <c r="AV9" i="9"/>
  <c r="AW213" i="9" l="1"/>
  <c r="AW211" i="9"/>
  <c r="AW212" i="9"/>
  <c r="AW210" i="9"/>
  <c r="AW208" i="9"/>
  <c r="AW209" i="9"/>
  <c r="AW203" i="9"/>
  <c r="AW207" i="9"/>
  <c r="AW206" i="9"/>
  <c r="AW202" i="9"/>
  <c r="AW205" i="9"/>
  <c r="AW201" i="9"/>
  <c r="AW200" i="9"/>
  <c r="AW198" i="9"/>
  <c r="AW194" i="9"/>
  <c r="AW197" i="9"/>
  <c r="AW191" i="9"/>
  <c r="AW199" i="9"/>
  <c r="AW204" i="9"/>
  <c r="AW196" i="9"/>
  <c r="AW193" i="9"/>
  <c r="AW187" i="9"/>
  <c r="AW183" i="9"/>
  <c r="AW192" i="9"/>
  <c r="AW190" i="9"/>
  <c r="AW186" i="9"/>
  <c r="AW182" i="9"/>
  <c r="AW189" i="9"/>
  <c r="AW181" i="9"/>
  <c r="AW180" i="9"/>
  <c r="AW179" i="9"/>
  <c r="AW175" i="9"/>
  <c r="AW188" i="9"/>
  <c r="AW178" i="9"/>
  <c r="AW174" i="9"/>
  <c r="AW185" i="9"/>
  <c r="AW171" i="9"/>
  <c r="AW167" i="9"/>
  <c r="AW163" i="9"/>
  <c r="AW159" i="9"/>
  <c r="AW155" i="9"/>
  <c r="AW173" i="9"/>
  <c r="AW170" i="9"/>
  <c r="AW166" i="9"/>
  <c r="AW162" i="9"/>
  <c r="AW158" i="9"/>
  <c r="AW154" i="9"/>
  <c r="AW195" i="9"/>
  <c r="AW177" i="9"/>
  <c r="AW184" i="9"/>
  <c r="AW176" i="9"/>
  <c r="AW172" i="9"/>
  <c r="AW164" i="9"/>
  <c r="AW169" i="9"/>
  <c r="AW161" i="9"/>
  <c r="AW168" i="9"/>
  <c r="AW160" i="9"/>
  <c r="AW165" i="9"/>
  <c r="AW157" i="9"/>
  <c r="AW152" i="9"/>
  <c r="AW150" i="9"/>
  <c r="AW149" i="9"/>
  <c r="AW145" i="9"/>
  <c r="AW148" i="9"/>
  <c r="AW156" i="9"/>
  <c r="AW153" i="9"/>
  <c r="AW151" i="9"/>
  <c r="AW147" i="9"/>
  <c r="AW141" i="9"/>
  <c r="AW137" i="9"/>
  <c r="AW133" i="9"/>
  <c r="AW144" i="9"/>
  <c r="AW140" i="9"/>
  <c r="AW136" i="9"/>
  <c r="AW132" i="9"/>
  <c r="AW143" i="9"/>
  <c r="AW139" i="9"/>
  <c r="AW135" i="9"/>
  <c r="AW146" i="9"/>
  <c r="AW142" i="9"/>
  <c r="AW138" i="9"/>
  <c r="AW134" i="9"/>
  <c r="AW131" i="9"/>
  <c r="AW127" i="9"/>
  <c r="AW123" i="9"/>
  <c r="AW119" i="9"/>
  <c r="AW130" i="9"/>
  <c r="AW126" i="9"/>
  <c r="AW122" i="9"/>
  <c r="AW118" i="9"/>
  <c r="AW129" i="9"/>
  <c r="AW125" i="9"/>
  <c r="AW121" i="9"/>
  <c r="AW128" i="9"/>
  <c r="AW124" i="9"/>
  <c r="AW120" i="9"/>
  <c r="AW116" i="9"/>
  <c r="AW112" i="9"/>
  <c r="AW108" i="9"/>
  <c r="AW104" i="9"/>
  <c r="AW100" i="9"/>
  <c r="AW96" i="9"/>
  <c r="AW115" i="9"/>
  <c r="AW111" i="9"/>
  <c r="AW107" i="9"/>
  <c r="AW103" i="9"/>
  <c r="AW99" i="9"/>
  <c r="AW95" i="9"/>
  <c r="AW91" i="9"/>
  <c r="AW87" i="9"/>
  <c r="AW117" i="9"/>
  <c r="AW114" i="9"/>
  <c r="AW110" i="9"/>
  <c r="AW113" i="9"/>
  <c r="AW109" i="9"/>
  <c r="AW105" i="9"/>
  <c r="AW101" i="9"/>
  <c r="AW97" i="9"/>
  <c r="AW93" i="9"/>
  <c r="AW89" i="9"/>
  <c r="AW106" i="9"/>
  <c r="AW92" i="9"/>
  <c r="AW83" i="9"/>
  <c r="AW79" i="9"/>
  <c r="AW75" i="9"/>
  <c r="AW71" i="9"/>
  <c r="AW67" i="9"/>
  <c r="AW102" i="9"/>
  <c r="AW90" i="9"/>
  <c r="AW86" i="9"/>
  <c r="AW82" i="9"/>
  <c r="AW78" i="9"/>
  <c r="AW74" i="9"/>
  <c r="AW70" i="9"/>
  <c r="AW66" i="9"/>
  <c r="AW98" i="9"/>
  <c r="AW88" i="9"/>
  <c r="AW85" i="9"/>
  <c r="AW81" i="9"/>
  <c r="AW77" i="9"/>
  <c r="AW73" i="9"/>
  <c r="AW69" i="9"/>
  <c r="AW65" i="9"/>
  <c r="AW94" i="9"/>
  <c r="AW84" i="9"/>
  <c r="AW80" i="9"/>
  <c r="AW76" i="9"/>
  <c r="AW72" i="9"/>
  <c r="AW68" i="9"/>
  <c r="AW64" i="9"/>
  <c r="AW63" i="9"/>
  <c r="AW62" i="9"/>
  <c r="AW16" i="9"/>
  <c r="AW14" i="9"/>
  <c r="AW12" i="9"/>
  <c r="AW10" i="9"/>
  <c r="AX6" i="9"/>
  <c r="AW15" i="9"/>
  <c r="AW13" i="9"/>
  <c r="AW11" i="9"/>
  <c r="AW9" i="9"/>
  <c r="AW8" i="9"/>
  <c r="AX213" i="9" l="1"/>
  <c r="AX212" i="9"/>
  <c r="AX210" i="9"/>
  <c r="AX209" i="9"/>
  <c r="AX211" i="9"/>
  <c r="AX208" i="9"/>
  <c r="AX207" i="9"/>
  <c r="AX206" i="9"/>
  <c r="AX205" i="9"/>
  <c r="AX203" i="9"/>
  <c r="AX202" i="9"/>
  <c r="AX201" i="9"/>
  <c r="AX204" i="9"/>
  <c r="AX197" i="9"/>
  <c r="AX196" i="9"/>
  <c r="AX199" i="9"/>
  <c r="AX200" i="9"/>
  <c r="AX198" i="9"/>
  <c r="AX193" i="9"/>
  <c r="AX192" i="9"/>
  <c r="AX190" i="9"/>
  <c r="AX186" i="9"/>
  <c r="AX182" i="9"/>
  <c r="AX191" i="9"/>
  <c r="AX189" i="9"/>
  <c r="AX185" i="9"/>
  <c r="AX181" i="9"/>
  <c r="AX188" i="9"/>
  <c r="AX178" i="9"/>
  <c r="AX174" i="9"/>
  <c r="AX187" i="9"/>
  <c r="AX177" i="9"/>
  <c r="AX173" i="9"/>
  <c r="AX170" i="9"/>
  <c r="AX166" i="9"/>
  <c r="AX162" i="9"/>
  <c r="AX158" i="9"/>
  <c r="AX154" i="9"/>
  <c r="AX194" i="9"/>
  <c r="AX183" i="9"/>
  <c r="AX179" i="9"/>
  <c r="AX169" i="9"/>
  <c r="AX165" i="9"/>
  <c r="AX161" i="9"/>
  <c r="AX157" i="9"/>
  <c r="AX153" i="9"/>
  <c r="AX195" i="9"/>
  <c r="AX180" i="9"/>
  <c r="AX184" i="9"/>
  <c r="AX175" i="9"/>
  <c r="AX176" i="9"/>
  <c r="AX172" i="9"/>
  <c r="AX171" i="9"/>
  <c r="AX163" i="9"/>
  <c r="AX168" i="9"/>
  <c r="AX160" i="9"/>
  <c r="AX167" i="9"/>
  <c r="AX164" i="9"/>
  <c r="AX156" i="9"/>
  <c r="AX159" i="9"/>
  <c r="AX149" i="9"/>
  <c r="AX148" i="9"/>
  <c r="AX155" i="9"/>
  <c r="AX151" i="9"/>
  <c r="AX147" i="9"/>
  <c r="AX152" i="9"/>
  <c r="AX150" i="9"/>
  <c r="AX146" i="9"/>
  <c r="AX144" i="9"/>
  <c r="AX140" i="9"/>
  <c r="AX136" i="9"/>
  <c r="AX143" i="9"/>
  <c r="AX139" i="9"/>
  <c r="AX135" i="9"/>
  <c r="AX131" i="9"/>
  <c r="AX142" i="9"/>
  <c r="AX138" i="9"/>
  <c r="AX134" i="9"/>
  <c r="AX145" i="9"/>
  <c r="AX141" i="9"/>
  <c r="AX137" i="9"/>
  <c r="AX133" i="9"/>
  <c r="AX130" i="9"/>
  <c r="AX126" i="9"/>
  <c r="AX122" i="9"/>
  <c r="AX118" i="9"/>
  <c r="AX129" i="9"/>
  <c r="AX125" i="9"/>
  <c r="AX121" i="9"/>
  <c r="AX117" i="9"/>
  <c r="AX128" i="9"/>
  <c r="AX124" i="9"/>
  <c r="AX120" i="9"/>
  <c r="AX132" i="9"/>
  <c r="AX127" i="9"/>
  <c r="AX123" i="9"/>
  <c r="AX119" i="9"/>
  <c r="AX115" i="9"/>
  <c r="AX111" i="9"/>
  <c r="AX107" i="9"/>
  <c r="AX103" i="9"/>
  <c r="AX99" i="9"/>
  <c r="AX95" i="9"/>
  <c r="AX114" i="9"/>
  <c r="AX110" i="9"/>
  <c r="AX106" i="9"/>
  <c r="AX102" i="9"/>
  <c r="AX98" i="9"/>
  <c r="AX94" i="9"/>
  <c r="AX90" i="9"/>
  <c r="AX116" i="9"/>
  <c r="AX113" i="9"/>
  <c r="AX109" i="9"/>
  <c r="AX112" i="9"/>
  <c r="AX108" i="9"/>
  <c r="AX104" i="9"/>
  <c r="AX100" i="9"/>
  <c r="AX96" i="9"/>
  <c r="AX92" i="9"/>
  <c r="AX88" i="9"/>
  <c r="AX97" i="9"/>
  <c r="AX91" i="9"/>
  <c r="AX86" i="9"/>
  <c r="AX82" i="9"/>
  <c r="AX78" i="9"/>
  <c r="AX74" i="9"/>
  <c r="AX70" i="9"/>
  <c r="AX66" i="9"/>
  <c r="AX93" i="9"/>
  <c r="AX89" i="9"/>
  <c r="AX85" i="9"/>
  <c r="AX81" i="9"/>
  <c r="AX77" i="9"/>
  <c r="AX73" i="9"/>
  <c r="AX69" i="9"/>
  <c r="AX65" i="9"/>
  <c r="AX105" i="9"/>
  <c r="AX87" i="9"/>
  <c r="AX84" i="9"/>
  <c r="AX80" i="9"/>
  <c r="AX76" i="9"/>
  <c r="AX72" i="9"/>
  <c r="AX68" i="9"/>
  <c r="AX101" i="9"/>
  <c r="AX83" i="9"/>
  <c r="AX79" i="9"/>
  <c r="AX75" i="9"/>
  <c r="AX71" i="9"/>
  <c r="AX67" i="9"/>
  <c r="AX63" i="9"/>
  <c r="AX64" i="9"/>
  <c r="AX62" i="9"/>
  <c r="AX15" i="9"/>
  <c r="AX13" i="9"/>
  <c r="AX11" i="9"/>
  <c r="AX9" i="9"/>
  <c r="AY6" i="9"/>
  <c r="AX8" i="9"/>
  <c r="AX16" i="9"/>
  <c r="AX14" i="9"/>
  <c r="AX12" i="9"/>
  <c r="AX10" i="9"/>
  <c r="AY213" i="9" l="1"/>
  <c r="AY212" i="9"/>
  <c r="AY211" i="9"/>
  <c r="AY210" i="9"/>
  <c r="AY208" i="9"/>
  <c r="AY207" i="9"/>
  <c r="AY209" i="9"/>
  <c r="AY206" i="9"/>
  <c r="AY205" i="9"/>
  <c r="AY204" i="9"/>
  <c r="AY201" i="9"/>
  <c r="AY200" i="9"/>
  <c r="AY203" i="9"/>
  <c r="AY202" i="9"/>
  <c r="AY196" i="9"/>
  <c r="AY199" i="9"/>
  <c r="AY195" i="9"/>
  <c r="AY198" i="9"/>
  <c r="AY193" i="9"/>
  <c r="AY197" i="9"/>
  <c r="AY192" i="9"/>
  <c r="AY191" i="9"/>
  <c r="AY189" i="9"/>
  <c r="AY185" i="9"/>
  <c r="AY181" i="9"/>
  <c r="AY188" i="9"/>
  <c r="AY184" i="9"/>
  <c r="AY180" i="9"/>
  <c r="AY187" i="9"/>
  <c r="AY177" i="9"/>
  <c r="AY173" i="9"/>
  <c r="AY186" i="9"/>
  <c r="AY176" i="9"/>
  <c r="AY194" i="9"/>
  <c r="AY183" i="9"/>
  <c r="AY179" i="9"/>
  <c r="AY169" i="9"/>
  <c r="AY165" i="9"/>
  <c r="AY161" i="9"/>
  <c r="AY157" i="9"/>
  <c r="AY153" i="9"/>
  <c r="AY190" i="9"/>
  <c r="AY178" i="9"/>
  <c r="AY172" i="9"/>
  <c r="AY168" i="9"/>
  <c r="AY164" i="9"/>
  <c r="AY160" i="9"/>
  <c r="AY156" i="9"/>
  <c r="AY152" i="9"/>
  <c r="AY182" i="9"/>
  <c r="AY175" i="9"/>
  <c r="AY171" i="9"/>
  <c r="AY174" i="9"/>
  <c r="AY170" i="9"/>
  <c r="AY162" i="9"/>
  <c r="AY167" i="9"/>
  <c r="AY159" i="9"/>
  <c r="AY166" i="9"/>
  <c r="AY163" i="9"/>
  <c r="AY148" i="9"/>
  <c r="AY155" i="9"/>
  <c r="AY151" i="9"/>
  <c r="AY147" i="9"/>
  <c r="AY158" i="9"/>
  <c r="AY154" i="9"/>
  <c r="AY150" i="9"/>
  <c r="AY149" i="9"/>
  <c r="AY145" i="9"/>
  <c r="AY143" i="9"/>
  <c r="AY139" i="9"/>
  <c r="AY135" i="9"/>
  <c r="AY142" i="9"/>
  <c r="AY138" i="9"/>
  <c r="AY134" i="9"/>
  <c r="AY146" i="9"/>
  <c r="AY141" i="9"/>
  <c r="AY137" i="9"/>
  <c r="AY133" i="9"/>
  <c r="AY144" i="9"/>
  <c r="AY140" i="9"/>
  <c r="AY136" i="9"/>
  <c r="AY132" i="9"/>
  <c r="AY129" i="9"/>
  <c r="AY125" i="9"/>
  <c r="AY121" i="9"/>
  <c r="AY128" i="9"/>
  <c r="AY124" i="9"/>
  <c r="AY120" i="9"/>
  <c r="AY116" i="9"/>
  <c r="AY127" i="9"/>
  <c r="AY123" i="9"/>
  <c r="AY119" i="9"/>
  <c r="AY131" i="9"/>
  <c r="AY130" i="9"/>
  <c r="AY126" i="9"/>
  <c r="AY122" i="9"/>
  <c r="AY118" i="9"/>
  <c r="AY114" i="9"/>
  <c r="AY110" i="9"/>
  <c r="AY106" i="9"/>
  <c r="AY102" i="9"/>
  <c r="AY98" i="9"/>
  <c r="AY94" i="9"/>
  <c r="AY117" i="9"/>
  <c r="AY113" i="9"/>
  <c r="AY109" i="9"/>
  <c r="AY105" i="9"/>
  <c r="AY101" i="9"/>
  <c r="AY97" i="9"/>
  <c r="AY93" i="9"/>
  <c r="AY89" i="9"/>
  <c r="AY112" i="9"/>
  <c r="AY108" i="9"/>
  <c r="AY115" i="9"/>
  <c r="AY111" i="9"/>
  <c r="AY107" i="9"/>
  <c r="AY103" i="9"/>
  <c r="AY99" i="9"/>
  <c r="AY95" i="9"/>
  <c r="AY91" i="9"/>
  <c r="AY87" i="9"/>
  <c r="AY104" i="9"/>
  <c r="AY90" i="9"/>
  <c r="AY85" i="9"/>
  <c r="AY81" i="9"/>
  <c r="AY77" i="9"/>
  <c r="AY73" i="9"/>
  <c r="AY69" i="9"/>
  <c r="AY65" i="9"/>
  <c r="AY100" i="9"/>
  <c r="AY88" i="9"/>
  <c r="AY84" i="9"/>
  <c r="AY80" i="9"/>
  <c r="AY76" i="9"/>
  <c r="AY72" i="9"/>
  <c r="AY68" i="9"/>
  <c r="AY64" i="9"/>
  <c r="AY96" i="9"/>
  <c r="AY83" i="9"/>
  <c r="AY79" i="9"/>
  <c r="AY75" i="9"/>
  <c r="AY71" i="9"/>
  <c r="AY67" i="9"/>
  <c r="AY92" i="9"/>
  <c r="AY86" i="9"/>
  <c r="AY82" i="9"/>
  <c r="AY78" i="9"/>
  <c r="AY74" i="9"/>
  <c r="AY70" i="9"/>
  <c r="AY66" i="9"/>
  <c r="AY63" i="9"/>
  <c r="AY62" i="9"/>
  <c r="AY15" i="9"/>
  <c r="AY13" i="9"/>
  <c r="AY11" i="9"/>
  <c r="AY9" i="9"/>
  <c r="AY8" i="9"/>
  <c r="AY16" i="9"/>
  <c r="AY14" i="9"/>
  <c r="AY12" i="9"/>
  <c r="AY10" i="9"/>
  <c r="AZ6" i="9"/>
  <c r="AZ212" i="9" l="1"/>
  <c r="AZ211" i="9"/>
  <c r="AZ213" i="9"/>
  <c r="AZ210" i="9"/>
  <c r="AZ209" i="9"/>
  <c r="AZ206" i="9"/>
  <c r="AZ208" i="9"/>
  <c r="AZ205" i="9"/>
  <c r="AZ207" i="9"/>
  <c r="AZ204" i="9"/>
  <c r="AZ203" i="9"/>
  <c r="AZ202" i="9"/>
  <c r="AZ199" i="9"/>
  <c r="AZ195" i="9"/>
  <c r="AZ198" i="9"/>
  <c r="AZ201" i="9"/>
  <c r="AZ200" i="9"/>
  <c r="AZ197" i="9"/>
  <c r="AZ192" i="9"/>
  <c r="AZ196" i="9"/>
  <c r="AZ194" i="9"/>
  <c r="AZ191" i="9"/>
  <c r="AZ188" i="9"/>
  <c r="AZ184" i="9"/>
  <c r="AZ187" i="9"/>
  <c r="AZ183" i="9"/>
  <c r="AZ186" i="9"/>
  <c r="AZ176" i="9"/>
  <c r="AZ185" i="9"/>
  <c r="AZ179" i="9"/>
  <c r="AZ175" i="9"/>
  <c r="AZ190" i="9"/>
  <c r="AZ178" i="9"/>
  <c r="AZ172" i="9"/>
  <c r="AZ168" i="9"/>
  <c r="AZ164" i="9"/>
  <c r="AZ160" i="9"/>
  <c r="AZ156" i="9"/>
  <c r="AZ152" i="9"/>
  <c r="AZ181" i="9"/>
  <c r="AZ177" i="9"/>
  <c r="AZ171" i="9"/>
  <c r="AZ167" i="9"/>
  <c r="AZ163" i="9"/>
  <c r="AZ159" i="9"/>
  <c r="AZ155" i="9"/>
  <c r="AZ151" i="9"/>
  <c r="AZ193" i="9"/>
  <c r="AZ182" i="9"/>
  <c r="AZ180" i="9"/>
  <c r="AZ174" i="9"/>
  <c r="AZ189" i="9"/>
  <c r="AZ173" i="9"/>
  <c r="AZ169" i="9"/>
  <c r="AZ161" i="9"/>
  <c r="AZ166" i="9"/>
  <c r="AZ158" i="9"/>
  <c r="AZ165" i="9"/>
  <c r="AZ170" i="9"/>
  <c r="AZ162" i="9"/>
  <c r="AZ157" i="9"/>
  <c r="AZ147" i="9"/>
  <c r="AZ154" i="9"/>
  <c r="AZ150" i="9"/>
  <c r="AZ146" i="9"/>
  <c r="AZ153" i="9"/>
  <c r="AZ149" i="9"/>
  <c r="AZ148" i="9"/>
  <c r="AZ142" i="9"/>
  <c r="AZ138" i="9"/>
  <c r="AZ134" i="9"/>
  <c r="AZ141" i="9"/>
  <c r="AZ137" i="9"/>
  <c r="AZ133" i="9"/>
  <c r="AZ145" i="9"/>
  <c r="AZ144" i="9"/>
  <c r="AZ140" i="9"/>
  <c r="AZ136" i="9"/>
  <c r="AZ143" i="9"/>
  <c r="AZ139" i="9"/>
  <c r="AZ135" i="9"/>
  <c r="AZ131" i="9"/>
  <c r="AZ128" i="9"/>
  <c r="AZ124" i="9"/>
  <c r="AZ120" i="9"/>
  <c r="AZ127" i="9"/>
  <c r="AZ123" i="9"/>
  <c r="AZ119" i="9"/>
  <c r="AZ132" i="9"/>
  <c r="AZ130" i="9"/>
  <c r="AZ126" i="9"/>
  <c r="AZ122" i="9"/>
  <c r="AZ118" i="9"/>
  <c r="AZ129" i="9"/>
  <c r="AZ125" i="9"/>
  <c r="AZ121" i="9"/>
  <c r="AZ117" i="9"/>
  <c r="AZ113" i="9"/>
  <c r="AZ109" i="9"/>
  <c r="AZ105" i="9"/>
  <c r="AZ101" i="9"/>
  <c r="AZ97" i="9"/>
  <c r="AZ93" i="9"/>
  <c r="AZ116" i="9"/>
  <c r="AZ112" i="9"/>
  <c r="AZ108" i="9"/>
  <c r="AZ104" i="9"/>
  <c r="AZ100" i="9"/>
  <c r="AZ96" i="9"/>
  <c r="AZ92" i="9"/>
  <c r="AZ88" i="9"/>
  <c r="AZ115" i="9"/>
  <c r="AZ111" i="9"/>
  <c r="AZ107" i="9"/>
  <c r="AZ114" i="9"/>
  <c r="AZ110" i="9"/>
  <c r="AZ106" i="9"/>
  <c r="AZ102" i="9"/>
  <c r="AZ98" i="9"/>
  <c r="AZ94" i="9"/>
  <c r="AZ90" i="9"/>
  <c r="AZ95" i="9"/>
  <c r="AZ89" i="9"/>
  <c r="AZ84" i="9"/>
  <c r="AZ80" i="9"/>
  <c r="AZ76" i="9"/>
  <c r="AZ72" i="9"/>
  <c r="AZ68" i="9"/>
  <c r="AZ64" i="9"/>
  <c r="AZ87" i="9"/>
  <c r="AZ83" i="9"/>
  <c r="AZ79" i="9"/>
  <c r="AZ75" i="9"/>
  <c r="AZ71" i="9"/>
  <c r="AZ67" i="9"/>
  <c r="AZ63" i="9"/>
  <c r="AZ103" i="9"/>
  <c r="AZ86" i="9"/>
  <c r="AZ82" i="9"/>
  <c r="AZ78" i="9"/>
  <c r="AZ74" i="9"/>
  <c r="AZ70" i="9"/>
  <c r="AZ66" i="9"/>
  <c r="AZ99" i="9"/>
  <c r="AZ91" i="9"/>
  <c r="AZ85" i="9"/>
  <c r="AZ81" i="9"/>
  <c r="AZ77" i="9"/>
  <c r="AZ73" i="9"/>
  <c r="AZ69" i="9"/>
  <c r="AZ65" i="9"/>
  <c r="AZ62" i="9"/>
  <c r="AZ8" i="9"/>
  <c r="AZ16" i="9"/>
  <c r="AZ14" i="9"/>
  <c r="AZ12" i="9"/>
  <c r="AZ10" i="9"/>
  <c r="BA6" i="9"/>
  <c r="AZ15" i="9"/>
  <c r="AZ13" i="9"/>
  <c r="AZ11" i="9"/>
  <c r="AZ9" i="9"/>
  <c r="BB6" i="9" l="1"/>
  <c r="BA8" i="9"/>
  <c r="BC6" i="9" l="1"/>
  <c r="BB8" i="9"/>
  <c r="BC213" i="9" l="1"/>
  <c r="BC211" i="9"/>
  <c r="BC210" i="9"/>
  <c r="BC209" i="9"/>
  <c r="BC212" i="9"/>
  <c r="BC208" i="9"/>
  <c r="BC207" i="9"/>
  <c r="BC203" i="9"/>
  <c r="BC206" i="9"/>
  <c r="BC205" i="9"/>
  <c r="BC204" i="9"/>
  <c r="BC202" i="9"/>
  <c r="BC201" i="9"/>
  <c r="BC198" i="9"/>
  <c r="BC194" i="9"/>
  <c r="BC200" i="9"/>
  <c r="BC197" i="9"/>
  <c r="BC196" i="9"/>
  <c r="BC191" i="9"/>
  <c r="BC195" i="9"/>
  <c r="BC187" i="9"/>
  <c r="BC183" i="9"/>
  <c r="BC199" i="9"/>
  <c r="BC190" i="9"/>
  <c r="BC186" i="9"/>
  <c r="BC182" i="9"/>
  <c r="BC185" i="9"/>
  <c r="BC179" i="9"/>
  <c r="BC175" i="9"/>
  <c r="BC192" i="9"/>
  <c r="BC184" i="9"/>
  <c r="BC180" i="9"/>
  <c r="BC178" i="9"/>
  <c r="BC174" i="9"/>
  <c r="BC181" i="9"/>
  <c r="BC177" i="9"/>
  <c r="BC171" i="9"/>
  <c r="BC167" i="9"/>
  <c r="BC163" i="9"/>
  <c r="BC159" i="9"/>
  <c r="BC155" i="9"/>
  <c r="BC188" i="9"/>
  <c r="BC176" i="9"/>
  <c r="BC170" i="9"/>
  <c r="BC166" i="9"/>
  <c r="BC162" i="9"/>
  <c r="BC158" i="9"/>
  <c r="BC154" i="9"/>
  <c r="BC193" i="9"/>
  <c r="BC172" i="9"/>
  <c r="BC189" i="9"/>
  <c r="BC173" i="9"/>
  <c r="BC168" i="9"/>
  <c r="BC160" i="9"/>
  <c r="BC165" i="9"/>
  <c r="BC157" i="9"/>
  <c r="BC164" i="9"/>
  <c r="BC169" i="9"/>
  <c r="BC161" i="9"/>
  <c r="BC151" i="9"/>
  <c r="BC150" i="9"/>
  <c r="BC153" i="9"/>
  <c r="BC149" i="9"/>
  <c r="BC145" i="9"/>
  <c r="BC156" i="9"/>
  <c r="BC152" i="9"/>
  <c r="BC148" i="9"/>
  <c r="BC147" i="9"/>
  <c r="BC141" i="9"/>
  <c r="BC137" i="9"/>
  <c r="BC133" i="9"/>
  <c r="BC146" i="9"/>
  <c r="BC144" i="9"/>
  <c r="BC140" i="9"/>
  <c r="BC136" i="9"/>
  <c r="BC132" i="9"/>
  <c r="BC143" i="9"/>
  <c r="BC139" i="9"/>
  <c r="BC135" i="9"/>
  <c r="BC142" i="9"/>
  <c r="BC138" i="9"/>
  <c r="BC134" i="9"/>
  <c r="BC127" i="9"/>
  <c r="BC123" i="9"/>
  <c r="BC119" i="9"/>
  <c r="BC130" i="9"/>
  <c r="BC126" i="9"/>
  <c r="BC122" i="9"/>
  <c r="BC118" i="9"/>
  <c r="BC131" i="9"/>
  <c r="BC129" i="9"/>
  <c r="BC125" i="9"/>
  <c r="BC121" i="9"/>
  <c r="BC128" i="9"/>
  <c r="BC124" i="9"/>
  <c r="BC120" i="9"/>
  <c r="BC116" i="9"/>
  <c r="BC117" i="9"/>
  <c r="BC112" i="9"/>
  <c r="BC108" i="9"/>
  <c r="BC104" i="9"/>
  <c r="BC100" i="9"/>
  <c r="BC96" i="9"/>
  <c r="BC115" i="9"/>
  <c r="BC111" i="9"/>
  <c r="BC107" i="9"/>
  <c r="BC103" i="9"/>
  <c r="BC99" i="9"/>
  <c r="BC95" i="9"/>
  <c r="BC91" i="9"/>
  <c r="BC87" i="9"/>
  <c r="BC114" i="9"/>
  <c r="BC110" i="9"/>
  <c r="BC113" i="9"/>
  <c r="BC109" i="9"/>
  <c r="BC105" i="9"/>
  <c r="BC101" i="9"/>
  <c r="BC97" i="9"/>
  <c r="BC93" i="9"/>
  <c r="BC89" i="9"/>
  <c r="BC102" i="9"/>
  <c r="BC88" i="9"/>
  <c r="BC83" i="9"/>
  <c r="BC79" i="9"/>
  <c r="BC75" i="9"/>
  <c r="BC71" i="9"/>
  <c r="BC67" i="9"/>
  <c r="BC98" i="9"/>
  <c r="BC86" i="9"/>
  <c r="BC82" i="9"/>
  <c r="BC78" i="9"/>
  <c r="BC74" i="9"/>
  <c r="BC70" i="9"/>
  <c r="BC66" i="9"/>
  <c r="BC94" i="9"/>
  <c r="BC92" i="9"/>
  <c r="BC85" i="9"/>
  <c r="BC81" i="9"/>
  <c r="BC77" i="9"/>
  <c r="BC73" i="9"/>
  <c r="BC69" i="9"/>
  <c r="BC65" i="9"/>
  <c r="BC106" i="9"/>
  <c r="BC90" i="9"/>
  <c r="BC84" i="9"/>
  <c r="BC80" i="9"/>
  <c r="BC76" i="9"/>
  <c r="BC72" i="9"/>
  <c r="BC68" i="9"/>
  <c r="BC64" i="9"/>
  <c r="BC63" i="9"/>
  <c r="BC62" i="9"/>
  <c r="BC16" i="9"/>
  <c r="BC14" i="9"/>
  <c r="BC12" i="9"/>
  <c r="BC10" i="9"/>
  <c r="BC8" i="9"/>
  <c r="BD6" i="9"/>
  <c r="BC15" i="9"/>
  <c r="BC13" i="9"/>
  <c r="BC11" i="9"/>
  <c r="BC9" i="9"/>
  <c r="BD213" i="9" l="1"/>
  <c r="BD212" i="9"/>
  <c r="BD210" i="9"/>
  <c r="BD211" i="9"/>
  <c r="BD209" i="9"/>
  <c r="BD208" i="9"/>
  <c r="BD207" i="9"/>
  <c r="BD206" i="9"/>
  <c r="BD205" i="9"/>
  <c r="BD204" i="9"/>
  <c r="BD202" i="9"/>
  <c r="BD203" i="9"/>
  <c r="BD201" i="9"/>
  <c r="BD200" i="9"/>
  <c r="BD197" i="9"/>
  <c r="BD196" i="9"/>
  <c r="BD195" i="9"/>
  <c r="BD194" i="9"/>
  <c r="BD193" i="9"/>
  <c r="BD199" i="9"/>
  <c r="BD190" i="9"/>
  <c r="BD186" i="9"/>
  <c r="BD182" i="9"/>
  <c r="BD189" i="9"/>
  <c r="BD185" i="9"/>
  <c r="BD181" i="9"/>
  <c r="BD192" i="9"/>
  <c r="BD184" i="9"/>
  <c r="BD180" i="9"/>
  <c r="BD178" i="9"/>
  <c r="BD174" i="9"/>
  <c r="BD198" i="9"/>
  <c r="BD183" i="9"/>
  <c r="BD177" i="9"/>
  <c r="BD188" i="9"/>
  <c r="BD176" i="9"/>
  <c r="BD170" i="9"/>
  <c r="BD166" i="9"/>
  <c r="BD162" i="9"/>
  <c r="BD158" i="9"/>
  <c r="BD154" i="9"/>
  <c r="BD191" i="9"/>
  <c r="BD175" i="9"/>
  <c r="BD173" i="9"/>
  <c r="BD169" i="9"/>
  <c r="BD165" i="9"/>
  <c r="BD161" i="9"/>
  <c r="BD157" i="9"/>
  <c r="BD153" i="9"/>
  <c r="BD187" i="9"/>
  <c r="BD172" i="9"/>
  <c r="BD171" i="9"/>
  <c r="BD179" i="9"/>
  <c r="BD167" i="9"/>
  <c r="BD164" i="9"/>
  <c r="BD156" i="9"/>
  <c r="BD163" i="9"/>
  <c r="BD168" i="9"/>
  <c r="BD160" i="9"/>
  <c r="BD155" i="9"/>
  <c r="BD149" i="9"/>
  <c r="BD152" i="9"/>
  <c r="BD148" i="9"/>
  <c r="BD147" i="9"/>
  <c r="BD159" i="9"/>
  <c r="BD151" i="9"/>
  <c r="BD150" i="9"/>
  <c r="BD146" i="9"/>
  <c r="BD144" i="9"/>
  <c r="BD140" i="9"/>
  <c r="BD136" i="9"/>
  <c r="BD145" i="9"/>
  <c r="BD143" i="9"/>
  <c r="BD139" i="9"/>
  <c r="BD135" i="9"/>
  <c r="BD131" i="9"/>
  <c r="BD142" i="9"/>
  <c r="BD138" i="9"/>
  <c r="BD134" i="9"/>
  <c r="BD141" i="9"/>
  <c r="BD137" i="9"/>
  <c r="BD133" i="9"/>
  <c r="BD130" i="9"/>
  <c r="BD126" i="9"/>
  <c r="BD122" i="9"/>
  <c r="BD118" i="9"/>
  <c r="BD132" i="9"/>
  <c r="BD129" i="9"/>
  <c r="BD125" i="9"/>
  <c r="BD121" i="9"/>
  <c r="BD117" i="9"/>
  <c r="BD128" i="9"/>
  <c r="BD124" i="9"/>
  <c r="BD120" i="9"/>
  <c r="BD127" i="9"/>
  <c r="BD123" i="9"/>
  <c r="BD119" i="9"/>
  <c r="BD116" i="9"/>
  <c r="BD115" i="9"/>
  <c r="BD111" i="9"/>
  <c r="BD107" i="9"/>
  <c r="BD103" i="9"/>
  <c r="BD99" i="9"/>
  <c r="BD95" i="9"/>
  <c r="BD114" i="9"/>
  <c r="BD110" i="9"/>
  <c r="BD106" i="9"/>
  <c r="BD102" i="9"/>
  <c r="BD98" i="9"/>
  <c r="BD94" i="9"/>
  <c r="BD90" i="9"/>
  <c r="BD113" i="9"/>
  <c r="BD109" i="9"/>
  <c r="BD112" i="9"/>
  <c r="BD108" i="9"/>
  <c r="BD104" i="9"/>
  <c r="BD100" i="9"/>
  <c r="BD96" i="9"/>
  <c r="BD92" i="9"/>
  <c r="BD88" i="9"/>
  <c r="BD93" i="9"/>
  <c r="BD87" i="9"/>
  <c r="BD86" i="9"/>
  <c r="BD82" i="9"/>
  <c r="BD78" i="9"/>
  <c r="BD74" i="9"/>
  <c r="BD70" i="9"/>
  <c r="BD66" i="9"/>
  <c r="BD105" i="9"/>
  <c r="BD85" i="9"/>
  <c r="BD81" i="9"/>
  <c r="BD77" i="9"/>
  <c r="BD73" i="9"/>
  <c r="BD69" i="9"/>
  <c r="BD65" i="9"/>
  <c r="BD101" i="9"/>
  <c r="BD91" i="9"/>
  <c r="BD84" i="9"/>
  <c r="BD80" i="9"/>
  <c r="BD76" i="9"/>
  <c r="BD72" i="9"/>
  <c r="BD68" i="9"/>
  <c r="BD97" i="9"/>
  <c r="BD89" i="9"/>
  <c r="BD83" i="9"/>
  <c r="BD79" i="9"/>
  <c r="BD75" i="9"/>
  <c r="BD71" i="9"/>
  <c r="BD67" i="9"/>
  <c r="BD63" i="9"/>
  <c r="BD64" i="9"/>
  <c r="BD62" i="9"/>
  <c r="BD8" i="9"/>
  <c r="BD15" i="9"/>
  <c r="BD13" i="9"/>
  <c r="BD11" i="9"/>
  <c r="BD9" i="9"/>
  <c r="BE6" i="9"/>
  <c r="BD16" i="9"/>
  <c r="BD14" i="9"/>
  <c r="BD12" i="9"/>
  <c r="BD10" i="9"/>
  <c r="BE213" i="9" l="1"/>
  <c r="BE212" i="9"/>
  <c r="BE211" i="9"/>
  <c r="BE208" i="9"/>
  <c r="BE207" i="9"/>
  <c r="BE210" i="9"/>
  <c r="BE209" i="9"/>
  <c r="BE206" i="9"/>
  <c r="BE205" i="9"/>
  <c r="BE204" i="9"/>
  <c r="BE203" i="9"/>
  <c r="BE201" i="9"/>
  <c r="BE200" i="9"/>
  <c r="BE196" i="9"/>
  <c r="BE199" i="9"/>
  <c r="BE195" i="9"/>
  <c r="BE193" i="9"/>
  <c r="BE202" i="9"/>
  <c r="BE192" i="9"/>
  <c r="BE189" i="9"/>
  <c r="BE185" i="9"/>
  <c r="BE181" i="9"/>
  <c r="BE197" i="9"/>
  <c r="BE194" i="9"/>
  <c r="BE188" i="9"/>
  <c r="BE184" i="9"/>
  <c r="BE180" i="9"/>
  <c r="BE198" i="9"/>
  <c r="BE183" i="9"/>
  <c r="BE177" i="9"/>
  <c r="BE173" i="9"/>
  <c r="BE190" i="9"/>
  <c r="BE182" i="9"/>
  <c r="BE176" i="9"/>
  <c r="BE191" i="9"/>
  <c r="BE175" i="9"/>
  <c r="BE169" i="9"/>
  <c r="BE165" i="9"/>
  <c r="BE161" i="9"/>
  <c r="BE157" i="9"/>
  <c r="BE153" i="9"/>
  <c r="BE186" i="9"/>
  <c r="BE174" i="9"/>
  <c r="BE172" i="9"/>
  <c r="BE168" i="9"/>
  <c r="BE164" i="9"/>
  <c r="BE160" i="9"/>
  <c r="BE156" i="9"/>
  <c r="BE152" i="9"/>
  <c r="BE187" i="9"/>
  <c r="BE171" i="9"/>
  <c r="BE178" i="9"/>
  <c r="BE179" i="9"/>
  <c r="BE166" i="9"/>
  <c r="BE163" i="9"/>
  <c r="BE170" i="9"/>
  <c r="BE162" i="9"/>
  <c r="BE167" i="9"/>
  <c r="BE159" i="9"/>
  <c r="BE154" i="9"/>
  <c r="BE148" i="9"/>
  <c r="BE158" i="9"/>
  <c r="BE147" i="9"/>
  <c r="BE151" i="9"/>
  <c r="BE150" i="9"/>
  <c r="BE155" i="9"/>
  <c r="BE149" i="9"/>
  <c r="BE145" i="9"/>
  <c r="BE146" i="9"/>
  <c r="BE143" i="9"/>
  <c r="BE139" i="9"/>
  <c r="BE135" i="9"/>
  <c r="BE142" i="9"/>
  <c r="BE138" i="9"/>
  <c r="BE134" i="9"/>
  <c r="BE141" i="9"/>
  <c r="BE137" i="9"/>
  <c r="BE133" i="9"/>
  <c r="BE144" i="9"/>
  <c r="BE140" i="9"/>
  <c r="BE136" i="9"/>
  <c r="BE132" i="9"/>
  <c r="BE129" i="9"/>
  <c r="BE125" i="9"/>
  <c r="BE121" i="9"/>
  <c r="BE131" i="9"/>
  <c r="BE128" i="9"/>
  <c r="BE124" i="9"/>
  <c r="BE120" i="9"/>
  <c r="BE116" i="9"/>
  <c r="BE127" i="9"/>
  <c r="BE123" i="9"/>
  <c r="BE119" i="9"/>
  <c r="BE130" i="9"/>
  <c r="BE126" i="9"/>
  <c r="BE122" i="9"/>
  <c r="BE118" i="9"/>
  <c r="BE114" i="9"/>
  <c r="BE110" i="9"/>
  <c r="BE106" i="9"/>
  <c r="BE102" i="9"/>
  <c r="BE98" i="9"/>
  <c r="BE94" i="9"/>
  <c r="BE113" i="9"/>
  <c r="BE109" i="9"/>
  <c r="BE105" i="9"/>
  <c r="BE101" i="9"/>
  <c r="BE97" i="9"/>
  <c r="BE93" i="9"/>
  <c r="BE89" i="9"/>
  <c r="BE112" i="9"/>
  <c r="BE108" i="9"/>
  <c r="BE117" i="9"/>
  <c r="BE115" i="9"/>
  <c r="BE111" i="9"/>
  <c r="BE107" i="9"/>
  <c r="BE103" i="9"/>
  <c r="BE99" i="9"/>
  <c r="BE95" i="9"/>
  <c r="BE91" i="9"/>
  <c r="BE87" i="9"/>
  <c r="BE100" i="9"/>
  <c r="BE85" i="9"/>
  <c r="BE81" i="9"/>
  <c r="BE77" i="9"/>
  <c r="BE73" i="9"/>
  <c r="BE69" i="9"/>
  <c r="BE65" i="9"/>
  <c r="BE96" i="9"/>
  <c r="BE92" i="9"/>
  <c r="BE84" i="9"/>
  <c r="BE80" i="9"/>
  <c r="BE76" i="9"/>
  <c r="BE72" i="9"/>
  <c r="BE68" i="9"/>
  <c r="BE64" i="9"/>
  <c r="BE90" i="9"/>
  <c r="BE83" i="9"/>
  <c r="BE79" i="9"/>
  <c r="BE75" i="9"/>
  <c r="BE71" i="9"/>
  <c r="BE67" i="9"/>
  <c r="BE104" i="9"/>
  <c r="BE88" i="9"/>
  <c r="BE86" i="9"/>
  <c r="BE82" i="9"/>
  <c r="BE78" i="9"/>
  <c r="BE74" i="9"/>
  <c r="BE70" i="9"/>
  <c r="BE66" i="9"/>
  <c r="BE62" i="9"/>
  <c r="BE63" i="9"/>
  <c r="BE15" i="9"/>
  <c r="BE13" i="9"/>
  <c r="BE11" i="9"/>
  <c r="BE9" i="9"/>
  <c r="BF6" i="9"/>
  <c r="BE16" i="9"/>
  <c r="BE14" i="9"/>
  <c r="BE12" i="9"/>
  <c r="BE10" i="9"/>
  <c r="BE8" i="9"/>
  <c r="BF213" i="9" l="1"/>
  <c r="BF212" i="9"/>
  <c r="BF211" i="9"/>
  <c r="BF210" i="9"/>
  <c r="BF206" i="9"/>
  <c r="BF209" i="9"/>
  <c r="BF205" i="9"/>
  <c r="BF204" i="9"/>
  <c r="BF208" i="9"/>
  <c r="BF207" i="9"/>
  <c r="BF202" i="9"/>
  <c r="BF199" i="9"/>
  <c r="BF195" i="9"/>
  <c r="BF201" i="9"/>
  <c r="BF198" i="9"/>
  <c r="BF192" i="9"/>
  <c r="BF203" i="9"/>
  <c r="BF191" i="9"/>
  <c r="BF197" i="9"/>
  <c r="BF194" i="9"/>
  <c r="BF188" i="9"/>
  <c r="BF184" i="9"/>
  <c r="BF193" i="9"/>
  <c r="BF187" i="9"/>
  <c r="BF183" i="9"/>
  <c r="BF190" i="9"/>
  <c r="BF182" i="9"/>
  <c r="BF176" i="9"/>
  <c r="BF189" i="9"/>
  <c r="BF181" i="9"/>
  <c r="BF179" i="9"/>
  <c r="BF175" i="9"/>
  <c r="BF186" i="9"/>
  <c r="BF174" i="9"/>
  <c r="BF173" i="9"/>
  <c r="BF172" i="9"/>
  <c r="BF168" i="9"/>
  <c r="BF164" i="9"/>
  <c r="BF160" i="9"/>
  <c r="BF156" i="9"/>
  <c r="BF152" i="9"/>
  <c r="BF180" i="9"/>
  <c r="BF171" i="9"/>
  <c r="BF167" i="9"/>
  <c r="BF163" i="9"/>
  <c r="BF159" i="9"/>
  <c r="BF155" i="9"/>
  <c r="BF151" i="9"/>
  <c r="BF196" i="9"/>
  <c r="BF200" i="9"/>
  <c r="BF178" i="9"/>
  <c r="BF185" i="9"/>
  <c r="BF177" i="9"/>
  <c r="BF165" i="9"/>
  <c r="BF170" i="9"/>
  <c r="BF162" i="9"/>
  <c r="BF169" i="9"/>
  <c r="BF161" i="9"/>
  <c r="BF166" i="9"/>
  <c r="BF158" i="9"/>
  <c r="BF153" i="9"/>
  <c r="BF147" i="9"/>
  <c r="BF150" i="9"/>
  <c r="BF146" i="9"/>
  <c r="BF149" i="9"/>
  <c r="BF157" i="9"/>
  <c r="BF154" i="9"/>
  <c r="BF148" i="9"/>
  <c r="BF145" i="9"/>
  <c r="BF142" i="9"/>
  <c r="BF138" i="9"/>
  <c r="BF134" i="9"/>
  <c r="BF141" i="9"/>
  <c r="BF137" i="9"/>
  <c r="BF133" i="9"/>
  <c r="BF144" i="9"/>
  <c r="BF140" i="9"/>
  <c r="BF136" i="9"/>
  <c r="BF143" i="9"/>
  <c r="BF139" i="9"/>
  <c r="BF135" i="9"/>
  <c r="BF131" i="9"/>
  <c r="BF132" i="9"/>
  <c r="BF128" i="9"/>
  <c r="BF124" i="9"/>
  <c r="BF120" i="9"/>
  <c r="BF127" i="9"/>
  <c r="BF123" i="9"/>
  <c r="BF119" i="9"/>
  <c r="BF130" i="9"/>
  <c r="BF126" i="9"/>
  <c r="BF122" i="9"/>
  <c r="BF118" i="9"/>
  <c r="BF129" i="9"/>
  <c r="BF125" i="9"/>
  <c r="BF121" i="9"/>
  <c r="BF117" i="9"/>
  <c r="BF113" i="9"/>
  <c r="BF109" i="9"/>
  <c r="BF105" i="9"/>
  <c r="BF101" i="9"/>
  <c r="BF97" i="9"/>
  <c r="BF93" i="9"/>
  <c r="BF112" i="9"/>
  <c r="BF108" i="9"/>
  <c r="BF104" i="9"/>
  <c r="BF100" i="9"/>
  <c r="BF96" i="9"/>
  <c r="BF92" i="9"/>
  <c r="BF88" i="9"/>
  <c r="BF115" i="9"/>
  <c r="BF111" i="9"/>
  <c r="BF107" i="9"/>
  <c r="BF116" i="9"/>
  <c r="BF114" i="9"/>
  <c r="BF110" i="9"/>
  <c r="BF106" i="9"/>
  <c r="BF102" i="9"/>
  <c r="BF98" i="9"/>
  <c r="BF94" i="9"/>
  <c r="BF90" i="9"/>
  <c r="BF84" i="9"/>
  <c r="BF80" i="9"/>
  <c r="BF76" i="9"/>
  <c r="BF72" i="9"/>
  <c r="BF68" i="9"/>
  <c r="BF64" i="9"/>
  <c r="BF103" i="9"/>
  <c r="BF91" i="9"/>
  <c r="BF83" i="9"/>
  <c r="BF79" i="9"/>
  <c r="BF75" i="9"/>
  <c r="BF71" i="9"/>
  <c r="BF67" i="9"/>
  <c r="BF63" i="9"/>
  <c r="BF99" i="9"/>
  <c r="BF89" i="9"/>
  <c r="BF86" i="9"/>
  <c r="BF82" i="9"/>
  <c r="BF78" i="9"/>
  <c r="BF74" i="9"/>
  <c r="BF70" i="9"/>
  <c r="BF66" i="9"/>
  <c r="BF95" i="9"/>
  <c r="BF87" i="9"/>
  <c r="BF85" i="9"/>
  <c r="BF81" i="9"/>
  <c r="BF77" i="9"/>
  <c r="BF73" i="9"/>
  <c r="BF69" i="9"/>
  <c r="BF65" i="9"/>
  <c r="BF62" i="9"/>
  <c r="BF16" i="9"/>
  <c r="BF14" i="9"/>
  <c r="BF12" i="9"/>
  <c r="BF10" i="9"/>
  <c r="BF8" i="9"/>
  <c r="BF15" i="9"/>
  <c r="BF13" i="9"/>
  <c r="BF11" i="9"/>
  <c r="BF9" i="9"/>
  <c r="BG6" i="9"/>
  <c r="BG213" i="9" l="1"/>
  <c r="BG212" i="9"/>
  <c r="BG211" i="9"/>
  <c r="BG210" i="9"/>
  <c r="BG209" i="9"/>
  <c r="BG208" i="9"/>
  <c r="BG206" i="9"/>
  <c r="BG203" i="9"/>
  <c r="BG207" i="9"/>
  <c r="BG205" i="9"/>
  <c r="BG202" i="9"/>
  <c r="BG201" i="9"/>
  <c r="BG198" i="9"/>
  <c r="BG194" i="9"/>
  <c r="BG204" i="9"/>
  <c r="BG197" i="9"/>
  <c r="BG191" i="9"/>
  <c r="BG199" i="9"/>
  <c r="BG193" i="9"/>
  <c r="BG187" i="9"/>
  <c r="BG183" i="9"/>
  <c r="BG195" i="9"/>
  <c r="BG192" i="9"/>
  <c r="BG190" i="9"/>
  <c r="BG186" i="9"/>
  <c r="BG182" i="9"/>
  <c r="BG189" i="9"/>
  <c r="BG181" i="9"/>
  <c r="BG179" i="9"/>
  <c r="BG175" i="9"/>
  <c r="BG188" i="9"/>
  <c r="BG178" i="9"/>
  <c r="BG174" i="9"/>
  <c r="BG180" i="9"/>
  <c r="BG171" i="9"/>
  <c r="BG167" i="9"/>
  <c r="BG163" i="9"/>
  <c r="BG159" i="9"/>
  <c r="BG155" i="9"/>
  <c r="BG184" i="9"/>
  <c r="BG170" i="9"/>
  <c r="BG166" i="9"/>
  <c r="BG162" i="9"/>
  <c r="BG158" i="9"/>
  <c r="BG154" i="9"/>
  <c r="BG196" i="9"/>
  <c r="BG200" i="9"/>
  <c r="BG185" i="9"/>
  <c r="BG176" i="9"/>
  <c r="BG173" i="9"/>
  <c r="BG177" i="9"/>
  <c r="BG172" i="9"/>
  <c r="BG164" i="9"/>
  <c r="BG169" i="9"/>
  <c r="BG161" i="9"/>
  <c r="BG168" i="9"/>
  <c r="BG160" i="9"/>
  <c r="BG165" i="9"/>
  <c r="BG157" i="9"/>
  <c r="BG152" i="9"/>
  <c r="BG150" i="9"/>
  <c r="BG156" i="9"/>
  <c r="BG151" i="9"/>
  <c r="BG149" i="9"/>
  <c r="BG145" i="9"/>
  <c r="BG148" i="9"/>
  <c r="BG153" i="9"/>
  <c r="BG147" i="9"/>
  <c r="BG141" i="9"/>
  <c r="BG137" i="9"/>
  <c r="BG133" i="9"/>
  <c r="BG144" i="9"/>
  <c r="BG140" i="9"/>
  <c r="BG136" i="9"/>
  <c r="BG132" i="9"/>
  <c r="BG143" i="9"/>
  <c r="BG139" i="9"/>
  <c r="BG135" i="9"/>
  <c r="BG146" i="9"/>
  <c r="BG142" i="9"/>
  <c r="BG138" i="9"/>
  <c r="BG134" i="9"/>
  <c r="BG131" i="9"/>
  <c r="BG127" i="9"/>
  <c r="BG123" i="9"/>
  <c r="BG119" i="9"/>
  <c r="BG130" i="9"/>
  <c r="BG126" i="9"/>
  <c r="BG122" i="9"/>
  <c r="BG118" i="9"/>
  <c r="BG129" i="9"/>
  <c r="BG125" i="9"/>
  <c r="BG121" i="9"/>
  <c r="BG128" i="9"/>
  <c r="BG124" i="9"/>
  <c r="BG120" i="9"/>
  <c r="BG116" i="9"/>
  <c r="BG112" i="9"/>
  <c r="BG108" i="9"/>
  <c r="BG104" i="9"/>
  <c r="BG100" i="9"/>
  <c r="BG96" i="9"/>
  <c r="BG115" i="9"/>
  <c r="BG111" i="9"/>
  <c r="BG107" i="9"/>
  <c r="BG103" i="9"/>
  <c r="BG99" i="9"/>
  <c r="BG95" i="9"/>
  <c r="BG91" i="9"/>
  <c r="BG87" i="9"/>
  <c r="BG117" i="9"/>
  <c r="BG114" i="9"/>
  <c r="BG110" i="9"/>
  <c r="BG113" i="9"/>
  <c r="BG109" i="9"/>
  <c r="BG105" i="9"/>
  <c r="BG101" i="9"/>
  <c r="BG97" i="9"/>
  <c r="BG93" i="9"/>
  <c r="BG89" i="9"/>
  <c r="BG98" i="9"/>
  <c r="BG92" i="9"/>
  <c r="BG83" i="9"/>
  <c r="BG79" i="9"/>
  <c r="BG75" i="9"/>
  <c r="BG71" i="9"/>
  <c r="BG67" i="9"/>
  <c r="BG94" i="9"/>
  <c r="BG90" i="9"/>
  <c r="BG86" i="9"/>
  <c r="BG82" i="9"/>
  <c r="BG78" i="9"/>
  <c r="BG74" i="9"/>
  <c r="BG70" i="9"/>
  <c r="BG66" i="9"/>
  <c r="BG106" i="9"/>
  <c r="BG88" i="9"/>
  <c r="BG85" i="9"/>
  <c r="BG81" i="9"/>
  <c r="BG77" i="9"/>
  <c r="BG73" i="9"/>
  <c r="BG69" i="9"/>
  <c r="BG65" i="9"/>
  <c r="BG102" i="9"/>
  <c r="BG84" i="9"/>
  <c r="BG80" i="9"/>
  <c r="BG76" i="9"/>
  <c r="BG72" i="9"/>
  <c r="BG68" i="9"/>
  <c r="BG64" i="9"/>
  <c r="BG63" i="9"/>
  <c r="BG62" i="9"/>
  <c r="BG16" i="9"/>
  <c r="BG14" i="9"/>
  <c r="BG12" i="9"/>
  <c r="BG10" i="9"/>
  <c r="BG8" i="9"/>
  <c r="BG15" i="9"/>
  <c r="BG13" i="9"/>
  <c r="BG11" i="9"/>
  <c r="BG9" i="9"/>
  <c r="BH6" i="9"/>
  <c r="BH8" i="9" l="1"/>
  <c r="BI6" i="9"/>
  <c r="BJ6" i="9" l="1"/>
  <c r="BI8" i="9"/>
  <c r="BJ213" i="9" l="1"/>
  <c r="BJ211" i="9"/>
  <c r="BJ210" i="9"/>
  <c r="BJ209" i="9"/>
  <c r="BJ212" i="9"/>
  <c r="BJ208" i="9"/>
  <c r="BJ207" i="9"/>
  <c r="BJ205" i="9"/>
  <c r="BJ206" i="9"/>
  <c r="BJ202" i="9"/>
  <c r="BJ201" i="9"/>
  <c r="BJ204" i="9"/>
  <c r="BJ203" i="9"/>
  <c r="BJ197" i="9"/>
  <c r="BJ200" i="9"/>
  <c r="BJ196" i="9"/>
  <c r="BJ199" i="9"/>
  <c r="BJ198" i="9"/>
  <c r="BJ194" i="9"/>
  <c r="BJ193" i="9"/>
  <c r="BJ195" i="9"/>
  <c r="BJ192" i="9"/>
  <c r="BJ190" i="9"/>
  <c r="BJ186" i="9"/>
  <c r="BJ182" i="9"/>
  <c r="BJ191" i="9"/>
  <c r="BJ189" i="9"/>
  <c r="BJ185" i="9"/>
  <c r="BJ181" i="9"/>
  <c r="BJ188" i="9"/>
  <c r="BJ178" i="9"/>
  <c r="BJ174" i="9"/>
  <c r="BJ187" i="9"/>
  <c r="BJ180" i="9"/>
  <c r="BJ177" i="9"/>
  <c r="BJ184" i="9"/>
  <c r="BJ170" i="9"/>
  <c r="BJ166" i="9"/>
  <c r="BJ162" i="9"/>
  <c r="BJ158" i="9"/>
  <c r="BJ154" i="9"/>
  <c r="BJ179" i="9"/>
  <c r="BJ169" i="9"/>
  <c r="BJ165" i="9"/>
  <c r="BJ161" i="9"/>
  <c r="BJ157" i="9"/>
  <c r="BJ153" i="9"/>
  <c r="BJ183" i="9"/>
  <c r="BJ176" i="9"/>
  <c r="BJ173" i="9"/>
  <c r="BJ172" i="9"/>
  <c r="BJ175" i="9"/>
  <c r="BJ171" i="9"/>
  <c r="BJ163" i="9"/>
  <c r="BJ168" i="9"/>
  <c r="BJ160" i="9"/>
  <c r="BJ167" i="9"/>
  <c r="BJ164" i="9"/>
  <c r="BJ156" i="9"/>
  <c r="BJ151" i="9"/>
  <c r="BJ149" i="9"/>
  <c r="BJ148" i="9"/>
  <c r="BJ159" i="9"/>
  <c r="BJ155" i="9"/>
  <c r="BJ147" i="9"/>
  <c r="BJ152" i="9"/>
  <c r="BJ150" i="9"/>
  <c r="BJ146" i="9"/>
  <c r="BJ144" i="9"/>
  <c r="BJ140" i="9"/>
  <c r="BJ136" i="9"/>
  <c r="BJ143" i="9"/>
  <c r="BJ139" i="9"/>
  <c r="BJ135" i="9"/>
  <c r="BJ131" i="9"/>
  <c r="BJ142" i="9"/>
  <c r="BJ138" i="9"/>
  <c r="BJ134" i="9"/>
  <c r="BJ145" i="9"/>
  <c r="BJ141" i="9"/>
  <c r="BJ137" i="9"/>
  <c r="BJ133" i="9"/>
  <c r="BJ130" i="9"/>
  <c r="BJ126" i="9"/>
  <c r="BJ122" i="9"/>
  <c r="BJ118" i="9"/>
  <c r="BJ129" i="9"/>
  <c r="BJ125" i="9"/>
  <c r="BJ121" i="9"/>
  <c r="BJ117" i="9"/>
  <c r="BJ128" i="9"/>
  <c r="BJ124" i="9"/>
  <c r="BJ120" i="9"/>
  <c r="BJ132" i="9"/>
  <c r="BJ127" i="9"/>
  <c r="BJ123" i="9"/>
  <c r="BJ119" i="9"/>
  <c r="BJ115" i="9"/>
  <c r="BJ111" i="9"/>
  <c r="BJ107" i="9"/>
  <c r="BJ103" i="9"/>
  <c r="BJ99" i="9"/>
  <c r="BJ95" i="9"/>
  <c r="BJ114" i="9"/>
  <c r="BJ110" i="9"/>
  <c r="BJ106" i="9"/>
  <c r="BJ102" i="9"/>
  <c r="BJ98" i="9"/>
  <c r="BJ94" i="9"/>
  <c r="BJ90" i="9"/>
  <c r="BJ116" i="9"/>
  <c r="BJ113" i="9"/>
  <c r="BJ109" i="9"/>
  <c r="BJ112" i="9"/>
  <c r="BJ108" i="9"/>
  <c r="BJ104" i="9"/>
  <c r="BJ100" i="9"/>
  <c r="BJ96" i="9"/>
  <c r="BJ92" i="9"/>
  <c r="BJ88" i="9"/>
  <c r="BJ105" i="9"/>
  <c r="BJ91" i="9"/>
  <c r="BJ86" i="9"/>
  <c r="BJ82" i="9"/>
  <c r="BJ78" i="9"/>
  <c r="BJ74" i="9"/>
  <c r="BJ70" i="9"/>
  <c r="BJ66" i="9"/>
  <c r="BJ101" i="9"/>
  <c r="BJ89" i="9"/>
  <c r="BJ85" i="9"/>
  <c r="BJ81" i="9"/>
  <c r="BJ77" i="9"/>
  <c r="BJ73" i="9"/>
  <c r="BJ69" i="9"/>
  <c r="BJ65" i="9"/>
  <c r="BJ97" i="9"/>
  <c r="BJ87" i="9"/>
  <c r="BJ84" i="9"/>
  <c r="BJ80" i="9"/>
  <c r="BJ76" i="9"/>
  <c r="BJ72" i="9"/>
  <c r="BJ68" i="9"/>
  <c r="BJ93" i="9"/>
  <c r="BJ83" i="9"/>
  <c r="BJ79" i="9"/>
  <c r="BJ75" i="9"/>
  <c r="BJ71" i="9"/>
  <c r="BJ67" i="9"/>
  <c r="BJ63" i="9"/>
  <c r="BJ62" i="9"/>
  <c r="BJ64" i="9"/>
  <c r="BJ15" i="9"/>
  <c r="BJ13" i="9"/>
  <c r="BJ11" i="9"/>
  <c r="BJ9" i="9"/>
  <c r="BJ8" i="9"/>
  <c r="BK6" i="9"/>
  <c r="BJ16" i="9"/>
  <c r="BJ14" i="9"/>
  <c r="BJ12" i="9"/>
  <c r="BJ10" i="9"/>
  <c r="BK213" i="9" l="1"/>
  <c r="BK212" i="9"/>
  <c r="BK211" i="9"/>
  <c r="BK209" i="9"/>
  <c r="BK208" i="9"/>
  <c r="BK207" i="9"/>
  <c r="BK210" i="9"/>
  <c r="BK205" i="9"/>
  <c r="BK206" i="9"/>
  <c r="BK204" i="9"/>
  <c r="BK201" i="9"/>
  <c r="BK203" i="9"/>
  <c r="BK200" i="9"/>
  <c r="BK196" i="9"/>
  <c r="BK199" i="9"/>
  <c r="BK195" i="9"/>
  <c r="BK202" i="9"/>
  <c r="BK198" i="9"/>
  <c r="BK194" i="9"/>
  <c r="BK193" i="9"/>
  <c r="BK197" i="9"/>
  <c r="BK192" i="9"/>
  <c r="BK191" i="9"/>
  <c r="BK189" i="9"/>
  <c r="BK185" i="9"/>
  <c r="BK181" i="9"/>
  <c r="BK188" i="9"/>
  <c r="BK184" i="9"/>
  <c r="BK180" i="9"/>
  <c r="BK187" i="9"/>
  <c r="BK177" i="9"/>
  <c r="BK173" i="9"/>
  <c r="BK186" i="9"/>
  <c r="BK176" i="9"/>
  <c r="BK179" i="9"/>
  <c r="BK169" i="9"/>
  <c r="BK165" i="9"/>
  <c r="BK161" i="9"/>
  <c r="BK157" i="9"/>
  <c r="BK153" i="9"/>
  <c r="BK182" i="9"/>
  <c r="BK178" i="9"/>
  <c r="BK172" i="9"/>
  <c r="BK168" i="9"/>
  <c r="BK164" i="9"/>
  <c r="BK160" i="9"/>
  <c r="BK156" i="9"/>
  <c r="BK152" i="9"/>
  <c r="BK183" i="9"/>
  <c r="BK174" i="9"/>
  <c r="BK175" i="9"/>
  <c r="BK171" i="9"/>
  <c r="BK190" i="9"/>
  <c r="BK170" i="9"/>
  <c r="BK162" i="9"/>
  <c r="BK167" i="9"/>
  <c r="BK159" i="9"/>
  <c r="BK166" i="9"/>
  <c r="BK163" i="9"/>
  <c r="BK158" i="9"/>
  <c r="BK148" i="9"/>
  <c r="BK155" i="9"/>
  <c r="BK147" i="9"/>
  <c r="BK154" i="9"/>
  <c r="BK150" i="9"/>
  <c r="BK151" i="9"/>
  <c r="BK149" i="9"/>
  <c r="BK145" i="9"/>
  <c r="BK143" i="9"/>
  <c r="BK139" i="9"/>
  <c r="BK135" i="9"/>
  <c r="BK142" i="9"/>
  <c r="BK138" i="9"/>
  <c r="BK134" i="9"/>
  <c r="BK146" i="9"/>
  <c r="BK141" i="9"/>
  <c r="BK137" i="9"/>
  <c r="BK133" i="9"/>
  <c r="BK144" i="9"/>
  <c r="BK140" i="9"/>
  <c r="BK136" i="9"/>
  <c r="BK132" i="9"/>
  <c r="BK129" i="9"/>
  <c r="BK125" i="9"/>
  <c r="BK121" i="9"/>
  <c r="BK128" i="9"/>
  <c r="BK124" i="9"/>
  <c r="BK120" i="9"/>
  <c r="BK116" i="9"/>
  <c r="BK127" i="9"/>
  <c r="BK123" i="9"/>
  <c r="BK119" i="9"/>
  <c r="BK131" i="9"/>
  <c r="BK130" i="9"/>
  <c r="BK126" i="9"/>
  <c r="BK122" i="9"/>
  <c r="BK118" i="9"/>
  <c r="BK114" i="9"/>
  <c r="BK110" i="9"/>
  <c r="BK106" i="9"/>
  <c r="BK102" i="9"/>
  <c r="BK98" i="9"/>
  <c r="BK94" i="9"/>
  <c r="BK117" i="9"/>
  <c r="BK113" i="9"/>
  <c r="BK109" i="9"/>
  <c r="BK105" i="9"/>
  <c r="BK101" i="9"/>
  <c r="BK97" i="9"/>
  <c r="BK93" i="9"/>
  <c r="BK89" i="9"/>
  <c r="BK112" i="9"/>
  <c r="BK108" i="9"/>
  <c r="BK115" i="9"/>
  <c r="BK111" i="9"/>
  <c r="BK107" i="9"/>
  <c r="BK103" i="9"/>
  <c r="BK99" i="9"/>
  <c r="BK95" i="9"/>
  <c r="BK91" i="9"/>
  <c r="BK87" i="9"/>
  <c r="BK96" i="9"/>
  <c r="BK90" i="9"/>
  <c r="BK85" i="9"/>
  <c r="BK81" i="9"/>
  <c r="BK77" i="9"/>
  <c r="BK73" i="9"/>
  <c r="BK69" i="9"/>
  <c r="BK65" i="9"/>
  <c r="BK88" i="9"/>
  <c r="BK84" i="9"/>
  <c r="BK80" i="9"/>
  <c r="BK76" i="9"/>
  <c r="BK72" i="9"/>
  <c r="BK68" i="9"/>
  <c r="BK64" i="9"/>
  <c r="BK104" i="9"/>
  <c r="BK83" i="9"/>
  <c r="BK79" i="9"/>
  <c r="BK75" i="9"/>
  <c r="BK71" i="9"/>
  <c r="BK67" i="9"/>
  <c r="BK100" i="9"/>
  <c r="BK92" i="9"/>
  <c r="BK86" i="9"/>
  <c r="BK82" i="9"/>
  <c r="BK78" i="9"/>
  <c r="BK74" i="9"/>
  <c r="BK70" i="9"/>
  <c r="BK66" i="9"/>
  <c r="BK63" i="9"/>
  <c r="BK62" i="9"/>
  <c r="BK15" i="9"/>
  <c r="BK13" i="9"/>
  <c r="BK11" i="9"/>
  <c r="BK9" i="9"/>
  <c r="BK8" i="9"/>
  <c r="BK16" i="9"/>
  <c r="BK14" i="9"/>
  <c r="BK12" i="9"/>
  <c r="BK10" i="9"/>
  <c r="BL6" i="9"/>
  <c r="BL213" i="9" l="1"/>
  <c r="BL211" i="9"/>
  <c r="BL212" i="9"/>
  <c r="BL210" i="9"/>
  <c r="BL206" i="9"/>
  <c r="BL205" i="9"/>
  <c r="BL207" i="9"/>
  <c r="BL204" i="9"/>
  <c r="BL208" i="9"/>
  <c r="BL203" i="9"/>
  <c r="BL209" i="9"/>
  <c r="BL202" i="9"/>
  <c r="BL201" i="9"/>
  <c r="BL200" i="9"/>
  <c r="BL199" i="9"/>
  <c r="BL195" i="9"/>
  <c r="BL198" i="9"/>
  <c r="BL197" i="9"/>
  <c r="BL192" i="9"/>
  <c r="BL196" i="9"/>
  <c r="BL191" i="9"/>
  <c r="BL188" i="9"/>
  <c r="BL184" i="9"/>
  <c r="BL187" i="9"/>
  <c r="BL183" i="9"/>
  <c r="BL186" i="9"/>
  <c r="BL180" i="9"/>
  <c r="BL176" i="9"/>
  <c r="BL194" i="9"/>
  <c r="BL193" i="9"/>
  <c r="BL185" i="9"/>
  <c r="BL179" i="9"/>
  <c r="BL175" i="9"/>
  <c r="BL182" i="9"/>
  <c r="BL178" i="9"/>
  <c r="BL172" i="9"/>
  <c r="BL168" i="9"/>
  <c r="BL164" i="9"/>
  <c r="BL160" i="9"/>
  <c r="BL156" i="9"/>
  <c r="BL152" i="9"/>
  <c r="BL189" i="9"/>
  <c r="BL177" i="9"/>
  <c r="BL173" i="9"/>
  <c r="BL171" i="9"/>
  <c r="BL167" i="9"/>
  <c r="BL163" i="9"/>
  <c r="BL159" i="9"/>
  <c r="BL155" i="9"/>
  <c r="BL151" i="9"/>
  <c r="BL174" i="9"/>
  <c r="BL190" i="9"/>
  <c r="BL181" i="9"/>
  <c r="BL169" i="9"/>
  <c r="BL161" i="9"/>
  <c r="BL166" i="9"/>
  <c r="BL158" i="9"/>
  <c r="BL165" i="9"/>
  <c r="BL170" i="9"/>
  <c r="BL162" i="9"/>
  <c r="BL147" i="9"/>
  <c r="BL154" i="9"/>
  <c r="BL150" i="9"/>
  <c r="BL146" i="9"/>
  <c r="BL157" i="9"/>
  <c r="BL153" i="9"/>
  <c r="BL149" i="9"/>
  <c r="BL148" i="9"/>
  <c r="BL142" i="9"/>
  <c r="BL138" i="9"/>
  <c r="BL134" i="9"/>
  <c r="BL141" i="9"/>
  <c r="BL137" i="9"/>
  <c r="BL133" i="9"/>
  <c r="BL145" i="9"/>
  <c r="BL144" i="9"/>
  <c r="BL140" i="9"/>
  <c r="BL136" i="9"/>
  <c r="BL143" i="9"/>
  <c r="BL139" i="9"/>
  <c r="BL135" i="9"/>
  <c r="BL131" i="9"/>
  <c r="BL128" i="9"/>
  <c r="BL124" i="9"/>
  <c r="BL120" i="9"/>
  <c r="BL127" i="9"/>
  <c r="BL123" i="9"/>
  <c r="BL119" i="9"/>
  <c r="BL132" i="9"/>
  <c r="BL130" i="9"/>
  <c r="BL126" i="9"/>
  <c r="BL122" i="9"/>
  <c r="BL118" i="9"/>
  <c r="BL129" i="9"/>
  <c r="BL125" i="9"/>
  <c r="BL121" i="9"/>
  <c r="BL117" i="9"/>
  <c r="BL113" i="9"/>
  <c r="BL109" i="9"/>
  <c r="BL105" i="9"/>
  <c r="BL101" i="9"/>
  <c r="BL97" i="9"/>
  <c r="BL93" i="9"/>
  <c r="BL116" i="9"/>
  <c r="BL112" i="9"/>
  <c r="BL108" i="9"/>
  <c r="BL104" i="9"/>
  <c r="BL100" i="9"/>
  <c r="BL96" i="9"/>
  <c r="BL92" i="9"/>
  <c r="BL88" i="9"/>
  <c r="BL115" i="9"/>
  <c r="BL111" i="9"/>
  <c r="BL107" i="9"/>
  <c r="BL114" i="9"/>
  <c r="BL110" i="9"/>
  <c r="BL106" i="9"/>
  <c r="BL102" i="9"/>
  <c r="BL98" i="9"/>
  <c r="BL94" i="9"/>
  <c r="BL90" i="9"/>
  <c r="BL103" i="9"/>
  <c r="BL89" i="9"/>
  <c r="BL84" i="9"/>
  <c r="BL80" i="9"/>
  <c r="BL76" i="9"/>
  <c r="BL72" i="9"/>
  <c r="BL68" i="9"/>
  <c r="BL64" i="9"/>
  <c r="BL99" i="9"/>
  <c r="BL87" i="9"/>
  <c r="BL83" i="9"/>
  <c r="BL79" i="9"/>
  <c r="BL75" i="9"/>
  <c r="BL71" i="9"/>
  <c r="BL67" i="9"/>
  <c r="BL63" i="9"/>
  <c r="BL95" i="9"/>
  <c r="BL86" i="9"/>
  <c r="BL82" i="9"/>
  <c r="BL78" i="9"/>
  <c r="BL74" i="9"/>
  <c r="BL70" i="9"/>
  <c r="BL66" i="9"/>
  <c r="BL91" i="9"/>
  <c r="BL85" i="9"/>
  <c r="BL81" i="9"/>
  <c r="BL77" i="9"/>
  <c r="BL73" i="9"/>
  <c r="BL69" i="9"/>
  <c r="BL65" i="9"/>
  <c r="BL62" i="9"/>
  <c r="BL8" i="9"/>
  <c r="BL16" i="9"/>
  <c r="BL14" i="9"/>
  <c r="BL12" i="9"/>
  <c r="BL10" i="9"/>
  <c r="BM6" i="9"/>
  <c r="BL15" i="9"/>
  <c r="BL13" i="9"/>
  <c r="BL11" i="9"/>
  <c r="BL9" i="9"/>
  <c r="BM213" i="9" l="1"/>
  <c r="BM211" i="9"/>
  <c r="BM212" i="9"/>
  <c r="BM210" i="9"/>
  <c r="BM209" i="9"/>
  <c r="BM208" i="9"/>
  <c r="BM207" i="9"/>
  <c r="BM204" i="9"/>
  <c r="BM206" i="9"/>
  <c r="BM203" i="9"/>
  <c r="BM202" i="9"/>
  <c r="BM201" i="9"/>
  <c r="BM198" i="9"/>
  <c r="BM194" i="9"/>
  <c r="BM205" i="9"/>
  <c r="BM197" i="9"/>
  <c r="BM196" i="9"/>
  <c r="BM191" i="9"/>
  <c r="BM200" i="9"/>
  <c r="BM195" i="9"/>
  <c r="BM187" i="9"/>
  <c r="BM183" i="9"/>
  <c r="BM190" i="9"/>
  <c r="BM186" i="9"/>
  <c r="BM182" i="9"/>
  <c r="BM193" i="9"/>
  <c r="BM185" i="9"/>
  <c r="BM179" i="9"/>
  <c r="BM175" i="9"/>
  <c r="BM199" i="9"/>
  <c r="BM184" i="9"/>
  <c r="BM178" i="9"/>
  <c r="BM174" i="9"/>
  <c r="BM189" i="9"/>
  <c r="BM177" i="9"/>
  <c r="BM173" i="9"/>
  <c r="BM171" i="9"/>
  <c r="BM167" i="9"/>
  <c r="BM163" i="9"/>
  <c r="BM159" i="9"/>
  <c r="BM155" i="9"/>
  <c r="BM151" i="9"/>
  <c r="BM192" i="9"/>
  <c r="BM176" i="9"/>
  <c r="BM170" i="9"/>
  <c r="BM166" i="9"/>
  <c r="BM162" i="9"/>
  <c r="BM158" i="9"/>
  <c r="BM154" i="9"/>
  <c r="BM188" i="9"/>
  <c r="BM172" i="9"/>
  <c r="BM181" i="9"/>
  <c r="BM180" i="9"/>
  <c r="BM168" i="9"/>
  <c r="BM160" i="9"/>
  <c r="BM165" i="9"/>
  <c r="BM157" i="9"/>
  <c r="BM164" i="9"/>
  <c r="BM169" i="9"/>
  <c r="BM161" i="9"/>
  <c r="BM156" i="9"/>
  <c r="BM150" i="9"/>
  <c r="BM153" i="9"/>
  <c r="BM149" i="9"/>
  <c r="BM145" i="9"/>
  <c r="BM152" i="9"/>
  <c r="BM148" i="9"/>
  <c r="BM147" i="9"/>
  <c r="BM141" i="9"/>
  <c r="BM137" i="9"/>
  <c r="BM133" i="9"/>
  <c r="BM146" i="9"/>
  <c r="BM144" i="9"/>
  <c r="BM140" i="9"/>
  <c r="BM136" i="9"/>
  <c r="BM132" i="9"/>
  <c r="BM143" i="9"/>
  <c r="BM139" i="9"/>
  <c r="BM135" i="9"/>
  <c r="BM142" i="9"/>
  <c r="BM138" i="9"/>
  <c r="BM134" i="9"/>
  <c r="BM127" i="9"/>
  <c r="BM123" i="9"/>
  <c r="BM119" i="9"/>
  <c r="BM130" i="9"/>
  <c r="BM126" i="9"/>
  <c r="BM122" i="9"/>
  <c r="BM118" i="9"/>
  <c r="BM131" i="9"/>
  <c r="BM129" i="9"/>
  <c r="BM125" i="9"/>
  <c r="BM121" i="9"/>
  <c r="BM128" i="9"/>
  <c r="BM124" i="9"/>
  <c r="BM120" i="9"/>
  <c r="BM116" i="9"/>
  <c r="BM117" i="9"/>
  <c r="BM112" i="9"/>
  <c r="BM108" i="9"/>
  <c r="BM104" i="9"/>
  <c r="BM100" i="9"/>
  <c r="BM96" i="9"/>
  <c r="BM115" i="9"/>
  <c r="BM111" i="9"/>
  <c r="BM107" i="9"/>
  <c r="BM103" i="9"/>
  <c r="BM99" i="9"/>
  <c r="BM95" i="9"/>
  <c r="BM91" i="9"/>
  <c r="BM87" i="9"/>
  <c r="BM114" i="9"/>
  <c r="BM110" i="9"/>
  <c r="BM113" i="9"/>
  <c r="BM109" i="9"/>
  <c r="BM105" i="9"/>
  <c r="BM101" i="9"/>
  <c r="BM97" i="9"/>
  <c r="BM93" i="9"/>
  <c r="BM89" i="9"/>
  <c r="BM94" i="9"/>
  <c r="BM88" i="9"/>
  <c r="BM83" i="9"/>
  <c r="BM79" i="9"/>
  <c r="BM75" i="9"/>
  <c r="BM71" i="9"/>
  <c r="BM67" i="9"/>
  <c r="BM106" i="9"/>
  <c r="BM86" i="9"/>
  <c r="BM82" i="9"/>
  <c r="BM78" i="9"/>
  <c r="BM74" i="9"/>
  <c r="BM70" i="9"/>
  <c r="BM66" i="9"/>
  <c r="BM102" i="9"/>
  <c r="BM92" i="9"/>
  <c r="BM85" i="9"/>
  <c r="BM81" i="9"/>
  <c r="BM77" i="9"/>
  <c r="BM73" i="9"/>
  <c r="BM69" i="9"/>
  <c r="BM65" i="9"/>
  <c r="BM98" i="9"/>
  <c r="BM90" i="9"/>
  <c r="BM84" i="9"/>
  <c r="BM80" i="9"/>
  <c r="BM76" i="9"/>
  <c r="BM72" i="9"/>
  <c r="BM68" i="9"/>
  <c r="BM64" i="9"/>
  <c r="BM63" i="9"/>
  <c r="BM62" i="9"/>
  <c r="BM16" i="9"/>
  <c r="BM14" i="9"/>
  <c r="BM12" i="9"/>
  <c r="BM10" i="9"/>
  <c r="BN6" i="9"/>
  <c r="BM15" i="9"/>
  <c r="BM13" i="9"/>
  <c r="BM11" i="9"/>
  <c r="BM9" i="9"/>
  <c r="BM8" i="9"/>
  <c r="BN213" i="9" l="1"/>
  <c r="BN212" i="9"/>
  <c r="BN210" i="9"/>
  <c r="BN209" i="9"/>
  <c r="BN211" i="9"/>
  <c r="BN208" i="9"/>
  <c r="BN207" i="9"/>
  <c r="BN206" i="9"/>
  <c r="BN205" i="9"/>
  <c r="BN202" i="9"/>
  <c r="BN204" i="9"/>
  <c r="BN201" i="9"/>
  <c r="BN197" i="9"/>
  <c r="BN196" i="9"/>
  <c r="BN203" i="9"/>
  <c r="BN200" i="9"/>
  <c r="BN195" i="9"/>
  <c r="BN193" i="9"/>
  <c r="BN190" i="9"/>
  <c r="BN186" i="9"/>
  <c r="BN182" i="9"/>
  <c r="BN198" i="9"/>
  <c r="BN189" i="9"/>
  <c r="BN185" i="9"/>
  <c r="BN181" i="9"/>
  <c r="BN199" i="9"/>
  <c r="BN194" i="9"/>
  <c r="BN184" i="9"/>
  <c r="BN178" i="9"/>
  <c r="BN174" i="9"/>
  <c r="BN191" i="9"/>
  <c r="BN183" i="9"/>
  <c r="BN177" i="9"/>
  <c r="BN192" i="9"/>
  <c r="BN176" i="9"/>
  <c r="BN170" i="9"/>
  <c r="BN166" i="9"/>
  <c r="BN162" i="9"/>
  <c r="BN158" i="9"/>
  <c r="BN154" i="9"/>
  <c r="BN187" i="9"/>
  <c r="BN175" i="9"/>
  <c r="BN169" i="9"/>
  <c r="BN165" i="9"/>
  <c r="BN161" i="9"/>
  <c r="BN157" i="9"/>
  <c r="BN153" i="9"/>
  <c r="BN188" i="9"/>
  <c r="BN172" i="9"/>
  <c r="BN179" i="9"/>
  <c r="BN171" i="9"/>
  <c r="BN180" i="9"/>
  <c r="BN173" i="9"/>
  <c r="BN167" i="9"/>
  <c r="BN164" i="9"/>
  <c r="BN156" i="9"/>
  <c r="BN163" i="9"/>
  <c r="BN168" i="9"/>
  <c r="BN160" i="9"/>
  <c r="BN155" i="9"/>
  <c r="BN149" i="9"/>
  <c r="BN159" i="9"/>
  <c r="BN152" i="9"/>
  <c r="BN148" i="9"/>
  <c r="BN151" i="9"/>
  <c r="BN147" i="9"/>
  <c r="BN150" i="9"/>
  <c r="BN146" i="9"/>
  <c r="BN144" i="9"/>
  <c r="BN140" i="9"/>
  <c r="BN136" i="9"/>
  <c r="BN145" i="9"/>
  <c r="BN143" i="9"/>
  <c r="BN139" i="9"/>
  <c r="BN135" i="9"/>
  <c r="BN131" i="9"/>
  <c r="BN142" i="9"/>
  <c r="BN138" i="9"/>
  <c r="BN134" i="9"/>
  <c r="BN141" i="9"/>
  <c r="BN137" i="9"/>
  <c r="BN133" i="9"/>
  <c r="BN130" i="9"/>
  <c r="BN126" i="9"/>
  <c r="BN122" i="9"/>
  <c r="BN118" i="9"/>
  <c r="BN132" i="9"/>
  <c r="BN129" i="9"/>
  <c r="BN125" i="9"/>
  <c r="BN121" i="9"/>
  <c r="BN117" i="9"/>
  <c r="BN128" i="9"/>
  <c r="BN124" i="9"/>
  <c r="BN120" i="9"/>
  <c r="BN127" i="9"/>
  <c r="BN123" i="9"/>
  <c r="BN119" i="9"/>
  <c r="BN116" i="9"/>
  <c r="BN115" i="9"/>
  <c r="BN111" i="9"/>
  <c r="BN107" i="9"/>
  <c r="BN103" i="9"/>
  <c r="BN99" i="9"/>
  <c r="BN95" i="9"/>
  <c r="BN114" i="9"/>
  <c r="BN110" i="9"/>
  <c r="BN106" i="9"/>
  <c r="BN102" i="9"/>
  <c r="BN98" i="9"/>
  <c r="BN94" i="9"/>
  <c r="BN90" i="9"/>
  <c r="BN113" i="9"/>
  <c r="BN109" i="9"/>
  <c r="BN112" i="9"/>
  <c r="BN108" i="9"/>
  <c r="BN104" i="9"/>
  <c r="BN100" i="9"/>
  <c r="BN96" i="9"/>
  <c r="BN92" i="9"/>
  <c r="BN88" i="9"/>
  <c r="BN101" i="9"/>
  <c r="BN87" i="9"/>
  <c r="BN86" i="9"/>
  <c r="BN82" i="9"/>
  <c r="BN78" i="9"/>
  <c r="BN74" i="9"/>
  <c r="BN70" i="9"/>
  <c r="BN66" i="9"/>
  <c r="BN97" i="9"/>
  <c r="BN85" i="9"/>
  <c r="BN81" i="9"/>
  <c r="BN77" i="9"/>
  <c r="BN73" i="9"/>
  <c r="BN69" i="9"/>
  <c r="BN65" i="9"/>
  <c r="BN93" i="9"/>
  <c r="BN91" i="9"/>
  <c r="BN84" i="9"/>
  <c r="BN80" i="9"/>
  <c r="BN76" i="9"/>
  <c r="BN72" i="9"/>
  <c r="BN68" i="9"/>
  <c r="BN105" i="9"/>
  <c r="BN89" i="9"/>
  <c r="BN83" i="9"/>
  <c r="BN79" i="9"/>
  <c r="BN75" i="9"/>
  <c r="BN71" i="9"/>
  <c r="BN67" i="9"/>
  <c r="BN63" i="9"/>
  <c r="BN64" i="9"/>
  <c r="BN62" i="9"/>
  <c r="BN15" i="9"/>
  <c r="BN13" i="9"/>
  <c r="BN11" i="9"/>
  <c r="BN9" i="9"/>
  <c r="BO6" i="9"/>
  <c r="BN8" i="9"/>
  <c r="BN16" i="9"/>
  <c r="BN14" i="9"/>
  <c r="BN12" i="9"/>
  <c r="BN10" i="9"/>
  <c r="BO8" i="9" l="1"/>
  <c r="BP6" i="9"/>
  <c r="BP8" i="9" l="1"/>
  <c r="BQ6" i="9"/>
  <c r="BQ213" i="9" l="1"/>
  <c r="BQ212" i="9"/>
  <c r="BQ211" i="9"/>
  <c r="BQ208" i="9"/>
  <c r="BQ210" i="9"/>
  <c r="BQ209" i="9"/>
  <c r="BQ207" i="9"/>
  <c r="BQ205" i="9"/>
  <c r="BQ204" i="9"/>
  <c r="BQ201" i="9"/>
  <c r="BQ200" i="9"/>
  <c r="BQ203" i="9"/>
  <c r="BQ196" i="9"/>
  <c r="BQ202" i="9"/>
  <c r="BQ199" i="9"/>
  <c r="BQ195" i="9"/>
  <c r="BQ193" i="9"/>
  <c r="BQ194" i="9"/>
  <c r="BQ192" i="9"/>
  <c r="BQ198" i="9"/>
  <c r="BQ189" i="9"/>
  <c r="BQ185" i="9"/>
  <c r="BQ181" i="9"/>
  <c r="BQ188" i="9"/>
  <c r="BQ184" i="9"/>
  <c r="BQ180" i="9"/>
  <c r="BQ206" i="9"/>
  <c r="BQ191" i="9"/>
  <c r="BQ183" i="9"/>
  <c r="BQ177" i="9"/>
  <c r="BQ173" i="9"/>
  <c r="BQ190" i="9"/>
  <c r="BQ182" i="9"/>
  <c r="BQ176" i="9"/>
  <c r="BQ187" i="9"/>
  <c r="BQ175" i="9"/>
  <c r="BQ169" i="9"/>
  <c r="BQ165" i="9"/>
  <c r="BQ161" i="9"/>
  <c r="BQ157" i="9"/>
  <c r="BQ153" i="9"/>
  <c r="BQ174" i="9"/>
  <c r="BQ172" i="9"/>
  <c r="BQ168" i="9"/>
  <c r="BQ164" i="9"/>
  <c r="BQ160" i="9"/>
  <c r="BQ156" i="9"/>
  <c r="BQ152" i="9"/>
  <c r="BQ197" i="9"/>
  <c r="BQ179" i="9"/>
  <c r="BQ171" i="9"/>
  <c r="BQ186" i="9"/>
  <c r="BQ178" i="9"/>
  <c r="BQ166" i="9"/>
  <c r="BQ163" i="9"/>
  <c r="BQ170" i="9"/>
  <c r="BQ162" i="9"/>
  <c r="BQ167" i="9"/>
  <c r="BQ159" i="9"/>
  <c r="BQ154" i="9"/>
  <c r="BQ148" i="9"/>
  <c r="BQ151" i="9"/>
  <c r="BQ147" i="9"/>
  <c r="BQ150" i="9"/>
  <c r="BQ158" i="9"/>
  <c r="BQ155" i="9"/>
  <c r="BQ149" i="9"/>
  <c r="BQ145" i="9"/>
  <c r="BQ146" i="9"/>
  <c r="BQ143" i="9"/>
  <c r="BQ139" i="9"/>
  <c r="BQ135" i="9"/>
  <c r="BQ142" i="9"/>
  <c r="BQ138" i="9"/>
  <c r="BQ134" i="9"/>
  <c r="BQ141" i="9"/>
  <c r="BQ137" i="9"/>
  <c r="BQ133" i="9"/>
  <c r="BQ144" i="9"/>
  <c r="BQ140" i="9"/>
  <c r="BQ136" i="9"/>
  <c r="BQ132" i="9"/>
  <c r="BQ129" i="9"/>
  <c r="BQ125" i="9"/>
  <c r="BQ121" i="9"/>
  <c r="BQ131" i="9"/>
  <c r="BQ128" i="9"/>
  <c r="BQ124" i="9"/>
  <c r="BQ120" i="9"/>
  <c r="BQ116" i="9"/>
  <c r="BQ127" i="9"/>
  <c r="BQ123" i="9"/>
  <c r="BQ119" i="9"/>
  <c r="BQ130" i="9"/>
  <c r="BQ126" i="9"/>
  <c r="BQ122" i="9"/>
  <c r="BQ118" i="9"/>
  <c r="BQ114" i="9"/>
  <c r="BQ110" i="9"/>
  <c r="BQ106" i="9"/>
  <c r="BQ102" i="9"/>
  <c r="BQ98" i="9"/>
  <c r="BQ94" i="9"/>
  <c r="BQ113" i="9"/>
  <c r="BQ109" i="9"/>
  <c r="BQ105" i="9"/>
  <c r="BQ101" i="9"/>
  <c r="BQ97" i="9"/>
  <c r="BQ93" i="9"/>
  <c r="BQ89" i="9"/>
  <c r="BQ112" i="9"/>
  <c r="BQ108" i="9"/>
  <c r="BQ117" i="9"/>
  <c r="BQ115" i="9"/>
  <c r="BQ111" i="9"/>
  <c r="BQ107" i="9"/>
  <c r="BQ103" i="9"/>
  <c r="BQ99" i="9"/>
  <c r="BQ95" i="9"/>
  <c r="BQ91" i="9"/>
  <c r="BQ87" i="9"/>
  <c r="BQ85" i="9"/>
  <c r="BQ81" i="9"/>
  <c r="BQ77" i="9"/>
  <c r="BQ73" i="9"/>
  <c r="BQ69" i="9"/>
  <c r="BQ65" i="9"/>
  <c r="BQ104" i="9"/>
  <c r="BQ92" i="9"/>
  <c r="BQ84" i="9"/>
  <c r="BQ80" i="9"/>
  <c r="BQ76" i="9"/>
  <c r="BQ72" i="9"/>
  <c r="BQ68" i="9"/>
  <c r="BQ64" i="9"/>
  <c r="BQ100" i="9"/>
  <c r="BQ90" i="9"/>
  <c r="BQ83" i="9"/>
  <c r="BQ79" i="9"/>
  <c r="BQ75" i="9"/>
  <c r="BQ71" i="9"/>
  <c r="BQ67" i="9"/>
  <c r="BQ96" i="9"/>
  <c r="BQ88" i="9"/>
  <c r="BQ86" i="9"/>
  <c r="BQ82" i="9"/>
  <c r="BQ78" i="9"/>
  <c r="BQ74" i="9"/>
  <c r="BQ70" i="9"/>
  <c r="BQ66" i="9"/>
  <c r="BQ62" i="9"/>
  <c r="BQ63" i="9"/>
  <c r="BQ15" i="9"/>
  <c r="BQ13" i="9"/>
  <c r="BQ11" i="9"/>
  <c r="BQ9" i="9"/>
  <c r="BR6" i="9"/>
  <c r="BQ16" i="9"/>
  <c r="BQ14" i="9"/>
  <c r="BQ12" i="9"/>
  <c r="BQ10" i="9"/>
  <c r="BQ8" i="9"/>
  <c r="BR211" i="9" l="1"/>
  <c r="BR213" i="9"/>
  <c r="BR212" i="9"/>
  <c r="BR210" i="9"/>
  <c r="BR209" i="9"/>
  <c r="BR206" i="9"/>
  <c r="BR205" i="9"/>
  <c r="BR208" i="9"/>
  <c r="BR204" i="9"/>
  <c r="BR203" i="9"/>
  <c r="BR202" i="9"/>
  <c r="BR199" i="9"/>
  <c r="BR195" i="9"/>
  <c r="BR200" i="9"/>
  <c r="BR198" i="9"/>
  <c r="BR194" i="9"/>
  <c r="BR192" i="9"/>
  <c r="BR191" i="9"/>
  <c r="BR188" i="9"/>
  <c r="BR184" i="9"/>
  <c r="BR207" i="9"/>
  <c r="BR201" i="9"/>
  <c r="BR196" i="9"/>
  <c r="BR193" i="9"/>
  <c r="BR187" i="9"/>
  <c r="BR183" i="9"/>
  <c r="BR190" i="9"/>
  <c r="BR182" i="9"/>
  <c r="BR176" i="9"/>
  <c r="BR172" i="9"/>
  <c r="BR189" i="9"/>
  <c r="BR181" i="9"/>
  <c r="BR180" i="9"/>
  <c r="BR179" i="9"/>
  <c r="BR175" i="9"/>
  <c r="BR174" i="9"/>
  <c r="BR168" i="9"/>
  <c r="BR164" i="9"/>
  <c r="BR160" i="9"/>
  <c r="BR156" i="9"/>
  <c r="BR152" i="9"/>
  <c r="BR185" i="9"/>
  <c r="BR171" i="9"/>
  <c r="BR167" i="9"/>
  <c r="BR163" i="9"/>
  <c r="BR159" i="9"/>
  <c r="BR155" i="9"/>
  <c r="BR151" i="9"/>
  <c r="BR197" i="9"/>
  <c r="BR186" i="9"/>
  <c r="BR177" i="9"/>
  <c r="BR178" i="9"/>
  <c r="BR173" i="9"/>
  <c r="BR165" i="9"/>
  <c r="BR170" i="9"/>
  <c r="BR162" i="9"/>
  <c r="BR169" i="9"/>
  <c r="BR161" i="9"/>
  <c r="BR166" i="9"/>
  <c r="BR158" i="9"/>
  <c r="BR153" i="9"/>
  <c r="BR147" i="9"/>
  <c r="BR157" i="9"/>
  <c r="BR150" i="9"/>
  <c r="BR146" i="9"/>
  <c r="BR149" i="9"/>
  <c r="BR154" i="9"/>
  <c r="BR148" i="9"/>
  <c r="BR145" i="9"/>
  <c r="BR142" i="9"/>
  <c r="BR138" i="9"/>
  <c r="BR134" i="9"/>
  <c r="BR141" i="9"/>
  <c r="BR137" i="9"/>
  <c r="BR133" i="9"/>
  <c r="BR144" i="9"/>
  <c r="BR140" i="9"/>
  <c r="BR136" i="9"/>
  <c r="BR143" i="9"/>
  <c r="BR139" i="9"/>
  <c r="BR135" i="9"/>
  <c r="BR131" i="9"/>
  <c r="BR132" i="9"/>
  <c r="BR128" i="9"/>
  <c r="BR124" i="9"/>
  <c r="BR120" i="9"/>
  <c r="BR127" i="9"/>
  <c r="BR123" i="9"/>
  <c r="BR119" i="9"/>
  <c r="BR130" i="9"/>
  <c r="BR126" i="9"/>
  <c r="BR122" i="9"/>
  <c r="BR118" i="9"/>
  <c r="BR129" i="9"/>
  <c r="BR125" i="9"/>
  <c r="BR121" i="9"/>
  <c r="BR117" i="9"/>
  <c r="BR113" i="9"/>
  <c r="BR109" i="9"/>
  <c r="BR105" i="9"/>
  <c r="BR101" i="9"/>
  <c r="BR97" i="9"/>
  <c r="BR93" i="9"/>
  <c r="BR112" i="9"/>
  <c r="BR108" i="9"/>
  <c r="BR104" i="9"/>
  <c r="BR100" i="9"/>
  <c r="BR96" i="9"/>
  <c r="BR92" i="9"/>
  <c r="BR88" i="9"/>
  <c r="BR115" i="9"/>
  <c r="BR111" i="9"/>
  <c r="BR107" i="9"/>
  <c r="BR116" i="9"/>
  <c r="BR114" i="9"/>
  <c r="BR110" i="9"/>
  <c r="BR106" i="9"/>
  <c r="BR102" i="9"/>
  <c r="BR98" i="9"/>
  <c r="BR94" i="9"/>
  <c r="BR90" i="9"/>
  <c r="BR99" i="9"/>
  <c r="BR84" i="9"/>
  <c r="BR80" i="9"/>
  <c r="BR76" i="9"/>
  <c r="BR72" i="9"/>
  <c r="BR68" i="9"/>
  <c r="BR64" i="9"/>
  <c r="BR95" i="9"/>
  <c r="BR91" i="9"/>
  <c r="BR83" i="9"/>
  <c r="BR79" i="9"/>
  <c r="BR75" i="9"/>
  <c r="BR71" i="9"/>
  <c r="BR67" i="9"/>
  <c r="BR63" i="9"/>
  <c r="BR89" i="9"/>
  <c r="BR86" i="9"/>
  <c r="BR82" i="9"/>
  <c r="BR78" i="9"/>
  <c r="BR74" i="9"/>
  <c r="BR70" i="9"/>
  <c r="BR66" i="9"/>
  <c r="BR103" i="9"/>
  <c r="BR87" i="9"/>
  <c r="BR85" i="9"/>
  <c r="BR81" i="9"/>
  <c r="BR77" i="9"/>
  <c r="BR73" i="9"/>
  <c r="BR69" i="9"/>
  <c r="BR65" i="9"/>
  <c r="BR62" i="9"/>
  <c r="BR16" i="9"/>
  <c r="BR14" i="9"/>
  <c r="BR12" i="9"/>
  <c r="BR10" i="9"/>
  <c r="BR8" i="9"/>
  <c r="BS6" i="9"/>
  <c r="BR15" i="9"/>
  <c r="BR13" i="9"/>
  <c r="BR11" i="9"/>
  <c r="BR9" i="9"/>
  <c r="BS213" i="9" l="1"/>
  <c r="BS211" i="9"/>
  <c r="BS212" i="9"/>
  <c r="BS210" i="9"/>
  <c r="BS208" i="9"/>
  <c r="BS204" i="9"/>
  <c r="BS203" i="9"/>
  <c r="BS209" i="9"/>
  <c r="BS207" i="9"/>
  <c r="BS206" i="9"/>
  <c r="BS202" i="9"/>
  <c r="BS205" i="9"/>
  <c r="BS201" i="9"/>
  <c r="BS200" i="9"/>
  <c r="BS198" i="9"/>
  <c r="BS194" i="9"/>
  <c r="BS197" i="9"/>
  <c r="BS191" i="9"/>
  <c r="BS199" i="9"/>
  <c r="BS196" i="9"/>
  <c r="BS193" i="9"/>
  <c r="BS187" i="9"/>
  <c r="BS183" i="9"/>
  <c r="BS192" i="9"/>
  <c r="BS190" i="9"/>
  <c r="BS186" i="9"/>
  <c r="BS182" i="9"/>
  <c r="BS189" i="9"/>
  <c r="BS181" i="9"/>
  <c r="BS180" i="9"/>
  <c r="BS179" i="9"/>
  <c r="BS175" i="9"/>
  <c r="BS195" i="9"/>
  <c r="BS188" i="9"/>
  <c r="BS178" i="9"/>
  <c r="BS174" i="9"/>
  <c r="BS185" i="9"/>
  <c r="BS172" i="9"/>
  <c r="BS171" i="9"/>
  <c r="BS167" i="9"/>
  <c r="BS163" i="9"/>
  <c r="BS159" i="9"/>
  <c r="BS155" i="9"/>
  <c r="BS151" i="9"/>
  <c r="BS173" i="9"/>
  <c r="BS170" i="9"/>
  <c r="BS166" i="9"/>
  <c r="BS162" i="9"/>
  <c r="BS158" i="9"/>
  <c r="BS154" i="9"/>
  <c r="BS184" i="9"/>
  <c r="BS177" i="9"/>
  <c r="BS176" i="9"/>
  <c r="BS164" i="9"/>
  <c r="BS169" i="9"/>
  <c r="BS161" i="9"/>
  <c r="BS168" i="9"/>
  <c r="BS160" i="9"/>
  <c r="BS165" i="9"/>
  <c r="BS157" i="9"/>
  <c r="BS152" i="9"/>
  <c r="BS150" i="9"/>
  <c r="BS149" i="9"/>
  <c r="BS145" i="9"/>
  <c r="BS148" i="9"/>
  <c r="BS156" i="9"/>
  <c r="BS153" i="9"/>
  <c r="BS147" i="9"/>
  <c r="BS141" i="9"/>
  <c r="BS137" i="9"/>
  <c r="BS133" i="9"/>
  <c r="BS144" i="9"/>
  <c r="BS140" i="9"/>
  <c r="BS136" i="9"/>
  <c r="BS132" i="9"/>
  <c r="BS143" i="9"/>
  <c r="BS139" i="9"/>
  <c r="BS135" i="9"/>
  <c r="BS146" i="9"/>
  <c r="BS142" i="9"/>
  <c r="BS138" i="9"/>
  <c r="BS134" i="9"/>
  <c r="BS131" i="9"/>
  <c r="BS127" i="9"/>
  <c r="BS123" i="9"/>
  <c r="BS119" i="9"/>
  <c r="BS130" i="9"/>
  <c r="BS126" i="9"/>
  <c r="BS122" i="9"/>
  <c r="BS118" i="9"/>
  <c r="BS129" i="9"/>
  <c r="BS125" i="9"/>
  <c r="BS121" i="9"/>
  <c r="BS128" i="9"/>
  <c r="BS124" i="9"/>
  <c r="BS120" i="9"/>
  <c r="BS116" i="9"/>
  <c r="BS112" i="9"/>
  <c r="BS108" i="9"/>
  <c r="BS104" i="9"/>
  <c r="BS100" i="9"/>
  <c r="BS96" i="9"/>
  <c r="BS115" i="9"/>
  <c r="BS111" i="9"/>
  <c r="BS107" i="9"/>
  <c r="BS103" i="9"/>
  <c r="BS99" i="9"/>
  <c r="BS95" i="9"/>
  <c r="BS91" i="9"/>
  <c r="BS87" i="9"/>
  <c r="BS117" i="9"/>
  <c r="BS114" i="9"/>
  <c r="BS110" i="9"/>
  <c r="BS113" i="9"/>
  <c r="BS109" i="9"/>
  <c r="BS105" i="9"/>
  <c r="BS101" i="9"/>
  <c r="BS97" i="9"/>
  <c r="BS93" i="9"/>
  <c r="BS89" i="9"/>
  <c r="BS106" i="9"/>
  <c r="BS92" i="9"/>
  <c r="BS83" i="9"/>
  <c r="BS79" i="9"/>
  <c r="BS75" i="9"/>
  <c r="BS71" i="9"/>
  <c r="BS67" i="9"/>
  <c r="BS102" i="9"/>
  <c r="BS90" i="9"/>
  <c r="BS86" i="9"/>
  <c r="BS82" i="9"/>
  <c r="BS78" i="9"/>
  <c r="BS74" i="9"/>
  <c r="BS70" i="9"/>
  <c r="BS66" i="9"/>
  <c r="BS98" i="9"/>
  <c r="BS88" i="9"/>
  <c r="BS85" i="9"/>
  <c r="BS81" i="9"/>
  <c r="BS77" i="9"/>
  <c r="BS73" i="9"/>
  <c r="BS69" i="9"/>
  <c r="BS65" i="9"/>
  <c r="BS94" i="9"/>
  <c r="BS84" i="9"/>
  <c r="BS80" i="9"/>
  <c r="BS76" i="9"/>
  <c r="BS72" i="9"/>
  <c r="BS68" i="9"/>
  <c r="BS64" i="9"/>
  <c r="BS63" i="9"/>
  <c r="BS62" i="9"/>
  <c r="BS16" i="9"/>
  <c r="BS14" i="9"/>
  <c r="BS12" i="9"/>
  <c r="BS10" i="9"/>
  <c r="BS8" i="9"/>
  <c r="BS15" i="9"/>
  <c r="BS13" i="9"/>
  <c r="BS11" i="9"/>
  <c r="BS9" i="9"/>
  <c r="BT6" i="9"/>
  <c r="BT213" i="9" l="1"/>
  <c r="BT212" i="9"/>
  <c r="BT210" i="9"/>
  <c r="BT209" i="9"/>
  <c r="BT211" i="9"/>
  <c r="BT208" i="9"/>
  <c r="BT207" i="9"/>
  <c r="BT206" i="9"/>
  <c r="BT205" i="9"/>
  <c r="BT204" i="9"/>
  <c r="BT203" i="9"/>
  <c r="BT202" i="9"/>
  <c r="BT201" i="9"/>
  <c r="BT197" i="9"/>
  <c r="BT196" i="9"/>
  <c r="BT199" i="9"/>
  <c r="BT198" i="9"/>
  <c r="BT193" i="9"/>
  <c r="BT192" i="9"/>
  <c r="BT190" i="9"/>
  <c r="BT186" i="9"/>
  <c r="BT182" i="9"/>
  <c r="BT200" i="9"/>
  <c r="BT194" i="9"/>
  <c r="BT191" i="9"/>
  <c r="BT189" i="9"/>
  <c r="BT185" i="9"/>
  <c r="BT181" i="9"/>
  <c r="BT195" i="9"/>
  <c r="BT188" i="9"/>
  <c r="BT178" i="9"/>
  <c r="BT174" i="9"/>
  <c r="BT187" i="9"/>
  <c r="BT177" i="9"/>
  <c r="BT173" i="9"/>
  <c r="BT170" i="9"/>
  <c r="BT166" i="9"/>
  <c r="BT162" i="9"/>
  <c r="BT158" i="9"/>
  <c r="BT154" i="9"/>
  <c r="BT183" i="9"/>
  <c r="BT180" i="9"/>
  <c r="BT179" i="9"/>
  <c r="BT169" i="9"/>
  <c r="BT165" i="9"/>
  <c r="BT161" i="9"/>
  <c r="BT157" i="9"/>
  <c r="BT153" i="9"/>
  <c r="BT184" i="9"/>
  <c r="BT175" i="9"/>
  <c r="BT176" i="9"/>
  <c r="BT172" i="9"/>
  <c r="BT171" i="9"/>
  <c r="BT163" i="9"/>
  <c r="BT168" i="9"/>
  <c r="BT160" i="9"/>
  <c r="BT167" i="9"/>
  <c r="BT164" i="9"/>
  <c r="BT156" i="9"/>
  <c r="BT159" i="9"/>
  <c r="BT151" i="9"/>
  <c r="BT149" i="9"/>
  <c r="BT148" i="9"/>
  <c r="BT155" i="9"/>
  <c r="BT147" i="9"/>
  <c r="BT152" i="9"/>
  <c r="BT150" i="9"/>
  <c r="BT146" i="9"/>
  <c r="BT144" i="9"/>
  <c r="BT140" i="9"/>
  <c r="BT136" i="9"/>
  <c r="BT143" i="9"/>
  <c r="BT139" i="9"/>
  <c r="BT135" i="9"/>
  <c r="BT131" i="9"/>
  <c r="BT142" i="9"/>
  <c r="BT138" i="9"/>
  <c r="BT134" i="9"/>
  <c r="BT145" i="9"/>
  <c r="BT141" i="9"/>
  <c r="BT137" i="9"/>
  <c r="BT133" i="9"/>
  <c r="BT130" i="9"/>
  <c r="BT126" i="9"/>
  <c r="BT122" i="9"/>
  <c r="BT118" i="9"/>
  <c r="BT129" i="9"/>
  <c r="BT125" i="9"/>
  <c r="BT121" i="9"/>
  <c r="BT117" i="9"/>
  <c r="BT128" i="9"/>
  <c r="BT124" i="9"/>
  <c r="BT120" i="9"/>
  <c r="BT132" i="9"/>
  <c r="BT127" i="9"/>
  <c r="BT123" i="9"/>
  <c r="BT119" i="9"/>
  <c r="BT115" i="9"/>
  <c r="BT111" i="9"/>
  <c r="BT107" i="9"/>
  <c r="BT103" i="9"/>
  <c r="BT99" i="9"/>
  <c r="BT95" i="9"/>
  <c r="BT114" i="9"/>
  <c r="BT110" i="9"/>
  <c r="BT106" i="9"/>
  <c r="BT102" i="9"/>
  <c r="BT98" i="9"/>
  <c r="BT94" i="9"/>
  <c r="BT90" i="9"/>
  <c r="BT116" i="9"/>
  <c r="BT113" i="9"/>
  <c r="BT109" i="9"/>
  <c r="BT112" i="9"/>
  <c r="BT108" i="9"/>
  <c r="BT104" i="9"/>
  <c r="BT100" i="9"/>
  <c r="BT96" i="9"/>
  <c r="BT92" i="9"/>
  <c r="BT88" i="9"/>
  <c r="BT97" i="9"/>
  <c r="BT91" i="9"/>
  <c r="BT86" i="9"/>
  <c r="BT82" i="9"/>
  <c r="BT78" i="9"/>
  <c r="BT74" i="9"/>
  <c r="BT70" i="9"/>
  <c r="BT66" i="9"/>
  <c r="BT93" i="9"/>
  <c r="BT89" i="9"/>
  <c r="BT85" i="9"/>
  <c r="BT81" i="9"/>
  <c r="BT77" i="9"/>
  <c r="BT73" i="9"/>
  <c r="BT69" i="9"/>
  <c r="BT65" i="9"/>
  <c r="BT105" i="9"/>
  <c r="BT87" i="9"/>
  <c r="BT84" i="9"/>
  <c r="BT80" i="9"/>
  <c r="BT76" i="9"/>
  <c r="BT72" i="9"/>
  <c r="BT68" i="9"/>
  <c r="BT101" i="9"/>
  <c r="BT83" i="9"/>
  <c r="BT79" i="9"/>
  <c r="BT75" i="9"/>
  <c r="BT71" i="9"/>
  <c r="BT67" i="9"/>
  <c r="BT63" i="9"/>
  <c r="BT64" i="9"/>
  <c r="BT62" i="9"/>
  <c r="BT8" i="9"/>
  <c r="BT15" i="9"/>
  <c r="BT13" i="9"/>
  <c r="BT11" i="9"/>
  <c r="BT9" i="9"/>
  <c r="BU6" i="9"/>
  <c r="BT16" i="9"/>
  <c r="BT14" i="9"/>
  <c r="BT12" i="9"/>
  <c r="BT10" i="9"/>
  <c r="BU213" i="9" l="1"/>
  <c r="BU212" i="9"/>
  <c r="BU211" i="9"/>
  <c r="BU210" i="9"/>
  <c r="BU208" i="9"/>
  <c r="BU207" i="9"/>
  <c r="BU209" i="9"/>
  <c r="BU206" i="9"/>
  <c r="BU205" i="9"/>
  <c r="BU204" i="9"/>
  <c r="BU201" i="9"/>
  <c r="BU200" i="9"/>
  <c r="BU202" i="9"/>
  <c r="BU196" i="9"/>
  <c r="BU203" i="9"/>
  <c r="BU199" i="9"/>
  <c r="BU195" i="9"/>
  <c r="BU198" i="9"/>
  <c r="BU193" i="9"/>
  <c r="BU197" i="9"/>
  <c r="BU192" i="9"/>
  <c r="BU194" i="9"/>
  <c r="BU191" i="9"/>
  <c r="BU189" i="9"/>
  <c r="BU185" i="9"/>
  <c r="BU181" i="9"/>
  <c r="BU188" i="9"/>
  <c r="BU184" i="9"/>
  <c r="BU180" i="9"/>
  <c r="BU187" i="9"/>
  <c r="BU177" i="9"/>
  <c r="BU173" i="9"/>
  <c r="BU186" i="9"/>
  <c r="BU176" i="9"/>
  <c r="BU183" i="9"/>
  <c r="BU179" i="9"/>
  <c r="BU169" i="9"/>
  <c r="BU165" i="9"/>
  <c r="BU161" i="9"/>
  <c r="BU157" i="9"/>
  <c r="BU153" i="9"/>
  <c r="BU190" i="9"/>
  <c r="BU178" i="9"/>
  <c r="BU168" i="9"/>
  <c r="BU164" i="9"/>
  <c r="BU160" i="9"/>
  <c r="BU156" i="9"/>
  <c r="BU152" i="9"/>
  <c r="BU175" i="9"/>
  <c r="BU172" i="9"/>
  <c r="BU171" i="9"/>
  <c r="BU182" i="9"/>
  <c r="BU174" i="9"/>
  <c r="BU170" i="9"/>
  <c r="BU162" i="9"/>
  <c r="BU167" i="9"/>
  <c r="BU159" i="9"/>
  <c r="BU166" i="9"/>
  <c r="BU163" i="9"/>
  <c r="BU148" i="9"/>
  <c r="BU155" i="9"/>
  <c r="BU147" i="9"/>
  <c r="BU158" i="9"/>
  <c r="BU154" i="9"/>
  <c r="BU150" i="9"/>
  <c r="BU151" i="9"/>
  <c r="BU149" i="9"/>
  <c r="BU145" i="9"/>
  <c r="BU143" i="9"/>
  <c r="BU139" i="9"/>
  <c r="BU135" i="9"/>
  <c r="BU142" i="9"/>
  <c r="BU138" i="9"/>
  <c r="BU134" i="9"/>
  <c r="BU146" i="9"/>
  <c r="BU141" i="9"/>
  <c r="BU137" i="9"/>
  <c r="BU133" i="9"/>
  <c r="BU144" i="9"/>
  <c r="BU140" i="9"/>
  <c r="BU136" i="9"/>
  <c r="BU132" i="9"/>
  <c r="BU129" i="9"/>
  <c r="BU125" i="9"/>
  <c r="BU121" i="9"/>
  <c r="BU128" i="9"/>
  <c r="BU124" i="9"/>
  <c r="BU120" i="9"/>
  <c r="BU116" i="9"/>
  <c r="BU127" i="9"/>
  <c r="BU123" i="9"/>
  <c r="BU119" i="9"/>
  <c r="BU131" i="9"/>
  <c r="BU130" i="9"/>
  <c r="BU126" i="9"/>
  <c r="BU122" i="9"/>
  <c r="BU118" i="9"/>
  <c r="BU114" i="9"/>
  <c r="BU110" i="9"/>
  <c r="BU106" i="9"/>
  <c r="BU102" i="9"/>
  <c r="BU98" i="9"/>
  <c r="BU94" i="9"/>
  <c r="BU117" i="9"/>
  <c r="BU113" i="9"/>
  <c r="BU109" i="9"/>
  <c r="BU105" i="9"/>
  <c r="BU101" i="9"/>
  <c r="BU97" i="9"/>
  <c r="BU93" i="9"/>
  <c r="BU89" i="9"/>
  <c r="BU112" i="9"/>
  <c r="BU108" i="9"/>
  <c r="BU115" i="9"/>
  <c r="BU111" i="9"/>
  <c r="BU107" i="9"/>
  <c r="BU103" i="9"/>
  <c r="BU99" i="9"/>
  <c r="BU95" i="9"/>
  <c r="BU91" i="9"/>
  <c r="BU87" i="9"/>
  <c r="BU104" i="9"/>
  <c r="BU90" i="9"/>
  <c r="BU85" i="9"/>
  <c r="BU81" i="9"/>
  <c r="BU77" i="9"/>
  <c r="BU73" i="9"/>
  <c r="BU69" i="9"/>
  <c r="BU65" i="9"/>
  <c r="BU100" i="9"/>
  <c r="BU88" i="9"/>
  <c r="BU84" i="9"/>
  <c r="BU80" i="9"/>
  <c r="BU76" i="9"/>
  <c r="BU72" i="9"/>
  <c r="BU68" i="9"/>
  <c r="BU64" i="9"/>
  <c r="BU96" i="9"/>
  <c r="BU83" i="9"/>
  <c r="BU79" i="9"/>
  <c r="BU75" i="9"/>
  <c r="BU71" i="9"/>
  <c r="BU67" i="9"/>
  <c r="BU92" i="9"/>
  <c r="BU86" i="9"/>
  <c r="BU82" i="9"/>
  <c r="BU78" i="9"/>
  <c r="BU74" i="9"/>
  <c r="BU70" i="9"/>
  <c r="BU66" i="9"/>
  <c r="BU63" i="9"/>
  <c r="BU62" i="9"/>
  <c r="BU15" i="9"/>
  <c r="BU13" i="9"/>
  <c r="BU11" i="9"/>
  <c r="BU9" i="9"/>
  <c r="BV6" i="9"/>
  <c r="BU16" i="9"/>
  <c r="BU14" i="9"/>
  <c r="BU12" i="9"/>
  <c r="BU10" i="9"/>
  <c r="BU8" i="9"/>
  <c r="BW6" i="9" l="1"/>
  <c r="BV8" i="9"/>
  <c r="BW8" i="9" l="1"/>
  <c r="BX6" i="9"/>
  <c r="BX212" i="9" l="1"/>
  <c r="BX211" i="9"/>
  <c r="BX213" i="9"/>
  <c r="BX210" i="9"/>
  <c r="BX209" i="9"/>
  <c r="BX206" i="9"/>
  <c r="BX208" i="9"/>
  <c r="BX205" i="9"/>
  <c r="BX207" i="9"/>
  <c r="BX204" i="9"/>
  <c r="BX203" i="9"/>
  <c r="BX202" i="9"/>
  <c r="BX199" i="9"/>
  <c r="BX195" i="9"/>
  <c r="BX198" i="9"/>
  <c r="BX197" i="9"/>
  <c r="BX192" i="9"/>
  <c r="BX196" i="9"/>
  <c r="BX194" i="9"/>
  <c r="BX191" i="9"/>
  <c r="BX201" i="9"/>
  <c r="BX200" i="9"/>
  <c r="BX188" i="9"/>
  <c r="BX184" i="9"/>
  <c r="BX187" i="9"/>
  <c r="BX183" i="9"/>
  <c r="BX186" i="9"/>
  <c r="BX176" i="9"/>
  <c r="BX172" i="9"/>
  <c r="BX185" i="9"/>
  <c r="BX179" i="9"/>
  <c r="BX175" i="9"/>
  <c r="BX190" i="9"/>
  <c r="BX180" i="9"/>
  <c r="BX178" i="9"/>
  <c r="BX168" i="9"/>
  <c r="BX164" i="9"/>
  <c r="BX160" i="9"/>
  <c r="BX156" i="9"/>
  <c r="BX152" i="9"/>
  <c r="BX193" i="9"/>
  <c r="BX181" i="9"/>
  <c r="BX177" i="9"/>
  <c r="BX171" i="9"/>
  <c r="BX167" i="9"/>
  <c r="BX163" i="9"/>
  <c r="BX159" i="9"/>
  <c r="BX155" i="9"/>
  <c r="BX151" i="9"/>
  <c r="BX189" i="9"/>
  <c r="BX173" i="9"/>
  <c r="BX182" i="9"/>
  <c r="BX174" i="9"/>
  <c r="BX169" i="9"/>
  <c r="BX161" i="9"/>
  <c r="BX166" i="9"/>
  <c r="BX158" i="9"/>
  <c r="BX165" i="9"/>
  <c r="BX170" i="9"/>
  <c r="BX162" i="9"/>
  <c r="BX157" i="9"/>
  <c r="BX147" i="9"/>
  <c r="BX154" i="9"/>
  <c r="BX150" i="9"/>
  <c r="BX146" i="9"/>
  <c r="BX153" i="9"/>
  <c r="BX149" i="9"/>
  <c r="BX148" i="9"/>
  <c r="BX142" i="9"/>
  <c r="BX138" i="9"/>
  <c r="BX134" i="9"/>
  <c r="BX141" i="9"/>
  <c r="BX137" i="9"/>
  <c r="BX133" i="9"/>
  <c r="BX145" i="9"/>
  <c r="BX144" i="9"/>
  <c r="BX140" i="9"/>
  <c r="BX136" i="9"/>
  <c r="BX143" i="9"/>
  <c r="BX139" i="9"/>
  <c r="BX135" i="9"/>
  <c r="BX131" i="9"/>
  <c r="BX128" i="9"/>
  <c r="BX124" i="9"/>
  <c r="BX120" i="9"/>
  <c r="BX127" i="9"/>
  <c r="BX123" i="9"/>
  <c r="BX119" i="9"/>
  <c r="BX132" i="9"/>
  <c r="BX130" i="9"/>
  <c r="BX126" i="9"/>
  <c r="BX122" i="9"/>
  <c r="BX118" i="9"/>
  <c r="BX129" i="9"/>
  <c r="BX125" i="9"/>
  <c r="BX121" i="9"/>
  <c r="BX117" i="9"/>
  <c r="BX113" i="9"/>
  <c r="BX109" i="9"/>
  <c r="BX105" i="9"/>
  <c r="BX101" i="9"/>
  <c r="BX97" i="9"/>
  <c r="BX93" i="9"/>
  <c r="BX116" i="9"/>
  <c r="BX112" i="9"/>
  <c r="BX108" i="9"/>
  <c r="BX104" i="9"/>
  <c r="BX100" i="9"/>
  <c r="BX96" i="9"/>
  <c r="BX92" i="9"/>
  <c r="BX88" i="9"/>
  <c r="BX115" i="9"/>
  <c r="BX111" i="9"/>
  <c r="BX107" i="9"/>
  <c r="BX114" i="9"/>
  <c r="BX110" i="9"/>
  <c r="BX106" i="9"/>
  <c r="BX102" i="9"/>
  <c r="BX98" i="9"/>
  <c r="BX94" i="9"/>
  <c r="BX90" i="9"/>
  <c r="BX95" i="9"/>
  <c r="BX89" i="9"/>
  <c r="BX84" i="9"/>
  <c r="BX80" i="9"/>
  <c r="BX76" i="9"/>
  <c r="BX72" i="9"/>
  <c r="BX68" i="9"/>
  <c r="BX64" i="9"/>
  <c r="BX87" i="9"/>
  <c r="BX83" i="9"/>
  <c r="BX79" i="9"/>
  <c r="BX75" i="9"/>
  <c r="BX71" i="9"/>
  <c r="BX67" i="9"/>
  <c r="BX63" i="9"/>
  <c r="BX103" i="9"/>
  <c r="BX86" i="9"/>
  <c r="BX82" i="9"/>
  <c r="BX78" i="9"/>
  <c r="BX74" i="9"/>
  <c r="BX70" i="9"/>
  <c r="BX66" i="9"/>
  <c r="BX99" i="9"/>
  <c r="BX91" i="9"/>
  <c r="BX85" i="9"/>
  <c r="BX81" i="9"/>
  <c r="BX77" i="9"/>
  <c r="BX73" i="9"/>
  <c r="BX69" i="9"/>
  <c r="BX65" i="9"/>
  <c r="BX62" i="9"/>
  <c r="BX8" i="9"/>
  <c r="BX16" i="9"/>
  <c r="BX14" i="9"/>
  <c r="BX12" i="9"/>
  <c r="BX10" i="9"/>
  <c r="BY6" i="9"/>
  <c r="BX15" i="9"/>
  <c r="BX13" i="9"/>
  <c r="BX11" i="9"/>
  <c r="BX9" i="9"/>
  <c r="BY213" i="9" l="1"/>
  <c r="BY211" i="9"/>
  <c r="BY212" i="9"/>
  <c r="BY210" i="9"/>
  <c r="BY209" i="9"/>
  <c r="BY208" i="9"/>
  <c r="BY207" i="9"/>
  <c r="BY204" i="9"/>
  <c r="BY203" i="9"/>
  <c r="BY205" i="9"/>
  <c r="BY202" i="9"/>
  <c r="BY206" i="9"/>
  <c r="BY201" i="9"/>
  <c r="BY198" i="9"/>
  <c r="BY194" i="9"/>
  <c r="BY200" i="9"/>
  <c r="BY197" i="9"/>
  <c r="BY196" i="9"/>
  <c r="BY191" i="9"/>
  <c r="BY195" i="9"/>
  <c r="BY187" i="9"/>
  <c r="BY183" i="9"/>
  <c r="BY199" i="9"/>
  <c r="BY190" i="9"/>
  <c r="BY186" i="9"/>
  <c r="BY182" i="9"/>
  <c r="BY185" i="9"/>
  <c r="BY179" i="9"/>
  <c r="BY175" i="9"/>
  <c r="BY192" i="9"/>
  <c r="BY184" i="9"/>
  <c r="BY180" i="9"/>
  <c r="BY178" i="9"/>
  <c r="BY174" i="9"/>
  <c r="BY193" i="9"/>
  <c r="BY181" i="9"/>
  <c r="BY177" i="9"/>
  <c r="BY171" i="9"/>
  <c r="BY167" i="9"/>
  <c r="BY163" i="9"/>
  <c r="BY159" i="9"/>
  <c r="BY155" i="9"/>
  <c r="BY151" i="9"/>
  <c r="BY188" i="9"/>
  <c r="BY176" i="9"/>
  <c r="BY172" i="9"/>
  <c r="BY170" i="9"/>
  <c r="BY166" i="9"/>
  <c r="BY162" i="9"/>
  <c r="BY158" i="9"/>
  <c r="BY154" i="9"/>
  <c r="BY189" i="9"/>
  <c r="BY173" i="9"/>
  <c r="BY168" i="9"/>
  <c r="BY160" i="9"/>
  <c r="BY165" i="9"/>
  <c r="BY157" i="9"/>
  <c r="BY164" i="9"/>
  <c r="BY169" i="9"/>
  <c r="BY161" i="9"/>
  <c r="BY150" i="9"/>
  <c r="BY153" i="9"/>
  <c r="BY149" i="9"/>
  <c r="BY145" i="9"/>
  <c r="BY156" i="9"/>
  <c r="BY152" i="9"/>
  <c r="BY148" i="9"/>
  <c r="BY147" i="9"/>
  <c r="BY141" i="9"/>
  <c r="BY137" i="9"/>
  <c r="BY133" i="9"/>
  <c r="BY146" i="9"/>
  <c r="BY144" i="9"/>
  <c r="BY140" i="9"/>
  <c r="BY136" i="9"/>
  <c r="BY132" i="9"/>
  <c r="BY143" i="9"/>
  <c r="BY139" i="9"/>
  <c r="BY135" i="9"/>
  <c r="BY142" i="9"/>
  <c r="BY138" i="9"/>
  <c r="BY134" i="9"/>
  <c r="BY127" i="9"/>
  <c r="BY123" i="9"/>
  <c r="BY119" i="9"/>
  <c r="BY130" i="9"/>
  <c r="BY126" i="9"/>
  <c r="BY122" i="9"/>
  <c r="BY118" i="9"/>
  <c r="BY131" i="9"/>
  <c r="BY129" i="9"/>
  <c r="BY125" i="9"/>
  <c r="BY121" i="9"/>
  <c r="BY128" i="9"/>
  <c r="BY124" i="9"/>
  <c r="BY120" i="9"/>
  <c r="BY116" i="9"/>
  <c r="BY117" i="9"/>
  <c r="BY112" i="9"/>
  <c r="BY108" i="9"/>
  <c r="BY104" i="9"/>
  <c r="BY100" i="9"/>
  <c r="BY96" i="9"/>
  <c r="BY115" i="9"/>
  <c r="BY111" i="9"/>
  <c r="BY107" i="9"/>
  <c r="BY103" i="9"/>
  <c r="BY99" i="9"/>
  <c r="BY95" i="9"/>
  <c r="BY91" i="9"/>
  <c r="BY87" i="9"/>
  <c r="BY114" i="9"/>
  <c r="BY110" i="9"/>
  <c r="BY106" i="9"/>
  <c r="BY113" i="9"/>
  <c r="BY109" i="9"/>
  <c r="BY105" i="9"/>
  <c r="BY101" i="9"/>
  <c r="BY97" i="9"/>
  <c r="BY93" i="9"/>
  <c r="BY89" i="9"/>
  <c r="BY102" i="9"/>
  <c r="BY88" i="9"/>
  <c r="BY83" i="9"/>
  <c r="BY79" i="9"/>
  <c r="BY75" i="9"/>
  <c r="BY71" i="9"/>
  <c r="BY67" i="9"/>
  <c r="BY98" i="9"/>
  <c r="BY86" i="9"/>
  <c r="BY82" i="9"/>
  <c r="BY78" i="9"/>
  <c r="BY74" i="9"/>
  <c r="BY70" i="9"/>
  <c r="BY66" i="9"/>
  <c r="BY94" i="9"/>
  <c r="BY92" i="9"/>
  <c r="BY85" i="9"/>
  <c r="BY81" i="9"/>
  <c r="BY77" i="9"/>
  <c r="BY73" i="9"/>
  <c r="BY69" i="9"/>
  <c r="BY65" i="9"/>
  <c r="BY90" i="9"/>
  <c r="BY84" i="9"/>
  <c r="BY80" i="9"/>
  <c r="BY76" i="9"/>
  <c r="BY72" i="9"/>
  <c r="BY68" i="9"/>
  <c r="BY64" i="9"/>
  <c r="BY63" i="9"/>
  <c r="BY62" i="9"/>
  <c r="BY16" i="9"/>
  <c r="BY14" i="9"/>
  <c r="BY12" i="9"/>
  <c r="BY10" i="9"/>
  <c r="BZ6" i="9"/>
  <c r="BY15" i="9"/>
  <c r="BY13" i="9"/>
  <c r="BY11" i="9"/>
  <c r="BY9" i="9"/>
  <c r="BY8" i="9"/>
  <c r="BZ213" i="9" l="1"/>
  <c r="BZ212" i="9"/>
  <c r="BZ210" i="9"/>
  <c r="BZ211" i="9"/>
  <c r="BZ209" i="9"/>
  <c r="BZ208" i="9"/>
  <c r="BZ207" i="9"/>
  <c r="BZ206" i="9"/>
  <c r="BZ205" i="9"/>
  <c r="BZ202" i="9"/>
  <c r="BZ203" i="9"/>
  <c r="BZ201" i="9"/>
  <c r="BZ204" i="9"/>
  <c r="BZ200" i="9"/>
  <c r="BZ197" i="9"/>
  <c r="BZ196" i="9"/>
  <c r="BZ195" i="9"/>
  <c r="BZ194" i="9"/>
  <c r="BZ190" i="9"/>
  <c r="BZ193" i="9"/>
  <c r="BZ199" i="9"/>
  <c r="BZ186" i="9"/>
  <c r="BZ182" i="9"/>
  <c r="BZ189" i="9"/>
  <c r="BZ185" i="9"/>
  <c r="BZ181" i="9"/>
  <c r="BZ192" i="9"/>
  <c r="BZ184" i="9"/>
  <c r="BZ180" i="9"/>
  <c r="BZ178" i="9"/>
  <c r="BZ174" i="9"/>
  <c r="BZ183" i="9"/>
  <c r="BZ177" i="9"/>
  <c r="BZ188" i="9"/>
  <c r="BZ176" i="9"/>
  <c r="BZ172" i="9"/>
  <c r="BZ170" i="9"/>
  <c r="BZ166" i="9"/>
  <c r="BZ162" i="9"/>
  <c r="BZ158" i="9"/>
  <c r="BZ154" i="9"/>
  <c r="BZ175" i="9"/>
  <c r="BZ173" i="9"/>
  <c r="BZ169" i="9"/>
  <c r="BZ165" i="9"/>
  <c r="BZ161" i="9"/>
  <c r="BZ157" i="9"/>
  <c r="BZ153" i="9"/>
  <c r="BZ198" i="9"/>
  <c r="BZ191" i="9"/>
  <c r="BZ187" i="9"/>
  <c r="BZ171" i="9"/>
  <c r="BZ179" i="9"/>
  <c r="BZ167" i="9"/>
  <c r="BZ164" i="9"/>
  <c r="BZ156" i="9"/>
  <c r="BZ163" i="9"/>
  <c r="BZ168" i="9"/>
  <c r="BZ160" i="9"/>
  <c r="BZ155" i="9"/>
  <c r="BZ149" i="9"/>
  <c r="BZ152" i="9"/>
  <c r="BZ148" i="9"/>
  <c r="BZ151" i="9"/>
  <c r="BZ147" i="9"/>
  <c r="BZ159" i="9"/>
  <c r="BZ150" i="9"/>
  <c r="BZ146" i="9"/>
  <c r="BZ144" i="9"/>
  <c r="BZ140" i="9"/>
  <c r="BZ136" i="9"/>
  <c r="BZ145" i="9"/>
  <c r="BZ143" i="9"/>
  <c r="BZ139" i="9"/>
  <c r="BZ135" i="9"/>
  <c r="BZ131" i="9"/>
  <c r="BZ142" i="9"/>
  <c r="BZ138" i="9"/>
  <c r="BZ134" i="9"/>
  <c r="BZ141" i="9"/>
  <c r="BZ137" i="9"/>
  <c r="BZ133" i="9"/>
  <c r="BZ130" i="9"/>
  <c r="BZ126" i="9"/>
  <c r="BZ122" i="9"/>
  <c r="BZ118" i="9"/>
  <c r="BZ132" i="9"/>
  <c r="BZ129" i="9"/>
  <c r="BZ125" i="9"/>
  <c r="BZ121" i="9"/>
  <c r="BZ117" i="9"/>
  <c r="BZ128" i="9"/>
  <c r="BZ124" i="9"/>
  <c r="BZ120" i="9"/>
  <c r="BZ127" i="9"/>
  <c r="BZ123" i="9"/>
  <c r="BZ119" i="9"/>
  <c r="BZ116" i="9"/>
  <c r="BZ115" i="9"/>
  <c r="BZ111" i="9"/>
  <c r="BZ107" i="9"/>
  <c r="BZ103" i="9"/>
  <c r="BZ99" i="9"/>
  <c r="BZ95" i="9"/>
  <c r="BZ114" i="9"/>
  <c r="BZ110" i="9"/>
  <c r="BZ106" i="9"/>
  <c r="BZ102" i="9"/>
  <c r="BZ98" i="9"/>
  <c r="BZ94" i="9"/>
  <c r="BZ90" i="9"/>
  <c r="BZ113" i="9"/>
  <c r="BZ109" i="9"/>
  <c r="BZ112" i="9"/>
  <c r="BZ108" i="9"/>
  <c r="BZ104" i="9"/>
  <c r="BZ100" i="9"/>
  <c r="BZ96" i="9"/>
  <c r="BZ92" i="9"/>
  <c r="BZ88" i="9"/>
  <c r="BZ93" i="9"/>
  <c r="BZ87" i="9"/>
  <c r="BZ86" i="9"/>
  <c r="BZ82" i="9"/>
  <c r="BZ78" i="9"/>
  <c r="BZ74" i="9"/>
  <c r="BZ70" i="9"/>
  <c r="BZ66" i="9"/>
  <c r="BZ105" i="9"/>
  <c r="BZ85" i="9"/>
  <c r="BZ81" i="9"/>
  <c r="BZ77" i="9"/>
  <c r="BZ73" i="9"/>
  <c r="BZ69" i="9"/>
  <c r="BZ65" i="9"/>
  <c r="BZ101" i="9"/>
  <c r="BZ91" i="9"/>
  <c r="BZ84" i="9"/>
  <c r="BZ80" i="9"/>
  <c r="BZ76" i="9"/>
  <c r="BZ72" i="9"/>
  <c r="BZ68" i="9"/>
  <c r="BZ97" i="9"/>
  <c r="BZ89" i="9"/>
  <c r="BZ83" i="9"/>
  <c r="BZ79" i="9"/>
  <c r="BZ75" i="9"/>
  <c r="BZ71" i="9"/>
  <c r="BZ67" i="9"/>
  <c r="BZ63" i="9"/>
  <c r="BZ64" i="9"/>
  <c r="BZ62" i="9"/>
  <c r="BZ15" i="9"/>
  <c r="BZ13" i="9"/>
  <c r="BZ11" i="9"/>
  <c r="BZ9" i="9"/>
  <c r="BZ8" i="9"/>
  <c r="BZ16" i="9"/>
  <c r="BZ14" i="9"/>
  <c r="BZ12" i="9"/>
  <c r="BZ10" i="9"/>
  <c r="CA6" i="9"/>
  <c r="CA213" i="9" l="1"/>
  <c r="CA212" i="9"/>
  <c r="CA211" i="9"/>
  <c r="CA208" i="9"/>
  <c r="CA207" i="9"/>
  <c r="CA209" i="9"/>
  <c r="CA206" i="9"/>
  <c r="CA205" i="9"/>
  <c r="CA204" i="9"/>
  <c r="CA203" i="9"/>
  <c r="CA201" i="9"/>
  <c r="CA200" i="9"/>
  <c r="CA210" i="9"/>
  <c r="CA196" i="9"/>
  <c r="CA199" i="9"/>
  <c r="CA195" i="9"/>
  <c r="CA193" i="9"/>
  <c r="CA192" i="9"/>
  <c r="CA190" i="9"/>
  <c r="CA189" i="9"/>
  <c r="CA185" i="9"/>
  <c r="CA181" i="9"/>
  <c r="CA202" i="9"/>
  <c r="CA197" i="9"/>
  <c r="CA188" i="9"/>
  <c r="CA184" i="9"/>
  <c r="CA180" i="9"/>
  <c r="CA183" i="9"/>
  <c r="CA177" i="9"/>
  <c r="CA173" i="9"/>
  <c r="CA182" i="9"/>
  <c r="CA176" i="9"/>
  <c r="CA175" i="9"/>
  <c r="CA169" i="9"/>
  <c r="CA165" i="9"/>
  <c r="CA161" i="9"/>
  <c r="CA157" i="9"/>
  <c r="CA153" i="9"/>
  <c r="CA186" i="9"/>
  <c r="CA174" i="9"/>
  <c r="CA168" i="9"/>
  <c r="CA164" i="9"/>
  <c r="CA160" i="9"/>
  <c r="CA156" i="9"/>
  <c r="CA152" i="9"/>
  <c r="CA198" i="9"/>
  <c r="CA194" i="9"/>
  <c r="CA191" i="9"/>
  <c r="CA187" i="9"/>
  <c r="CA171" i="9"/>
  <c r="CA178" i="9"/>
  <c r="CA172" i="9"/>
  <c r="CA179" i="9"/>
  <c r="CA166" i="9"/>
  <c r="CA163" i="9"/>
  <c r="CA170" i="9"/>
  <c r="CA162" i="9"/>
  <c r="CA167" i="9"/>
  <c r="CA159" i="9"/>
  <c r="CA154" i="9"/>
  <c r="CA148" i="9"/>
  <c r="CA158" i="9"/>
  <c r="CA151" i="9"/>
  <c r="CA147" i="9"/>
  <c r="CA150" i="9"/>
  <c r="CA155" i="9"/>
  <c r="CA149" i="9"/>
  <c r="CA145" i="9"/>
  <c r="CA146" i="9"/>
  <c r="CA143" i="9"/>
  <c r="CA139" i="9"/>
  <c r="CA135" i="9"/>
  <c r="CA142" i="9"/>
  <c r="CA138" i="9"/>
  <c r="CA134" i="9"/>
  <c r="CA141" i="9"/>
  <c r="CA137" i="9"/>
  <c r="CA133" i="9"/>
  <c r="CA144" i="9"/>
  <c r="CA140" i="9"/>
  <c r="CA136" i="9"/>
  <c r="CA132" i="9"/>
  <c r="CA129" i="9"/>
  <c r="CA125" i="9"/>
  <c r="CA121" i="9"/>
  <c r="CA117" i="9"/>
  <c r="CA131" i="9"/>
  <c r="CA128" i="9"/>
  <c r="CA124" i="9"/>
  <c r="CA120" i="9"/>
  <c r="CA116" i="9"/>
  <c r="CA127" i="9"/>
  <c r="CA123" i="9"/>
  <c r="CA119" i="9"/>
  <c r="CA130" i="9"/>
  <c r="CA126" i="9"/>
  <c r="CA122" i="9"/>
  <c r="CA118" i="9"/>
  <c r="CA114" i="9"/>
  <c r="CA110" i="9"/>
  <c r="CA106" i="9"/>
  <c r="CA102" i="9"/>
  <c r="CA98" i="9"/>
  <c r="CA94" i="9"/>
  <c r="CA113" i="9"/>
  <c r="CA109" i="9"/>
  <c r="CA105" i="9"/>
  <c r="CA101" i="9"/>
  <c r="CA97" i="9"/>
  <c r="CA93" i="9"/>
  <c r="CA89" i="9"/>
  <c r="CA112" i="9"/>
  <c r="CA108" i="9"/>
  <c r="CA115" i="9"/>
  <c r="CA111" i="9"/>
  <c r="CA107" i="9"/>
  <c r="CA103" i="9"/>
  <c r="CA99" i="9"/>
  <c r="CA95" i="9"/>
  <c r="CA91" i="9"/>
  <c r="CA87" i="9"/>
  <c r="CA100" i="9"/>
  <c r="CA85" i="9"/>
  <c r="CA81" i="9"/>
  <c r="CA77" i="9"/>
  <c r="CA73" i="9"/>
  <c r="CA69" i="9"/>
  <c r="CA65" i="9"/>
  <c r="CA96" i="9"/>
  <c r="CA92" i="9"/>
  <c r="CA84" i="9"/>
  <c r="CA80" i="9"/>
  <c r="CA76" i="9"/>
  <c r="CA72" i="9"/>
  <c r="CA68" i="9"/>
  <c r="CA64" i="9"/>
  <c r="CA90" i="9"/>
  <c r="CA83" i="9"/>
  <c r="CA79" i="9"/>
  <c r="CA75" i="9"/>
  <c r="CA71" i="9"/>
  <c r="CA67" i="9"/>
  <c r="CA104" i="9"/>
  <c r="CA88" i="9"/>
  <c r="CA86" i="9"/>
  <c r="CA82" i="9"/>
  <c r="CA78" i="9"/>
  <c r="CA74" i="9"/>
  <c r="CA70" i="9"/>
  <c r="CA66" i="9"/>
  <c r="CA62" i="9"/>
  <c r="CA63" i="9"/>
  <c r="CA15" i="9"/>
  <c r="CA13" i="9"/>
  <c r="CA11" i="9"/>
  <c r="CA9" i="9"/>
  <c r="CA8" i="9"/>
  <c r="CA16" i="9"/>
  <c r="CA14" i="9"/>
  <c r="CA12" i="9"/>
  <c r="CA10" i="9"/>
  <c r="CB6" i="9"/>
  <c r="CB213" i="9" l="1"/>
  <c r="CB212" i="9"/>
  <c r="CB211" i="9"/>
  <c r="CB210" i="9"/>
  <c r="CB206" i="9"/>
  <c r="CB209" i="9"/>
  <c r="CB205" i="9"/>
  <c r="CB204" i="9"/>
  <c r="CB207" i="9"/>
  <c r="CB202" i="9"/>
  <c r="CB203" i="9"/>
  <c r="CB199" i="9"/>
  <c r="CB195" i="9"/>
  <c r="CB201" i="9"/>
  <c r="CB198" i="9"/>
  <c r="CB192" i="9"/>
  <c r="CB208" i="9"/>
  <c r="CB200" i="9"/>
  <c r="CB191" i="9"/>
  <c r="CB197" i="9"/>
  <c r="CB188" i="9"/>
  <c r="CB184" i="9"/>
  <c r="CB193" i="9"/>
  <c r="CB187" i="9"/>
  <c r="CB183" i="9"/>
  <c r="CB182" i="9"/>
  <c r="CB176" i="9"/>
  <c r="CB172" i="9"/>
  <c r="CB196" i="9"/>
  <c r="CB190" i="9"/>
  <c r="CB189" i="9"/>
  <c r="CB181" i="9"/>
  <c r="CB179" i="9"/>
  <c r="CB175" i="9"/>
  <c r="CB186" i="9"/>
  <c r="CB174" i="9"/>
  <c r="CB173" i="9"/>
  <c r="CB168" i="9"/>
  <c r="CB164" i="9"/>
  <c r="CB160" i="9"/>
  <c r="CB156" i="9"/>
  <c r="CB152" i="9"/>
  <c r="CB171" i="9"/>
  <c r="CB167" i="9"/>
  <c r="CB163" i="9"/>
  <c r="CB159" i="9"/>
  <c r="CB155" i="9"/>
  <c r="CB151" i="9"/>
  <c r="CB194" i="9"/>
  <c r="CB185" i="9"/>
  <c r="CB180" i="9"/>
  <c r="CB178" i="9"/>
  <c r="CB177" i="9"/>
  <c r="CB165" i="9"/>
  <c r="CB170" i="9"/>
  <c r="CB162" i="9"/>
  <c r="CB169" i="9"/>
  <c r="CB161" i="9"/>
  <c r="CB166" i="9"/>
  <c r="CB158" i="9"/>
  <c r="CB153" i="9"/>
  <c r="CB147" i="9"/>
  <c r="CB150" i="9"/>
  <c r="CB146" i="9"/>
  <c r="CB149" i="9"/>
  <c r="CB157" i="9"/>
  <c r="CB154" i="9"/>
  <c r="CB148" i="9"/>
  <c r="CB145" i="9"/>
  <c r="CB142" i="9"/>
  <c r="CB138" i="9"/>
  <c r="CB134" i="9"/>
  <c r="CB141" i="9"/>
  <c r="CB137" i="9"/>
  <c r="CB133" i="9"/>
  <c r="CB144" i="9"/>
  <c r="CB140" i="9"/>
  <c r="CB136" i="9"/>
  <c r="CB143" i="9"/>
  <c r="CB139" i="9"/>
  <c r="CB135" i="9"/>
  <c r="CB131" i="9"/>
  <c r="CB132" i="9"/>
  <c r="CB128" i="9"/>
  <c r="CB124" i="9"/>
  <c r="CB120" i="9"/>
  <c r="CB127" i="9"/>
  <c r="CB123" i="9"/>
  <c r="CB119" i="9"/>
  <c r="CB130" i="9"/>
  <c r="CB126" i="9"/>
  <c r="CB122" i="9"/>
  <c r="CB118" i="9"/>
  <c r="CB129" i="9"/>
  <c r="CB125" i="9"/>
  <c r="CB121" i="9"/>
  <c r="CB117" i="9"/>
  <c r="CB113" i="9"/>
  <c r="CB109" i="9"/>
  <c r="CB105" i="9"/>
  <c r="CB101" i="9"/>
  <c r="CB97" i="9"/>
  <c r="CB93" i="9"/>
  <c r="CB112" i="9"/>
  <c r="CB108" i="9"/>
  <c r="CB104" i="9"/>
  <c r="CB100" i="9"/>
  <c r="CB96" i="9"/>
  <c r="CB92" i="9"/>
  <c r="CB88" i="9"/>
  <c r="CB115" i="9"/>
  <c r="CB111" i="9"/>
  <c r="CB107" i="9"/>
  <c r="CB116" i="9"/>
  <c r="CB114" i="9"/>
  <c r="CB110" i="9"/>
  <c r="CB106" i="9"/>
  <c r="CB102" i="9"/>
  <c r="CB98" i="9"/>
  <c r="CB94" i="9"/>
  <c r="CB90" i="9"/>
  <c r="CB84" i="9"/>
  <c r="CB80" i="9"/>
  <c r="CB76" i="9"/>
  <c r="CB72" i="9"/>
  <c r="CB68" i="9"/>
  <c r="CB64" i="9"/>
  <c r="CB103" i="9"/>
  <c r="CB91" i="9"/>
  <c r="CB83" i="9"/>
  <c r="CB79" i="9"/>
  <c r="CB75" i="9"/>
  <c r="CB71" i="9"/>
  <c r="CB67" i="9"/>
  <c r="CB63" i="9"/>
  <c r="CB99" i="9"/>
  <c r="CB89" i="9"/>
  <c r="CB86" i="9"/>
  <c r="CB82" i="9"/>
  <c r="CB78" i="9"/>
  <c r="CB74" i="9"/>
  <c r="CB70" i="9"/>
  <c r="CB66" i="9"/>
  <c r="CB95" i="9"/>
  <c r="CB87" i="9"/>
  <c r="CB85" i="9"/>
  <c r="CB81" i="9"/>
  <c r="CB77" i="9"/>
  <c r="CB73" i="9"/>
  <c r="CB69" i="9"/>
  <c r="CB65" i="9"/>
  <c r="CB62" i="9"/>
  <c r="CB8" i="9"/>
  <c r="CB16" i="9"/>
  <c r="CB14" i="9"/>
  <c r="CB12" i="9"/>
  <c r="CB10" i="9"/>
  <c r="CC6" i="9"/>
  <c r="CB15" i="9"/>
  <c r="CB13" i="9"/>
  <c r="CB11" i="9"/>
  <c r="CB9" i="9"/>
  <c r="CD6" i="9" l="1"/>
  <c r="CC8" i="9"/>
  <c r="CE6" i="9" l="1"/>
  <c r="CD8" i="9"/>
  <c r="CE213" i="9" l="1"/>
  <c r="CE212" i="9"/>
  <c r="CE211" i="9"/>
  <c r="CE210" i="9"/>
  <c r="CE209" i="9"/>
  <c r="CE208" i="9"/>
  <c r="CE206" i="9"/>
  <c r="CE204" i="9"/>
  <c r="CE203" i="9"/>
  <c r="CE207" i="9"/>
  <c r="CE205" i="9"/>
  <c r="CE202" i="9"/>
  <c r="CE201" i="9"/>
  <c r="CE198" i="9"/>
  <c r="CE194" i="9"/>
  <c r="CE197" i="9"/>
  <c r="CE200" i="9"/>
  <c r="CE191" i="9"/>
  <c r="CE199" i="9"/>
  <c r="CE193" i="9"/>
  <c r="CE187" i="9"/>
  <c r="CE183" i="9"/>
  <c r="CE195" i="9"/>
  <c r="CE192" i="9"/>
  <c r="CE186" i="9"/>
  <c r="CE182" i="9"/>
  <c r="CE196" i="9"/>
  <c r="CE190" i="9"/>
  <c r="CE189" i="9"/>
  <c r="CE181" i="9"/>
  <c r="CE179" i="9"/>
  <c r="CE175" i="9"/>
  <c r="CE188" i="9"/>
  <c r="CE178" i="9"/>
  <c r="CE174" i="9"/>
  <c r="CE171" i="9"/>
  <c r="CE167" i="9"/>
  <c r="CE163" i="9"/>
  <c r="CE159" i="9"/>
  <c r="CE155" i="9"/>
  <c r="CE151" i="9"/>
  <c r="CE184" i="9"/>
  <c r="CE170" i="9"/>
  <c r="CE166" i="9"/>
  <c r="CE162" i="9"/>
  <c r="CE158" i="9"/>
  <c r="CE154" i="9"/>
  <c r="CE185" i="9"/>
  <c r="CE180" i="9"/>
  <c r="CE172" i="9"/>
  <c r="CE176" i="9"/>
  <c r="CE177" i="9"/>
  <c r="CE173" i="9"/>
  <c r="CE164" i="9"/>
  <c r="CE169" i="9"/>
  <c r="CE161" i="9"/>
  <c r="CE168" i="9"/>
  <c r="CE160" i="9"/>
  <c r="CE165" i="9"/>
  <c r="CE157" i="9"/>
  <c r="CE152" i="9"/>
  <c r="CE150" i="9"/>
  <c r="CE156" i="9"/>
  <c r="CE149" i="9"/>
  <c r="CE145" i="9"/>
  <c r="CE148" i="9"/>
  <c r="CE153" i="9"/>
  <c r="CE147" i="9"/>
  <c r="CE141" i="9"/>
  <c r="CE137" i="9"/>
  <c r="CE133" i="9"/>
  <c r="CE144" i="9"/>
  <c r="CE140" i="9"/>
  <c r="CE136" i="9"/>
  <c r="CE132" i="9"/>
  <c r="CE143" i="9"/>
  <c r="CE139" i="9"/>
  <c r="CE135" i="9"/>
  <c r="CE146" i="9"/>
  <c r="CE142" i="9"/>
  <c r="CE138" i="9"/>
  <c r="CE134" i="9"/>
  <c r="CE131" i="9"/>
  <c r="CE127" i="9"/>
  <c r="CE123" i="9"/>
  <c r="CE119" i="9"/>
  <c r="CE130" i="9"/>
  <c r="CE126" i="9"/>
  <c r="CE122" i="9"/>
  <c r="CE118" i="9"/>
  <c r="CE129" i="9"/>
  <c r="CE125" i="9"/>
  <c r="CE121" i="9"/>
  <c r="CE117" i="9"/>
  <c r="CE128" i="9"/>
  <c r="CE124" i="9"/>
  <c r="CE120" i="9"/>
  <c r="CE116" i="9"/>
  <c r="CE112" i="9"/>
  <c r="CE108" i="9"/>
  <c r="CE104" i="9"/>
  <c r="CE100" i="9"/>
  <c r="CE96" i="9"/>
  <c r="CE115" i="9"/>
  <c r="CE111" i="9"/>
  <c r="CE107" i="9"/>
  <c r="CE103" i="9"/>
  <c r="CE99" i="9"/>
  <c r="CE95" i="9"/>
  <c r="CE91" i="9"/>
  <c r="CE87" i="9"/>
  <c r="CE114" i="9"/>
  <c r="CE110" i="9"/>
  <c r="CE106" i="9"/>
  <c r="CE113" i="9"/>
  <c r="CE109" i="9"/>
  <c r="CE105" i="9"/>
  <c r="CE101" i="9"/>
  <c r="CE97" i="9"/>
  <c r="CE93" i="9"/>
  <c r="CE89" i="9"/>
  <c r="CE98" i="9"/>
  <c r="CE92" i="9"/>
  <c r="CE83" i="9"/>
  <c r="CE79" i="9"/>
  <c r="CE75" i="9"/>
  <c r="CE71" i="9"/>
  <c r="CE67" i="9"/>
  <c r="CE94" i="9"/>
  <c r="CE90" i="9"/>
  <c r="CE86" i="9"/>
  <c r="CE82" i="9"/>
  <c r="CE78" i="9"/>
  <c r="CE74" i="9"/>
  <c r="CE70" i="9"/>
  <c r="CE66" i="9"/>
  <c r="CE88" i="9"/>
  <c r="CE85" i="9"/>
  <c r="CE81" i="9"/>
  <c r="CE77" i="9"/>
  <c r="CE73" i="9"/>
  <c r="CE69" i="9"/>
  <c r="CE65" i="9"/>
  <c r="CE102" i="9"/>
  <c r="CE84" i="9"/>
  <c r="CE80" i="9"/>
  <c r="CE76" i="9"/>
  <c r="CE72" i="9"/>
  <c r="CE68" i="9"/>
  <c r="CE64" i="9"/>
  <c r="CE63" i="9"/>
  <c r="CE62" i="9"/>
  <c r="CE16" i="9"/>
  <c r="CE14" i="9"/>
  <c r="CE12" i="9"/>
  <c r="CE10" i="9"/>
  <c r="CE8" i="9"/>
  <c r="CF6" i="9"/>
  <c r="CE15" i="9"/>
  <c r="CE13" i="9"/>
  <c r="CE11" i="9"/>
  <c r="CE9" i="9"/>
  <c r="CF213" i="9" l="1"/>
  <c r="CF211" i="9"/>
  <c r="CF210" i="9"/>
  <c r="CF209" i="9"/>
  <c r="CF212" i="9"/>
  <c r="CF208" i="9"/>
  <c r="CF207" i="9"/>
  <c r="CF205" i="9"/>
  <c r="CF202" i="9"/>
  <c r="CF206" i="9"/>
  <c r="CF201" i="9"/>
  <c r="CF204" i="9"/>
  <c r="CF203" i="9"/>
  <c r="CF197" i="9"/>
  <c r="CF200" i="9"/>
  <c r="CF196" i="9"/>
  <c r="CF199" i="9"/>
  <c r="CF190" i="9"/>
  <c r="CF198" i="9"/>
  <c r="CF194" i="9"/>
  <c r="CF193" i="9"/>
  <c r="CF195" i="9"/>
  <c r="CF192" i="9"/>
  <c r="CF186" i="9"/>
  <c r="CF182" i="9"/>
  <c r="CF191" i="9"/>
  <c r="CF189" i="9"/>
  <c r="CF185" i="9"/>
  <c r="CF181" i="9"/>
  <c r="CF188" i="9"/>
  <c r="CF178" i="9"/>
  <c r="CF174" i="9"/>
  <c r="CF187" i="9"/>
  <c r="CF180" i="9"/>
  <c r="CF177" i="9"/>
  <c r="CF184" i="9"/>
  <c r="CF170" i="9"/>
  <c r="CF166" i="9"/>
  <c r="CF162" i="9"/>
  <c r="CF158" i="9"/>
  <c r="CF154" i="9"/>
  <c r="CF179" i="9"/>
  <c r="CF172" i="9"/>
  <c r="CF169" i="9"/>
  <c r="CF165" i="9"/>
  <c r="CF161" i="9"/>
  <c r="CF157" i="9"/>
  <c r="CF153" i="9"/>
  <c r="CF176" i="9"/>
  <c r="CF173" i="9"/>
  <c r="CF183" i="9"/>
  <c r="CF175" i="9"/>
  <c r="CF171" i="9"/>
  <c r="CF163" i="9"/>
  <c r="CF168" i="9"/>
  <c r="CF160" i="9"/>
  <c r="CF167" i="9"/>
  <c r="CF164" i="9"/>
  <c r="CF156" i="9"/>
  <c r="CF151" i="9"/>
  <c r="CF149" i="9"/>
  <c r="CF148" i="9"/>
  <c r="CF159" i="9"/>
  <c r="CF155" i="9"/>
  <c r="CF147" i="9"/>
  <c r="CF152" i="9"/>
  <c r="CF150" i="9"/>
  <c r="CF146" i="9"/>
  <c r="CF144" i="9"/>
  <c r="CF140" i="9"/>
  <c r="CF136" i="9"/>
  <c r="CF143" i="9"/>
  <c r="CF139" i="9"/>
  <c r="CF135" i="9"/>
  <c r="CF131" i="9"/>
  <c r="CF142" i="9"/>
  <c r="CF138" i="9"/>
  <c r="CF134" i="9"/>
  <c r="CF145" i="9"/>
  <c r="CF141" i="9"/>
  <c r="CF137" i="9"/>
  <c r="CF133" i="9"/>
  <c r="CF130" i="9"/>
  <c r="CF126" i="9"/>
  <c r="CF122" i="9"/>
  <c r="CF118" i="9"/>
  <c r="CF129" i="9"/>
  <c r="CF125" i="9"/>
  <c r="CF121" i="9"/>
  <c r="CF117" i="9"/>
  <c r="CF128" i="9"/>
  <c r="CF124" i="9"/>
  <c r="CF120" i="9"/>
  <c r="CF132" i="9"/>
  <c r="CF127" i="9"/>
  <c r="CF123" i="9"/>
  <c r="CF119" i="9"/>
  <c r="CF115" i="9"/>
  <c r="CF111" i="9"/>
  <c r="CF107" i="9"/>
  <c r="CF103" i="9"/>
  <c r="CF99" i="9"/>
  <c r="CF95" i="9"/>
  <c r="CF114" i="9"/>
  <c r="CF110" i="9"/>
  <c r="CF106" i="9"/>
  <c r="CF102" i="9"/>
  <c r="CF98" i="9"/>
  <c r="CF94" i="9"/>
  <c r="CF90" i="9"/>
  <c r="CF116" i="9"/>
  <c r="CF113" i="9"/>
  <c r="CF109" i="9"/>
  <c r="CF112" i="9"/>
  <c r="CF108" i="9"/>
  <c r="CF104" i="9"/>
  <c r="CF100" i="9"/>
  <c r="CF96" i="9"/>
  <c r="CF92" i="9"/>
  <c r="CF88" i="9"/>
  <c r="CF105" i="9"/>
  <c r="CF91" i="9"/>
  <c r="CF86" i="9"/>
  <c r="CF82" i="9"/>
  <c r="CF78" i="9"/>
  <c r="CF74" i="9"/>
  <c r="CF70" i="9"/>
  <c r="CF66" i="9"/>
  <c r="CF101" i="9"/>
  <c r="CF89" i="9"/>
  <c r="CF85" i="9"/>
  <c r="CF81" i="9"/>
  <c r="CF77" i="9"/>
  <c r="CF73" i="9"/>
  <c r="CF69" i="9"/>
  <c r="CF65" i="9"/>
  <c r="CF97" i="9"/>
  <c r="CF87" i="9"/>
  <c r="CF84" i="9"/>
  <c r="CF80" i="9"/>
  <c r="CF76" i="9"/>
  <c r="CF72" i="9"/>
  <c r="CF68" i="9"/>
  <c r="CF64" i="9"/>
  <c r="CF93" i="9"/>
  <c r="CF83" i="9"/>
  <c r="CF79" i="9"/>
  <c r="CF75" i="9"/>
  <c r="CF71" i="9"/>
  <c r="CF67" i="9"/>
  <c r="CF63" i="9"/>
  <c r="CF62" i="9"/>
  <c r="CF8" i="9"/>
  <c r="CF15" i="9"/>
  <c r="CF13" i="9"/>
  <c r="CF11" i="9"/>
  <c r="CF9" i="9"/>
  <c r="CG6" i="9"/>
  <c r="CF16" i="9"/>
  <c r="CF14" i="9"/>
  <c r="CF12" i="9"/>
  <c r="CF10" i="9"/>
  <c r="CG213" i="9" l="1"/>
  <c r="CG212" i="9"/>
  <c r="CG211" i="9"/>
  <c r="CG208" i="9"/>
  <c r="CG209" i="9"/>
  <c r="CG207" i="9"/>
  <c r="CG210" i="9"/>
  <c r="CG205" i="9"/>
  <c r="CG206" i="9"/>
  <c r="CG204" i="9"/>
  <c r="CG201" i="9"/>
  <c r="CG203" i="9"/>
  <c r="CG200" i="9"/>
  <c r="CG196" i="9"/>
  <c r="CG199" i="9"/>
  <c r="CG195" i="9"/>
  <c r="CG198" i="9"/>
  <c r="CG194" i="9"/>
  <c r="CG193" i="9"/>
  <c r="CG197" i="9"/>
  <c r="CG192" i="9"/>
  <c r="CG202" i="9"/>
  <c r="CG191" i="9"/>
  <c r="CG189" i="9"/>
  <c r="CG185" i="9"/>
  <c r="CG181" i="9"/>
  <c r="CG190" i="9"/>
  <c r="CG188" i="9"/>
  <c r="CG184" i="9"/>
  <c r="CG180" i="9"/>
  <c r="CG187" i="9"/>
  <c r="CG177" i="9"/>
  <c r="CG173" i="9"/>
  <c r="CG186" i="9"/>
  <c r="CG176" i="9"/>
  <c r="CG179" i="9"/>
  <c r="CG172" i="9"/>
  <c r="CG169" i="9"/>
  <c r="CG165" i="9"/>
  <c r="CG161" i="9"/>
  <c r="CG157" i="9"/>
  <c r="CG153" i="9"/>
  <c r="CG182" i="9"/>
  <c r="CG178" i="9"/>
  <c r="CG168" i="9"/>
  <c r="CG164" i="9"/>
  <c r="CG160" i="9"/>
  <c r="CG156" i="9"/>
  <c r="CG152" i="9"/>
  <c r="CG174" i="9"/>
  <c r="CG183" i="9"/>
  <c r="CG175" i="9"/>
  <c r="CG171" i="9"/>
  <c r="CG170" i="9"/>
  <c r="CG162" i="9"/>
  <c r="CG167" i="9"/>
  <c r="CG159" i="9"/>
  <c r="CG166" i="9"/>
  <c r="CG163" i="9"/>
  <c r="CG158" i="9"/>
  <c r="CG148" i="9"/>
  <c r="CG155" i="9"/>
  <c r="CG147" i="9"/>
  <c r="CG154" i="9"/>
  <c r="CG150" i="9"/>
  <c r="CG151" i="9"/>
  <c r="CG149" i="9"/>
  <c r="CG145" i="9"/>
  <c r="CG143" i="9"/>
  <c r="CG139" i="9"/>
  <c r="CG135" i="9"/>
  <c r="CG142" i="9"/>
  <c r="CG138" i="9"/>
  <c r="CG134" i="9"/>
  <c r="CG146" i="9"/>
  <c r="CG141" i="9"/>
  <c r="CG137" i="9"/>
  <c r="CG133" i="9"/>
  <c r="CG144" i="9"/>
  <c r="CG140" i="9"/>
  <c r="CG136" i="9"/>
  <c r="CG132" i="9"/>
  <c r="CG129" i="9"/>
  <c r="CG125" i="9"/>
  <c r="CG121" i="9"/>
  <c r="CG117" i="9"/>
  <c r="CG128" i="9"/>
  <c r="CG124" i="9"/>
  <c r="CG120" i="9"/>
  <c r="CG116" i="9"/>
  <c r="CG127" i="9"/>
  <c r="CG123" i="9"/>
  <c r="CG119" i="9"/>
  <c r="CG131" i="9"/>
  <c r="CG130" i="9"/>
  <c r="CG126" i="9"/>
  <c r="CG122" i="9"/>
  <c r="CG118" i="9"/>
  <c r="CG114" i="9"/>
  <c r="CG110" i="9"/>
  <c r="CG106" i="9"/>
  <c r="CG102" i="9"/>
  <c r="CG98" i="9"/>
  <c r="CG94" i="9"/>
  <c r="CG113" i="9"/>
  <c r="CG109" i="9"/>
  <c r="CG105" i="9"/>
  <c r="CG101" i="9"/>
  <c r="CG97" i="9"/>
  <c r="CG93" i="9"/>
  <c r="CG89" i="9"/>
  <c r="CG112" i="9"/>
  <c r="CG108" i="9"/>
  <c r="CG115" i="9"/>
  <c r="CG111" i="9"/>
  <c r="CG107" i="9"/>
  <c r="CG103" i="9"/>
  <c r="CG99" i="9"/>
  <c r="CG95" i="9"/>
  <c r="CG91" i="9"/>
  <c r="CG87" i="9"/>
  <c r="CG96" i="9"/>
  <c r="CG90" i="9"/>
  <c r="CG85" i="9"/>
  <c r="CG81" i="9"/>
  <c r="CG77" i="9"/>
  <c r="CG73" i="9"/>
  <c r="CG69" i="9"/>
  <c r="CG65" i="9"/>
  <c r="CG88" i="9"/>
  <c r="CG84" i="9"/>
  <c r="CG80" i="9"/>
  <c r="CG76" i="9"/>
  <c r="CG72" i="9"/>
  <c r="CG68" i="9"/>
  <c r="CG64" i="9"/>
  <c r="CG104" i="9"/>
  <c r="CG83" i="9"/>
  <c r="CG79" i="9"/>
  <c r="CG75" i="9"/>
  <c r="CG71" i="9"/>
  <c r="CG67" i="9"/>
  <c r="CG100" i="9"/>
  <c r="CG92" i="9"/>
  <c r="CG86" i="9"/>
  <c r="CG82" i="9"/>
  <c r="CG78" i="9"/>
  <c r="CG74" i="9"/>
  <c r="CG70" i="9"/>
  <c r="CG66" i="9"/>
  <c r="CG63" i="9"/>
  <c r="CG62" i="9"/>
  <c r="CG15" i="9"/>
  <c r="CG13" i="9"/>
  <c r="CG11" i="9"/>
  <c r="CG9" i="9"/>
  <c r="CH6" i="9"/>
  <c r="CG16" i="9"/>
  <c r="CG14" i="9"/>
  <c r="CG12" i="9"/>
  <c r="CG10" i="9"/>
  <c r="CG8" i="9"/>
  <c r="CH213" i="9" l="1"/>
  <c r="CH211" i="9"/>
  <c r="CH212" i="9"/>
  <c r="CH210" i="9"/>
  <c r="CH209" i="9"/>
  <c r="CH206" i="9"/>
  <c r="CH205" i="9"/>
  <c r="CH207" i="9"/>
  <c r="CH204" i="9"/>
  <c r="CH208" i="9"/>
  <c r="CH203" i="9"/>
  <c r="CH202" i="9"/>
  <c r="CH201" i="9"/>
  <c r="CH200" i="9"/>
  <c r="CH199" i="9"/>
  <c r="CH195" i="9"/>
  <c r="CH198" i="9"/>
  <c r="CH197" i="9"/>
  <c r="CH192" i="9"/>
  <c r="CH196" i="9"/>
  <c r="CH191" i="9"/>
  <c r="CH190" i="9"/>
  <c r="CH188" i="9"/>
  <c r="CH184" i="9"/>
  <c r="CH194" i="9"/>
  <c r="CH187" i="9"/>
  <c r="CH183" i="9"/>
  <c r="CH186" i="9"/>
  <c r="CH180" i="9"/>
  <c r="CH176" i="9"/>
  <c r="CH172" i="9"/>
  <c r="CH193" i="9"/>
  <c r="CH185" i="9"/>
  <c r="CH179" i="9"/>
  <c r="CH175" i="9"/>
  <c r="CH182" i="9"/>
  <c r="CH178" i="9"/>
  <c r="CH168" i="9"/>
  <c r="CH164" i="9"/>
  <c r="CH160" i="9"/>
  <c r="CH156" i="9"/>
  <c r="CH152" i="9"/>
  <c r="CH189" i="9"/>
  <c r="CH177" i="9"/>
  <c r="CH173" i="9"/>
  <c r="CH171" i="9"/>
  <c r="CH167" i="9"/>
  <c r="CH163" i="9"/>
  <c r="CH159" i="9"/>
  <c r="CH155" i="9"/>
  <c r="CH151" i="9"/>
  <c r="CH181" i="9"/>
  <c r="CH174" i="9"/>
  <c r="CH169" i="9"/>
  <c r="CH161" i="9"/>
  <c r="CH166" i="9"/>
  <c r="CH158" i="9"/>
  <c r="CH165" i="9"/>
  <c r="CH170" i="9"/>
  <c r="CH162" i="9"/>
  <c r="CH147" i="9"/>
  <c r="CH154" i="9"/>
  <c r="CH150" i="9"/>
  <c r="CH146" i="9"/>
  <c r="CH157" i="9"/>
  <c r="CH153" i="9"/>
  <c r="CH149" i="9"/>
  <c r="CH148" i="9"/>
  <c r="CH142" i="9"/>
  <c r="CH138" i="9"/>
  <c r="CH134" i="9"/>
  <c r="CH141" i="9"/>
  <c r="CH137" i="9"/>
  <c r="CH133" i="9"/>
  <c r="CH145" i="9"/>
  <c r="CH144" i="9"/>
  <c r="CH140" i="9"/>
  <c r="CH136" i="9"/>
  <c r="CH143" i="9"/>
  <c r="CH139" i="9"/>
  <c r="CH135" i="9"/>
  <c r="CH131" i="9"/>
  <c r="CH128" i="9"/>
  <c r="CH124" i="9"/>
  <c r="CH120" i="9"/>
  <c r="CH127" i="9"/>
  <c r="CH123" i="9"/>
  <c r="CH119" i="9"/>
  <c r="CH132" i="9"/>
  <c r="CH130" i="9"/>
  <c r="CH126" i="9"/>
  <c r="CH122" i="9"/>
  <c r="CH118" i="9"/>
  <c r="CH129" i="9"/>
  <c r="CH125" i="9"/>
  <c r="CH121" i="9"/>
  <c r="CH117" i="9"/>
  <c r="CH113" i="9"/>
  <c r="CH109" i="9"/>
  <c r="CH105" i="9"/>
  <c r="CH101" i="9"/>
  <c r="CH97" i="9"/>
  <c r="CH93" i="9"/>
  <c r="CH116" i="9"/>
  <c r="CH112" i="9"/>
  <c r="CH108" i="9"/>
  <c r="CH104" i="9"/>
  <c r="CH100" i="9"/>
  <c r="CH96" i="9"/>
  <c r="CH92" i="9"/>
  <c r="CH88" i="9"/>
  <c r="CH115" i="9"/>
  <c r="CH111" i="9"/>
  <c r="CH107" i="9"/>
  <c r="CH114" i="9"/>
  <c r="CH110" i="9"/>
  <c r="CH106" i="9"/>
  <c r="CH102" i="9"/>
  <c r="CH98" i="9"/>
  <c r="CH94" i="9"/>
  <c r="CH90" i="9"/>
  <c r="CH103" i="9"/>
  <c r="CH89" i="9"/>
  <c r="CH84" i="9"/>
  <c r="CH80" i="9"/>
  <c r="CH76" i="9"/>
  <c r="CH72" i="9"/>
  <c r="CH68" i="9"/>
  <c r="CH64" i="9"/>
  <c r="CH99" i="9"/>
  <c r="CH87" i="9"/>
  <c r="CH83" i="9"/>
  <c r="CH79" i="9"/>
  <c r="CH75" i="9"/>
  <c r="CH71" i="9"/>
  <c r="CH67" i="9"/>
  <c r="CH63" i="9"/>
  <c r="CH95" i="9"/>
  <c r="CH86" i="9"/>
  <c r="CH82" i="9"/>
  <c r="CH78" i="9"/>
  <c r="CH74" i="9"/>
  <c r="CH70" i="9"/>
  <c r="CH66" i="9"/>
  <c r="CH91" i="9"/>
  <c r="CH85" i="9"/>
  <c r="CH81" i="9"/>
  <c r="CH77" i="9"/>
  <c r="CH73" i="9"/>
  <c r="CH69" i="9"/>
  <c r="CH65" i="9"/>
  <c r="CH62" i="9"/>
  <c r="CI6" i="9"/>
  <c r="CH16" i="9"/>
  <c r="CH14" i="9"/>
  <c r="CH12" i="9"/>
  <c r="CH10" i="9"/>
  <c r="CH8" i="9"/>
  <c r="CH15" i="9"/>
  <c r="CH13" i="9"/>
  <c r="CH11" i="9"/>
  <c r="CH9" i="9"/>
  <c r="CI213" i="9" l="1"/>
  <c r="CI211" i="9"/>
  <c r="CI212" i="9"/>
  <c r="CI210" i="9"/>
  <c r="CI209" i="9"/>
  <c r="CI208" i="9"/>
  <c r="CI207" i="9"/>
  <c r="CI204" i="9"/>
  <c r="CI206" i="9"/>
  <c r="CI203" i="9"/>
  <c r="CI202" i="9"/>
  <c r="CI201" i="9"/>
  <c r="CI205" i="9"/>
  <c r="CI198" i="9"/>
  <c r="CI194" i="9"/>
  <c r="CI197" i="9"/>
  <c r="CI196" i="9"/>
  <c r="CI191" i="9"/>
  <c r="CI195" i="9"/>
  <c r="CI187" i="9"/>
  <c r="CI183" i="9"/>
  <c r="CI186" i="9"/>
  <c r="CI182" i="9"/>
  <c r="CI193" i="9"/>
  <c r="CI185" i="9"/>
  <c r="CI179" i="9"/>
  <c r="CI175" i="9"/>
  <c r="CI200" i="9"/>
  <c r="CI184" i="9"/>
  <c r="CI178" i="9"/>
  <c r="CI174" i="9"/>
  <c r="CI189" i="9"/>
  <c r="CI177" i="9"/>
  <c r="CI173" i="9"/>
  <c r="CI171" i="9"/>
  <c r="CI167" i="9"/>
  <c r="CI163" i="9"/>
  <c r="CI159" i="9"/>
  <c r="CI155" i="9"/>
  <c r="CI151" i="9"/>
  <c r="CI180" i="9"/>
  <c r="CI176" i="9"/>
  <c r="CI170" i="9"/>
  <c r="CI166" i="9"/>
  <c r="CI162" i="9"/>
  <c r="CI158" i="9"/>
  <c r="CI154" i="9"/>
  <c r="CI181" i="9"/>
  <c r="CI199" i="9"/>
  <c r="CI192" i="9"/>
  <c r="CI190" i="9"/>
  <c r="CI188" i="9"/>
  <c r="CI172" i="9"/>
  <c r="CI168" i="9"/>
  <c r="CI160" i="9"/>
  <c r="CI165" i="9"/>
  <c r="CI157" i="9"/>
  <c r="CI164" i="9"/>
  <c r="CI169" i="9"/>
  <c r="CI161" i="9"/>
  <c r="CI156" i="9"/>
  <c r="CI150" i="9"/>
  <c r="CI153" i="9"/>
  <c r="CI149" i="9"/>
  <c r="CI145" i="9"/>
  <c r="CI152" i="9"/>
  <c r="CI148" i="9"/>
  <c r="CI147" i="9"/>
  <c r="CI141" i="9"/>
  <c r="CI137" i="9"/>
  <c r="CI133" i="9"/>
  <c r="CI146" i="9"/>
  <c r="CI144" i="9"/>
  <c r="CI140" i="9"/>
  <c r="CI136" i="9"/>
  <c r="CI132" i="9"/>
  <c r="CI143" i="9"/>
  <c r="CI139" i="9"/>
  <c r="CI135" i="9"/>
  <c r="CI142" i="9"/>
  <c r="CI138" i="9"/>
  <c r="CI134" i="9"/>
  <c r="CI127" i="9"/>
  <c r="CI123" i="9"/>
  <c r="CI119" i="9"/>
  <c r="CI130" i="9"/>
  <c r="CI126" i="9"/>
  <c r="CI122" i="9"/>
  <c r="CI118" i="9"/>
  <c r="CI131" i="9"/>
  <c r="CI129" i="9"/>
  <c r="CI125" i="9"/>
  <c r="CI121" i="9"/>
  <c r="CI117" i="9"/>
  <c r="CI128" i="9"/>
  <c r="CI124" i="9"/>
  <c r="CI120" i="9"/>
  <c r="CI116" i="9"/>
  <c r="CI112" i="9"/>
  <c r="CI108" i="9"/>
  <c r="CI104" i="9"/>
  <c r="CI100" i="9"/>
  <c r="CI96" i="9"/>
  <c r="CI115" i="9"/>
  <c r="CI111" i="9"/>
  <c r="CI107" i="9"/>
  <c r="CI103" i="9"/>
  <c r="CI99" i="9"/>
  <c r="CI95" i="9"/>
  <c r="CI91" i="9"/>
  <c r="CI87" i="9"/>
  <c r="CI114" i="9"/>
  <c r="CI110" i="9"/>
  <c r="CI106" i="9"/>
  <c r="CI113" i="9"/>
  <c r="CI109" i="9"/>
  <c r="CI105" i="9"/>
  <c r="CI101" i="9"/>
  <c r="CI97" i="9"/>
  <c r="CI93" i="9"/>
  <c r="CI89" i="9"/>
  <c r="CI94" i="9"/>
  <c r="CI88" i="9"/>
  <c r="CI83" i="9"/>
  <c r="CI79" i="9"/>
  <c r="CI75" i="9"/>
  <c r="CI71" i="9"/>
  <c r="CI67" i="9"/>
  <c r="CI86" i="9"/>
  <c r="CI82" i="9"/>
  <c r="CI78" i="9"/>
  <c r="CI74" i="9"/>
  <c r="CI70" i="9"/>
  <c r="CI66" i="9"/>
  <c r="CI102" i="9"/>
  <c r="CI92" i="9"/>
  <c r="CI85" i="9"/>
  <c r="CI81" i="9"/>
  <c r="CI77" i="9"/>
  <c r="CI73" i="9"/>
  <c r="CI69" i="9"/>
  <c r="CI65" i="9"/>
  <c r="CI98" i="9"/>
  <c r="CI90" i="9"/>
  <c r="CI84" i="9"/>
  <c r="CI80" i="9"/>
  <c r="CI76" i="9"/>
  <c r="CI72" i="9"/>
  <c r="CI68" i="9"/>
  <c r="CI64" i="9"/>
  <c r="CI63" i="9"/>
  <c r="CI62" i="9"/>
  <c r="CI16" i="9"/>
  <c r="CI14" i="9"/>
  <c r="CI12" i="9"/>
  <c r="CI10" i="9"/>
  <c r="CI8" i="9"/>
  <c r="CI15" i="9"/>
  <c r="CI13" i="9"/>
  <c r="CI11" i="9"/>
  <c r="CI9" i="9"/>
  <c r="CJ6" i="9"/>
  <c r="CJ8" i="9" l="1"/>
  <c r="CK6" i="9"/>
  <c r="CL6" i="9" l="1"/>
  <c r="CK8" i="9"/>
  <c r="CL213" i="9" l="1"/>
  <c r="CL212" i="9"/>
  <c r="CL210" i="9"/>
  <c r="CL209" i="9"/>
  <c r="CL211" i="9"/>
  <c r="CL208" i="9"/>
  <c r="CL207" i="9"/>
  <c r="CL206" i="9"/>
  <c r="CL205" i="9"/>
  <c r="CL202" i="9"/>
  <c r="CL204" i="9"/>
  <c r="CL201" i="9"/>
  <c r="CL197" i="9"/>
  <c r="CL196" i="9"/>
  <c r="CL195" i="9"/>
  <c r="CL190" i="9"/>
  <c r="CL193" i="9"/>
  <c r="CL194" i="9"/>
  <c r="CL186" i="9"/>
  <c r="CL182" i="9"/>
  <c r="CL198" i="9"/>
  <c r="CL189" i="9"/>
  <c r="CL185" i="9"/>
  <c r="CL181" i="9"/>
  <c r="CL200" i="9"/>
  <c r="CL184" i="9"/>
  <c r="CL178" i="9"/>
  <c r="CL174" i="9"/>
  <c r="CL191" i="9"/>
  <c r="CL183" i="9"/>
  <c r="CL177" i="9"/>
  <c r="CL180" i="9"/>
  <c r="CL176" i="9"/>
  <c r="CL170" i="9"/>
  <c r="CL166" i="9"/>
  <c r="CL162" i="9"/>
  <c r="CL158" i="9"/>
  <c r="CL154" i="9"/>
  <c r="CL187" i="9"/>
  <c r="CL175" i="9"/>
  <c r="CL169" i="9"/>
  <c r="CL165" i="9"/>
  <c r="CL161" i="9"/>
  <c r="CL157" i="9"/>
  <c r="CL153" i="9"/>
  <c r="CL203" i="9"/>
  <c r="CL199" i="9"/>
  <c r="CL192" i="9"/>
  <c r="CL188" i="9"/>
  <c r="CL179" i="9"/>
  <c r="CL173" i="9"/>
  <c r="CL171" i="9"/>
  <c r="CL172" i="9"/>
  <c r="CL167" i="9"/>
  <c r="CL164" i="9"/>
  <c r="CL156" i="9"/>
  <c r="CL163" i="9"/>
  <c r="CL168" i="9"/>
  <c r="CL160" i="9"/>
  <c r="CL155" i="9"/>
  <c r="CL149" i="9"/>
  <c r="CL159" i="9"/>
  <c r="CL152" i="9"/>
  <c r="CL148" i="9"/>
  <c r="CL151" i="9"/>
  <c r="CL147" i="9"/>
  <c r="CL150" i="9"/>
  <c r="CL146" i="9"/>
  <c r="CL144" i="9"/>
  <c r="CL140" i="9"/>
  <c r="CL136" i="9"/>
  <c r="CL145" i="9"/>
  <c r="CL143" i="9"/>
  <c r="CL139" i="9"/>
  <c r="CL135" i="9"/>
  <c r="CL131" i="9"/>
  <c r="CL142" i="9"/>
  <c r="CL138" i="9"/>
  <c r="CL134" i="9"/>
  <c r="CL141" i="9"/>
  <c r="CL137" i="9"/>
  <c r="CL133" i="9"/>
  <c r="CL130" i="9"/>
  <c r="CL126" i="9"/>
  <c r="CL122" i="9"/>
  <c r="CL118" i="9"/>
  <c r="CL132" i="9"/>
  <c r="CL129" i="9"/>
  <c r="CL125" i="9"/>
  <c r="CL121" i="9"/>
  <c r="CL117" i="9"/>
  <c r="CL128" i="9"/>
  <c r="CL124" i="9"/>
  <c r="CL120" i="9"/>
  <c r="CL127" i="9"/>
  <c r="CL123" i="9"/>
  <c r="CL119" i="9"/>
  <c r="CL116" i="9"/>
  <c r="CL115" i="9"/>
  <c r="CL111" i="9"/>
  <c r="CL107" i="9"/>
  <c r="CL103" i="9"/>
  <c r="CL99" i="9"/>
  <c r="CL95" i="9"/>
  <c r="CL114" i="9"/>
  <c r="CL110" i="9"/>
  <c r="CL106" i="9"/>
  <c r="CL102" i="9"/>
  <c r="CL98" i="9"/>
  <c r="CL94" i="9"/>
  <c r="CL90" i="9"/>
  <c r="CL113" i="9"/>
  <c r="CL109" i="9"/>
  <c r="CL112" i="9"/>
  <c r="CL108" i="9"/>
  <c r="CL104" i="9"/>
  <c r="CL100" i="9"/>
  <c r="CL96" i="9"/>
  <c r="CL92" i="9"/>
  <c r="CL88" i="9"/>
  <c r="CL101" i="9"/>
  <c r="CL87" i="9"/>
  <c r="CL86" i="9"/>
  <c r="CL82" i="9"/>
  <c r="CL78" i="9"/>
  <c r="CL74" i="9"/>
  <c r="CL70" i="9"/>
  <c r="CL66" i="9"/>
  <c r="CL97" i="9"/>
  <c r="CL85" i="9"/>
  <c r="CL81" i="9"/>
  <c r="CL77" i="9"/>
  <c r="CL73" i="9"/>
  <c r="CL69" i="9"/>
  <c r="CL65" i="9"/>
  <c r="CL93" i="9"/>
  <c r="CL91" i="9"/>
  <c r="CL84" i="9"/>
  <c r="CL80" i="9"/>
  <c r="CL76" i="9"/>
  <c r="CL72" i="9"/>
  <c r="CL68" i="9"/>
  <c r="CL64" i="9"/>
  <c r="CL105" i="9"/>
  <c r="CL89" i="9"/>
  <c r="CL83" i="9"/>
  <c r="CL79" i="9"/>
  <c r="CL75" i="9"/>
  <c r="CL71" i="9"/>
  <c r="CL67" i="9"/>
  <c r="CL63" i="9"/>
  <c r="CL62" i="9"/>
  <c r="CM6" i="9"/>
  <c r="CL15" i="9"/>
  <c r="CL13" i="9"/>
  <c r="CL11" i="9"/>
  <c r="CL9" i="9"/>
  <c r="CL8" i="9"/>
  <c r="CL16" i="9"/>
  <c r="CL14" i="9"/>
  <c r="CL12" i="9"/>
  <c r="CL10" i="9"/>
  <c r="CM213" i="9" l="1"/>
  <c r="CM212" i="9"/>
  <c r="CM211" i="9"/>
  <c r="CM208" i="9"/>
  <c r="CM210" i="9"/>
  <c r="CM207" i="9"/>
  <c r="CM209" i="9"/>
  <c r="CM205" i="9"/>
  <c r="CM204" i="9"/>
  <c r="CM206" i="9"/>
  <c r="CM201" i="9"/>
  <c r="CM200" i="9"/>
  <c r="CM203" i="9"/>
  <c r="CM196" i="9"/>
  <c r="CM202" i="9"/>
  <c r="CM199" i="9"/>
  <c r="CM195" i="9"/>
  <c r="CM193" i="9"/>
  <c r="CM194" i="9"/>
  <c r="CM192" i="9"/>
  <c r="CM198" i="9"/>
  <c r="CM189" i="9"/>
  <c r="CM185" i="9"/>
  <c r="CM181" i="9"/>
  <c r="CM188" i="9"/>
  <c r="CM184" i="9"/>
  <c r="CM180" i="9"/>
  <c r="CM191" i="9"/>
  <c r="CM183" i="9"/>
  <c r="CM177" i="9"/>
  <c r="CM173" i="9"/>
  <c r="CM197" i="9"/>
  <c r="CM182" i="9"/>
  <c r="CM176" i="9"/>
  <c r="CM187" i="9"/>
  <c r="CM175" i="9"/>
  <c r="CM169" i="9"/>
  <c r="CM165" i="9"/>
  <c r="CM161" i="9"/>
  <c r="CM157" i="9"/>
  <c r="CM153" i="9"/>
  <c r="CM174" i="9"/>
  <c r="CM172" i="9"/>
  <c r="CM168" i="9"/>
  <c r="CM164" i="9"/>
  <c r="CM160" i="9"/>
  <c r="CM156" i="9"/>
  <c r="CM152" i="9"/>
  <c r="CM190" i="9"/>
  <c r="CM186" i="9"/>
  <c r="CM179" i="9"/>
  <c r="CM171" i="9"/>
  <c r="CM178" i="9"/>
  <c r="CM166" i="9"/>
  <c r="CM163" i="9"/>
  <c r="CM170" i="9"/>
  <c r="CM162" i="9"/>
  <c r="CM167" i="9"/>
  <c r="CM159" i="9"/>
  <c r="CM154" i="9"/>
  <c r="CM148" i="9"/>
  <c r="CM151" i="9"/>
  <c r="CM147" i="9"/>
  <c r="CM150" i="9"/>
  <c r="CM158" i="9"/>
  <c r="CM155" i="9"/>
  <c r="CM149" i="9"/>
  <c r="CM145" i="9"/>
  <c r="CM146" i="9"/>
  <c r="CM143" i="9"/>
  <c r="CM139" i="9"/>
  <c r="CM135" i="9"/>
  <c r="CM142" i="9"/>
  <c r="CM138" i="9"/>
  <c r="CM134" i="9"/>
  <c r="CM141" i="9"/>
  <c r="CM137" i="9"/>
  <c r="CM133" i="9"/>
  <c r="CM144" i="9"/>
  <c r="CM140" i="9"/>
  <c r="CM136" i="9"/>
  <c r="CM132" i="9"/>
  <c r="CM129" i="9"/>
  <c r="CM125" i="9"/>
  <c r="CM121" i="9"/>
  <c r="CM117" i="9"/>
  <c r="CM131" i="9"/>
  <c r="CM128" i="9"/>
  <c r="CM124" i="9"/>
  <c r="CM120" i="9"/>
  <c r="CM116" i="9"/>
  <c r="CM127" i="9"/>
  <c r="CM123" i="9"/>
  <c r="CM119" i="9"/>
  <c r="CM130" i="9"/>
  <c r="CM126" i="9"/>
  <c r="CM122" i="9"/>
  <c r="CM118" i="9"/>
  <c r="CM114" i="9"/>
  <c r="CM110" i="9"/>
  <c r="CM106" i="9"/>
  <c r="CM102" i="9"/>
  <c r="CM98" i="9"/>
  <c r="CM94" i="9"/>
  <c r="CM113" i="9"/>
  <c r="CM109" i="9"/>
  <c r="CM105" i="9"/>
  <c r="CM101" i="9"/>
  <c r="CM97" i="9"/>
  <c r="CM93" i="9"/>
  <c r="CM89" i="9"/>
  <c r="CM112" i="9"/>
  <c r="CM108" i="9"/>
  <c r="CM115" i="9"/>
  <c r="CM111" i="9"/>
  <c r="CM107" i="9"/>
  <c r="CM103" i="9"/>
  <c r="CM99" i="9"/>
  <c r="CM95" i="9"/>
  <c r="CM91" i="9"/>
  <c r="CM87" i="9"/>
  <c r="CM85" i="9"/>
  <c r="CM81" i="9"/>
  <c r="CM77" i="9"/>
  <c r="CM73" i="9"/>
  <c r="CM69" i="9"/>
  <c r="CM65" i="9"/>
  <c r="CM104" i="9"/>
  <c r="CM92" i="9"/>
  <c r="CM84" i="9"/>
  <c r="CM80" i="9"/>
  <c r="CM76" i="9"/>
  <c r="CM72" i="9"/>
  <c r="CM68" i="9"/>
  <c r="CM64" i="9"/>
  <c r="CM100" i="9"/>
  <c r="CM90" i="9"/>
  <c r="CM83" i="9"/>
  <c r="CM79" i="9"/>
  <c r="CM75" i="9"/>
  <c r="CM71" i="9"/>
  <c r="CM67" i="9"/>
  <c r="CM96" i="9"/>
  <c r="CM88" i="9"/>
  <c r="CM86" i="9"/>
  <c r="CM82" i="9"/>
  <c r="CM78" i="9"/>
  <c r="CM74" i="9"/>
  <c r="CM70" i="9"/>
  <c r="CM66" i="9"/>
  <c r="CM62" i="9"/>
  <c r="CM63" i="9"/>
  <c r="CM15" i="9"/>
  <c r="CM13" i="9"/>
  <c r="CM11" i="9"/>
  <c r="CM9" i="9"/>
  <c r="CM8" i="9"/>
  <c r="CN6" i="9"/>
  <c r="CM16" i="9"/>
  <c r="CM14" i="9"/>
  <c r="CM12" i="9"/>
  <c r="CM10" i="9"/>
  <c r="CN211" i="9" l="1"/>
  <c r="CN212" i="9"/>
  <c r="CN210" i="9"/>
  <c r="CN213" i="9"/>
  <c r="CN206" i="9"/>
  <c r="CN209" i="9"/>
  <c r="CN205" i="9"/>
  <c r="CN208" i="9"/>
  <c r="CN204" i="9"/>
  <c r="CN207" i="9"/>
  <c r="CN203" i="9"/>
  <c r="CN202" i="9"/>
  <c r="CN199" i="9"/>
  <c r="CN195" i="9"/>
  <c r="CN200" i="9"/>
  <c r="CN198" i="9"/>
  <c r="CN194" i="9"/>
  <c r="CN192" i="9"/>
  <c r="CN201" i="9"/>
  <c r="CN191" i="9"/>
  <c r="CN188" i="9"/>
  <c r="CN184" i="9"/>
  <c r="CN180" i="9"/>
  <c r="CN196" i="9"/>
  <c r="CN193" i="9"/>
  <c r="CN190" i="9"/>
  <c r="CN187" i="9"/>
  <c r="CN183" i="9"/>
  <c r="CN197" i="9"/>
  <c r="CN182" i="9"/>
  <c r="CN176" i="9"/>
  <c r="CN172" i="9"/>
  <c r="CN189" i="9"/>
  <c r="CN181" i="9"/>
  <c r="CN179" i="9"/>
  <c r="CN175" i="9"/>
  <c r="CN174" i="9"/>
  <c r="CN168" i="9"/>
  <c r="CN164" i="9"/>
  <c r="CN160" i="9"/>
  <c r="CN156" i="9"/>
  <c r="CN152" i="9"/>
  <c r="CN185" i="9"/>
  <c r="CN171" i="9"/>
  <c r="CN167" i="9"/>
  <c r="CN163" i="9"/>
  <c r="CN159" i="9"/>
  <c r="CN155" i="9"/>
  <c r="CN151" i="9"/>
  <c r="CN186" i="9"/>
  <c r="CN173" i="9"/>
  <c r="CN177" i="9"/>
  <c r="CN178" i="9"/>
  <c r="CN165" i="9"/>
  <c r="CN170" i="9"/>
  <c r="CN162" i="9"/>
  <c r="CN169" i="9"/>
  <c r="CN161" i="9"/>
  <c r="CN166" i="9"/>
  <c r="CN158" i="9"/>
  <c r="CN153" i="9"/>
  <c r="CN147" i="9"/>
  <c r="CN157" i="9"/>
  <c r="CN150" i="9"/>
  <c r="CN146" i="9"/>
  <c r="CN149" i="9"/>
  <c r="CN154" i="9"/>
  <c r="CN148" i="9"/>
  <c r="CN145" i="9"/>
  <c r="CN142" i="9"/>
  <c r="CN138" i="9"/>
  <c r="CN134" i="9"/>
  <c r="CN141" i="9"/>
  <c r="CN137" i="9"/>
  <c r="CN133" i="9"/>
  <c r="CN144" i="9"/>
  <c r="CN140" i="9"/>
  <c r="CN136" i="9"/>
  <c r="CN143" i="9"/>
  <c r="CN139" i="9"/>
  <c r="CN135" i="9"/>
  <c r="CN131" i="9"/>
  <c r="CN132" i="9"/>
  <c r="CN128" i="9"/>
  <c r="CN124" i="9"/>
  <c r="CN120" i="9"/>
  <c r="CN127" i="9"/>
  <c r="CN123" i="9"/>
  <c r="CN119" i="9"/>
  <c r="CN130" i="9"/>
  <c r="CN126" i="9"/>
  <c r="CN122" i="9"/>
  <c r="CN118" i="9"/>
  <c r="CN129" i="9"/>
  <c r="CN125" i="9"/>
  <c r="CN121" i="9"/>
  <c r="CN117" i="9"/>
  <c r="CN113" i="9"/>
  <c r="CN109" i="9"/>
  <c r="CN105" i="9"/>
  <c r="CN101" i="9"/>
  <c r="CN97" i="9"/>
  <c r="CN93" i="9"/>
  <c r="CN112" i="9"/>
  <c r="CN108" i="9"/>
  <c r="CN104" i="9"/>
  <c r="CN100" i="9"/>
  <c r="CN96" i="9"/>
  <c r="CN92" i="9"/>
  <c r="CN88" i="9"/>
  <c r="CN115" i="9"/>
  <c r="CN111" i="9"/>
  <c r="CN107" i="9"/>
  <c r="CN116" i="9"/>
  <c r="CN114" i="9"/>
  <c r="CN110" i="9"/>
  <c r="CN106" i="9"/>
  <c r="CN102" i="9"/>
  <c r="CN98" i="9"/>
  <c r="CN94" i="9"/>
  <c r="CN90" i="9"/>
  <c r="CN99" i="9"/>
  <c r="CN84" i="9"/>
  <c r="CN80" i="9"/>
  <c r="CN76" i="9"/>
  <c r="CN72" i="9"/>
  <c r="CN68" i="9"/>
  <c r="CN64" i="9"/>
  <c r="CN95" i="9"/>
  <c r="CN91" i="9"/>
  <c r="CN83" i="9"/>
  <c r="CN79" i="9"/>
  <c r="CN75" i="9"/>
  <c r="CN71" i="9"/>
  <c r="CN67" i="9"/>
  <c r="CN63" i="9"/>
  <c r="CN89" i="9"/>
  <c r="CN86" i="9"/>
  <c r="CN82" i="9"/>
  <c r="CN78" i="9"/>
  <c r="CN74" i="9"/>
  <c r="CN70" i="9"/>
  <c r="CN66" i="9"/>
  <c r="CN103" i="9"/>
  <c r="CN87" i="9"/>
  <c r="CN85" i="9"/>
  <c r="CN81" i="9"/>
  <c r="CN77" i="9"/>
  <c r="CN73" i="9"/>
  <c r="CN69" i="9"/>
  <c r="CN65" i="9"/>
  <c r="CN62" i="9"/>
  <c r="CN8" i="9"/>
  <c r="CN16" i="9"/>
  <c r="CN14" i="9"/>
  <c r="CN12" i="9"/>
  <c r="CN10" i="9"/>
  <c r="CO6" i="9"/>
  <c r="CN15" i="9"/>
  <c r="CN13" i="9"/>
  <c r="CN11" i="9"/>
  <c r="CN9" i="9"/>
  <c r="CO213" i="9" l="1"/>
  <c r="CO211" i="9"/>
  <c r="CO212" i="9"/>
  <c r="CO210" i="9"/>
  <c r="CO209" i="9"/>
  <c r="CO208" i="9"/>
  <c r="CO204" i="9"/>
  <c r="CO203" i="9"/>
  <c r="CO207" i="9"/>
  <c r="CO206" i="9"/>
  <c r="CO202" i="9"/>
  <c r="CO205" i="9"/>
  <c r="CO201" i="9"/>
  <c r="CO200" i="9"/>
  <c r="CO198" i="9"/>
  <c r="CO194" i="9"/>
  <c r="CO197" i="9"/>
  <c r="CO191" i="9"/>
  <c r="CO199" i="9"/>
  <c r="CO196" i="9"/>
  <c r="CO193" i="9"/>
  <c r="CO190" i="9"/>
  <c r="CO187" i="9"/>
  <c r="CO183" i="9"/>
  <c r="CO192" i="9"/>
  <c r="CO186" i="9"/>
  <c r="CO182" i="9"/>
  <c r="CO189" i="9"/>
  <c r="CO181" i="9"/>
  <c r="CO179" i="9"/>
  <c r="CO175" i="9"/>
  <c r="CO188" i="9"/>
  <c r="CO180" i="9"/>
  <c r="CO178" i="9"/>
  <c r="CO174" i="9"/>
  <c r="CO185" i="9"/>
  <c r="CO172" i="9"/>
  <c r="CO171" i="9"/>
  <c r="CO167" i="9"/>
  <c r="CO163" i="9"/>
  <c r="CO159" i="9"/>
  <c r="CO155" i="9"/>
  <c r="CO151" i="9"/>
  <c r="CO195" i="9"/>
  <c r="CO173" i="9"/>
  <c r="CO170" i="9"/>
  <c r="CO166" i="9"/>
  <c r="CO162" i="9"/>
  <c r="CO158" i="9"/>
  <c r="CO154" i="9"/>
  <c r="CO177" i="9"/>
  <c r="CO184" i="9"/>
  <c r="CO176" i="9"/>
  <c r="CO164" i="9"/>
  <c r="CO169" i="9"/>
  <c r="CO161" i="9"/>
  <c r="CO168" i="9"/>
  <c r="CO160" i="9"/>
  <c r="CO165" i="9"/>
  <c r="CO157" i="9"/>
  <c r="CO152" i="9"/>
  <c r="CO150" i="9"/>
  <c r="CO149" i="9"/>
  <c r="CO145" i="9"/>
  <c r="CO148" i="9"/>
  <c r="CO156" i="9"/>
  <c r="CO153" i="9"/>
  <c r="CO147" i="9"/>
  <c r="CO141" i="9"/>
  <c r="CO137" i="9"/>
  <c r="CO133" i="9"/>
  <c r="CO144" i="9"/>
  <c r="CO140" i="9"/>
  <c r="CO136" i="9"/>
  <c r="CO132" i="9"/>
  <c r="CO143" i="9"/>
  <c r="CO139" i="9"/>
  <c r="CO135" i="9"/>
  <c r="CO146" i="9"/>
  <c r="CO142" i="9"/>
  <c r="CO138" i="9"/>
  <c r="CO134" i="9"/>
  <c r="CO131" i="9"/>
  <c r="CO127" i="9"/>
  <c r="CO123" i="9"/>
  <c r="CO119" i="9"/>
  <c r="CO130" i="9"/>
  <c r="CO126" i="9"/>
  <c r="CO122" i="9"/>
  <c r="CO118" i="9"/>
  <c r="CO129" i="9"/>
  <c r="CO125" i="9"/>
  <c r="CO121" i="9"/>
  <c r="CO117" i="9"/>
  <c r="CO128" i="9"/>
  <c r="CO124" i="9"/>
  <c r="CO120" i="9"/>
  <c r="CO116" i="9"/>
  <c r="CO112" i="9"/>
  <c r="CO108" i="9"/>
  <c r="CO104" i="9"/>
  <c r="CO100" i="9"/>
  <c r="CO96" i="9"/>
  <c r="CO115" i="9"/>
  <c r="CO111" i="9"/>
  <c r="CO107" i="9"/>
  <c r="CO103" i="9"/>
  <c r="CO99" i="9"/>
  <c r="CO95" i="9"/>
  <c r="CO91" i="9"/>
  <c r="CO87" i="9"/>
  <c r="CO114" i="9"/>
  <c r="CO110" i="9"/>
  <c r="CO106" i="9"/>
  <c r="CO113" i="9"/>
  <c r="CO109" i="9"/>
  <c r="CO105" i="9"/>
  <c r="CO101" i="9"/>
  <c r="CO97" i="9"/>
  <c r="CO93" i="9"/>
  <c r="CO89" i="9"/>
  <c r="CO92" i="9"/>
  <c r="CO83" i="9"/>
  <c r="CO79" i="9"/>
  <c r="CO75" i="9"/>
  <c r="CO71" i="9"/>
  <c r="CO67" i="9"/>
  <c r="CO102" i="9"/>
  <c r="CO90" i="9"/>
  <c r="CO86" i="9"/>
  <c r="CO82" i="9"/>
  <c r="CO78" i="9"/>
  <c r="CO74" i="9"/>
  <c r="CO70" i="9"/>
  <c r="CO66" i="9"/>
  <c r="CO98" i="9"/>
  <c r="CO88" i="9"/>
  <c r="CO85" i="9"/>
  <c r="CO81" i="9"/>
  <c r="CO77" i="9"/>
  <c r="CO73" i="9"/>
  <c r="CO69" i="9"/>
  <c r="CO65" i="9"/>
  <c r="CO94" i="9"/>
  <c r="CO84" i="9"/>
  <c r="CO80" i="9"/>
  <c r="CO76" i="9"/>
  <c r="CO72" i="9"/>
  <c r="CO68" i="9"/>
  <c r="CO64" i="9"/>
  <c r="CO63" i="9"/>
  <c r="CO62" i="9"/>
  <c r="CO16" i="9"/>
  <c r="CO14" i="9"/>
  <c r="CO12" i="9"/>
  <c r="CO10" i="9"/>
  <c r="CP6" i="9"/>
  <c r="CO15" i="9"/>
  <c r="CO13" i="9"/>
  <c r="CO11" i="9"/>
  <c r="CO9" i="9"/>
  <c r="CO8" i="9"/>
  <c r="CP213" i="9" l="1"/>
  <c r="CP212" i="9"/>
  <c r="CP210" i="9"/>
  <c r="CP209" i="9"/>
  <c r="CP211" i="9"/>
  <c r="CP208" i="9"/>
  <c r="CP207" i="9"/>
  <c r="CP206" i="9"/>
  <c r="CP205" i="9"/>
  <c r="CP204" i="9"/>
  <c r="CP203" i="9"/>
  <c r="CP202" i="9"/>
  <c r="CP201" i="9"/>
  <c r="CP197" i="9"/>
  <c r="CP196" i="9"/>
  <c r="CP199" i="9"/>
  <c r="CP190" i="9"/>
  <c r="CP200" i="9"/>
  <c r="CP198" i="9"/>
  <c r="CP193" i="9"/>
  <c r="CP192" i="9"/>
  <c r="CP186" i="9"/>
  <c r="CP182" i="9"/>
  <c r="CP191" i="9"/>
  <c r="CP189" i="9"/>
  <c r="CP185" i="9"/>
  <c r="CP181" i="9"/>
  <c r="CP188" i="9"/>
  <c r="CP180" i="9"/>
  <c r="CP178" i="9"/>
  <c r="CP174" i="9"/>
  <c r="CP194" i="9"/>
  <c r="CP187" i="9"/>
  <c r="CP177" i="9"/>
  <c r="CP195" i="9"/>
  <c r="CP173" i="9"/>
  <c r="CP170" i="9"/>
  <c r="CP166" i="9"/>
  <c r="CP162" i="9"/>
  <c r="CP158" i="9"/>
  <c r="CP154" i="9"/>
  <c r="CP183" i="9"/>
  <c r="CP179" i="9"/>
  <c r="CP169" i="9"/>
  <c r="CP165" i="9"/>
  <c r="CP161" i="9"/>
  <c r="CP157" i="9"/>
  <c r="CP153" i="9"/>
  <c r="CP175" i="9"/>
  <c r="CP172" i="9"/>
  <c r="CP184" i="9"/>
  <c r="CP176" i="9"/>
  <c r="CP171" i="9"/>
  <c r="CP163" i="9"/>
  <c r="CP168" i="9"/>
  <c r="CP160" i="9"/>
  <c r="CP167" i="9"/>
  <c r="CP164" i="9"/>
  <c r="CP156" i="9"/>
  <c r="CP159" i="9"/>
  <c r="CP151" i="9"/>
  <c r="CP149" i="9"/>
  <c r="CP148" i="9"/>
  <c r="CP155" i="9"/>
  <c r="CP147" i="9"/>
  <c r="CP152" i="9"/>
  <c r="CP150" i="9"/>
  <c r="CP146" i="9"/>
  <c r="CP144" i="9"/>
  <c r="CP140" i="9"/>
  <c r="CP136" i="9"/>
  <c r="CP143" i="9"/>
  <c r="CP139" i="9"/>
  <c r="CP135" i="9"/>
  <c r="CP131" i="9"/>
  <c r="CP142" i="9"/>
  <c r="CP138" i="9"/>
  <c r="CP134" i="9"/>
  <c r="CP145" i="9"/>
  <c r="CP141" i="9"/>
  <c r="CP137" i="9"/>
  <c r="CP133" i="9"/>
  <c r="CP130" i="9"/>
  <c r="CP126" i="9"/>
  <c r="CP122" i="9"/>
  <c r="CP118" i="9"/>
  <c r="CP129" i="9"/>
  <c r="CP125" i="9"/>
  <c r="CP121" i="9"/>
  <c r="CP117" i="9"/>
  <c r="CP128" i="9"/>
  <c r="CP124" i="9"/>
  <c r="CP120" i="9"/>
  <c r="CP132" i="9"/>
  <c r="CP127" i="9"/>
  <c r="CP123" i="9"/>
  <c r="CP119" i="9"/>
  <c r="CP115" i="9"/>
  <c r="CP111" i="9"/>
  <c r="CP107" i="9"/>
  <c r="CP103" i="9"/>
  <c r="CP99" i="9"/>
  <c r="CP95" i="9"/>
  <c r="CP114" i="9"/>
  <c r="CP110" i="9"/>
  <c r="CP106" i="9"/>
  <c r="CP102" i="9"/>
  <c r="CP98" i="9"/>
  <c r="CP94" i="9"/>
  <c r="CP90" i="9"/>
  <c r="CP116" i="9"/>
  <c r="CP113" i="9"/>
  <c r="CP109" i="9"/>
  <c r="CP112" i="9"/>
  <c r="CP108" i="9"/>
  <c r="CP104" i="9"/>
  <c r="CP100" i="9"/>
  <c r="CP96" i="9"/>
  <c r="CP92" i="9"/>
  <c r="CP88" i="9"/>
  <c r="CP97" i="9"/>
  <c r="CP91" i="9"/>
  <c r="CP86" i="9"/>
  <c r="CP82" i="9"/>
  <c r="CP78" i="9"/>
  <c r="CP74" i="9"/>
  <c r="CP70" i="9"/>
  <c r="CP66" i="9"/>
  <c r="CP93" i="9"/>
  <c r="CP89" i="9"/>
  <c r="CP85" i="9"/>
  <c r="CP81" i="9"/>
  <c r="CP77" i="9"/>
  <c r="CP73" i="9"/>
  <c r="CP69" i="9"/>
  <c r="CP65" i="9"/>
  <c r="CP105" i="9"/>
  <c r="CP87" i="9"/>
  <c r="CP84" i="9"/>
  <c r="CP80" i="9"/>
  <c r="CP76" i="9"/>
  <c r="CP72" i="9"/>
  <c r="CP68" i="9"/>
  <c r="CP64" i="9"/>
  <c r="CP101" i="9"/>
  <c r="CP83" i="9"/>
  <c r="CP79" i="9"/>
  <c r="CP75" i="9"/>
  <c r="CP71" i="9"/>
  <c r="CP67" i="9"/>
  <c r="CP63" i="9"/>
  <c r="CP62" i="9"/>
  <c r="CQ6" i="9"/>
  <c r="CP15" i="9"/>
  <c r="CP13" i="9"/>
  <c r="CP11" i="9"/>
  <c r="CP9" i="9"/>
  <c r="CP8" i="9"/>
  <c r="CP16" i="9"/>
  <c r="CP14" i="9"/>
  <c r="CP12" i="9"/>
  <c r="CP10" i="9"/>
  <c r="CQ8" i="9" l="1"/>
  <c r="CR6" i="9"/>
  <c r="CR8" i="9" l="1"/>
  <c r="CS6" i="9"/>
  <c r="CS213" i="9" l="1"/>
  <c r="CS212" i="9"/>
  <c r="CS211" i="9"/>
  <c r="CS210" i="9"/>
  <c r="CS208" i="9"/>
  <c r="CS209" i="9"/>
  <c r="CS207" i="9"/>
  <c r="CS206" i="9"/>
  <c r="CS205" i="9"/>
  <c r="CS204" i="9"/>
  <c r="CS201" i="9"/>
  <c r="CS200" i="9"/>
  <c r="CS202" i="9"/>
  <c r="CS196" i="9"/>
  <c r="CS199" i="9"/>
  <c r="CS195" i="9"/>
  <c r="CS198" i="9"/>
  <c r="CS193" i="9"/>
  <c r="CS197" i="9"/>
  <c r="CS192" i="9"/>
  <c r="CS191" i="9"/>
  <c r="CS189" i="9"/>
  <c r="CS185" i="9"/>
  <c r="CS181" i="9"/>
  <c r="CS188" i="9"/>
  <c r="CS184" i="9"/>
  <c r="CS180" i="9"/>
  <c r="CS194" i="9"/>
  <c r="CS187" i="9"/>
  <c r="CS177" i="9"/>
  <c r="CS173" i="9"/>
  <c r="CS190" i="9"/>
  <c r="CS186" i="9"/>
  <c r="CS176" i="9"/>
  <c r="CS183" i="9"/>
  <c r="CS179" i="9"/>
  <c r="CS169" i="9"/>
  <c r="CS165" i="9"/>
  <c r="CS161" i="9"/>
  <c r="CS157" i="9"/>
  <c r="CS153" i="9"/>
  <c r="CS178" i="9"/>
  <c r="CS168" i="9"/>
  <c r="CS164" i="9"/>
  <c r="CS160" i="9"/>
  <c r="CS156" i="9"/>
  <c r="CS152" i="9"/>
  <c r="CS203" i="9"/>
  <c r="CS182" i="9"/>
  <c r="CS175" i="9"/>
  <c r="CS172" i="9"/>
  <c r="CS171" i="9"/>
  <c r="CS174" i="9"/>
  <c r="CS170" i="9"/>
  <c r="CS162" i="9"/>
  <c r="CS167" i="9"/>
  <c r="CS159" i="9"/>
  <c r="CS166" i="9"/>
  <c r="CS163" i="9"/>
  <c r="CS148" i="9"/>
  <c r="CS155" i="9"/>
  <c r="CS147" i="9"/>
  <c r="CS158" i="9"/>
  <c r="CS154" i="9"/>
  <c r="CS150" i="9"/>
  <c r="CS151" i="9"/>
  <c r="CS149" i="9"/>
  <c r="CS145" i="9"/>
  <c r="CS143" i="9"/>
  <c r="CS139" i="9"/>
  <c r="CS135" i="9"/>
  <c r="CS142" i="9"/>
  <c r="CS138" i="9"/>
  <c r="CS134" i="9"/>
  <c r="CS146" i="9"/>
  <c r="CS141" i="9"/>
  <c r="CS137" i="9"/>
  <c r="CS133" i="9"/>
  <c r="CS144" i="9"/>
  <c r="CS140" i="9"/>
  <c r="CS136" i="9"/>
  <c r="CS132" i="9"/>
  <c r="CS129" i="9"/>
  <c r="CS125" i="9"/>
  <c r="CS121" i="9"/>
  <c r="CS117" i="9"/>
  <c r="CS128" i="9"/>
  <c r="CS124" i="9"/>
  <c r="CS120" i="9"/>
  <c r="CS116" i="9"/>
  <c r="CS127" i="9"/>
  <c r="CS123" i="9"/>
  <c r="CS119" i="9"/>
  <c r="CS131" i="9"/>
  <c r="CS130" i="9"/>
  <c r="CS126" i="9"/>
  <c r="CS122" i="9"/>
  <c r="CS118" i="9"/>
  <c r="CS114" i="9"/>
  <c r="CS110" i="9"/>
  <c r="CS106" i="9"/>
  <c r="CS102" i="9"/>
  <c r="CS98" i="9"/>
  <c r="CS94" i="9"/>
  <c r="CS113" i="9"/>
  <c r="CS109" i="9"/>
  <c r="CS105" i="9"/>
  <c r="CS101" i="9"/>
  <c r="CS97" i="9"/>
  <c r="CS93" i="9"/>
  <c r="CS89" i="9"/>
  <c r="CS112" i="9"/>
  <c r="CS108" i="9"/>
  <c r="CS115" i="9"/>
  <c r="CS111" i="9"/>
  <c r="CS107" i="9"/>
  <c r="CS103" i="9"/>
  <c r="CS99" i="9"/>
  <c r="CS95" i="9"/>
  <c r="CS91" i="9"/>
  <c r="CS87" i="9"/>
  <c r="CS104" i="9"/>
  <c r="CS90" i="9"/>
  <c r="CS85" i="9"/>
  <c r="CS81" i="9"/>
  <c r="CS77" i="9"/>
  <c r="CS73" i="9"/>
  <c r="CS69" i="9"/>
  <c r="CS65" i="9"/>
  <c r="CS100" i="9"/>
  <c r="CS88" i="9"/>
  <c r="CS84" i="9"/>
  <c r="CS80" i="9"/>
  <c r="CS76" i="9"/>
  <c r="CS72" i="9"/>
  <c r="CS68" i="9"/>
  <c r="CS64" i="9"/>
  <c r="CS96" i="9"/>
  <c r="CS83" i="9"/>
  <c r="CS79" i="9"/>
  <c r="CS75" i="9"/>
  <c r="CS71" i="9"/>
  <c r="CS67" i="9"/>
  <c r="CS92" i="9"/>
  <c r="CS86" i="9"/>
  <c r="CS82" i="9"/>
  <c r="CS78" i="9"/>
  <c r="CS74" i="9"/>
  <c r="CS70" i="9"/>
  <c r="CS66" i="9"/>
  <c r="CS63" i="9"/>
  <c r="CS62" i="9"/>
  <c r="CS15" i="9"/>
  <c r="CS13" i="9"/>
  <c r="CS11" i="9"/>
  <c r="CS9" i="9"/>
  <c r="CT6" i="9"/>
  <c r="CS16" i="9"/>
  <c r="CS14" i="9"/>
  <c r="CS12" i="9"/>
  <c r="CS10" i="9"/>
  <c r="CS8" i="9"/>
  <c r="CT212" i="9" l="1"/>
  <c r="CT211" i="9"/>
  <c r="CT213" i="9"/>
  <c r="CT210" i="9"/>
  <c r="CT209" i="9"/>
  <c r="CT206" i="9"/>
  <c r="CT208" i="9"/>
  <c r="CT205" i="9"/>
  <c r="CT207" i="9"/>
  <c r="CT204" i="9"/>
  <c r="CT203" i="9"/>
  <c r="CT202" i="9"/>
  <c r="CT199" i="9"/>
  <c r="CT195" i="9"/>
  <c r="CT198" i="9"/>
  <c r="CT201" i="9"/>
  <c r="CT200" i="9"/>
  <c r="CT197" i="9"/>
  <c r="CT192" i="9"/>
  <c r="CT196" i="9"/>
  <c r="CT194" i="9"/>
  <c r="CT191" i="9"/>
  <c r="CT188" i="9"/>
  <c r="CT184" i="9"/>
  <c r="CT180" i="9"/>
  <c r="CT187" i="9"/>
  <c r="CT183" i="9"/>
  <c r="CT190" i="9"/>
  <c r="CT186" i="9"/>
  <c r="CT176" i="9"/>
  <c r="CT172" i="9"/>
  <c r="CT185" i="9"/>
  <c r="CT179" i="9"/>
  <c r="CT175" i="9"/>
  <c r="CT178" i="9"/>
  <c r="CT168" i="9"/>
  <c r="CT164" i="9"/>
  <c r="CT160" i="9"/>
  <c r="CT156" i="9"/>
  <c r="CT152" i="9"/>
  <c r="CT181" i="9"/>
  <c r="CT177" i="9"/>
  <c r="CT171" i="9"/>
  <c r="CT167" i="9"/>
  <c r="CT163" i="9"/>
  <c r="CT159" i="9"/>
  <c r="CT155" i="9"/>
  <c r="CT151" i="9"/>
  <c r="CT182" i="9"/>
  <c r="CT193" i="9"/>
  <c r="CT189" i="9"/>
  <c r="CT174" i="9"/>
  <c r="CT173" i="9"/>
  <c r="CT169" i="9"/>
  <c r="CT161" i="9"/>
  <c r="CT166" i="9"/>
  <c r="CT158" i="9"/>
  <c r="CT165" i="9"/>
  <c r="CT170" i="9"/>
  <c r="CT162" i="9"/>
  <c r="CT157" i="9"/>
  <c r="CT147" i="9"/>
  <c r="CT154" i="9"/>
  <c r="CT150" i="9"/>
  <c r="CT146" i="9"/>
  <c r="CT153" i="9"/>
  <c r="CT149" i="9"/>
  <c r="CT148" i="9"/>
  <c r="CT142" i="9"/>
  <c r="CT138" i="9"/>
  <c r="CT134" i="9"/>
  <c r="CT141" i="9"/>
  <c r="CT137" i="9"/>
  <c r="CT133" i="9"/>
  <c r="CT145" i="9"/>
  <c r="CT144" i="9"/>
  <c r="CT140" i="9"/>
  <c r="CT136" i="9"/>
  <c r="CT143" i="9"/>
  <c r="CT139" i="9"/>
  <c r="CT135" i="9"/>
  <c r="CT131" i="9"/>
  <c r="CT128" i="9"/>
  <c r="CT124" i="9"/>
  <c r="CT120" i="9"/>
  <c r="CT127" i="9"/>
  <c r="CT123" i="9"/>
  <c r="CT119" i="9"/>
  <c r="CT132" i="9"/>
  <c r="CT130" i="9"/>
  <c r="CT126" i="9"/>
  <c r="CT122" i="9"/>
  <c r="CT118" i="9"/>
  <c r="CT129" i="9"/>
  <c r="CT125" i="9"/>
  <c r="CT121" i="9"/>
  <c r="CT117" i="9"/>
  <c r="CT113" i="9"/>
  <c r="CT109" i="9"/>
  <c r="CT105" i="9"/>
  <c r="CT101" i="9"/>
  <c r="CT97" i="9"/>
  <c r="CT93" i="9"/>
  <c r="CT116" i="9"/>
  <c r="CT112" i="9"/>
  <c r="CT108" i="9"/>
  <c r="CT104" i="9"/>
  <c r="CT100" i="9"/>
  <c r="CT96" i="9"/>
  <c r="CT92" i="9"/>
  <c r="CT88" i="9"/>
  <c r="CT115" i="9"/>
  <c r="CT111" i="9"/>
  <c r="CT107" i="9"/>
  <c r="CT114" i="9"/>
  <c r="CT110" i="9"/>
  <c r="CT106" i="9"/>
  <c r="CT102" i="9"/>
  <c r="CT98" i="9"/>
  <c r="CT94" i="9"/>
  <c r="CT90" i="9"/>
  <c r="CT95" i="9"/>
  <c r="CT89" i="9"/>
  <c r="CT84" i="9"/>
  <c r="CT80" i="9"/>
  <c r="CT76" i="9"/>
  <c r="CT72" i="9"/>
  <c r="CT68" i="9"/>
  <c r="CT64" i="9"/>
  <c r="CT87" i="9"/>
  <c r="CT83" i="9"/>
  <c r="CT79" i="9"/>
  <c r="CT75" i="9"/>
  <c r="CT71" i="9"/>
  <c r="CT67" i="9"/>
  <c r="CT63" i="9"/>
  <c r="CT103" i="9"/>
  <c r="CT86" i="9"/>
  <c r="CT82" i="9"/>
  <c r="CT78" i="9"/>
  <c r="CT74" i="9"/>
  <c r="CT70" i="9"/>
  <c r="CT66" i="9"/>
  <c r="CT99" i="9"/>
  <c r="CT91" i="9"/>
  <c r="CT85" i="9"/>
  <c r="CT81" i="9"/>
  <c r="CT77" i="9"/>
  <c r="CT73" i="9"/>
  <c r="CT69" i="9"/>
  <c r="CT65" i="9"/>
  <c r="CT62" i="9"/>
  <c r="CU6" i="9"/>
  <c r="CT16" i="9"/>
  <c r="CT14" i="9"/>
  <c r="CT12" i="9"/>
  <c r="CT10" i="9"/>
  <c r="CT8" i="9"/>
  <c r="CT15" i="9"/>
  <c r="CT13" i="9"/>
  <c r="CT11" i="9"/>
  <c r="CT9" i="9"/>
  <c r="CU213" i="9" l="1"/>
  <c r="CU211" i="9"/>
  <c r="CU212" i="9"/>
  <c r="CU210" i="9"/>
  <c r="CU209" i="9"/>
  <c r="CU208" i="9"/>
  <c r="CU207" i="9"/>
  <c r="CU204" i="9"/>
  <c r="CU203" i="9"/>
  <c r="CU205" i="9"/>
  <c r="CU202" i="9"/>
  <c r="CU201" i="9"/>
  <c r="CU198" i="9"/>
  <c r="CU194" i="9"/>
  <c r="CU206" i="9"/>
  <c r="CU200" i="9"/>
  <c r="CU197" i="9"/>
  <c r="CU196" i="9"/>
  <c r="CU191" i="9"/>
  <c r="CU195" i="9"/>
  <c r="CU187" i="9"/>
  <c r="CU183" i="9"/>
  <c r="CU199" i="9"/>
  <c r="CU190" i="9"/>
  <c r="CU186" i="9"/>
  <c r="CU182" i="9"/>
  <c r="CU185" i="9"/>
  <c r="CU179" i="9"/>
  <c r="CU175" i="9"/>
  <c r="CU192" i="9"/>
  <c r="CU184" i="9"/>
  <c r="CU178" i="9"/>
  <c r="CU174" i="9"/>
  <c r="CU181" i="9"/>
  <c r="CU177" i="9"/>
  <c r="CU171" i="9"/>
  <c r="CU167" i="9"/>
  <c r="CU163" i="9"/>
  <c r="CU159" i="9"/>
  <c r="CU155" i="9"/>
  <c r="CU151" i="9"/>
  <c r="CU188" i="9"/>
  <c r="CU176" i="9"/>
  <c r="CU172" i="9"/>
  <c r="CU170" i="9"/>
  <c r="CU166" i="9"/>
  <c r="CU162" i="9"/>
  <c r="CU158" i="9"/>
  <c r="CU154" i="9"/>
  <c r="CU193" i="9"/>
  <c r="CU189" i="9"/>
  <c r="CU180" i="9"/>
  <c r="CU173" i="9"/>
  <c r="CU168" i="9"/>
  <c r="CU160" i="9"/>
  <c r="CU165" i="9"/>
  <c r="CU157" i="9"/>
  <c r="CU164" i="9"/>
  <c r="CU169" i="9"/>
  <c r="CU161" i="9"/>
  <c r="CU150" i="9"/>
  <c r="CU153" i="9"/>
  <c r="CU149" i="9"/>
  <c r="CU145" i="9"/>
  <c r="CU156" i="9"/>
  <c r="CU152" i="9"/>
  <c r="CU148" i="9"/>
  <c r="CU147" i="9"/>
  <c r="CU141" i="9"/>
  <c r="CU137" i="9"/>
  <c r="CU133" i="9"/>
  <c r="CU146" i="9"/>
  <c r="CU144" i="9"/>
  <c r="CU140" i="9"/>
  <c r="CU136" i="9"/>
  <c r="CU132" i="9"/>
  <c r="CU143" i="9"/>
  <c r="CU139" i="9"/>
  <c r="CU135" i="9"/>
  <c r="CU142" i="9"/>
  <c r="CU138" i="9"/>
  <c r="CU134" i="9"/>
  <c r="CU127" i="9"/>
  <c r="CU123" i="9"/>
  <c r="CU119" i="9"/>
  <c r="CU130" i="9"/>
  <c r="CU126" i="9"/>
  <c r="CU122" i="9"/>
  <c r="CU118" i="9"/>
  <c r="CU131" i="9"/>
  <c r="CU129" i="9"/>
  <c r="CU125" i="9"/>
  <c r="CU121" i="9"/>
  <c r="CU117" i="9"/>
  <c r="CU128" i="9"/>
  <c r="CU124" i="9"/>
  <c r="CU120" i="9"/>
  <c r="CU116" i="9"/>
  <c r="CU112" i="9"/>
  <c r="CU108" i="9"/>
  <c r="CU104" i="9"/>
  <c r="CU100" i="9"/>
  <c r="CU96" i="9"/>
  <c r="CU115" i="9"/>
  <c r="CU111" i="9"/>
  <c r="CU107" i="9"/>
  <c r="CU103" i="9"/>
  <c r="CU99" i="9"/>
  <c r="CU95" i="9"/>
  <c r="CU91" i="9"/>
  <c r="CU87" i="9"/>
  <c r="CU114" i="9"/>
  <c r="CU110" i="9"/>
  <c r="CU106" i="9"/>
  <c r="CU113" i="9"/>
  <c r="CU109" i="9"/>
  <c r="CU105" i="9"/>
  <c r="CU101" i="9"/>
  <c r="CU97" i="9"/>
  <c r="CU93" i="9"/>
  <c r="CU89" i="9"/>
  <c r="CU102" i="9"/>
  <c r="CU88" i="9"/>
  <c r="CU83" i="9"/>
  <c r="CU79" i="9"/>
  <c r="CU75" i="9"/>
  <c r="CU71" i="9"/>
  <c r="CU67" i="9"/>
  <c r="CU98" i="9"/>
  <c r="CU86" i="9"/>
  <c r="CU82" i="9"/>
  <c r="CU78" i="9"/>
  <c r="CU74" i="9"/>
  <c r="CU70" i="9"/>
  <c r="CU66" i="9"/>
  <c r="CU94" i="9"/>
  <c r="CU92" i="9"/>
  <c r="CU85" i="9"/>
  <c r="CU81" i="9"/>
  <c r="CU77" i="9"/>
  <c r="CU73" i="9"/>
  <c r="CU69" i="9"/>
  <c r="CU65" i="9"/>
  <c r="CU90" i="9"/>
  <c r="CU84" i="9"/>
  <c r="CU80" i="9"/>
  <c r="CU76" i="9"/>
  <c r="CU72" i="9"/>
  <c r="CU68" i="9"/>
  <c r="CU64" i="9"/>
  <c r="CU63" i="9"/>
  <c r="CU62" i="9"/>
  <c r="CU16" i="9"/>
  <c r="CU14" i="9"/>
  <c r="CU12" i="9"/>
  <c r="CU10" i="9"/>
  <c r="CU8" i="9"/>
  <c r="CU15" i="9"/>
  <c r="CU13" i="9"/>
  <c r="CU11" i="9"/>
  <c r="CU9" i="9"/>
  <c r="CV6" i="9"/>
  <c r="CV213" i="9" l="1"/>
  <c r="CV212" i="9"/>
  <c r="CV210" i="9"/>
  <c r="CV211" i="9"/>
  <c r="CV209" i="9"/>
  <c r="CV208" i="9"/>
  <c r="CV207" i="9"/>
  <c r="CV206" i="9"/>
  <c r="CV205" i="9"/>
  <c r="CV202" i="9"/>
  <c r="CV203" i="9"/>
  <c r="CV201" i="9"/>
  <c r="CV200" i="9"/>
  <c r="CV197" i="9"/>
  <c r="CV196" i="9"/>
  <c r="CV195" i="9"/>
  <c r="CV194" i="9"/>
  <c r="CV190" i="9"/>
  <c r="CV204" i="9"/>
  <c r="CV193" i="9"/>
  <c r="CV199" i="9"/>
  <c r="CV186" i="9"/>
  <c r="CV182" i="9"/>
  <c r="CV189" i="9"/>
  <c r="CV185" i="9"/>
  <c r="CV181" i="9"/>
  <c r="CV192" i="9"/>
  <c r="CV184" i="9"/>
  <c r="CV178" i="9"/>
  <c r="CV174" i="9"/>
  <c r="CV198" i="9"/>
  <c r="CV183" i="9"/>
  <c r="CV177" i="9"/>
  <c r="CV188" i="9"/>
  <c r="CV176" i="9"/>
  <c r="CV172" i="9"/>
  <c r="CV170" i="9"/>
  <c r="CV166" i="9"/>
  <c r="CV162" i="9"/>
  <c r="CV158" i="9"/>
  <c r="CV154" i="9"/>
  <c r="CV191" i="9"/>
  <c r="CV175" i="9"/>
  <c r="CV173" i="9"/>
  <c r="CV169" i="9"/>
  <c r="CV165" i="9"/>
  <c r="CV161" i="9"/>
  <c r="CV157" i="9"/>
  <c r="CV153" i="9"/>
  <c r="CV187" i="9"/>
  <c r="CV180" i="9"/>
  <c r="CV171" i="9"/>
  <c r="CV179" i="9"/>
  <c r="CV167" i="9"/>
  <c r="CV164" i="9"/>
  <c r="CV156" i="9"/>
  <c r="CV163" i="9"/>
  <c r="CV168" i="9"/>
  <c r="CV160" i="9"/>
  <c r="CV155" i="9"/>
  <c r="CV149" i="9"/>
  <c r="CV152" i="9"/>
  <c r="CV148" i="9"/>
  <c r="CV151" i="9"/>
  <c r="CV147" i="9"/>
  <c r="CV159" i="9"/>
  <c r="CV150" i="9"/>
  <c r="CV146" i="9"/>
  <c r="CV144" i="9"/>
  <c r="CV140" i="9"/>
  <c r="CV136" i="9"/>
  <c r="CV145" i="9"/>
  <c r="CV143" i="9"/>
  <c r="CV139" i="9"/>
  <c r="CV135" i="9"/>
  <c r="CV131" i="9"/>
  <c r="CV142" i="9"/>
  <c r="CV138" i="9"/>
  <c r="CV134" i="9"/>
  <c r="CV141" i="9"/>
  <c r="CV137" i="9"/>
  <c r="CV133" i="9"/>
  <c r="CV130" i="9"/>
  <c r="CV126" i="9"/>
  <c r="CV122" i="9"/>
  <c r="CV118" i="9"/>
  <c r="CV132" i="9"/>
  <c r="CV129" i="9"/>
  <c r="CV125" i="9"/>
  <c r="CV121" i="9"/>
  <c r="CV117" i="9"/>
  <c r="CV128" i="9"/>
  <c r="CV124" i="9"/>
  <c r="CV120" i="9"/>
  <c r="CV127" i="9"/>
  <c r="CV123" i="9"/>
  <c r="CV119" i="9"/>
  <c r="CV116" i="9"/>
  <c r="CV115" i="9"/>
  <c r="CV111" i="9"/>
  <c r="CV107" i="9"/>
  <c r="CV103" i="9"/>
  <c r="CV99" i="9"/>
  <c r="CV95" i="9"/>
  <c r="CV114" i="9"/>
  <c r="CV110" i="9"/>
  <c r="CV106" i="9"/>
  <c r="CV102" i="9"/>
  <c r="CV98" i="9"/>
  <c r="CV94" i="9"/>
  <c r="CV90" i="9"/>
  <c r="CV113" i="9"/>
  <c r="CV109" i="9"/>
  <c r="CV112" i="9"/>
  <c r="CV108" i="9"/>
  <c r="CV104" i="9"/>
  <c r="CV100" i="9"/>
  <c r="CV96" i="9"/>
  <c r="CV92" i="9"/>
  <c r="CV88" i="9"/>
  <c r="CV93" i="9"/>
  <c r="CV87" i="9"/>
  <c r="CV86" i="9"/>
  <c r="CV82" i="9"/>
  <c r="CV78" i="9"/>
  <c r="CV74" i="9"/>
  <c r="CV70" i="9"/>
  <c r="CV66" i="9"/>
  <c r="CV105" i="9"/>
  <c r="CV85" i="9"/>
  <c r="CV81" i="9"/>
  <c r="CV77" i="9"/>
  <c r="CV73" i="9"/>
  <c r="CV69" i="9"/>
  <c r="CV65" i="9"/>
  <c r="CV101" i="9"/>
  <c r="CV91" i="9"/>
  <c r="CV84" i="9"/>
  <c r="CV80" i="9"/>
  <c r="CV76" i="9"/>
  <c r="CV72" i="9"/>
  <c r="CV68" i="9"/>
  <c r="CV64" i="9"/>
  <c r="CV97" i="9"/>
  <c r="CV89" i="9"/>
  <c r="CV83" i="9"/>
  <c r="CV79" i="9"/>
  <c r="CV75" i="9"/>
  <c r="CV71" i="9"/>
  <c r="CV67" i="9"/>
  <c r="CV63" i="9"/>
  <c r="CV62" i="9"/>
  <c r="CV8" i="9"/>
  <c r="CV15" i="9"/>
  <c r="CV13" i="9"/>
  <c r="CV11" i="9"/>
  <c r="CV9" i="9"/>
  <c r="CW6" i="9"/>
  <c r="CV16" i="9"/>
  <c r="CV14" i="9"/>
  <c r="CV12" i="9"/>
  <c r="CV10" i="9"/>
  <c r="CW213" i="9" l="1"/>
  <c r="CW212" i="9"/>
  <c r="CW211" i="9"/>
  <c r="CW208" i="9"/>
  <c r="CW207" i="9"/>
  <c r="CW206" i="9"/>
  <c r="CW205" i="9"/>
  <c r="CW210" i="9"/>
  <c r="CW204" i="9"/>
  <c r="CW203" i="9"/>
  <c r="CW201" i="9"/>
  <c r="CW209" i="9"/>
  <c r="CW200" i="9"/>
  <c r="CW196" i="9"/>
  <c r="CW199" i="9"/>
  <c r="CW195" i="9"/>
  <c r="CW193" i="9"/>
  <c r="CW202" i="9"/>
  <c r="CW192" i="9"/>
  <c r="CW190" i="9"/>
  <c r="CW189" i="9"/>
  <c r="CW185" i="9"/>
  <c r="CW181" i="9"/>
  <c r="CW197" i="9"/>
  <c r="CW194" i="9"/>
  <c r="CW188" i="9"/>
  <c r="CW184" i="9"/>
  <c r="CW180" i="9"/>
  <c r="CW198" i="9"/>
  <c r="CW183" i="9"/>
  <c r="CW177" i="9"/>
  <c r="CW173" i="9"/>
  <c r="CW182" i="9"/>
  <c r="CW176" i="9"/>
  <c r="CW191" i="9"/>
  <c r="CW175" i="9"/>
  <c r="CW169" i="9"/>
  <c r="CW165" i="9"/>
  <c r="CW161" i="9"/>
  <c r="CW157" i="9"/>
  <c r="CW153" i="9"/>
  <c r="CW186" i="9"/>
  <c r="CW174" i="9"/>
  <c r="CW168" i="9"/>
  <c r="CW164" i="9"/>
  <c r="CW160" i="9"/>
  <c r="CW156" i="9"/>
  <c r="CW152" i="9"/>
  <c r="CW187" i="9"/>
  <c r="CW171" i="9"/>
  <c r="CW178" i="9"/>
  <c r="CW179" i="9"/>
  <c r="CW172" i="9"/>
  <c r="CW166" i="9"/>
  <c r="CW163" i="9"/>
  <c r="CW170" i="9"/>
  <c r="CW162" i="9"/>
  <c r="CW167" i="9"/>
  <c r="CW159" i="9"/>
  <c r="CW154" i="9"/>
  <c r="CW148" i="9"/>
  <c r="CW158" i="9"/>
  <c r="CW151" i="9"/>
  <c r="CW147" i="9"/>
  <c r="CW150" i="9"/>
  <c r="CW155" i="9"/>
  <c r="CW149" i="9"/>
  <c r="CW145" i="9"/>
  <c r="CW146" i="9"/>
  <c r="CW143" i="9"/>
  <c r="CW139" i="9"/>
  <c r="CW135" i="9"/>
  <c r="CW142" i="9"/>
  <c r="CW138" i="9"/>
  <c r="CW134" i="9"/>
  <c r="CW141" i="9"/>
  <c r="CW137" i="9"/>
  <c r="CW133" i="9"/>
  <c r="CW144" i="9"/>
  <c r="CW140" i="9"/>
  <c r="CW136" i="9"/>
  <c r="CW132" i="9"/>
  <c r="CW129" i="9"/>
  <c r="CW125" i="9"/>
  <c r="CW121" i="9"/>
  <c r="CW117" i="9"/>
  <c r="CW131" i="9"/>
  <c r="CW128" i="9"/>
  <c r="CW124" i="9"/>
  <c r="CW120" i="9"/>
  <c r="CW116" i="9"/>
  <c r="CW127" i="9"/>
  <c r="CW123" i="9"/>
  <c r="CW119" i="9"/>
  <c r="CW130" i="9"/>
  <c r="CW126" i="9"/>
  <c r="CW122" i="9"/>
  <c r="CW118" i="9"/>
  <c r="CW114" i="9"/>
  <c r="CW110" i="9"/>
  <c r="CW106" i="9"/>
  <c r="CW102" i="9"/>
  <c r="CW98" i="9"/>
  <c r="CW94" i="9"/>
  <c r="CW113" i="9"/>
  <c r="CW109" i="9"/>
  <c r="CW105" i="9"/>
  <c r="CW101" i="9"/>
  <c r="CW97" i="9"/>
  <c r="CW93" i="9"/>
  <c r="CW89" i="9"/>
  <c r="CW112" i="9"/>
  <c r="CW108" i="9"/>
  <c r="CW115" i="9"/>
  <c r="CW111" i="9"/>
  <c r="CW107" i="9"/>
  <c r="CW103" i="9"/>
  <c r="CW99" i="9"/>
  <c r="CW95" i="9"/>
  <c r="CW91" i="9"/>
  <c r="CW87" i="9"/>
  <c r="CW100" i="9"/>
  <c r="CW85" i="9"/>
  <c r="CW81" i="9"/>
  <c r="CW77" i="9"/>
  <c r="CW73" i="9"/>
  <c r="CW69" i="9"/>
  <c r="CW65" i="9"/>
  <c r="CW96" i="9"/>
  <c r="CW92" i="9"/>
  <c r="CW84" i="9"/>
  <c r="CW80" i="9"/>
  <c r="CW76" i="9"/>
  <c r="CW72" i="9"/>
  <c r="CW68" i="9"/>
  <c r="CW64" i="9"/>
  <c r="CW90" i="9"/>
  <c r="CW83" i="9"/>
  <c r="CW79" i="9"/>
  <c r="CW75" i="9"/>
  <c r="CW71" i="9"/>
  <c r="CW67" i="9"/>
  <c r="CW104" i="9"/>
  <c r="CW88" i="9"/>
  <c r="CW86" i="9"/>
  <c r="CW82" i="9"/>
  <c r="CW78" i="9"/>
  <c r="CW74" i="9"/>
  <c r="CW70" i="9"/>
  <c r="CW66" i="9"/>
  <c r="CW62" i="9"/>
  <c r="CW63" i="9"/>
  <c r="CW15" i="9"/>
  <c r="CW13" i="9"/>
  <c r="CW11" i="9"/>
  <c r="CW9" i="9"/>
  <c r="CX6" i="9"/>
  <c r="CW16" i="9"/>
  <c r="CW14" i="9"/>
  <c r="CW12" i="9"/>
  <c r="CW10" i="9"/>
  <c r="CW8" i="9"/>
  <c r="CY6" i="9" l="1"/>
  <c r="CX8" i="9"/>
  <c r="CY8" i="9" l="1"/>
  <c r="CZ6" i="9"/>
  <c r="CZ213" i="9" l="1"/>
  <c r="CZ212" i="9"/>
  <c r="CZ211" i="9"/>
  <c r="CZ210" i="9"/>
  <c r="CZ206" i="9"/>
  <c r="CZ209" i="9"/>
  <c r="CZ205" i="9"/>
  <c r="CZ204" i="9"/>
  <c r="CZ207" i="9"/>
  <c r="CZ208" i="9"/>
  <c r="CZ202" i="9"/>
  <c r="CZ199" i="9"/>
  <c r="CZ195" i="9"/>
  <c r="CZ203" i="9"/>
  <c r="CZ201" i="9"/>
  <c r="CZ198" i="9"/>
  <c r="CZ192" i="9"/>
  <c r="CZ191" i="9"/>
  <c r="CZ197" i="9"/>
  <c r="CZ194" i="9"/>
  <c r="CZ188" i="9"/>
  <c r="CZ184" i="9"/>
  <c r="CZ180" i="9"/>
  <c r="CZ200" i="9"/>
  <c r="CZ193" i="9"/>
  <c r="CZ187" i="9"/>
  <c r="CZ183" i="9"/>
  <c r="CZ179" i="9"/>
  <c r="CZ182" i="9"/>
  <c r="CZ176" i="9"/>
  <c r="CZ172" i="9"/>
  <c r="CZ189" i="9"/>
  <c r="CZ181" i="9"/>
  <c r="CZ175" i="9"/>
  <c r="CZ186" i="9"/>
  <c r="CZ174" i="9"/>
  <c r="CZ173" i="9"/>
  <c r="CZ168" i="9"/>
  <c r="CZ164" i="9"/>
  <c r="CZ160" i="9"/>
  <c r="CZ156" i="9"/>
  <c r="CZ152" i="9"/>
  <c r="CZ196" i="9"/>
  <c r="CZ190" i="9"/>
  <c r="CZ171" i="9"/>
  <c r="CZ167" i="9"/>
  <c r="CZ163" i="9"/>
  <c r="CZ159" i="9"/>
  <c r="CZ155" i="9"/>
  <c r="CZ151" i="9"/>
  <c r="CZ178" i="9"/>
  <c r="CZ185" i="9"/>
  <c r="CZ177" i="9"/>
  <c r="CZ165" i="9"/>
  <c r="CZ170" i="9"/>
  <c r="CZ162" i="9"/>
  <c r="CZ169" i="9"/>
  <c r="CZ161" i="9"/>
  <c r="CZ166" i="9"/>
  <c r="CZ158" i="9"/>
  <c r="CZ153" i="9"/>
  <c r="CZ147" i="9"/>
  <c r="CZ150" i="9"/>
  <c r="CZ146" i="9"/>
  <c r="CZ149" i="9"/>
  <c r="CZ157" i="9"/>
  <c r="CZ154" i="9"/>
  <c r="CZ148" i="9"/>
  <c r="CZ145" i="9"/>
  <c r="CZ142" i="9"/>
  <c r="CZ138" i="9"/>
  <c r="CZ134" i="9"/>
  <c r="CZ141" i="9"/>
  <c r="CZ137" i="9"/>
  <c r="CZ133" i="9"/>
  <c r="CZ144" i="9"/>
  <c r="CZ140" i="9"/>
  <c r="CZ136" i="9"/>
  <c r="CZ143" i="9"/>
  <c r="CZ139" i="9"/>
  <c r="CZ135" i="9"/>
  <c r="CZ131" i="9"/>
  <c r="CZ132" i="9"/>
  <c r="CZ128" i="9"/>
  <c r="CZ124" i="9"/>
  <c r="CZ120" i="9"/>
  <c r="CZ127" i="9"/>
  <c r="CZ123" i="9"/>
  <c r="CZ119" i="9"/>
  <c r="CZ130" i="9"/>
  <c r="CZ126" i="9"/>
  <c r="CZ122" i="9"/>
  <c r="CZ118" i="9"/>
  <c r="CZ129" i="9"/>
  <c r="CZ125" i="9"/>
  <c r="CZ121" i="9"/>
  <c r="CZ117" i="9"/>
  <c r="CZ113" i="9"/>
  <c r="CZ109" i="9"/>
  <c r="CZ105" i="9"/>
  <c r="CZ101" i="9"/>
  <c r="CZ97" i="9"/>
  <c r="CZ93" i="9"/>
  <c r="CZ112" i="9"/>
  <c r="CZ108" i="9"/>
  <c r="CZ104" i="9"/>
  <c r="CZ100" i="9"/>
  <c r="CZ96" i="9"/>
  <c r="CZ92" i="9"/>
  <c r="CZ88" i="9"/>
  <c r="CZ115" i="9"/>
  <c r="CZ111" i="9"/>
  <c r="CZ107" i="9"/>
  <c r="CZ116" i="9"/>
  <c r="CZ114" i="9"/>
  <c r="CZ110" i="9"/>
  <c r="CZ106" i="9"/>
  <c r="CZ102" i="9"/>
  <c r="CZ98" i="9"/>
  <c r="CZ94" i="9"/>
  <c r="CZ90" i="9"/>
  <c r="CZ84" i="9"/>
  <c r="CZ80" i="9"/>
  <c r="CZ76" i="9"/>
  <c r="CZ72" i="9"/>
  <c r="CZ68" i="9"/>
  <c r="CZ64" i="9"/>
  <c r="CZ103" i="9"/>
  <c r="CZ91" i="9"/>
  <c r="CZ83" i="9"/>
  <c r="CZ79" i="9"/>
  <c r="CZ75" i="9"/>
  <c r="CZ71" i="9"/>
  <c r="CZ67" i="9"/>
  <c r="CZ63" i="9"/>
  <c r="CZ99" i="9"/>
  <c r="CZ89" i="9"/>
  <c r="CZ86" i="9"/>
  <c r="CZ82" i="9"/>
  <c r="CZ78" i="9"/>
  <c r="CZ74" i="9"/>
  <c r="CZ70" i="9"/>
  <c r="CZ66" i="9"/>
  <c r="CZ95" i="9"/>
  <c r="CZ87" i="9"/>
  <c r="CZ85" i="9"/>
  <c r="CZ81" i="9"/>
  <c r="CZ77" i="9"/>
  <c r="CZ73" i="9"/>
  <c r="CZ69" i="9"/>
  <c r="CZ65" i="9"/>
  <c r="CZ62" i="9"/>
  <c r="CZ8" i="9"/>
  <c r="CZ16" i="9"/>
  <c r="CZ14" i="9"/>
  <c r="CZ12" i="9"/>
  <c r="CZ10" i="9"/>
  <c r="DA6" i="9"/>
  <c r="CZ15" i="9"/>
  <c r="CZ13" i="9"/>
  <c r="CZ11" i="9"/>
  <c r="CZ9" i="9"/>
  <c r="DA213" i="9" l="1"/>
  <c r="DA212" i="9"/>
  <c r="DA211" i="9"/>
  <c r="DA210" i="9"/>
  <c r="DA209" i="9"/>
  <c r="DA208" i="9"/>
  <c r="DA206" i="9"/>
  <c r="DA204" i="9"/>
  <c r="DA203" i="9"/>
  <c r="DA207" i="9"/>
  <c r="DA205" i="9"/>
  <c r="DA202" i="9"/>
  <c r="DA201" i="9"/>
  <c r="DA198" i="9"/>
  <c r="DA194" i="9"/>
  <c r="DA197" i="9"/>
  <c r="DA191" i="9"/>
  <c r="DA199" i="9"/>
  <c r="DA200" i="9"/>
  <c r="DA193" i="9"/>
  <c r="DA187" i="9"/>
  <c r="DA183" i="9"/>
  <c r="DA195" i="9"/>
  <c r="DA192" i="9"/>
  <c r="DA186" i="9"/>
  <c r="DA182" i="9"/>
  <c r="DA189" i="9"/>
  <c r="DA181" i="9"/>
  <c r="DA175" i="9"/>
  <c r="DA188" i="9"/>
  <c r="DA180" i="9"/>
  <c r="DA179" i="9"/>
  <c r="DA178" i="9"/>
  <c r="DA174" i="9"/>
  <c r="DA196" i="9"/>
  <c r="DA190" i="9"/>
  <c r="DA171" i="9"/>
  <c r="DA167" i="9"/>
  <c r="DA163" i="9"/>
  <c r="DA159" i="9"/>
  <c r="DA155" i="9"/>
  <c r="DA151" i="9"/>
  <c r="DA184" i="9"/>
  <c r="DA170" i="9"/>
  <c r="DA166" i="9"/>
  <c r="DA162" i="9"/>
  <c r="DA158" i="9"/>
  <c r="DA154" i="9"/>
  <c r="DA176" i="9"/>
  <c r="DA173" i="9"/>
  <c r="DA185" i="9"/>
  <c r="DA177" i="9"/>
  <c r="DA172" i="9"/>
  <c r="DA164" i="9"/>
  <c r="DA169" i="9"/>
  <c r="DA161" i="9"/>
  <c r="DA168" i="9"/>
  <c r="DA160" i="9"/>
  <c r="DA165" i="9"/>
  <c r="DA157" i="9"/>
  <c r="DA152" i="9"/>
  <c r="DA150" i="9"/>
  <c r="DA156" i="9"/>
  <c r="DA149" i="9"/>
  <c r="DA145" i="9"/>
  <c r="DA148" i="9"/>
  <c r="DA153" i="9"/>
  <c r="DA147" i="9"/>
  <c r="DA141" i="9"/>
  <c r="DA137" i="9"/>
  <c r="DA133" i="9"/>
  <c r="DA144" i="9"/>
  <c r="DA140" i="9"/>
  <c r="DA136" i="9"/>
  <c r="DA132" i="9"/>
  <c r="DA143" i="9"/>
  <c r="DA139" i="9"/>
  <c r="DA135" i="9"/>
  <c r="DA146" i="9"/>
  <c r="DA142" i="9"/>
  <c r="DA138" i="9"/>
  <c r="DA134" i="9"/>
  <c r="DA131" i="9"/>
  <c r="DA127" i="9"/>
  <c r="DA123" i="9"/>
  <c r="DA119" i="9"/>
  <c r="DA130" i="9"/>
  <c r="DA126" i="9"/>
  <c r="DA122" i="9"/>
  <c r="DA118" i="9"/>
  <c r="DA129" i="9"/>
  <c r="DA125" i="9"/>
  <c r="DA121" i="9"/>
  <c r="DA117" i="9"/>
  <c r="DA128" i="9"/>
  <c r="DA124" i="9"/>
  <c r="DA120" i="9"/>
  <c r="DA116" i="9"/>
  <c r="DA112" i="9"/>
  <c r="DA108" i="9"/>
  <c r="DA104" i="9"/>
  <c r="DA100" i="9"/>
  <c r="DA96" i="9"/>
  <c r="DA115" i="9"/>
  <c r="DA111" i="9"/>
  <c r="DA107" i="9"/>
  <c r="DA103" i="9"/>
  <c r="DA99" i="9"/>
  <c r="DA95" i="9"/>
  <c r="DA91" i="9"/>
  <c r="DA87" i="9"/>
  <c r="DA114" i="9"/>
  <c r="DA110" i="9"/>
  <c r="DA106" i="9"/>
  <c r="DA113" i="9"/>
  <c r="DA109" i="9"/>
  <c r="DA105" i="9"/>
  <c r="DA101" i="9"/>
  <c r="DA97" i="9"/>
  <c r="DA93" i="9"/>
  <c r="DA89" i="9"/>
  <c r="DA98" i="9"/>
  <c r="DA92" i="9"/>
  <c r="DA83" i="9"/>
  <c r="DA79" i="9"/>
  <c r="DA75" i="9"/>
  <c r="DA71" i="9"/>
  <c r="DA67" i="9"/>
  <c r="DA94" i="9"/>
  <c r="DA90" i="9"/>
  <c r="DA86" i="9"/>
  <c r="DA82" i="9"/>
  <c r="DA78" i="9"/>
  <c r="DA74" i="9"/>
  <c r="DA70" i="9"/>
  <c r="DA66" i="9"/>
  <c r="DA88" i="9"/>
  <c r="DA85" i="9"/>
  <c r="DA81" i="9"/>
  <c r="DA77" i="9"/>
  <c r="DA73" i="9"/>
  <c r="DA69" i="9"/>
  <c r="DA65" i="9"/>
  <c r="DA102" i="9"/>
  <c r="DA84" i="9"/>
  <c r="DA80" i="9"/>
  <c r="DA76" i="9"/>
  <c r="DA72" i="9"/>
  <c r="DA68" i="9"/>
  <c r="DA64" i="9"/>
  <c r="DA63" i="9"/>
  <c r="DA62" i="9"/>
  <c r="DA16" i="9"/>
  <c r="DA14" i="9"/>
  <c r="DA12" i="9"/>
  <c r="DA10" i="9"/>
  <c r="DB6" i="9"/>
  <c r="DA15" i="9"/>
  <c r="DA13" i="9"/>
  <c r="DA11" i="9"/>
  <c r="DA9" i="9"/>
  <c r="DA8" i="9"/>
  <c r="DB213" i="9" l="1"/>
  <c r="DB212" i="9"/>
  <c r="DB211" i="9"/>
  <c r="DB210" i="9"/>
  <c r="DB209" i="9"/>
  <c r="DB208" i="9"/>
  <c r="DB207" i="9"/>
  <c r="DB205" i="9"/>
  <c r="DB202" i="9"/>
  <c r="DB201" i="9"/>
  <c r="DB206" i="9"/>
  <c r="DB204" i="9"/>
  <c r="DB203" i="9"/>
  <c r="DB197" i="9"/>
  <c r="DB200" i="9"/>
  <c r="DB196" i="9"/>
  <c r="DB199" i="9"/>
  <c r="DB190" i="9"/>
  <c r="DB198" i="9"/>
  <c r="DB194" i="9"/>
  <c r="DB193" i="9"/>
  <c r="DB195" i="9"/>
  <c r="DB192" i="9"/>
  <c r="DB186" i="9"/>
  <c r="DB182" i="9"/>
  <c r="DB191" i="9"/>
  <c r="DB189" i="9"/>
  <c r="DB185" i="9"/>
  <c r="DB181" i="9"/>
  <c r="DB188" i="9"/>
  <c r="DB180" i="9"/>
  <c r="DB179" i="9"/>
  <c r="DB178" i="9"/>
  <c r="DB174" i="9"/>
  <c r="DB187" i="9"/>
  <c r="DB177" i="9"/>
  <c r="DB184" i="9"/>
  <c r="DB170" i="9"/>
  <c r="DB166" i="9"/>
  <c r="DB162" i="9"/>
  <c r="DB158" i="9"/>
  <c r="DB154" i="9"/>
  <c r="DB172" i="9"/>
  <c r="DB169" i="9"/>
  <c r="DB165" i="9"/>
  <c r="DB161" i="9"/>
  <c r="DB157" i="9"/>
  <c r="DB153" i="9"/>
  <c r="DB183" i="9"/>
  <c r="DB176" i="9"/>
  <c r="DB173" i="9"/>
  <c r="DB175" i="9"/>
  <c r="DB171" i="9"/>
  <c r="DB163" i="9"/>
  <c r="DB168" i="9"/>
  <c r="DB160" i="9"/>
  <c r="DB167" i="9"/>
  <c r="DB164" i="9"/>
  <c r="DB156" i="9"/>
  <c r="DB151" i="9"/>
  <c r="DB149" i="9"/>
  <c r="DB148" i="9"/>
  <c r="DB159" i="9"/>
  <c r="DB155" i="9"/>
  <c r="DB147" i="9"/>
  <c r="DB152" i="9"/>
  <c r="DB150" i="9"/>
  <c r="DB146" i="9"/>
  <c r="DB144" i="9"/>
  <c r="DB140" i="9"/>
  <c r="DB136" i="9"/>
  <c r="DB143" i="9"/>
  <c r="DB139" i="9"/>
  <c r="DB135" i="9"/>
  <c r="DB131" i="9"/>
  <c r="DB142" i="9"/>
  <c r="DB138" i="9"/>
  <c r="DB134" i="9"/>
  <c r="DB145" i="9"/>
  <c r="DB141" i="9"/>
  <c r="DB137" i="9"/>
  <c r="DB133" i="9"/>
  <c r="DB130" i="9"/>
  <c r="DB126" i="9"/>
  <c r="DB122" i="9"/>
  <c r="DB118" i="9"/>
  <c r="DB129" i="9"/>
  <c r="DB125" i="9"/>
  <c r="DB121" i="9"/>
  <c r="DB117" i="9"/>
  <c r="DB128" i="9"/>
  <c r="DB124" i="9"/>
  <c r="DB120" i="9"/>
  <c r="DB132" i="9"/>
  <c r="DB127" i="9"/>
  <c r="DB123" i="9"/>
  <c r="DB119" i="9"/>
  <c r="DB115" i="9"/>
  <c r="DB111" i="9"/>
  <c r="DB107" i="9"/>
  <c r="DB103" i="9"/>
  <c r="DB99" i="9"/>
  <c r="DB95" i="9"/>
  <c r="DB114" i="9"/>
  <c r="DB110" i="9"/>
  <c r="DB106" i="9"/>
  <c r="DB102" i="9"/>
  <c r="DB98" i="9"/>
  <c r="DB94" i="9"/>
  <c r="DB90" i="9"/>
  <c r="DB116" i="9"/>
  <c r="DB113" i="9"/>
  <c r="DB109" i="9"/>
  <c r="DB112" i="9"/>
  <c r="DB108" i="9"/>
  <c r="DB104" i="9"/>
  <c r="DB100" i="9"/>
  <c r="DB96" i="9"/>
  <c r="DB92" i="9"/>
  <c r="DB88" i="9"/>
  <c r="DB105" i="9"/>
  <c r="DB91" i="9"/>
  <c r="DB86" i="9"/>
  <c r="DB82" i="9"/>
  <c r="DB78" i="9"/>
  <c r="DB74" i="9"/>
  <c r="DB70" i="9"/>
  <c r="DB66" i="9"/>
  <c r="DB101" i="9"/>
  <c r="DB89" i="9"/>
  <c r="DB85" i="9"/>
  <c r="DB81" i="9"/>
  <c r="DB77" i="9"/>
  <c r="DB73" i="9"/>
  <c r="DB69" i="9"/>
  <c r="DB65" i="9"/>
  <c r="DB97" i="9"/>
  <c r="DB87" i="9"/>
  <c r="DB84" i="9"/>
  <c r="DB80" i="9"/>
  <c r="DB76" i="9"/>
  <c r="DB72" i="9"/>
  <c r="DB68" i="9"/>
  <c r="DB64" i="9"/>
  <c r="DB93" i="9"/>
  <c r="DB83" i="9"/>
  <c r="DB79" i="9"/>
  <c r="DB75" i="9"/>
  <c r="DB71" i="9"/>
  <c r="DB67" i="9"/>
  <c r="DB63" i="9"/>
  <c r="DB62" i="9"/>
  <c r="DC6" i="9"/>
  <c r="DB15" i="9"/>
  <c r="DB13" i="9"/>
  <c r="DB11" i="9"/>
  <c r="DB9" i="9"/>
  <c r="DB8" i="9"/>
  <c r="DB16" i="9"/>
  <c r="DB14" i="9"/>
  <c r="DB12" i="9"/>
  <c r="DB10" i="9"/>
  <c r="DC213" i="9" l="1"/>
  <c r="DC212" i="9"/>
  <c r="DC211" i="9"/>
  <c r="DC208" i="9"/>
  <c r="DC209" i="9"/>
  <c r="DC207" i="9"/>
  <c r="DC210" i="9"/>
  <c r="DC205" i="9"/>
  <c r="DC206" i="9"/>
  <c r="DC204" i="9"/>
  <c r="DC201" i="9"/>
  <c r="DC203" i="9"/>
  <c r="DC200" i="9"/>
  <c r="DC196" i="9"/>
  <c r="DC199" i="9"/>
  <c r="DC195" i="9"/>
  <c r="DC202" i="9"/>
  <c r="DC198" i="9"/>
  <c r="DC194" i="9"/>
  <c r="DC193" i="9"/>
  <c r="DC197" i="9"/>
  <c r="DC192" i="9"/>
  <c r="DC191" i="9"/>
  <c r="DC189" i="9"/>
  <c r="DC185" i="9"/>
  <c r="DC181" i="9"/>
  <c r="DC190" i="9"/>
  <c r="DC188" i="9"/>
  <c r="DC184" i="9"/>
  <c r="DC180" i="9"/>
  <c r="DC187" i="9"/>
  <c r="DC177" i="9"/>
  <c r="DC173" i="9"/>
  <c r="DC186" i="9"/>
  <c r="DC176" i="9"/>
  <c r="DC172" i="9"/>
  <c r="DC169" i="9"/>
  <c r="DC165" i="9"/>
  <c r="DC161" i="9"/>
  <c r="DC157" i="9"/>
  <c r="DC153" i="9"/>
  <c r="DC182" i="9"/>
  <c r="DC179" i="9"/>
  <c r="DC178" i="9"/>
  <c r="DC168" i="9"/>
  <c r="DC164" i="9"/>
  <c r="DC160" i="9"/>
  <c r="DC156" i="9"/>
  <c r="DC152" i="9"/>
  <c r="DC183" i="9"/>
  <c r="DC174" i="9"/>
  <c r="DC175" i="9"/>
  <c r="DC171" i="9"/>
  <c r="DC170" i="9"/>
  <c r="DC162" i="9"/>
  <c r="DC167" i="9"/>
  <c r="DC159" i="9"/>
  <c r="DC166" i="9"/>
  <c r="DC163" i="9"/>
  <c r="DC158" i="9"/>
  <c r="DC148" i="9"/>
  <c r="DC155" i="9"/>
  <c r="DC147" i="9"/>
  <c r="DC154" i="9"/>
  <c r="DC150" i="9"/>
  <c r="DC151" i="9"/>
  <c r="DC149" i="9"/>
  <c r="DC145" i="9"/>
  <c r="DC143" i="9"/>
  <c r="DC139" i="9"/>
  <c r="DC135" i="9"/>
  <c r="DC142" i="9"/>
  <c r="DC138" i="9"/>
  <c r="DC134" i="9"/>
  <c r="DC146" i="9"/>
  <c r="DC141" i="9"/>
  <c r="DC137" i="9"/>
  <c r="DC133" i="9"/>
  <c r="DC144" i="9"/>
  <c r="DC140" i="9"/>
  <c r="DC136" i="9"/>
  <c r="DC132" i="9"/>
  <c r="DC129" i="9"/>
  <c r="DC125" i="9"/>
  <c r="DC121" i="9"/>
  <c r="DC117" i="9"/>
  <c r="DC128" i="9"/>
  <c r="DC124" i="9"/>
  <c r="DC120" i="9"/>
  <c r="DC116" i="9"/>
  <c r="DC127" i="9"/>
  <c r="DC123" i="9"/>
  <c r="DC119" i="9"/>
  <c r="DC131" i="9"/>
  <c r="DC130" i="9"/>
  <c r="DC126" i="9"/>
  <c r="DC122" i="9"/>
  <c r="DC118" i="9"/>
  <c r="DC114" i="9"/>
  <c r="DC110" i="9"/>
  <c r="DC106" i="9"/>
  <c r="DC102" i="9"/>
  <c r="DC98" i="9"/>
  <c r="DC94" i="9"/>
  <c r="DC113" i="9"/>
  <c r="DC109" i="9"/>
  <c r="DC105" i="9"/>
  <c r="DC101" i="9"/>
  <c r="DC97" i="9"/>
  <c r="DC93" i="9"/>
  <c r="DC89" i="9"/>
  <c r="DC112" i="9"/>
  <c r="DC108" i="9"/>
  <c r="DC115" i="9"/>
  <c r="DC111" i="9"/>
  <c r="DC107" i="9"/>
  <c r="DC103" i="9"/>
  <c r="DC99" i="9"/>
  <c r="DC95" i="9"/>
  <c r="DC91" i="9"/>
  <c r="DC87" i="9"/>
  <c r="DC96" i="9"/>
  <c r="DC90" i="9"/>
  <c r="DC85" i="9"/>
  <c r="DC81" i="9"/>
  <c r="DC77" i="9"/>
  <c r="DC73" i="9"/>
  <c r="DC69" i="9"/>
  <c r="DC65" i="9"/>
  <c r="DC88" i="9"/>
  <c r="DC84" i="9"/>
  <c r="DC80" i="9"/>
  <c r="DC76" i="9"/>
  <c r="DC72" i="9"/>
  <c r="DC68" i="9"/>
  <c r="DC64" i="9"/>
  <c r="DC104" i="9"/>
  <c r="DC83" i="9"/>
  <c r="DC79" i="9"/>
  <c r="DC75" i="9"/>
  <c r="DC71" i="9"/>
  <c r="DC67" i="9"/>
  <c r="DC100" i="9"/>
  <c r="DC92" i="9"/>
  <c r="DC86" i="9"/>
  <c r="DC82" i="9"/>
  <c r="DC78" i="9"/>
  <c r="DC74" i="9"/>
  <c r="DC70" i="9"/>
  <c r="DC66" i="9"/>
  <c r="DC63" i="9"/>
  <c r="DC62" i="9"/>
  <c r="DC15" i="9"/>
  <c r="DC13" i="9"/>
  <c r="DC11" i="9"/>
  <c r="DC9" i="9"/>
  <c r="DC8" i="9"/>
  <c r="DC16" i="9"/>
  <c r="DC14" i="9"/>
  <c r="DC12" i="9"/>
  <c r="DC10" i="9"/>
  <c r="DD6" i="9"/>
  <c r="DD213" i="9" l="1"/>
  <c r="DD211" i="9"/>
  <c r="DD212" i="9"/>
  <c r="DD210" i="9"/>
  <c r="DD209" i="9"/>
  <c r="DD206" i="9"/>
  <c r="DD205" i="9"/>
  <c r="DD207" i="9"/>
  <c r="DD204" i="9"/>
  <c r="DD208" i="9"/>
  <c r="DD203" i="9"/>
  <c r="DD202" i="9"/>
  <c r="DD201" i="9"/>
  <c r="DD200" i="9"/>
  <c r="DD199" i="9"/>
  <c r="DD195" i="9"/>
  <c r="DD198" i="9"/>
  <c r="DD197" i="9"/>
  <c r="DD192" i="9"/>
  <c r="DD196" i="9"/>
  <c r="DD191" i="9"/>
  <c r="DD190" i="9"/>
  <c r="DD188" i="9"/>
  <c r="DD184" i="9"/>
  <c r="DD180" i="9"/>
  <c r="DD187" i="9"/>
  <c r="DD183" i="9"/>
  <c r="DD179" i="9"/>
  <c r="DD186" i="9"/>
  <c r="DD176" i="9"/>
  <c r="DD172" i="9"/>
  <c r="DD193" i="9"/>
  <c r="DD185" i="9"/>
  <c r="DD175" i="9"/>
  <c r="DD182" i="9"/>
  <c r="DD178" i="9"/>
  <c r="DD168" i="9"/>
  <c r="DD164" i="9"/>
  <c r="DD160" i="9"/>
  <c r="DD156" i="9"/>
  <c r="DD152" i="9"/>
  <c r="DD194" i="9"/>
  <c r="DD189" i="9"/>
  <c r="DD177" i="9"/>
  <c r="DD173" i="9"/>
  <c r="DD171" i="9"/>
  <c r="DD167" i="9"/>
  <c r="DD163" i="9"/>
  <c r="DD159" i="9"/>
  <c r="DD155" i="9"/>
  <c r="DD151" i="9"/>
  <c r="DD174" i="9"/>
  <c r="DD181" i="9"/>
  <c r="DD170" i="9"/>
  <c r="DD169" i="9"/>
  <c r="DD161" i="9"/>
  <c r="DD166" i="9"/>
  <c r="DD158" i="9"/>
  <c r="DD165" i="9"/>
  <c r="DD162" i="9"/>
  <c r="DD147" i="9"/>
  <c r="DD154" i="9"/>
  <c r="DD150" i="9"/>
  <c r="DD146" i="9"/>
  <c r="DD157" i="9"/>
  <c r="DD153" i="9"/>
  <c r="DD149" i="9"/>
  <c r="DD148" i="9"/>
  <c r="DD142" i="9"/>
  <c r="DD138" i="9"/>
  <c r="DD134" i="9"/>
  <c r="DD141" i="9"/>
  <c r="DD137" i="9"/>
  <c r="DD133" i="9"/>
  <c r="DD145" i="9"/>
  <c r="DD144" i="9"/>
  <c r="DD140" i="9"/>
  <c r="DD136" i="9"/>
  <c r="DD143" i="9"/>
  <c r="DD139" i="9"/>
  <c r="DD135" i="9"/>
  <c r="DD131" i="9"/>
  <c r="DD128" i="9"/>
  <c r="DD124" i="9"/>
  <c r="DD120" i="9"/>
  <c r="DD127" i="9"/>
  <c r="DD123" i="9"/>
  <c r="DD119" i="9"/>
  <c r="DD132" i="9"/>
  <c r="DD130" i="9"/>
  <c r="DD126" i="9"/>
  <c r="DD122" i="9"/>
  <c r="DD118" i="9"/>
  <c r="DD129" i="9"/>
  <c r="DD125" i="9"/>
  <c r="DD121" i="9"/>
  <c r="DD117" i="9"/>
  <c r="DD113" i="9"/>
  <c r="DD109" i="9"/>
  <c r="DD105" i="9"/>
  <c r="DD101" i="9"/>
  <c r="DD97" i="9"/>
  <c r="DD93" i="9"/>
  <c r="DD116" i="9"/>
  <c r="DD112" i="9"/>
  <c r="DD108" i="9"/>
  <c r="DD104" i="9"/>
  <c r="DD100" i="9"/>
  <c r="DD96" i="9"/>
  <c r="DD92" i="9"/>
  <c r="DD88" i="9"/>
  <c r="DD115" i="9"/>
  <c r="DD111" i="9"/>
  <c r="DD107" i="9"/>
  <c r="DD114" i="9"/>
  <c r="DD110" i="9"/>
  <c r="DD106" i="9"/>
  <c r="DD102" i="9"/>
  <c r="DD98" i="9"/>
  <c r="DD94" i="9"/>
  <c r="DD90" i="9"/>
  <c r="DD103" i="9"/>
  <c r="DD89" i="9"/>
  <c r="DD84" i="9"/>
  <c r="DD80" i="9"/>
  <c r="DD76" i="9"/>
  <c r="DD72" i="9"/>
  <c r="DD68" i="9"/>
  <c r="DD64" i="9"/>
  <c r="DD99" i="9"/>
  <c r="DD87" i="9"/>
  <c r="DD83" i="9"/>
  <c r="DD79" i="9"/>
  <c r="DD75" i="9"/>
  <c r="DD71" i="9"/>
  <c r="DD67" i="9"/>
  <c r="DD63" i="9"/>
  <c r="DD95" i="9"/>
  <c r="DD86" i="9"/>
  <c r="DD82" i="9"/>
  <c r="DD78" i="9"/>
  <c r="DD74" i="9"/>
  <c r="DD70" i="9"/>
  <c r="DD66" i="9"/>
  <c r="DD91" i="9"/>
  <c r="DD85" i="9"/>
  <c r="DD81" i="9"/>
  <c r="DD77" i="9"/>
  <c r="DD73" i="9"/>
  <c r="DD69" i="9"/>
  <c r="DD65" i="9"/>
  <c r="DD62" i="9"/>
  <c r="DD8" i="9"/>
  <c r="DD16" i="9"/>
  <c r="DD14" i="9"/>
  <c r="DD12" i="9"/>
  <c r="DD10" i="9"/>
  <c r="DE6" i="9"/>
  <c r="DD15" i="9"/>
  <c r="DD13" i="9"/>
  <c r="DD11" i="9"/>
  <c r="DD9" i="9"/>
  <c r="DF6" i="9" l="1"/>
  <c r="DE8" i="9"/>
  <c r="DG6" i="9" l="1"/>
  <c r="DF8" i="9"/>
  <c r="DG213" i="9" l="1"/>
  <c r="DG211" i="9"/>
  <c r="DG210" i="9"/>
  <c r="DG212" i="9"/>
  <c r="DG209" i="9"/>
  <c r="DG208" i="9"/>
  <c r="DG207" i="9"/>
  <c r="DG204" i="9"/>
  <c r="DG206" i="9"/>
  <c r="DG203" i="9"/>
  <c r="DG202" i="9"/>
  <c r="DG201" i="9"/>
  <c r="DG198" i="9"/>
  <c r="DG194" i="9"/>
  <c r="DG197" i="9"/>
  <c r="DG196" i="9"/>
  <c r="DG191" i="9"/>
  <c r="DG200" i="9"/>
  <c r="DG195" i="9"/>
  <c r="DG187" i="9"/>
  <c r="DG183" i="9"/>
  <c r="DG205" i="9"/>
  <c r="DG186" i="9"/>
  <c r="DG182" i="9"/>
  <c r="DG193" i="9"/>
  <c r="DG185" i="9"/>
  <c r="DG175" i="9"/>
  <c r="DG199" i="9"/>
  <c r="DG190" i="9"/>
  <c r="DG184" i="9"/>
  <c r="DG178" i="9"/>
  <c r="DG174" i="9"/>
  <c r="DG189" i="9"/>
  <c r="DG179" i="9"/>
  <c r="DG177" i="9"/>
  <c r="DG173" i="9"/>
  <c r="DG171" i="9"/>
  <c r="DG167" i="9"/>
  <c r="DG163" i="9"/>
  <c r="DG159" i="9"/>
  <c r="DG155" i="9"/>
  <c r="DG151" i="9"/>
  <c r="DG192" i="9"/>
  <c r="DG180" i="9"/>
  <c r="DG176" i="9"/>
  <c r="DG170" i="9"/>
  <c r="DG166" i="9"/>
  <c r="DG162" i="9"/>
  <c r="DG158" i="9"/>
  <c r="DG154" i="9"/>
  <c r="DG150" i="9"/>
  <c r="DG188" i="9"/>
  <c r="DG181" i="9"/>
  <c r="DG172" i="9"/>
  <c r="DG168" i="9"/>
  <c r="DG160" i="9"/>
  <c r="DG165" i="9"/>
  <c r="DG157" i="9"/>
  <c r="DG164" i="9"/>
  <c r="DG169" i="9"/>
  <c r="DG161" i="9"/>
  <c r="DG156" i="9"/>
  <c r="DG153" i="9"/>
  <c r="DG149" i="9"/>
  <c r="DG145" i="9"/>
  <c r="DG152" i="9"/>
  <c r="DG148" i="9"/>
  <c r="DG147" i="9"/>
  <c r="DG141" i="9"/>
  <c r="DG137" i="9"/>
  <c r="DG133" i="9"/>
  <c r="DG146" i="9"/>
  <c r="DG144" i="9"/>
  <c r="DG140" i="9"/>
  <c r="DG136" i="9"/>
  <c r="DG132" i="9"/>
  <c r="DG143" i="9"/>
  <c r="DG139" i="9"/>
  <c r="DG135" i="9"/>
  <c r="DG142" i="9"/>
  <c r="DG138" i="9"/>
  <c r="DG134" i="9"/>
  <c r="DG127" i="9"/>
  <c r="DG123" i="9"/>
  <c r="DG119" i="9"/>
  <c r="DG130" i="9"/>
  <c r="DG126" i="9"/>
  <c r="DG122" i="9"/>
  <c r="DG118" i="9"/>
  <c r="DG131" i="9"/>
  <c r="DG129" i="9"/>
  <c r="DG125" i="9"/>
  <c r="DG121" i="9"/>
  <c r="DG117" i="9"/>
  <c r="DG128" i="9"/>
  <c r="DG124" i="9"/>
  <c r="DG120" i="9"/>
  <c r="DG116" i="9"/>
  <c r="DG112" i="9"/>
  <c r="DG108" i="9"/>
  <c r="DG104" i="9"/>
  <c r="DG100" i="9"/>
  <c r="DG96" i="9"/>
  <c r="DG115" i="9"/>
  <c r="DG111" i="9"/>
  <c r="DG107" i="9"/>
  <c r="DG103" i="9"/>
  <c r="DG99" i="9"/>
  <c r="DG95" i="9"/>
  <c r="DG91" i="9"/>
  <c r="DG87" i="9"/>
  <c r="DG114" i="9"/>
  <c r="DG110" i="9"/>
  <c r="DG106" i="9"/>
  <c r="DG113" i="9"/>
  <c r="DG109" i="9"/>
  <c r="DG105" i="9"/>
  <c r="DG101" i="9"/>
  <c r="DG97" i="9"/>
  <c r="DG93" i="9"/>
  <c r="DG89" i="9"/>
  <c r="DG94" i="9"/>
  <c r="DG88" i="9"/>
  <c r="DG83" i="9"/>
  <c r="DG79" i="9"/>
  <c r="DG75" i="9"/>
  <c r="DG71" i="9"/>
  <c r="DG67" i="9"/>
  <c r="DG86" i="9"/>
  <c r="DG82" i="9"/>
  <c r="DG78" i="9"/>
  <c r="DG74" i="9"/>
  <c r="DG70" i="9"/>
  <c r="DG66" i="9"/>
  <c r="DG102" i="9"/>
  <c r="DG92" i="9"/>
  <c r="DG85" i="9"/>
  <c r="DG81" i="9"/>
  <c r="DG77" i="9"/>
  <c r="DG73" i="9"/>
  <c r="DG69" i="9"/>
  <c r="DG65" i="9"/>
  <c r="DG98" i="9"/>
  <c r="DG90" i="9"/>
  <c r="DG84" i="9"/>
  <c r="DG80" i="9"/>
  <c r="DG76" i="9"/>
  <c r="DG72" i="9"/>
  <c r="DG68" i="9"/>
  <c r="DG64" i="9"/>
  <c r="DG63" i="9"/>
  <c r="DG62" i="9"/>
  <c r="DG16" i="9"/>
  <c r="DG14" i="9"/>
  <c r="DG12" i="9"/>
  <c r="DG10" i="9"/>
  <c r="DG8" i="9"/>
  <c r="DH6" i="9"/>
  <c r="DG15" i="9"/>
  <c r="DG13" i="9"/>
  <c r="DG11" i="9"/>
  <c r="DG9" i="9"/>
  <c r="DH213" i="9" l="1"/>
  <c r="DH212" i="9"/>
  <c r="DH210" i="9"/>
  <c r="DH209" i="9"/>
  <c r="DH208" i="9"/>
  <c r="DH207" i="9"/>
  <c r="DH206" i="9"/>
  <c r="DH205" i="9"/>
  <c r="DH211" i="9"/>
  <c r="DH202" i="9"/>
  <c r="DH204" i="9"/>
  <c r="DH201" i="9"/>
  <c r="DH203" i="9"/>
  <c r="DH197" i="9"/>
  <c r="DH196" i="9"/>
  <c r="DH200" i="9"/>
  <c r="DH195" i="9"/>
  <c r="DH190" i="9"/>
  <c r="DH193" i="9"/>
  <c r="DH186" i="9"/>
  <c r="DH182" i="9"/>
  <c r="DH198" i="9"/>
  <c r="DH189" i="9"/>
  <c r="DH185" i="9"/>
  <c r="DH181" i="9"/>
  <c r="DH199" i="9"/>
  <c r="DH184" i="9"/>
  <c r="DH178" i="9"/>
  <c r="DH174" i="9"/>
  <c r="DH191" i="9"/>
  <c r="DH183" i="9"/>
  <c r="DH179" i="9"/>
  <c r="DH177" i="9"/>
  <c r="DH194" i="9"/>
  <c r="DH192" i="9"/>
  <c r="DH180" i="9"/>
  <c r="DH176" i="9"/>
  <c r="DH170" i="9"/>
  <c r="DH166" i="9"/>
  <c r="DH162" i="9"/>
  <c r="DH158" i="9"/>
  <c r="DH154" i="9"/>
  <c r="DH187" i="9"/>
  <c r="DH175" i="9"/>
  <c r="DH169" i="9"/>
  <c r="DH165" i="9"/>
  <c r="DH161" i="9"/>
  <c r="DH157" i="9"/>
  <c r="DH153" i="9"/>
  <c r="DH188" i="9"/>
  <c r="DH172" i="9"/>
  <c r="DH171" i="9"/>
  <c r="DH173" i="9"/>
  <c r="DH167" i="9"/>
  <c r="DH164" i="9"/>
  <c r="DH156" i="9"/>
  <c r="DH163" i="9"/>
  <c r="DH168" i="9"/>
  <c r="DH160" i="9"/>
  <c r="DH155" i="9"/>
  <c r="DH150" i="9"/>
  <c r="DH149" i="9"/>
  <c r="DH159" i="9"/>
  <c r="DH152" i="9"/>
  <c r="DH148" i="9"/>
  <c r="DH151" i="9"/>
  <c r="DH147" i="9"/>
  <c r="DH146" i="9"/>
  <c r="DH144" i="9"/>
  <c r="DH140" i="9"/>
  <c r="DH136" i="9"/>
  <c r="DH145" i="9"/>
  <c r="DH143" i="9"/>
  <c r="DH139" i="9"/>
  <c r="DH135" i="9"/>
  <c r="DH131" i="9"/>
  <c r="DH142" i="9"/>
  <c r="DH138" i="9"/>
  <c r="DH134" i="9"/>
  <c r="DH141" i="9"/>
  <c r="DH137" i="9"/>
  <c r="DH133" i="9"/>
  <c r="DH130" i="9"/>
  <c r="DH126" i="9"/>
  <c r="DH122" i="9"/>
  <c r="DH118" i="9"/>
  <c r="DH132" i="9"/>
  <c r="DH129" i="9"/>
  <c r="DH125" i="9"/>
  <c r="DH121" i="9"/>
  <c r="DH117" i="9"/>
  <c r="DH128" i="9"/>
  <c r="DH124" i="9"/>
  <c r="DH120" i="9"/>
  <c r="DH127" i="9"/>
  <c r="DH123" i="9"/>
  <c r="DH119" i="9"/>
  <c r="DH116" i="9"/>
  <c r="DH115" i="9"/>
  <c r="DH111" i="9"/>
  <c r="DH107" i="9"/>
  <c r="DH103" i="9"/>
  <c r="DH99" i="9"/>
  <c r="DH95" i="9"/>
  <c r="DH114" i="9"/>
  <c r="DH110" i="9"/>
  <c r="DH106" i="9"/>
  <c r="DH102" i="9"/>
  <c r="DH98" i="9"/>
  <c r="DH94" i="9"/>
  <c r="DH90" i="9"/>
  <c r="DH113" i="9"/>
  <c r="DH109" i="9"/>
  <c r="DH112" i="9"/>
  <c r="DH108" i="9"/>
  <c r="DH104" i="9"/>
  <c r="DH100" i="9"/>
  <c r="DH96" i="9"/>
  <c r="DH92" i="9"/>
  <c r="DH88" i="9"/>
  <c r="DH101" i="9"/>
  <c r="DH87" i="9"/>
  <c r="DH86" i="9"/>
  <c r="DH82" i="9"/>
  <c r="DH78" i="9"/>
  <c r="DH74" i="9"/>
  <c r="DH70" i="9"/>
  <c r="DH66" i="9"/>
  <c r="DH97" i="9"/>
  <c r="DH85" i="9"/>
  <c r="DH81" i="9"/>
  <c r="DH77" i="9"/>
  <c r="DH73" i="9"/>
  <c r="DH69" i="9"/>
  <c r="DH65" i="9"/>
  <c r="DH93" i="9"/>
  <c r="DH91" i="9"/>
  <c r="DH84" i="9"/>
  <c r="DH80" i="9"/>
  <c r="DH76" i="9"/>
  <c r="DH72" i="9"/>
  <c r="DH68" i="9"/>
  <c r="DH64" i="9"/>
  <c r="DH105" i="9"/>
  <c r="DH89" i="9"/>
  <c r="DH83" i="9"/>
  <c r="DH79" i="9"/>
  <c r="DH75" i="9"/>
  <c r="DH71" i="9"/>
  <c r="DH67" i="9"/>
  <c r="DH63" i="9"/>
  <c r="DH62" i="9"/>
  <c r="DH8" i="9"/>
  <c r="DH15" i="9"/>
  <c r="DH13" i="9"/>
  <c r="DH11" i="9"/>
  <c r="DH9" i="9"/>
  <c r="DI6" i="9"/>
  <c r="DH16" i="9"/>
  <c r="DH14" i="9"/>
  <c r="DH12" i="9"/>
  <c r="DH10" i="9"/>
  <c r="DI213" i="9" l="1"/>
  <c r="DI212" i="9"/>
  <c r="DI211" i="9"/>
  <c r="DI210" i="9"/>
  <c r="DI208" i="9"/>
  <c r="DI207" i="9"/>
  <c r="DI205" i="9"/>
  <c r="DI209" i="9"/>
  <c r="DI204" i="9"/>
  <c r="DI201" i="9"/>
  <c r="DI206" i="9"/>
  <c r="DI200" i="9"/>
  <c r="DI203" i="9"/>
  <c r="DI196" i="9"/>
  <c r="DI202" i="9"/>
  <c r="DI199" i="9"/>
  <c r="DI195" i="9"/>
  <c r="DI193" i="9"/>
  <c r="DI194" i="9"/>
  <c r="DI192" i="9"/>
  <c r="DI198" i="9"/>
  <c r="DI189" i="9"/>
  <c r="DI185" i="9"/>
  <c r="DI181" i="9"/>
  <c r="DI188" i="9"/>
  <c r="DI184" i="9"/>
  <c r="DI180" i="9"/>
  <c r="DI191" i="9"/>
  <c r="DI190" i="9"/>
  <c r="DI183" i="9"/>
  <c r="DI179" i="9"/>
  <c r="DI177" i="9"/>
  <c r="DI173" i="9"/>
  <c r="DI182" i="9"/>
  <c r="DI176" i="9"/>
  <c r="DI187" i="9"/>
  <c r="DI175" i="9"/>
  <c r="DI169" i="9"/>
  <c r="DI165" i="9"/>
  <c r="DI161" i="9"/>
  <c r="DI157" i="9"/>
  <c r="DI153" i="9"/>
  <c r="DI197" i="9"/>
  <c r="DI174" i="9"/>
  <c r="DI172" i="9"/>
  <c r="DI168" i="9"/>
  <c r="DI164" i="9"/>
  <c r="DI160" i="9"/>
  <c r="DI156" i="9"/>
  <c r="DI152" i="9"/>
  <c r="DI171" i="9"/>
  <c r="DI170" i="9"/>
  <c r="DI186" i="9"/>
  <c r="DI178" i="9"/>
  <c r="DI166" i="9"/>
  <c r="DI163" i="9"/>
  <c r="DI162" i="9"/>
  <c r="DI167" i="9"/>
  <c r="DI159" i="9"/>
  <c r="DI154" i="9"/>
  <c r="DI148" i="9"/>
  <c r="DI151" i="9"/>
  <c r="DI147" i="9"/>
  <c r="DI158" i="9"/>
  <c r="DI155" i="9"/>
  <c r="DI150" i="9"/>
  <c r="DI149" i="9"/>
  <c r="DI145" i="9"/>
  <c r="DI146" i="9"/>
  <c r="DI143" i="9"/>
  <c r="DI139" i="9"/>
  <c r="DI135" i="9"/>
  <c r="DI142" i="9"/>
  <c r="DI138" i="9"/>
  <c r="DI134" i="9"/>
  <c r="DI141" i="9"/>
  <c r="DI137" i="9"/>
  <c r="DI133" i="9"/>
  <c r="DI144" i="9"/>
  <c r="DI140" i="9"/>
  <c r="DI136" i="9"/>
  <c r="DI132" i="9"/>
  <c r="DI129" i="9"/>
  <c r="DI125" i="9"/>
  <c r="DI121" i="9"/>
  <c r="DI117" i="9"/>
  <c r="DI131" i="9"/>
  <c r="DI128" i="9"/>
  <c r="DI124" i="9"/>
  <c r="DI120" i="9"/>
  <c r="DI116" i="9"/>
  <c r="DI127" i="9"/>
  <c r="DI123" i="9"/>
  <c r="DI119" i="9"/>
  <c r="DI130" i="9"/>
  <c r="DI126" i="9"/>
  <c r="DI122" i="9"/>
  <c r="DI118" i="9"/>
  <c r="DI114" i="9"/>
  <c r="DI110" i="9"/>
  <c r="DI106" i="9"/>
  <c r="DI102" i="9"/>
  <c r="DI98" i="9"/>
  <c r="DI94" i="9"/>
  <c r="DI113" i="9"/>
  <c r="DI109" i="9"/>
  <c r="DI105" i="9"/>
  <c r="DI101" i="9"/>
  <c r="DI97" i="9"/>
  <c r="DI93" i="9"/>
  <c r="DI89" i="9"/>
  <c r="DI112" i="9"/>
  <c r="DI108" i="9"/>
  <c r="DI115" i="9"/>
  <c r="DI111" i="9"/>
  <c r="DI107" i="9"/>
  <c r="DI103" i="9"/>
  <c r="DI99" i="9"/>
  <c r="DI95" i="9"/>
  <c r="DI91" i="9"/>
  <c r="DI87" i="9"/>
  <c r="DI85" i="9"/>
  <c r="DI81" i="9"/>
  <c r="DI77" i="9"/>
  <c r="DI73" i="9"/>
  <c r="DI69" i="9"/>
  <c r="DI65" i="9"/>
  <c r="DI104" i="9"/>
  <c r="DI92" i="9"/>
  <c r="DI84" i="9"/>
  <c r="DI80" i="9"/>
  <c r="DI76" i="9"/>
  <c r="DI72" i="9"/>
  <c r="DI68" i="9"/>
  <c r="DI64" i="9"/>
  <c r="DI100" i="9"/>
  <c r="DI90" i="9"/>
  <c r="DI83" i="9"/>
  <c r="DI79" i="9"/>
  <c r="DI75" i="9"/>
  <c r="DI71" i="9"/>
  <c r="DI67" i="9"/>
  <c r="DI96" i="9"/>
  <c r="DI88" i="9"/>
  <c r="DI86" i="9"/>
  <c r="DI82" i="9"/>
  <c r="DI78" i="9"/>
  <c r="DI74" i="9"/>
  <c r="DI70" i="9"/>
  <c r="DI66" i="9"/>
  <c r="DI62" i="9"/>
  <c r="DI63" i="9"/>
  <c r="DI15" i="9"/>
  <c r="DI13" i="9"/>
  <c r="DI11" i="9"/>
  <c r="DI9" i="9"/>
  <c r="DJ6" i="9"/>
  <c r="DI16" i="9"/>
  <c r="DI14" i="9"/>
  <c r="DI12" i="9"/>
  <c r="DI10" i="9"/>
  <c r="DI8" i="9"/>
  <c r="DJ212" i="9" l="1"/>
  <c r="DJ211" i="9"/>
  <c r="DJ213" i="9"/>
  <c r="DJ210" i="9"/>
  <c r="DJ206" i="9"/>
  <c r="DJ209" i="9"/>
  <c r="DJ205" i="9"/>
  <c r="DJ208" i="9"/>
  <c r="DJ204" i="9"/>
  <c r="DJ203" i="9"/>
  <c r="DJ202" i="9"/>
  <c r="DJ199" i="9"/>
  <c r="DJ195" i="9"/>
  <c r="DJ200" i="9"/>
  <c r="DJ198" i="9"/>
  <c r="DJ194" i="9"/>
  <c r="DJ192" i="9"/>
  <c r="DJ191" i="9"/>
  <c r="DJ207" i="9"/>
  <c r="DJ188" i="9"/>
  <c r="DJ184" i="9"/>
  <c r="DJ180" i="9"/>
  <c r="DJ196" i="9"/>
  <c r="DJ193" i="9"/>
  <c r="DJ190" i="9"/>
  <c r="DJ187" i="9"/>
  <c r="DJ183" i="9"/>
  <c r="DJ179" i="9"/>
  <c r="DJ182" i="9"/>
  <c r="DJ176" i="9"/>
  <c r="DJ172" i="9"/>
  <c r="DJ201" i="9"/>
  <c r="DJ189" i="9"/>
  <c r="DJ181" i="9"/>
  <c r="DJ175" i="9"/>
  <c r="DJ197" i="9"/>
  <c r="DJ174" i="9"/>
  <c r="DJ168" i="9"/>
  <c r="DJ164" i="9"/>
  <c r="DJ160" i="9"/>
  <c r="DJ156" i="9"/>
  <c r="DJ152" i="9"/>
  <c r="DJ185" i="9"/>
  <c r="DJ171" i="9"/>
  <c r="DJ167" i="9"/>
  <c r="DJ163" i="9"/>
  <c r="DJ159" i="9"/>
  <c r="DJ155" i="9"/>
  <c r="DJ151" i="9"/>
  <c r="DJ177" i="9"/>
  <c r="DJ186" i="9"/>
  <c r="DJ178" i="9"/>
  <c r="DJ173" i="9"/>
  <c r="DJ165" i="9"/>
  <c r="DJ162" i="9"/>
  <c r="DJ169" i="9"/>
  <c r="DJ161" i="9"/>
  <c r="DJ170" i="9"/>
  <c r="DJ166" i="9"/>
  <c r="DJ158" i="9"/>
  <c r="DJ153" i="9"/>
  <c r="DJ147" i="9"/>
  <c r="DJ157" i="9"/>
  <c r="DJ146" i="9"/>
  <c r="DJ150" i="9"/>
  <c r="DJ149" i="9"/>
  <c r="DJ154" i="9"/>
  <c r="DJ148" i="9"/>
  <c r="DJ145" i="9"/>
  <c r="DJ142" i="9"/>
  <c r="DJ138" i="9"/>
  <c r="DJ134" i="9"/>
  <c r="DJ141" i="9"/>
  <c r="DJ137" i="9"/>
  <c r="DJ133" i="9"/>
  <c r="DJ144" i="9"/>
  <c r="DJ140" i="9"/>
  <c r="DJ136" i="9"/>
  <c r="DJ143" i="9"/>
  <c r="DJ139" i="9"/>
  <c r="DJ135" i="9"/>
  <c r="DJ131" i="9"/>
  <c r="DJ132" i="9"/>
  <c r="DJ128" i="9"/>
  <c r="DJ124" i="9"/>
  <c r="DJ120" i="9"/>
  <c r="DJ127" i="9"/>
  <c r="DJ123" i="9"/>
  <c r="DJ119" i="9"/>
  <c r="DJ130" i="9"/>
  <c r="DJ126" i="9"/>
  <c r="DJ122" i="9"/>
  <c r="DJ118" i="9"/>
  <c r="DJ129" i="9"/>
  <c r="DJ125" i="9"/>
  <c r="DJ121" i="9"/>
  <c r="DJ117" i="9"/>
  <c r="DJ113" i="9"/>
  <c r="DJ109" i="9"/>
  <c r="DJ105" i="9"/>
  <c r="DJ101" i="9"/>
  <c r="DJ97" i="9"/>
  <c r="DJ93" i="9"/>
  <c r="DJ112" i="9"/>
  <c r="DJ108" i="9"/>
  <c r="DJ104" i="9"/>
  <c r="DJ100" i="9"/>
  <c r="DJ96" i="9"/>
  <c r="DJ92" i="9"/>
  <c r="DJ88" i="9"/>
  <c r="DJ115" i="9"/>
  <c r="DJ111" i="9"/>
  <c r="DJ107" i="9"/>
  <c r="DJ116" i="9"/>
  <c r="DJ114" i="9"/>
  <c r="DJ110" i="9"/>
  <c r="DJ106" i="9"/>
  <c r="DJ102" i="9"/>
  <c r="DJ98" i="9"/>
  <c r="DJ94" i="9"/>
  <c r="DJ90" i="9"/>
  <c r="DJ99" i="9"/>
  <c r="DJ84" i="9"/>
  <c r="DJ80" i="9"/>
  <c r="DJ76" i="9"/>
  <c r="DJ72" i="9"/>
  <c r="DJ68" i="9"/>
  <c r="DJ64" i="9"/>
  <c r="DJ95" i="9"/>
  <c r="DJ91" i="9"/>
  <c r="DJ83" i="9"/>
  <c r="DJ79" i="9"/>
  <c r="DJ75" i="9"/>
  <c r="DJ71" i="9"/>
  <c r="DJ67" i="9"/>
  <c r="DJ63" i="9"/>
  <c r="DJ89" i="9"/>
  <c r="DJ86" i="9"/>
  <c r="DJ82" i="9"/>
  <c r="DJ78" i="9"/>
  <c r="DJ74" i="9"/>
  <c r="DJ70" i="9"/>
  <c r="DJ66" i="9"/>
  <c r="DJ103" i="9"/>
  <c r="DJ87" i="9"/>
  <c r="DJ85" i="9"/>
  <c r="DJ81" i="9"/>
  <c r="DJ77" i="9"/>
  <c r="DJ73" i="9"/>
  <c r="DJ69" i="9"/>
  <c r="DJ65" i="9"/>
  <c r="DJ62" i="9"/>
  <c r="DK6" i="9"/>
  <c r="DJ16" i="9"/>
  <c r="DJ14" i="9"/>
  <c r="DJ12" i="9"/>
  <c r="DJ10" i="9"/>
  <c r="DJ8" i="9"/>
  <c r="DJ15" i="9"/>
  <c r="DJ13" i="9"/>
  <c r="DJ11" i="9"/>
  <c r="DJ9" i="9"/>
  <c r="DK213" i="9" l="1"/>
  <c r="DK212" i="9"/>
  <c r="DK211" i="9"/>
  <c r="DK210" i="9"/>
  <c r="DK209" i="9"/>
  <c r="DK208" i="9"/>
  <c r="DK204" i="9"/>
  <c r="DK203" i="9"/>
  <c r="DK207" i="9"/>
  <c r="DK206" i="9"/>
  <c r="DK202" i="9"/>
  <c r="DK205" i="9"/>
  <c r="DK201" i="9"/>
  <c r="DK200" i="9"/>
  <c r="DK198" i="9"/>
  <c r="DK194" i="9"/>
  <c r="DK197" i="9"/>
  <c r="DK191" i="9"/>
  <c r="DK199" i="9"/>
  <c r="DK196" i="9"/>
  <c r="DK193" i="9"/>
  <c r="DK190" i="9"/>
  <c r="DK187" i="9"/>
  <c r="DK183" i="9"/>
  <c r="DK192" i="9"/>
  <c r="DK186" i="9"/>
  <c r="DK182" i="9"/>
  <c r="DK189" i="9"/>
  <c r="DK181" i="9"/>
  <c r="DK175" i="9"/>
  <c r="DK195" i="9"/>
  <c r="DK188" i="9"/>
  <c r="DK180" i="9"/>
  <c r="DK178" i="9"/>
  <c r="DK174" i="9"/>
  <c r="DK185" i="9"/>
  <c r="DK172" i="9"/>
  <c r="DK171" i="9"/>
  <c r="DK167" i="9"/>
  <c r="DK163" i="9"/>
  <c r="DK159" i="9"/>
  <c r="DK155" i="9"/>
  <c r="DK151" i="9"/>
  <c r="DK173" i="9"/>
  <c r="DK170" i="9"/>
  <c r="DK166" i="9"/>
  <c r="DK162" i="9"/>
  <c r="DK158" i="9"/>
  <c r="DK154" i="9"/>
  <c r="DK150" i="9"/>
  <c r="DK184" i="9"/>
  <c r="DK177" i="9"/>
  <c r="DK179" i="9"/>
  <c r="DK176" i="9"/>
  <c r="DK164" i="9"/>
  <c r="DK169" i="9"/>
  <c r="DK161" i="9"/>
  <c r="DK168" i="9"/>
  <c r="DK160" i="9"/>
  <c r="DK165" i="9"/>
  <c r="DK157" i="9"/>
  <c r="DK152" i="9"/>
  <c r="DK149" i="9"/>
  <c r="DK145" i="9"/>
  <c r="DK148" i="9"/>
  <c r="DK156" i="9"/>
  <c r="DK153" i="9"/>
  <c r="DK147" i="9"/>
  <c r="DK141" i="9"/>
  <c r="DK137" i="9"/>
  <c r="DK133" i="9"/>
  <c r="DK144" i="9"/>
  <c r="DK140" i="9"/>
  <c r="DK136" i="9"/>
  <c r="DK132" i="9"/>
  <c r="DK143" i="9"/>
  <c r="DK139" i="9"/>
  <c r="DK135" i="9"/>
  <c r="DK146" i="9"/>
  <c r="DK142" i="9"/>
  <c r="DK138" i="9"/>
  <c r="DK134" i="9"/>
  <c r="DK131" i="9"/>
  <c r="DK127" i="9"/>
  <c r="DK123" i="9"/>
  <c r="DK119" i="9"/>
  <c r="DK130" i="9"/>
  <c r="DK126" i="9"/>
  <c r="DK122" i="9"/>
  <c r="DK118" i="9"/>
  <c r="DK129" i="9"/>
  <c r="DK125" i="9"/>
  <c r="DK121" i="9"/>
  <c r="DK117" i="9"/>
  <c r="DK128" i="9"/>
  <c r="DK124" i="9"/>
  <c r="DK120" i="9"/>
  <c r="DK116" i="9"/>
  <c r="DK112" i="9"/>
  <c r="DK108" i="9"/>
  <c r="DK104" i="9"/>
  <c r="DK100" i="9"/>
  <c r="DK96" i="9"/>
  <c r="DK115" i="9"/>
  <c r="DK111" i="9"/>
  <c r="DK107" i="9"/>
  <c r="DK103" i="9"/>
  <c r="DK99" i="9"/>
  <c r="DK95" i="9"/>
  <c r="DK91" i="9"/>
  <c r="DK87" i="9"/>
  <c r="DK114" i="9"/>
  <c r="DK110" i="9"/>
  <c r="DK106" i="9"/>
  <c r="DK113" i="9"/>
  <c r="DK109" i="9"/>
  <c r="DK105" i="9"/>
  <c r="DK101" i="9"/>
  <c r="DK97" i="9"/>
  <c r="DK93" i="9"/>
  <c r="DK89" i="9"/>
  <c r="DK92" i="9"/>
  <c r="DK83" i="9"/>
  <c r="DK79" i="9"/>
  <c r="DK75" i="9"/>
  <c r="DK71" i="9"/>
  <c r="DK67" i="9"/>
  <c r="DK102" i="9"/>
  <c r="DK90" i="9"/>
  <c r="DK86" i="9"/>
  <c r="DK82" i="9"/>
  <c r="DK78" i="9"/>
  <c r="DK74" i="9"/>
  <c r="DK70" i="9"/>
  <c r="DK66" i="9"/>
  <c r="DK98" i="9"/>
  <c r="DK88" i="9"/>
  <c r="DK85" i="9"/>
  <c r="DK81" i="9"/>
  <c r="DK77" i="9"/>
  <c r="DK73" i="9"/>
  <c r="DK69" i="9"/>
  <c r="DK65" i="9"/>
  <c r="DK94" i="9"/>
  <c r="DK84" i="9"/>
  <c r="DK80" i="9"/>
  <c r="DK76" i="9"/>
  <c r="DK72" i="9"/>
  <c r="DK68" i="9"/>
  <c r="DK64" i="9"/>
  <c r="DK63" i="9"/>
  <c r="DK62" i="9"/>
  <c r="DK16" i="9"/>
  <c r="DK14" i="9"/>
  <c r="DK12" i="9"/>
  <c r="DK10" i="9"/>
  <c r="DK8" i="9"/>
  <c r="DK15" i="9"/>
  <c r="DK13" i="9"/>
  <c r="DK11" i="9"/>
  <c r="DK9" i="9"/>
  <c r="DL6" i="9"/>
  <c r="DL8" i="9" l="1"/>
  <c r="DM6" i="9"/>
  <c r="DN6" i="9" l="1"/>
  <c r="DM8" i="9"/>
  <c r="DN213" i="9" l="1"/>
  <c r="DN212" i="9"/>
  <c r="DN209" i="9"/>
  <c r="DN211" i="9"/>
  <c r="DN210" i="9"/>
  <c r="DN208" i="9"/>
  <c r="DN207" i="9"/>
  <c r="DN206" i="9"/>
  <c r="DN205" i="9"/>
  <c r="DN204" i="9"/>
  <c r="DN203" i="9"/>
  <c r="DN202" i="9"/>
  <c r="DN201" i="9"/>
  <c r="DN197" i="9"/>
  <c r="DN196" i="9"/>
  <c r="DN199" i="9"/>
  <c r="DN190" i="9"/>
  <c r="DN198" i="9"/>
  <c r="DN193" i="9"/>
  <c r="DN192" i="9"/>
  <c r="DN186" i="9"/>
  <c r="DN182" i="9"/>
  <c r="DN194" i="9"/>
  <c r="DN191" i="9"/>
  <c r="DN189" i="9"/>
  <c r="DN185" i="9"/>
  <c r="DN181" i="9"/>
  <c r="DN195" i="9"/>
  <c r="DN188" i="9"/>
  <c r="DN180" i="9"/>
  <c r="DN178" i="9"/>
  <c r="DN174" i="9"/>
  <c r="DN187" i="9"/>
  <c r="DN177" i="9"/>
  <c r="DN173" i="9"/>
  <c r="DN170" i="9"/>
  <c r="DN166" i="9"/>
  <c r="DN162" i="9"/>
  <c r="DN158" i="9"/>
  <c r="DN154" i="9"/>
  <c r="DN200" i="9"/>
  <c r="DN183" i="9"/>
  <c r="DN169" i="9"/>
  <c r="DN165" i="9"/>
  <c r="DN161" i="9"/>
  <c r="DN157" i="9"/>
  <c r="DN153" i="9"/>
  <c r="DN184" i="9"/>
  <c r="DN179" i="9"/>
  <c r="DN175" i="9"/>
  <c r="DN176" i="9"/>
  <c r="DN172" i="9"/>
  <c r="DN171" i="9"/>
  <c r="DN163" i="9"/>
  <c r="DN168" i="9"/>
  <c r="DN160" i="9"/>
  <c r="DN167" i="9"/>
  <c r="DN164" i="9"/>
  <c r="DN156" i="9"/>
  <c r="DN159" i="9"/>
  <c r="DN151" i="9"/>
  <c r="DN149" i="9"/>
  <c r="DN150" i="9"/>
  <c r="DN148" i="9"/>
  <c r="DN155" i="9"/>
  <c r="DN147" i="9"/>
  <c r="DN152" i="9"/>
  <c r="DN146" i="9"/>
  <c r="DN144" i="9"/>
  <c r="DN140" i="9"/>
  <c r="DN136" i="9"/>
  <c r="DN143" i="9"/>
  <c r="DN139" i="9"/>
  <c r="DN135" i="9"/>
  <c r="DN131" i="9"/>
  <c r="DN142" i="9"/>
  <c r="DN138" i="9"/>
  <c r="DN134" i="9"/>
  <c r="DN145" i="9"/>
  <c r="DN141" i="9"/>
  <c r="DN137" i="9"/>
  <c r="DN133" i="9"/>
  <c r="DN130" i="9"/>
  <c r="DN126" i="9"/>
  <c r="DN122" i="9"/>
  <c r="DN118" i="9"/>
  <c r="DN129" i="9"/>
  <c r="DN125" i="9"/>
  <c r="DN121" i="9"/>
  <c r="DN117" i="9"/>
  <c r="DN128" i="9"/>
  <c r="DN124" i="9"/>
  <c r="DN120" i="9"/>
  <c r="DN132" i="9"/>
  <c r="DN127" i="9"/>
  <c r="DN123" i="9"/>
  <c r="DN119" i="9"/>
  <c r="DN115" i="9"/>
  <c r="DN111" i="9"/>
  <c r="DN107" i="9"/>
  <c r="DN103" i="9"/>
  <c r="DN99" i="9"/>
  <c r="DN95" i="9"/>
  <c r="DN114" i="9"/>
  <c r="DN110" i="9"/>
  <c r="DN106" i="9"/>
  <c r="DN102" i="9"/>
  <c r="DN98" i="9"/>
  <c r="DN94" i="9"/>
  <c r="DN90" i="9"/>
  <c r="DN116" i="9"/>
  <c r="DN113" i="9"/>
  <c r="DN109" i="9"/>
  <c r="DN112" i="9"/>
  <c r="DN108" i="9"/>
  <c r="DN104" i="9"/>
  <c r="DN100" i="9"/>
  <c r="DN96" i="9"/>
  <c r="DN92" i="9"/>
  <c r="DN88" i="9"/>
  <c r="DN97" i="9"/>
  <c r="DN91" i="9"/>
  <c r="DN86" i="9"/>
  <c r="DN82" i="9"/>
  <c r="DN78" i="9"/>
  <c r="DN74" i="9"/>
  <c r="DN70" i="9"/>
  <c r="DN66" i="9"/>
  <c r="DN93" i="9"/>
  <c r="DN89" i="9"/>
  <c r="DN85" i="9"/>
  <c r="DN81" i="9"/>
  <c r="DN77" i="9"/>
  <c r="DN73" i="9"/>
  <c r="DN69" i="9"/>
  <c r="DN65" i="9"/>
  <c r="DN105" i="9"/>
  <c r="DN87" i="9"/>
  <c r="DN84" i="9"/>
  <c r="DN80" i="9"/>
  <c r="DN76" i="9"/>
  <c r="DN72" i="9"/>
  <c r="DN68" i="9"/>
  <c r="DN64" i="9"/>
  <c r="DN101" i="9"/>
  <c r="DN83" i="9"/>
  <c r="DN79" i="9"/>
  <c r="DN75" i="9"/>
  <c r="DN71" i="9"/>
  <c r="DN67" i="9"/>
  <c r="DN63" i="9"/>
  <c r="DN62" i="9"/>
  <c r="DO6" i="9"/>
  <c r="DN15" i="9"/>
  <c r="DN13" i="9"/>
  <c r="DN11" i="9"/>
  <c r="DN9" i="9"/>
  <c r="DN8" i="9"/>
  <c r="DN16" i="9"/>
  <c r="DN14" i="9"/>
  <c r="DN12" i="9"/>
  <c r="DN10" i="9"/>
  <c r="DO213" i="9" l="1"/>
  <c r="DO212" i="9"/>
  <c r="DO211" i="9"/>
  <c r="DO210" i="9"/>
  <c r="DO208" i="9"/>
  <c r="DO209" i="9"/>
  <c r="DO207" i="9"/>
  <c r="DO206" i="9"/>
  <c r="DO205" i="9"/>
  <c r="DO204" i="9"/>
  <c r="DO201" i="9"/>
  <c r="DO200" i="9"/>
  <c r="DO202" i="9"/>
  <c r="DO196" i="9"/>
  <c r="DO199" i="9"/>
  <c r="DO195" i="9"/>
  <c r="DO198" i="9"/>
  <c r="DO193" i="9"/>
  <c r="DO203" i="9"/>
  <c r="DO197" i="9"/>
  <c r="DO192" i="9"/>
  <c r="DO194" i="9"/>
  <c r="DO191" i="9"/>
  <c r="DO189" i="9"/>
  <c r="DO185" i="9"/>
  <c r="DO181" i="9"/>
  <c r="DO188" i="9"/>
  <c r="DO184" i="9"/>
  <c r="DO180" i="9"/>
  <c r="DO187" i="9"/>
  <c r="DO177" i="9"/>
  <c r="DO173" i="9"/>
  <c r="DO186" i="9"/>
  <c r="DO179" i="9"/>
  <c r="DO176" i="9"/>
  <c r="DO183" i="9"/>
  <c r="DO169" i="9"/>
  <c r="DO165" i="9"/>
  <c r="DO161" i="9"/>
  <c r="DO157" i="9"/>
  <c r="DO153" i="9"/>
  <c r="DO178" i="9"/>
  <c r="DO168" i="9"/>
  <c r="DO164" i="9"/>
  <c r="DO160" i="9"/>
  <c r="DO156" i="9"/>
  <c r="DO152" i="9"/>
  <c r="DO175" i="9"/>
  <c r="DO190" i="9"/>
  <c r="DO182" i="9"/>
  <c r="DO172" i="9"/>
  <c r="DO171" i="9"/>
  <c r="DO174" i="9"/>
  <c r="DO170" i="9"/>
  <c r="DO162" i="9"/>
  <c r="DO167" i="9"/>
  <c r="DO159" i="9"/>
  <c r="DO166" i="9"/>
  <c r="DO163" i="9"/>
  <c r="DO150" i="9"/>
  <c r="DO148" i="9"/>
  <c r="DO155" i="9"/>
  <c r="DO147" i="9"/>
  <c r="DO158" i="9"/>
  <c r="DO154" i="9"/>
  <c r="DO151" i="9"/>
  <c r="DO149" i="9"/>
  <c r="DO145" i="9"/>
  <c r="DO143" i="9"/>
  <c r="DO139" i="9"/>
  <c r="DO135" i="9"/>
  <c r="DO142" i="9"/>
  <c r="DO138" i="9"/>
  <c r="DO134" i="9"/>
  <c r="DO146" i="9"/>
  <c r="DO141" i="9"/>
  <c r="DO137" i="9"/>
  <c r="DO133" i="9"/>
  <c r="DO144" i="9"/>
  <c r="DO140" i="9"/>
  <c r="DO136" i="9"/>
  <c r="DO132" i="9"/>
  <c r="DO129" i="9"/>
  <c r="DO125" i="9"/>
  <c r="DO121" i="9"/>
  <c r="DO117" i="9"/>
  <c r="DO128" i="9"/>
  <c r="DO124" i="9"/>
  <c r="DO120" i="9"/>
  <c r="DO116" i="9"/>
  <c r="DO127" i="9"/>
  <c r="DO123" i="9"/>
  <c r="DO119" i="9"/>
  <c r="DO131" i="9"/>
  <c r="DO130" i="9"/>
  <c r="DO126" i="9"/>
  <c r="DO122" i="9"/>
  <c r="DO118" i="9"/>
  <c r="DO114" i="9"/>
  <c r="DO110" i="9"/>
  <c r="DO106" i="9"/>
  <c r="DO102" i="9"/>
  <c r="DO98" i="9"/>
  <c r="DO94" i="9"/>
  <c r="DO113" i="9"/>
  <c r="DO109" i="9"/>
  <c r="DO105" i="9"/>
  <c r="DO101" i="9"/>
  <c r="DO97" i="9"/>
  <c r="DO93" i="9"/>
  <c r="DO89" i="9"/>
  <c r="DO112" i="9"/>
  <c r="DO108" i="9"/>
  <c r="DO115" i="9"/>
  <c r="DO111" i="9"/>
  <c r="DO107" i="9"/>
  <c r="DO103" i="9"/>
  <c r="DO99" i="9"/>
  <c r="DO95" i="9"/>
  <c r="DO91" i="9"/>
  <c r="DO87" i="9"/>
  <c r="DO104" i="9"/>
  <c r="DO90" i="9"/>
  <c r="DO85" i="9"/>
  <c r="DO81" i="9"/>
  <c r="DO77" i="9"/>
  <c r="DO73" i="9"/>
  <c r="DO69" i="9"/>
  <c r="DO65" i="9"/>
  <c r="DO100" i="9"/>
  <c r="DO88" i="9"/>
  <c r="DO84" i="9"/>
  <c r="DO80" i="9"/>
  <c r="DO76" i="9"/>
  <c r="DO72" i="9"/>
  <c r="DO68" i="9"/>
  <c r="DO64" i="9"/>
  <c r="DO96" i="9"/>
  <c r="DO83" i="9"/>
  <c r="DO79" i="9"/>
  <c r="DO75" i="9"/>
  <c r="DO71" i="9"/>
  <c r="DO67" i="9"/>
  <c r="DO92" i="9"/>
  <c r="DO86" i="9"/>
  <c r="DO82" i="9"/>
  <c r="DO78" i="9"/>
  <c r="DO74" i="9"/>
  <c r="DO70" i="9"/>
  <c r="DO66" i="9"/>
  <c r="DO63" i="9"/>
  <c r="DO62" i="9"/>
  <c r="DO15" i="9"/>
  <c r="DO13" i="9"/>
  <c r="DO11" i="9"/>
  <c r="DO9" i="9"/>
  <c r="DO8" i="9"/>
  <c r="DO16" i="9"/>
  <c r="DO14" i="9"/>
  <c r="DO12" i="9"/>
  <c r="DO10" i="9"/>
  <c r="DP6" i="9"/>
  <c r="DP211" i="9" l="1"/>
  <c r="DP213" i="9"/>
  <c r="DP210" i="9"/>
  <c r="DP212" i="9"/>
  <c r="DP209" i="9"/>
  <c r="DP206" i="9"/>
  <c r="DP208" i="9"/>
  <c r="DP205" i="9"/>
  <c r="DP207" i="9"/>
  <c r="DP204" i="9"/>
  <c r="DP199" i="9"/>
  <c r="DP203" i="9"/>
  <c r="DP202" i="9"/>
  <c r="DP195" i="9"/>
  <c r="DP198" i="9"/>
  <c r="DP197" i="9"/>
  <c r="DP192" i="9"/>
  <c r="DP196" i="9"/>
  <c r="DP194" i="9"/>
  <c r="DP191" i="9"/>
  <c r="DP188" i="9"/>
  <c r="DP184" i="9"/>
  <c r="DP180" i="9"/>
  <c r="DP187" i="9"/>
  <c r="DP183" i="9"/>
  <c r="DP179" i="9"/>
  <c r="DP201" i="9"/>
  <c r="DP186" i="9"/>
  <c r="DP176" i="9"/>
  <c r="DP172" i="9"/>
  <c r="DP185" i="9"/>
  <c r="DP175" i="9"/>
  <c r="DP200" i="9"/>
  <c r="DP178" i="9"/>
  <c r="DP168" i="9"/>
  <c r="DP164" i="9"/>
  <c r="DP160" i="9"/>
  <c r="DP156" i="9"/>
  <c r="DP152" i="9"/>
  <c r="DP193" i="9"/>
  <c r="DP181" i="9"/>
  <c r="DP177" i="9"/>
  <c r="DP171" i="9"/>
  <c r="DP167" i="9"/>
  <c r="DP163" i="9"/>
  <c r="DP159" i="9"/>
  <c r="DP155" i="9"/>
  <c r="DP151" i="9"/>
  <c r="DP189" i="9"/>
  <c r="DP190" i="9"/>
  <c r="DP182" i="9"/>
  <c r="DP173" i="9"/>
  <c r="DP174" i="9"/>
  <c r="DP169" i="9"/>
  <c r="DP161" i="9"/>
  <c r="DP166" i="9"/>
  <c r="DP158" i="9"/>
  <c r="DP170" i="9"/>
  <c r="DP165" i="9"/>
  <c r="DP162" i="9"/>
  <c r="DP157" i="9"/>
  <c r="DP147" i="9"/>
  <c r="DP154" i="9"/>
  <c r="DP146" i="9"/>
  <c r="DP153" i="9"/>
  <c r="DP149" i="9"/>
  <c r="DP150" i="9"/>
  <c r="DP148" i="9"/>
  <c r="DP142" i="9"/>
  <c r="DP138" i="9"/>
  <c r="DP134" i="9"/>
  <c r="DP141" i="9"/>
  <c r="DP137" i="9"/>
  <c r="DP133" i="9"/>
  <c r="DP145" i="9"/>
  <c r="DP144" i="9"/>
  <c r="DP140" i="9"/>
  <c r="DP136" i="9"/>
  <c r="DP143" i="9"/>
  <c r="DP139" i="9"/>
  <c r="DP135" i="9"/>
  <c r="DP131" i="9"/>
  <c r="DP128" i="9"/>
  <c r="DP124" i="9"/>
  <c r="DP120" i="9"/>
  <c r="DP127" i="9"/>
  <c r="DP123" i="9"/>
  <c r="DP119" i="9"/>
  <c r="DP132" i="9"/>
  <c r="DP130" i="9"/>
  <c r="DP126" i="9"/>
  <c r="DP122" i="9"/>
  <c r="DP118" i="9"/>
  <c r="DP129" i="9"/>
  <c r="DP125" i="9"/>
  <c r="DP121" i="9"/>
  <c r="DP117" i="9"/>
  <c r="DP113" i="9"/>
  <c r="DP109" i="9"/>
  <c r="DP105" i="9"/>
  <c r="DP101" i="9"/>
  <c r="DP97" i="9"/>
  <c r="DP93" i="9"/>
  <c r="DP116" i="9"/>
  <c r="DP112" i="9"/>
  <c r="DP108" i="9"/>
  <c r="DP104" i="9"/>
  <c r="DP100" i="9"/>
  <c r="DP96" i="9"/>
  <c r="DP92" i="9"/>
  <c r="DP88" i="9"/>
  <c r="DP115" i="9"/>
  <c r="DP111" i="9"/>
  <c r="DP107" i="9"/>
  <c r="DP114" i="9"/>
  <c r="DP110" i="9"/>
  <c r="DP106" i="9"/>
  <c r="DP102" i="9"/>
  <c r="DP98" i="9"/>
  <c r="DP94" i="9"/>
  <c r="DP90" i="9"/>
  <c r="DP95" i="9"/>
  <c r="DP89" i="9"/>
  <c r="DP84" i="9"/>
  <c r="DP80" i="9"/>
  <c r="DP76" i="9"/>
  <c r="DP72" i="9"/>
  <c r="DP68" i="9"/>
  <c r="DP64" i="9"/>
  <c r="DP87" i="9"/>
  <c r="DP83" i="9"/>
  <c r="DP79" i="9"/>
  <c r="DP75" i="9"/>
  <c r="DP71" i="9"/>
  <c r="DP67" i="9"/>
  <c r="DP63" i="9"/>
  <c r="DP103" i="9"/>
  <c r="DP86" i="9"/>
  <c r="DP82" i="9"/>
  <c r="DP78" i="9"/>
  <c r="DP74" i="9"/>
  <c r="DP70" i="9"/>
  <c r="DP66" i="9"/>
  <c r="DP99" i="9"/>
  <c r="DP91" i="9"/>
  <c r="DP85" i="9"/>
  <c r="DP81" i="9"/>
  <c r="DP77" i="9"/>
  <c r="DP73" i="9"/>
  <c r="DP69" i="9"/>
  <c r="DP65" i="9"/>
  <c r="DP62" i="9"/>
  <c r="DP8" i="9"/>
  <c r="DP16" i="9"/>
  <c r="DP14" i="9"/>
  <c r="DP12" i="9"/>
  <c r="DP10" i="9"/>
  <c r="DQ6" i="9"/>
  <c r="DP15" i="9"/>
  <c r="DP13" i="9"/>
  <c r="DP11" i="9"/>
  <c r="DP9" i="9"/>
  <c r="DQ213" i="9" l="1"/>
  <c r="DQ211" i="9"/>
  <c r="DQ210" i="9"/>
  <c r="DQ212" i="9"/>
  <c r="DQ209" i="9"/>
  <c r="DQ208" i="9"/>
  <c r="DQ207" i="9"/>
  <c r="DQ204" i="9"/>
  <c r="DQ203" i="9"/>
  <c r="DQ206" i="9"/>
  <c r="DQ205" i="9"/>
  <c r="DQ202" i="9"/>
  <c r="DQ201" i="9"/>
  <c r="DQ199" i="9"/>
  <c r="DQ198" i="9"/>
  <c r="DQ194" i="9"/>
  <c r="DQ200" i="9"/>
  <c r="DQ197" i="9"/>
  <c r="DQ196" i="9"/>
  <c r="DQ191" i="9"/>
  <c r="DQ195" i="9"/>
  <c r="DQ187" i="9"/>
  <c r="DQ183" i="9"/>
  <c r="DQ190" i="9"/>
  <c r="DQ186" i="9"/>
  <c r="DQ182" i="9"/>
  <c r="DQ185" i="9"/>
  <c r="DQ179" i="9"/>
  <c r="DQ175" i="9"/>
  <c r="DQ192" i="9"/>
  <c r="DQ184" i="9"/>
  <c r="DQ178" i="9"/>
  <c r="DQ174" i="9"/>
  <c r="DQ193" i="9"/>
  <c r="DQ181" i="9"/>
  <c r="DQ177" i="9"/>
  <c r="DQ171" i="9"/>
  <c r="DQ167" i="9"/>
  <c r="DQ163" i="9"/>
  <c r="DQ159" i="9"/>
  <c r="DQ155" i="9"/>
  <c r="DQ151" i="9"/>
  <c r="DQ188" i="9"/>
  <c r="DQ176" i="9"/>
  <c r="DQ172" i="9"/>
  <c r="DQ170" i="9"/>
  <c r="DQ166" i="9"/>
  <c r="DQ162" i="9"/>
  <c r="DQ158" i="9"/>
  <c r="DQ154" i="9"/>
  <c r="DQ150" i="9"/>
  <c r="DQ189" i="9"/>
  <c r="DQ180" i="9"/>
  <c r="DQ173" i="9"/>
  <c r="DQ168" i="9"/>
  <c r="DQ160" i="9"/>
  <c r="DQ165" i="9"/>
  <c r="DQ157" i="9"/>
  <c r="DQ164" i="9"/>
  <c r="DQ169" i="9"/>
  <c r="DQ161" i="9"/>
  <c r="DQ153" i="9"/>
  <c r="DQ149" i="9"/>
  <c r="DQ145" i="9"/>
  <c r="DQ156" i="9"/>
  <c r="DQ152" i="9"/>
  <c r="DQ148" i="9"/>
  <c r="DQ147" i="9"/>
  <c r="DQ141" i="9"/>
  <c r="DQ137" i="9"/>
  <c r="DQ133" i="9"/>
  <c r="DQ146" i="9"/>
  <c r="DQ144" i="9"/>
  <c r="DQ140" i="9"/>
  <c r="DQ136" i="9"/>
  <c r="DQ132" i="9"/>
  <c r="DQ143" i="9"/>
  <c r="DQ139" i="9"/>
  <c r="DQ135" i="9"/>
  <c r="DQ142" i="9"/>
  <c r="DQ138" i="9"/>
  <c r="DQ134" i="9"/>
  <c r="DQ127" i="9"/>
  <c r="DQ123" i="9"/>
  <c r="DQ119" i="9"/>
  <c r="DQ130" i="9"/>
  <c r="DQ126" i="9"/>
  <c r="DQ122" i="9"/>
  <c r="DQ118" i="9"/>
  <c r="DQ131" i="9"/>
  <c r="DQ129" i="9"/>
  <c r="DQ125" i="9"/>
  <c r="DQ121" i="9"/>
  <c r="DQ117" i="9"/>
  <c r="DQ128" i="9"/>
  <c r="DQ124" i="9"/>
  <c r="DQ120" i="9"/>
  <c r="DQ116" i="9"/>
  <c r="DQ112" i="9"/>
  <c r="DQ108" i="9"/>
  <c r="DQ104" i="9"/>
  <c r="DQ100" i="9"/>
  <c r="DQ96" i="9"/>
  <c r="DQ115" i="9"/>
  <c r="DQ111" i="9"/>
  <c r="DQ107" i="9"/>
  <c r="DQ103" i="9"/>
  <c r="DQ99" i="9"/>
  <c r="DQ95" i="9"/>
  <c r="DQ91" i="9"/>
  <c r="DQ87" i="9"/>
  <c r="DQ114" i="9"/>
  <c r="DQ110" i="9"/>
  <c r="DQ106" i="9"/>
  <c r="DQ113" i="9"/>
  <c r="DQ109" i="9"/>
  <c r="DQ105" i="9"/>
  <c r="DQ101" i="9"/>
  <c r="DQ97" i="9"/>
  <c r="DQ93" i="9"/>
  <c r="DQ89" i="9"/>
  <c r="DQ102" i="9"/>
  <c r="DQ88" i="9"/>
  <c r="DQ83" i="9"/>
  <c r="DQ79" i="9"/>
  <c r="DQ75" i="9"/>
  <c r="DQ71" i="9"/>
  <c r="DQ67" i="9"/>
  <c r="DQ98" i="9"/>
  <c r="DQ86" i="9"/>
  <c r="DQ82" i="9"/>
  <c r="DQ78" i="9"/>
  <c r="DQ74" i="9"/>
  <c r="DQ70" i="9"/>
  <c r="DQ66" i="9"/>
  <c r="DQ94" i="9"/>
  <c r="DQ92" i="9"/>
  <c r="DQ85" i="9"/>
  <c r="DQ81" i="9"/>
  <c r="DQ77" i="9"/>
  <c r="DQ73" i="9"/>
  <c r="DQ69" i="9"/>
  <c r="DQ65" i="9"/>
  <c r="DQ90" i="9"/>
  <c r="DQ84" i="9"/>
  <c r="DQ80" i="9"/>
  <c r="DQ76" i="9"/>
  <c r="DQ72" i="9"/>
  <c r="DQ68" i="9"/>
  <c r="DQ64" i="9"/>
  <c r="DQ63" i="9"/>
  <c r="DQ62" i="9"/>
  <c r="DQ16" i="9"/>
  <c r="DQ14" i="9"/>
  <c r="DQ12" i="9"/>
  <c r="DQ10" i="9"/>
  <c r="DR6" i="9"/>
  <c r="DQ15" i="9"/>
  <c r="DQ13" i="9"/>
  <c r="DQ11" i="9"/>
  <c r="DQ9" i="9"/>
  <c r="DQ8" i="9"/>
  <c r="DR213" i="9" l="1"/>
  <c r="DR212" i="9"/>
  <c r="DR211" i="9"/>
  <c r="DR209" i="9"/>
  <c r="DR210" i="9"/>
  <c r="DR208" i="9"/>
  <c r="DR207" i="9"/>
  <c r="DR206" i="9"/>
  <c r="DR205" i="9"/>
  <c r="DR202" i="9"/>
  <c r="DR203" i="9"/>
  <c r="DR201" i="9"/>
  <c r="DR200" i="9"/>
  <c r="DR197" i="9"/>
  <c r="DR196" i="9"/>
  <c r="DR204" i="9"/>
  <c r="DR195" i="9"/>
  <c r="DR194" i="9"/>
  <c r="DR190" i="9"/>
  <c r="DR193" i="9"/>
  <c r="DR186" i="9"/>
  <c r="DR182" i="9"/>
  <c r="DR199" i="9"/>
  <c r="DR189" i="9"/>
  <c r="DR185" i="9"/>
  <c r="DR181" i="9"/>
  <c r="DR192" i="9"/>
  <c r="DR184" i="9"/>
  <c r="DR178" i="9"/>
  <c r="DR174" i="9"/>
  <c r="DR183" i="9"/>
  <c r="DR177" i="9"/>
  <c r="DR173" i="9"/>
  <c r="DR188" i="9"/>
  <c r="DR176" i="9"/>
  <c r="DR172" i="9"/>
  <c r="DR170" i="9"/>
  <c r="DR166" i="9"/>
  <c r="DR162" i="9"/>
  <c r="DR158" i="9"/>
  <c r="DR154" i="9"/>
  <c r="DR198" i="9"/>
  <c r="DR179" i="9"/>
  <c r="DR175" i="9"/>
  <c r="DR169" i="9"/>
  <c r="DR165" i="9"/>
  <c r="DR161" i="9"/>
  <c r="DR157" i="9"/>
  <c r="DR153" i="9"/>
  <c r="DR180" i="9"/>
  <c r="DR171" i="9"/>
  <c r="DR191" i="9"/>
  <c r="DR187" i="9"/>
  <c r="DR167" i="9"/>
  <c r="DR159" i="9"/>
  <c r="DR164" i="9"/>
  <c r="DR156" i="9"/>
  <c r="DR163" i="9"/>
  <c r="DR168" i="9"/>
  <c r="DR160" i="9"/>
  <c r="DR155" i="9"/>
  <c r="DR149" i="9"/>
  <c r="DR152" i="9"/>
  <c r="DR148" i="9"/>
  <c r="DR151" i="9"/>
  <c r="DR150" i="9"/>
  <c r="DR147" i="9"/>
  <c r="DR146" i="9"/>
  <c r="DR144" i="9"/>
  <c r="DR140" i="9"/>
  <c r="DR136" i="9"/>
  <c r="DR145" i="9"/>
  <c r="DR143" i="9"/>
  <c r="DR139" i="9"/>
  <c r="DR135" i="9"/>
  <c r="DR131" i="9"/>
  <c r="DR142" i="9"/>
  <c r="DR138" i="9"/>
  <c r="DR134" i="9"/>
  <c r="DR141" i="9"/>
  <c r="DR137" i="9"/>
  <c r="DR133" i="9"/>
  <c r="DR130" i="9"/>
  <c r="DR126" i="9"/>
  <c r="DR122" i="9"/>
  <c r="DR118" i="9"/>
  <c r="DR132" i="9"/>
  <c r="DR129" i="9"/>
  <c r="DR125" i="9"/>
  <c r="DR121" i="9"/>
  <c r="DR117" i="9"/>
  <c r="DR128" i="9"/>
  <c r="DR124" i="9"/>
  <c r="DR120" i="9"/>
  <c r="DR127" i="9"/>
  <c r="DR123" i="9"/>
  <c r="DR119" i="9"/>
  <c r="DR116" i="9"/>
  <c r="DR115" i="9"/>
  <c r="DR111" i="9"/>
  <c r="DR107" i="9"/>
  <c r="DR103" i="9"/>
  <c r="DR99" i="9"/>
  <c r="DR95" i="9"/>
  <c r="DR114" i="9"/>
  <c r="DR110" i="9"/>
  <c r="DR106" i="9"/>
  <c r="DR102" i="9"/>
  <c r="DR98" i="9"/>
  <c r="DR94" i="9"/>
  <c r="DR90" i="9"/>
  <c r="DR113" i="9"/>
  <c r="DR109" i="9"/>
  <c r="DR112" i="9"/>
  <c r="DR108" i="9"/>
  <c r="DR104" i="9"/>
  <c r="DR100" i="9"/>
  <c r="DR96" i="9"/>
  <c r="DR92" i="9"/>
  <c r="DR88" i="9"/>
  <c r="DR93" i="9"/>
  <c r="DR87" i="9"/>
  <c r="DR86" i="9"/>
  <c r="DR82" i="9"/>
  <c r="DR78" i="9"/>
  <c r="DR74" i="9"/>
  <c r="DR70" i="9"/>
  <c r="DR66" i="9"/>
  <c r="DR105" i="9"/>
  <c r="DR85" i="9"/>
  <c r="DR81" i="9"/>
  <c r="DR77" i="9"/>
  <c r="DR73" i="9"/>
  <c r="DR69" i="9"/>
  <c r="DR65" i="9"/>
  <c r="DR101" i="9"/>
  <c r="DR91" i="9"/>
  <c r="DR84" i="9"/>
  <c r="DR80" i="9"/>
  <c r="DR76" i="9"/>
  <c r="DR72" i="9"/>
  <c r="DR68" i="9"/>
  <c r="DR64" i="9"/>
  <c r="DR97" i="9"/>
  <c r="DR89" i="9"/>
  <c r="DR83" i="9"/>
  <c r="DR79" i="9"/>
  <c r="DR75" i="9"/>
  <c r="DR71" i="9"/>
  <c r="DR67" i="9"/>
  <c r="DR63" i="9"/>
  <c r="DR62" i="9"/>
  <c r="DS6" i="9"/>
  <c r="DR15" i="9"/>
  <c r="DR13" i="9"/>
  <c r="DR11" i="9"/>
  <c r="DR9" i="9"/>
  <c r="DR8" i="9"/>
  <c r="DR16" i="9"/>
  <c r="DR14" i="9"/>
  <c r="DR12" i="9"/>
  <c r="DR10" i="9"/>
  <c r="DS8" i="9" l="1"/>
  <c r="DT6" i="9"/>
  <c r="DT8" i="9" l="1"/>
  <c r="DU6" i="9"/>
  <c r="DU213" i="9" l="1"/>
  <c r="DU212" i="9"/>
  <c r="DU211" i="9"/>
  <c r="DU210" i="9"/>
  <c r="DU208" i="9"/>
  <c r="DU207" i="9"/>
  <c r="DU209" i="9"/>
  <c r="DU206" i="9"/>
  <c r="DU205" i="9"/>
  <c r="DU204" i="9"/>
  <c r="DU203" i="9"/>
  <c r="DU201" i="9"/>
  <c r="DU200" i="9"/>
  <c r="DU196" i="9"/>
  <c r="DU195" i="9"/>
  <c r="DU193" i="9"/>
  <c r="DU192" i="9"/>
  <c r="DU199" i="9"/>
  <c r="DU190" i="9"/>
  <c r="DU189" i="9"/>
  <c r="DU185" i="9"/>
  <c r="DU181" i="9"/>
  <c r="DU197" i="9"/>
  <c r="DU188" i="9"/>
  <c r="DU184" i="9"/>
  <c r="DU180" i="9"/>
  <c r="DU183" i="9"/>
  <c r="DU177" i="9"/>
  <c r="DU173" i="9"/>
  <c r="DU194" i="9"/>
  <c r="DU182" i="9"/>
  <c r="DU176" i="9"/>
  <c r="DU198" i="9"/>
  <c r="DU179" i="9"/>
  <c r="DU175" i="9"/>
  <c r="DU169" i="9"/>
  <c r="DU165" i="9"/>
  <c r="DU161" i="9"/>
  <c r="DU157" i="9"/>
  <c r="DU153" i="9"/>
  <c r="DU202" i="9"/>
  <c r="DU186" i="9"/>
  <c r="DU174" i="9"/>
  <c r="DU168" i="9"/>
  <c r="DU164" i="9"/>
  <c r="DU160" i="9"/>
  <c r="DU156" i="9"/>
  <c r="DU152" i="9"/>
  <c r="DU171" i="9"/>
  <c r="DU178" i="9"/>
  <c r="DU172" i="9"/>
  <c r="DU170" i="9"/>
  <c r="DU191" i="9"/>
  <c r="DU187" i="9"/>
  <c r="DU166" i="9"/>
  <c r="DU163" i="9"/>
  <c r="DU162" i="9"/>
  <c r="DU167" i="9"/>
  <c r="DU159" i="9"/>
  <c r="DU154" i="9"/>
  <c r="DU148" i="9"/>
  <c r="DU158" i="9"/>
  <c r="DU151" i="9"/>
  <c r="DU150" i="9"/>
  <c r="DU147" i="9"/>
  <c r="DU155" i="9"/>
  <c r="DU149" i="9"/>
  <c r="DU145" i="9"/>
  <c r="DU146" i="9"/>
  <c r="DU143" i="9"/>
  <c r="DU139" i="9"/>
  <c r="DU135" i="9"/>
  <c r="DU142" i="9"/>
  <c r="DU138" i="9"/>
  <c r="DU134" i="9"/>
  <c r="DU141" i="9"/>
  <c r="DU137" i="9"/>
  <c r="DU133" i="9"/>
  <c r="DU144" i="9"/>
  <c r="DU140" i="9"/>
  <c r="DU136" i="9"/>
  <c r="DU132" i="9"/>
  <c r="DU129" i="9"/>
  <c r="DU125" i="9"/>
  <c r="DU121" i="9"/>
  <c r="DU117" i="9"/>
  <c r="DU131" i="9"/>
  <c r="DU128" i="9"/>
  <c r="DU124" i="9"/>
  <c r="DU120" i="9"/>
  <c r="DU116" i="9"/>
  <c r="DU127" i="9"/>
  <c r="DU123" i="9"/>
  <c r="DU119" i="9"/>
  <c r="DU130" i="9"/>
  <c r="DU126" i="9"/>
  <c r="DU122" i="9"/>
  <c r="DU118" i="9"/>
  <c r="DU114" i="9"/>
  <c r="DU110" i="9"/>
  <c r="DU106" i="9"/>
  <c r="DU102" i="9"/>
  <c r="DU98" i="9"/>
  <c r="DU94" i="9"/>
  <c r="DU113" i="9"/>
  <c r="DU109" i="9"/>
  <c r="DU105" i="9"/>
  <c r="DU101" i="9"/>
  <c r="DU97" i="9"/>
  <c r="DU93" i="9"/>
  <c r="DU89" i="9"/>
  <c r="DU112" i="9"/>
  <c r="DU108" i="9"/>
  <c r="DU115" i="9"/>
  <c r="DU111" i="9"/>
  <c r="DU107" i="9"/>
  <c r="DU103" i="9"/>
  <c r="DU99" i="9"/>
  <c r="DU95" i="9"/>
  <c r="DU91" i="9"/>
  <c r="DU87" i="9"/>
  <c r="DU100" i="9"/>
  <c r="DU85" i="9"/>
  <c r="DU81" i="9"/>
  <c r="DU77" i="9"/>
  <c r="DU73" i="9"/>
  <c r="DU69" i="9"/>
  <c r="DU65" i="9"/>
  <c r="DU96" i="9"/>
  <c r="DU92" i="9"/>
  <c r="DU84" i="9"/>
  <c r="DU80" i="9"/>
  <c r="DU76" i="9"/>
  <c r="DU72" i="9"/>
  <c r="DU68" i="9"/>
  <c r="DU64" i="9"/>
  <c r="DU90" i="9"/>
  <c r="DU83" i="9"/>
  <c r="DU79" i="9"/>
  <c r="DU75" i="9"/>
  <c r="DU71" i="9"/>
  <c r="DU67" i="9"/>
  <c r="DU104" i="9"/>
  <c r="DU88" i="9"/>
  <c r="DU86" i="9"/>
  <c r="DU82" i="9"/>
  <c r="DU78" i="9"/>
  <c r="DU74" i="9"/>
  <c r="DU70" i="9"/>
  <c r="DU66" i="9"/>
  <c r="DU62" i="9"/>
  <c r="DU63" i="9"/>
  <c r="DU15" i="9"/>
  <c r="DU13" i="9"/>
  <c r="DU11" i="9"/>
  <c r="DU9" i="9"/>
  <c r="DV6" i="9"/>
  <c r="DU16" i="9"/>
  <c r="DU14" i="9"/>
  <c r="DU12" i="9"/>
  <c r="DU10" i="9"/>
  <c r="DU8" i="9"/>
  <c r="DV213" i="9" l="1"/>
  <c r="DV212" i="9"/>
  <c r="DV211" i="9"/>
  <c r="DV210" i="9"/>
  <c r="DV206" i="9"/>
  <c r="DV209" i="9"/>
  <c r="DV205" i="9"/>
  <c r="DV204" i="9"/>
  <c r="DV208" i="9"/>
  <c r="DV199" i="9"/>
  <c r="DV207" i="9"/>
  <c r="DV202" i="9"/>
  <c r="DV195" i="9"/>
  <c r="DV201" i="9"/>
  <c r="DV198" i="9"/>
  <c r="DV203" i="9"/>
  <c r="DV192" i="9"/>
  <c r="DV200" i="9"/>
  <c r="DV191" i="9"/>
  <c r="DV197" i="9"/>
  <c r="DV188" i="9"/>
  <c r="DV184" i="9"/>
  <c r="DV180" i="9"/>
  <c r="DV193" i="9"/>
  <c r="DV187" i="9"/>
  <c r="DV183" i="9"/>
  <c r="DV179" i="9"/>
  <c r="DV194" i="9"/>
  <c r="DV182" i="9"/>
  <c r="DV176" i="9"/>
  <c r="DV172" i="9"/>
  <c r="DV196" i="9"/>
  <c r="DV190" i="9"/>
  <c r="DV189" i="9"/>
  <c r="DV181" i="9"/>
  <c r="DV175" i="9"/>
  <c r="DV186" i="9"/>
  <c r="DV174" i="9"/>
  <c r="DV168" i="9"/>
  <c r="DV164" i="9"/>
  <c r="DV160" i="9"/>
  <c r="DV156" i="9"/>
  <c r="DV152" i="9"/>
  <c r="DV173" i="9"/>
  <c r="DV171" i="9"/>
  <c r="DV167" i="9"/>
  <c r="DV163" i="9"/>
  <c r="DV159" i="9"/>
  <c r="DV155" i="9"/>
  <c r="DV151" i="9"/>
  <c r="DV185" i="9"/>
  <c r="DV178" i="9"/>
  <c r="DV177" i="9"/>
  <c r="DV165" i="9"/>
  <c r="DV170" i="9"/>
  <c r="DV162" i="9"/>
  <c r="DV169" i="9"/>
  <c r="DV161" i="9"/>
  <c r="DV166" i="9"/>
  <c r="DV158" i="9"/>
  <c r="DV153" i="9"/>
  <c r="DV150" i="9"/>
  <c r="DV147" i="9"/>
  <c r="DV146" i="9"/>
  <c r="DV149" i="9"/>
  <c r="DV157" i="9"/>
  <c r="DV154" i="9"/>
  <c r="DV148" i="9"/>
  <c r="DV145" i="9"/>
  <c r="DV142" i="9"/>
  <c r="DV138" i="9"/>
  <c r="DV134" i="9"/>
  <c r="DV141" i="9"/>
  <c r="DV137" i="9"/>
  <c r="DV133" i="9"/>
  <c r="DV144" i="9"/>
  <c r="DV140" i="9"/>
  <c r="DV136" i="9"/>
  <c r="DV143" i="9"/>
  <c r="DV139" i="9"/>
  <c r="DV135" i="9"/>
  <c r="DV131" i="9"/>
  <c r="DV132" i="9"/>
  <c r="DV128" i="9"/>
  <c r="DV124" i="9"/>
  <c r="DV120" i="9"/>
  <c r="DV127" i="9"/>
  <c r="DV123" i="9"/>
  <c r="DV119" i="9"/>
  <c r="DV130" i="9"/>
  <c r="DV126" i="9"/>
  <c r="DV122" i="9"/>
  <c r="DV118" i="9"/>
  <c r="DV129" i="9"/>
  <c r="DV125" i="9"/>
  <c r="DV121" i="9"/>
  <c r="DV117" i="9"/>
  <c r="DV113" i="9"/>
  <c r="DV109" i="9"/>
  <c r="DV105" i="9"/>
  <c r="DV101" i="9"/>
  <c r="DV97" i="9"/>
  <c r="DV93" i="9"/>
  <c r="DV112" i="9"/>
  <c r="DV108" i="9"/>
  <c r="DV104" i="9"/>
  <c r="DV100" i="9"/>
  <c r="DV96" i="9"/>
  <c r="DV92" i="9"/>
  <c r="DV88" i="9"/>
  <c r="DV115" i="9"/>
  <c r="DV111" i="9"/>
  <c r="DV107" i="9"/>
  <c r="DV116" i="9"/>
  <c r="DV114" i="9"/>
  <c r="DV110" i="9"/>
  <c r="DV106" i="9"/>
  <c r="DV102" i="9"/>
  <c r="DV98" i="9"/>
  <c r="DV94" i="9"/>
  <c r="DV90" i="9"/>
  <c r="DV84" i="9"/>
  <c r="DV80" i="9"/>
  <c r="DV76" i="9"/>
  <c r="DV72" i="9"/>
  <c r="DV68" i="9"/>
  <c r="DV64" i="9"/>
  <c r="DV103" i="9"/>
  <c r="DV91" i="9"/>
  <c r="DV83" i="9"/>
  <c r="DV79" i="9"/>
  <c r="DV75" i="9"/>
  <c r="DV71" i="9"/>
  <c r="DV67" i="9"/>
  <c r="DV63" i="9"/>
  <c r="DV99" i="9"/>
  <c r="DV89" i="9"/>
  <c r="DV86" i="9"/>
  <c r="DV82" i="9"/>
  <c r="DV78" i="9"/>
  <c r="DV74" i="9"/>
  <c r="DV70" i="9"/>
  <c r="DV66" i="9"/>
  <c r="DV95" i="9"/>
  <c r="DV87" i="9"/>
  <c r="DV85" i="9"/>
  <c r="DV81" i="9"/>
  <c r="DV77" i="9"/>
  <c r="DV73" i="9"/>
  <c r="DV69" i="9"/>
  <c r="DV65" i="9"/>
  <c r="DV62" i="9"/>
  <c r="DW6" i="9"/>
  <c r="DV16" i="9"/>
  <c r="DV14" i="9"/>
  <c r="DV12" i="9"/>
  <c r="DV10" i="9"/>
  <c r="DV8" i="9"/>
  <c r="DV15" i="9"/>
  <c r="DV13" i="9"/>
  <c r="DV11" i="9"/>
  <c r="DV9" i="9"/>
  <c r="DW213" i="9" l="1"/>
  <c r="DW212" i="9"/>
  <c r="DW211" i="9"/>
  <c r="DW210" i="9"/>
  <c r="DW209" i="9"/>
  <c r="DW208" i="9"/>
  <c r="DW206" i="9"/>
  <c r="DW204" i="9"/>
  <c r="DW203" i="9"/>
  <c r="DW207" i="9"/>
  <c r="DW205" i="9"/>
  <c r="DW202" i="9"/>
  <c r="DW201" i="9"/>
  <c r="DW198" i="9"/>
  <c r="DW194" i="9"/>
  <c r="DW199" i="9"/>
  <c r="DW197" i="9"/>
  <c r="DW200" i="9"/>
  <c r="DW191" i="9"/>
  <c r="DW193" i="9"/>
  <c r="DW187" i="9"/>
  <c r="DW183" i="9"/>
  <c r="DW195" i="9"/>
  <c r="DW192" i="9"/>
  <c r="DW186" i="9"/>
  <c r="DW182" i="9"/>
  <c r="DW196" i="9"/>
  <c r="DW190" i="9"/>
  <c r="DW189" i="9"/>
  <c r="DW181" i="9"/>
  <c r="DW175" i="9"/>
  <c r="DW188" i="9"/>
  <c r="DW180" i="9"/>
  <c r="DW179" i="9"/>
  <c r="DW178" i="9"/>
  <c r="DW174" i="9"/>
  <c r="DW173" i="9"/>
  <c r="DW171" i="9"/>
  <c r="DW167" i="9"/>
  <c r="DW163" i="9"/>
  <c r="DW159" i="9"/>
  <c r="DW155" i="9"/>
  <c r="DW151" i="9"/>
  <c r="DW184" i="9"/>
  <c r="DW170" i="9"/>
  <c r="DW166" i="9"/>
  <c r="DW162" i="9"/>
  <c r="DW158" i="9"/>
  <c r="DW154" i="9"/>
  <c r="DW150" i="9"/>
  <c r="DW185" i="9"/>
  <c r="DW172" i="9"/>
  <c r="DW176" i="9"/>
  <c r="DW177" i="9"/>
  <c r="DW164" i="9"/>
  <c r="DW169" i="9"/>
  <c r="DW161" i="9"/>
  <c r="DW168" i="9"/>
  <c r="DW160" i="9"/>
  <c r="DW165" i="9"/>
  <c r="DW157" i="9"/>
  <c r="DW152" i="9"/>
  <c r="DW156" i="9"/>
  <c r="DW149" i="9"/>
  <c r="DW145" i="9"/>
  <c r="DW148" i="9"/>
  <c r="DW153" i="9"/>
  <c r="DW147" i="9"/>
  <c r="DW141" i="9"/>
  <c r="DW137" i="9"/>
  <c r="DW133" i="9"/>
  <c r="DW144" i="9"/>
  <c r="DW140" i="9"/>
  <c r="DW136" i="9"/>
  <c r="DW132" i="9"/>
  <c r="DW143" i="9"/>
  <c r="DW139" i="9"/>
  <c r="DW135" i="9"/>
  <c r="DW146" i="9"/>
  <c r="DW142" i="9"/>
  <c r="DW138" i="9"/>
  <c r="DW134" i="9"/>
  <c r="DW131" i="9"/>
  <c r="DW127" i="9"/>
  <c r="DW123" i="9"/>
  <c r="DW119" i="9"/>
  <c r="DW130" i="9"/>
  <c r="DW126" i="9"/>
  <c r="DW122" i="9"/>
  <c r="DW118" i="9"/>
  <c r="DW129" i="9"/>
  <c r="DW125" i="9"/>
  <c r="DW121" i="9"/>
  <c r="DW117" i="9"/>
  <c r="DW128" i="9"/>
  <c r="DW124" i="9"/>
  <c r="DW120" i="9"/>
  <c r="DW116" i="9"/>
  <c r="DW112" i="9"/>
  <c r="DW108" i="9"/>
  <c r="DW104" i="9"/>
  <c r="DW100" i="9"/>
  <c r="DW96" i="9"/>
  <c r="DW115" i="9"/>
  <c r="DW111" i="9"/>
  <c r="DW107" i="9"/>
  <c r="DW103" i="9"/>
  <c r="DW99" i="9"/>
  <c r="DW95" i="9"/>
  <c r="DW91" i="9"/>
  <c r="DW87" i="9"/>
  <c r="DW114" i="9"/>
  <c r="DW110" i="9"/>
  <c r="DW106" i="9"/>
  <c r="DW113" i="9"/>
  <c r="DW109" i="9"/>
  <c r="DW105" i="9"/>
  <c r="DW101" i="9"/>
  <c r="DW97" i="9"/>
  <c r="DW93" i="9"/>
  <c r="DW89" i="9"/>
  <c r="DW98" i="9"/>
  <c r="DW92" i="9"/>
  <c r="DW83" i="9"/>
  <c r="DW79" i="9"/>
  <c r="DW75" i="9"/>
  <c r="DW71" i="9"/>
  <c r="DW67" i="9"/>
  <c r="DW94" i="9"/>
  <c r="DW90" i="9"/>
  <c r="DW86" i="9"/>
  <c r="DW82" i="9"/>
  <c r="DW78" i="9"/>
  <c r="DW74" i="9"/>
  <c r="DW70" i="9"/>
  <c r="DW66" i="9"/>
  <c r="DW88" i="9"/>
  <c r="DW85" i="9"/>
  <c r="DW81" i="9"/>
  <c r="DW77" i="9"/>
  <c r="DW73" i="9"/>
  <c r="DW69" i="9"/>
  <c r="DW65" i="9"/>
  <c r="DW102" i="9"/>
  <c r="DW84" i="9"/>
  <c r="DW80" i="9"/>
  <c r="DW76" i="9"/>
  <c r="DW72" i="9"/>
  <c r="DW68" i="9"/>
  <c r="DW64" i="9"/>
  <c r="DW63" i="9"/>
  <c r="DW62" i="9"/>
  <c r="DW16" i="9"/>
  <c r="DW14" i="9"/>
  <c r="DW12" i="9"/>
  <c r="DW10" i="9"/>
  <c r="DW8" i="9"/>
  <c r="DW15" i="9"/>
  <c r="DW13" i="9"/>
  <c r="DW11" i="9"/>
  <c r="DW9" i="9"/>
  <c r="DX6" i="9"/>
  <c r="DX213" i="9" l="1"/>
  <c r="DX212" i="9"/>
  <c r="DX211" i="9"/>
  <c r="DX210" i="9"/>
  <c r="DX209" i="9"/>
  <c r="DX208" i="9"/>
  <c r="DX207" i="9"/>
  <c r="DX205" i="9"/>
  <c r="DX202" i="9"/>
  <c r="DX201" i="9"/>
  <c r="DX204" i="9"/>
  <c r="DX203" i="9"/>
  <c r="DX206" i="9"/>
  <c r="DX199" i="9"/>
  <c r="DX197" i="9"/>
  <c r="DX200" i="9"/>
  <c r="DX196" i="9"/>
  <c r="DX190" i="9"/>
  <c r="DX198" i="9"/>
  <c r="DX194" i="9"/>
  <c r="DX193" i="9"/>
  <c r="DX195" i="9"/>
  <c r="DX192" i="9"/>
  <c r="DX186" i="9"/>
  <c r="DX182" i="9"/>
  <c r="DX191" i="9"/>
  <c r="DX189" i="9"/>
  <c r="DX185" i="9"/>
  <c r="DX181" i="9"/>
  <c r="DX188" i="9"/>
  <c r="DX180" i="9"/>
  <c r="DX179" i="9"/>
  <c r="DX178" i="9"/>
  <c r="DX174" i="9"/>
  <c r="DX187" i="9"/>
  <c r="DX177" i="9"/>
  <c r="DX173" i="9"/>
  <c r="DX184" i="9"/>
  <c r="DX170" i="9"/>
  <c r="DX166" i="9"/>
  <c r="DX162" i="9"/>
  <c r="DX158" i="9"/>
  <c r="DX154" i="9"/>
  <c r="DX172" i="9"/>
  <c r="DX169" i="9"/>
  <c r="DX165" i="9"/>
  <c r="DX161" i="9"/>
  <c r="DX157" i="9"/>
  <c r="DX153" i="9"/>
  <c r="DX176" i="9"/>
  <c r="DX183" i="9"/>
  <c r="DX175" i="9"/>
  <c r="DX171" i="9"/>
  <c r="DX163" i="9"/>
  <c r="DX168" i="9"/>
  <c r="DX160" i="9"/>
  <c r="DX167" i="9"/>
  <c r="DX159" i="9"/>
  <c r="DX164" i="9"/>
  <c r="DX156" i="9"/>
  <c r="DX151" i="9"/>
  <c r="DX149" i="9"/>
  <c r="DX148" i="9"/>
  <c r="DX155" i="9"/>
  <c r="DX147" i="9"/>
  <c r="DX152" i="9"/>
  <c r="DX150" i="9"/>
  <c r="DX146" i="9"/>
  <c r="DX144" i="9"/>
  <c r="DX140" i="9"/>
  <c r="DX136" i="9"/>
  <c r="DX143" i="9"/>
  <c r="DX139" i="9"/>
  <c r="DX135" i="9"/>
  <c r="DX131" i="9"/>
  <c r="DX142" i="9"/>
  <c r="DX138" i="9"/>
  <c r="DX134" i="9"/>
  <c r="DX145" i="9"/>
  <c r="DX141" i="9"/>
  <c r="DX137" i="9"/>
  <c r="DX133" i="9"/>
  <c r="DX130" i="9"/>
  <c r="DX126" i="9"/>
  <c r="DX122" i="9"/>
  <c r="DX118" i="9"/>
  <c r="DX129" i="9"/>
  <c r="DX125" i="9"/>
  <c r="DX121" i="9"/>
  <c r="DX117" i="9"/>
  <c r="DX128" i="9"/>
  <c r="DX124" i="9"/>
  <c r="DX120" i="9"/>
  <c r="DX132" i="9"/>
  <c r="DX127" i="9"/>
  <c r="DX123" i="9"/>
  <c r="DX119" i="9"/>
  <c r="DX115" i="9"/>
  <c r="DX111" i="9"/>
  <c r="DX107" i="9"/>
  <c r="DX103" i="9"/>
  <c r="DX99" i="9"/>
  <c r="DX95" i="9"/>
  <c r="DX114" i="9"/>
  <c r="DX110" i="9"/>
  <c r="DX106" i="9"/>
  <c r="DX102" i="9"/>
  <c r="DX98" i="9"/>
  <c r="DX94" i="9"/>
  <c r="DX90" i="9"/>
  <c r="DX116" i="9"/>
  <c r="DX113" i="9"/>
  <c r="DX109" i="9"/>
  <c r="DX112" i="9"/>
  <c r="DX108" i="9"/>
  <c r="DX104" i="9"/>
  <c r="DX100" i="9"/>
  <c r="DX96" i="9"/>
  <c r="DX92" i="9"/>
  <c r="DX88" i="9"/>
  <c r="DX105" i="9"/>
  <c r="DX91" i="9"/>
  <c r="DX86" i="9"/>
  <c r="DX82" i="9"/>
  <c r="DX78" i="9"/>
  <c r="DX74" i="9"/>
  <c r="DX70" i="9"/>
  <c r="DX66" i="9"/>
  <c r="DX101" i="9"/>
  <c r="DX89" i="9"/>
  <c r="DX85" i="9"/>
  <c r="DX81" i="9"/>
  <c r="DX77" i="9"/>
  <c r="DX73" i="9"/>
  <c r="DX69" i="9"/>
  <c r="DX65" i="9"/>
  <c r="DX97" i="9"/>
  <c r="DX87" i="9"/>
  <c r="DX84" i="9"/>
  <c r="DX80" i="9"/>
  <c r="DX76" i="9"/>
  <c r="DX72" i="9"/>
  <c r="DX68" i="9"/>
  <c r="DX64" i="9"/>
  <c r="DX93" i="9"/>
  <c r="DX83" i="9"/>
  <c r="DX79" i="9"/>
  <c r="DX75" i="9"/>
  <c r="DX71" i="9"/>
  <c r="DX67" i="9"/>
  <c r="DX63" i="9"/>
  <c r="DX62" i="9"/>
  <c r="DX8" i="9"/>
  <c r="DX15" i="9"/>
  <c r="DX13" i="9"/>
  <c r="DX11" i="9"/>
  <c r="DX9" i="9"/>
  <c r="DY6" i="9"/>
  <c r="DX16" i="9"/>
  <c r="DX14" i="9"/>
  <c r="DX12" i="9"/>
  <c r="DX10" i="9"/>
  <c r="DY213" i="9" l="1"/>
  <c r="DY212" i="9"/>
  <c r="DY211" i="9"/>
  <c r="DY208" i="9"/>
  <c r="DY209" i="9"/>
  <c r="DY207" i="9"/>
  <c r="DY210" i="9"/>
  <c r="DY205" i="9"/>
  <c r="DY206" i="9"/>
  <c r="DY204" i="9"/>
  <c r="DY201" i="9"/>
  <c r="DY203" i="9"/>
  <c r="DY200" i="9"/>
  <c r="DY196" i="9"/>
  <c r="DY195" i="9"/>
  <c r="DY198" i="9"/>
  <c r="DY194" i="9"/>
  <c r="DY193" i="9"/>
  <c r="DY199" i="9"/>
  <c r="DY197" i="9"/>
  <c r="DY192" i="9"/>
  <c r="DY191" i="9"/>
  <c r="DY189" i="9"/>
  <c r="DY185" i="9"/>
  <c r="DY181" i="9"/>
  <c r="DY190" i="9"/>
  <c r="DY188" i="9"/>
  <c r="DY184" i="9"/>
  <c r="DY180" i="9"/>
  <c r="DY187" i="9"/>
  <c r="DY177" i="9"/>
  <c r="DY173" i="9"/>
  <c r="DY186" i="9"/>
  <c r="DY176" i="9"/>
  <c r="DY202" i="9"/>
  <c r="DY172" i="9"/>
  <c r="DY169" i="9"/>
  <c r="DY165" i="9"/>
  <c r="DY161" i="9"/>
  <c r="DY157" i="9"/>
  <c r="DY153" i="9"/>
  <c r="DY182" i="9"/>
  <c r="DY178" i="9"/>
  <c r="DY168" i="9"/>
  <c r="DY164" i="9"/>
  <c r="DY160" i="9"/>
  <c r="DY156" i="9"/>
  <c r="DY152" i="9"/>
  <c r="DY183" i="9"/>
  <c r="DY174" i="9"/>
  <c r="DY175" i="9"/>
  <c r="DY171" i="9"/>
  <c r="DY179" i="9"/>
  <c r="DY170" i="9"/>
  <c r="DY162" i="9"/>
  <c r="DY167" i="9"/>
  <c r="DY159" i="9"/>
  <c r="DY166" i="9"/>
  <c r="DY163" i="9"/>
  <c r="DY158" i="9"/>
  <c r="DY148" i="9"/>
  <c r="DY155" i="9"/>
  <c r="DY147" i="9"/>
  <c r="DY154" i="9"/>
  <c r="DY150" i="9"/>
  <c r="DY151" i="9"/>
  <c r="DY149" i="9"/>
  <c r="DY145" i="9"/>
  <c r="DY143" i="9"/>
  <c r="DY139" i="9"/>
  <c r="DY135" i="9"/>
  <c r="DY142" i="9"/>
  <c r="DY138" i="9"/>
  <c r="DY134" i="9"/>
  <c r="DY146" i="9"/>
  <c r="DY141" i="9"/>
  <c r="DY137" i="9"/>
  <c r="DY133" i="9"/>
  <c r="DY144" i="9"/>
  <c r="DY140" i="9"/>
  <c r="DY136" i="9"/>
  <c r="DY132" i="9"/>
  <c r="DY129" i="9"/>
  <c r="DY125" i="9"/>
  <c r="DY121" i="9"/>
  <c r="DY117" i="9"/>
  <c r="DY128" i="9"/>
  <c r="DY124" i="9"/>
  <c r="DY120" i="9"/>
  <c r="DY116" i="9"/>
  <c r="DY127" i="9"/>
  <c r="DY123" i="9"/>
  <c r="DY119" i="9"/>
  <c r="DY131" i="9"/>
  <c r="DY130" i="9"/>
  <c r="DY126" i="9"/>
  <c r="DY122" i="9"/>
  <c r="DY118" i="9"/>
  <c r="DY114" i="9"/>
  <c r="DY110" i="9"/>
  <c r="DY106" i="9"/>
  <c r="DY102" i="9"/>
  <c r="DY98" i="9"/>
  <c r="DY94" i="9"/>
  <c r="DY113" i="9"/>
  <c r="DY109" i="9"/>
  <c r="DY105" i="9"/>
  <c r="DY101" i="9"/>
  <c r="DY97" i="9"/>
  <c r="DY93" i="9"/>
  <c r="DY89" i="9"/>
  <c r="DY112" i="9"/>
  <c r="DY108" i="9"/>
  <c r="DY115" i="9"/>
  <c r="DY111" i="9"/>
  <c r="DY107" i="9"/>
  <c r="DY103" i="9"/>
  <c r="DY99" i="9"/>
  <c r="DY95" i="9"/>
  <c r="DY91" i="9"/>
  <c r="DY87" i="9"/>
  <c r="DY96" i="9"/>
  <c r="DY90" i="9"/>
  <c r="DY85" i="9"/>
  <c r="DY81" i="9"/>
  <c r="DY77" i="9"/>
  <c r="DY73" i="9"/>
  <c r="DY69" i="9"/>
  <c r="DY65" i="9"/>
  <c r="DY88" i="9"/>
  <c r="DY84" i="9"/>
  <c r="DY80" i="9"/>
  <c r="DY76" i="9"/>
  <c r="DY72" i="9"/>
  <c r="DY68" i="9"/>
  <c r="DY64" i="9"/>
  <c r="DY104" i="9"/>
  <c r="DY83" i="9"/>
  <c r="DY79" i="9"/>
  <c r="DY75" i="9"/>
  <c r="DY71" i="9"/>
  <c r="DY67" i="9"/>
  <c r="DY100" i="9"/>
  <c r="DY92" i="9"/>
  <c r="DY86" i="9"/>
  <c r="DY82" i="9"/>
  <c r="DY78" i="9"/>
  <c r="DY74" i="9"/>
  <c r="DY70" i="9"/>
  <c r="DY66" i="9"/>
  <c r="DY63" i="9"/>
  <c r="DY62" i="9"/>
  <c r="DY15" i="9"/>
  <c r="DY13" i="9"/>
  <c r="DY11" i="9"/>
  <c r="DY9" i="9"/>
  <c r="DZ6" i="9"/>
  <c r="DY16" i="9"/>
  <c r="DY14" i="9"/>
  <c r="DY12" i="9"/>
  <c r="DY10" i="9"/>
  <c r="DY8" i="9"/>
  <c r="EA6" i="9" l="1"/>
  <c r="DZ8" i="9"/>
  <c r="EA8" i="9" l="1"/>
  <c r="EB6" i="9"/>
  <c r="EB213" i="9" l="1"/>
  <c r="EB211" i="9"/>
  <c r="EB212" i="9"/>
  <c r="EB210" i="9"/>
  <c r="EB209" i="9"/>
  <c r="EB206" i="9"/>
  <c r="EB205" i="9"/>
  <c r="EB207" i="9"/>
  <c r="EB204" i="9"/>
  <c r="EB208" i="9"/>
  <c r="EB203" i="9"/>
  <c r="EB199" i="9"/>
  <c r="EB202" i="9"/>
  <c r="EB201" i="9"/>
  <c r="EB200" i="9"/>
  <c r="EB195" i="9"/>
  <c r="EB198" i="9"/>
  <c r="EB197" i="9"/>
  <c r="EB192" i="9"/>
  <c r="EB196" i="9"/>
  <c r="EB191" i="9"/>
  <c r="EB190" i="9"/>
  <c r="EB188" i="9"/>
  <c r="EB184" i="9"/>
  <c r="EB180" i="9"/>
  <c r="EB194" i="9"/>
  <c r="EB187" i="9"/>
  <c r="EB183" i="9"/>
  <c r="EB179" i="9"/>
  <c r="EB186" i="9"/>
  <c r="EB176" i="9"/>
  <c r="EB172" i="9"/>
  <c r="EB193" i="9"/>
  <c r="EB185" i="9"/>
  <c r="EB175" i="9"/>
  <c r="EB182" i="9"/>
  <c r="EB178" i="9"/>
  <c r="EB168" i="9"/>
  <c r="EB164" i="9"/>
  <c r="EB160" i="9"/>
  <c r="EB156" i="9"/>
  <c r="EB152" i="9"/>
  <c r="EB189" i="9"/>
  <c r="EB177" i="9"/>
  <c r="EB171" i="9"/>
  <c r="EB167" i="9"/>
  <c r="EB163" i="9"/>
  <c r="EB159" i="9"/>
  <c r="EB155" i="9"/>
  <c r="EB151" i="9"/>
  <c r="EB181" i="9"/>
  <c r="EB174" i="9"/>
  <c r="EB173" i="9"/>
  <c r="EB170" i="9"/>
  <c r="EB169" i="9"/>
  <c r="EB161" i="9"/>
  <c r="EB166" i="9"/>
  <c r="EB158" i="9"/>
  <c r="EB165" i="9"/>
  <c r="EB162" i="9"/>
  <c r="EB147" i="9"/>
  <c r="EB154" i="9"/>
  <c r="EB150" i="9"/>
  <c r="EB146" i="9"/>
  <c r="EB157" i="9"/>
  <c r="EB153" i="9"/>
  <c r="EB149" i="9"/>
  <c r="EB148" i="9"/>
  <c r="EB142" i="9"/>
  <c r="EB138" i="9"/>
  <c r="EB134" i="9"/>
  <c r="EB141" i="9"/>
  <c r="EB137" i="9"/>
  <c r="EB133" i="9"/>
  <c r="EB145" i="9"/>
  <c r="EB144" i="9"/>
  <c r="EB140" i="9"/>
  <c r="EB136" i="9"/>
  <c r="EB143" i="9"/>
  <c r="EB139" i="9"/>
  <c r="EB135" i="9"/>
  <c r="EB131" i="9"/>
  <c r="EB128" i="9"/>
  <c r="EB124" i="9"/>
  <c r="EB120" i="9"/>
  <c r="EB127" i="9"/>
  <c r="EB123" i="9"/>
  <c r="EB119" i="9"/>
  <c r="EB132" i="9"/>
  <c r="EB130" i="9"/>
  <c r="EB126" i="9"/>
  <c r="EB122" i="9"/>
  <c r="EB118" i="9"/>
  <c r="EB129" i="9"/>
  <c r="EB125" i="9"/>
  <c r="EB121" i="9"/>
  <c r="EB117" i="9"/>
  <c r="EB113" i="9"/>
  <c r="EB109" i="9"/>
  <c r="EB105" i="9"/>
  <c r="EB101" i="9"/>
  <c r="EB97" i="9"/>
  <c r="EB93" i="9"/>
  <c r="EB116" i="9"/>
  <c r="EB112" i="9"/>
  <c r="EB108" i="9"/>
  <c r="EB104" i="9"/>
  <c r="EB100" i="9"/>
  <c r="EB96" i="9"/>
  <c r="EB92" i="9"/>
  <c r="EB88" i="9"/>
  <c r="EB115" i="9"/>
  <c r="EB111" i="9"/>
  <c r="EB107" i="9"/>
  <c r="EB114" i="9"/>
  <c r="EB110" i="9"/>
  <c r="EB106" i="9"/>
  <c r="EB102" i="9"/>
  <c r="EB98" i="9"/>
  <c r="EB94" i="9"/>
  <c r="EB90" i="9"/>
  <c r="EB103" i="9"/>
  <c r="EB89" i="9"/>
  <c r="EB84" i="9"/>
  <c r="EB80" i="9"/>
  <c r="EB76" i="9"/>
  <c r="EB72" i="9"/>
  <c r="EB68" i="9"/>
  <c r="EB64" i="9"/>
  <c r="EB99" i="9"/>
  <c r="EB87" i="9"/>
  <c r="EB83" i="9"/>
  <c r="EB79" i="9"/>
  <c r="EB75" i="9"/>
  <c r="EB71" i="9"/>
  <c r="EB67" i="9"/>
  <c r="EB63" i="9"/>
  <c r="EB95" i="9"/>
  <c r="EB86" i="9"/>
  <c r="EB82" i="9"/>
  <c r="EB78" i="9"/>
  <c r="EB74" i="9"/>
  <c r="EB70" i="9"/>
  <c r="EB66" i="9"/>
  <c r="EB91" i="9"/>
  <c r="EB85" i="9"/>
  <c r="EB81" i="9"/>
  <c r="EB77" i="9"/>
  <c r="EB73" i="9"/>
  <c r="EB69" i="9"/>
  <c r="EB65" i="9"/>
  <c r="EB62" i="9"/>
  <c r="EB8" i="9"/>
  <c r="EB16" i="9"/>
  <c r="EB14" i="9"/>
  <c r="EB12" i="9"/>
  <c r="EB10" i="9"/>
  <c r="EC6" i="9"/>
  <c r="EB15" i="9"/>
  <c r="EB13" i="9"/>
  <c r="EB11" i="9"/>
  <c r="EB9" i="9"/>
  <c r="EC213" i="9" l="1"/>
  <c r="EC211" i="9"/>
  <c r="EC210" i="9"/>
  <c r="EC212" i="9"/>
  <c r="EC209" i="9"/>
  <c r="EC208" i="9"/>
  <c r="EC207" i="9"/>
  <c r="EC204" i="9"/>
  <c r="EC206" i="9"/>
  <c r="EC203" i="9"/>
  <c r="EC202" i="9"/>
  <c r="EC201" i="9"/>
  <c r="EC198" i="9"/>
  <c r="EC194" i="9"/>
  <c r="EC197" i="9"/>
  <c r="EC199" i="9"/>
  <c r="EC196" i="9"/>
  <c r="EC191" i="9"/>
  <c r="EC195" i="9"/>
  <c r="EC190" i="9"/>
  <c r="EC205" i="9"/>
  <c r="EC187" i="9"/>
  <c r="EC183" i="9"/>
  <c r="EC200" i="9"/>
  <c r="EC186" i="9"/>
  <c r="EC182" i="9"/>
  <c r="EC193" i="9"/>
  <c r="EC185" i="9"/>
  <c r="EC175" i="9"/>
  <c r="EC184" i="9"/>
  <c r="EC178" i="9"/>
  <c r="EC174" i="9"/>
  <c r="EC189" i="9"/>
  <c r="EC177" i="9"/>
  <c r="EC171" i="9"/>
  <c r="EC167" i="9"/>
  <c r="EC163" i="9"/>
  <c r="EC159" i="9"/>
  <c r="EC155" i="9"/>
  <c r="EC151" i="9"/>
  <c r="EC180" i="9"/>
  <c r="EC176" i="9"/>
  <c r="EC170" i="9"/>
  <c r="EC166" i="9"/>
  <c r="EC162" i="9"/>
  <c r="EC158" i="9"/>
  <c r="EC154" i="9"/>
  <c r="EC150" i="9"/>
  <c r="EC192" i="9"/>
  <c r="EC181" i="9"/>
  <c r="EC179" i="9"/>
  <c r="EC173" i="9"/>
  <c r="EC188" i="9"/>
  <c r="EC172" i="9"/>
  <c r="EC168" i="9"/>
  <c r="EC160" i="9"/>
  <c r="EC165" i="9"/>
  <c r="EC157" i="9"/>
  <c r="EC164" i="9"/>
  <c r="EC169" i="9"/>
  <c r="EC161" i="9"/>
  <c r="EC156" i="9"/>
  <c r="EC153" i="9"/>
  <c r="EC149" i="9"/>
  <c r="EC145" i="9"/>
  <c r="EC152" i="9"/>
  <c r="EC148" i="9"/>
  <c r="EC147" i="9"/>
  <c r="EC141" i="9"/>
  <c r="EC137" i="9"/>
  <c r="EC133" i="9"/>
  <c r="EC146" i="9"/>
  <c r="EC144" i="9"/>
  <c r="EC140" i="9"/>
  <c r="EC136" i="9"/>
  <c r="EC132" i="9"/>
  <c r="EC143" i="9"/>
  <c r="EC139" i="9"/>
  <c r="EC135" i="9"/>
  <c r="EC142" i="9"/>
  <c r="EC138" i="9"/>
  <c r="EC134" i="9"/>
  <c r="EC127" i="9"/>
  <c r="EC123" i="9"/>
  <c r="EC119" i="9"/>
  <c r="EC130" i="9"/>
  <c r="EC126" i="9"/>
  <c r="EC122" i="9"/>
  <c r="EC118" i="9"/>
  <c r="EC131" i="9"/>
  <c r="EC129" i="9"/>
  <c r="EC125" i="9"/>
  <c r="EC121" i="9"/>
  <c r="EC117" i="9"/>
  <c r="EC128" i="9"/>
  <c r="EC124" i="9"/>
  <c r="EC120" i="9"/>
  <c r="EC116" i="9"/>
  <c r="EC112" i="9"/>
  <c r="EC108" i="9"/>
  <c r="EC104" i="9"/>
  <c r="EC100" i="9"/>
  <c r="EC96" i="9"/>
  <c r="EC115" i="9"/>
  <c r="EC111" i="9"/>
  <c r="EC107" i="9"/>
  <c r="EC103" i="9"/>
  <c r="EC99" i="9"/>
  <c r="EC95" i="9"/>
  <c r="EC91" i="9"/>
  <c r="EC87" i="9"/>
  <c r="EC114" i="9"/>
  <c r="EC110" i="9"/>
  <c r="EC106" i="9"/>
  <c r="EC113" i="9"/>
  <c r="EC109" i="9"/>
  <c r="EC105" i="9"/>
  <c r="EC101" i="9"/>
  <c r="EC97" i="9"/>
  <c r="EC93" i="9"/>
  <c r="EC89" i="9"/>
  <c r="EC94" i="9"/>
  <c r="EC88" i="9"/>
  <c r="EC83" i="9"/>
  <c r="EC79" i="9"/>
  <c r="EC75" i="9"/>
  <c r="EC71" i="9"/>
  <c r="EC67" i="9"/>
  <c r="EC86" i="9"/>
  <c r="EC82" i="9"/>
  <c r="EC78" i="9"/>
  <c r="EC74" i="9"/>
  <c r="EC70" i="9"/>
  <c r="EC66" i="9"/>
  <c r="EC102" i="9"/>
  <c r="EC92" i="9"/>
  <c r="EC85" i="9"/>
  <c r="EC81" i="9"/>
  <c r="EC77" i="9"/>
  <c r="EC73" i="9"/>
  <c r="EC69" i="9"/>
  <c r="EC65" i="9"/>
  <c r="EC98" i="9"/>
  <c r="EC90" i="9"/>
  <c r="EC84" i="9"/>
  <c r="EC80" i="9"/>
  <c r="EC76" i="9"/>
  <c r="EC72" i="9"/>
  <c r="EC68" i="9"/>
  <c r="EC64" i="9"/>
  <c r="EC63" i="9"/>
  <c r="EC62" i="9"/>
  <c r="EC16" i="9"/>
  <c r="EC14" i="9"/>
  <c r="EC12" i="9"/>
  <c r="EC10" i="9"/>
  <c r="ED6" i="9"/>
  <c r="EC15" i="9"/>
  <c r="EC13" i="9"/>
  <c r="EC11" i="9"/>
  <c r="EC9" i="9"/>
  <c r="EC8" i="9"/>
  <c r="ED213" i="9" l="1"/>
  <c r="ED212" i="9"/>
  <c r="ED210" i="9"/>
  <c r="ED209" i="9"/>
  <c r="ED208" i="9"/>
  <c r="ED211" i="9"/>
  <c r="ED207" i="9"/>
  <c r="ED206" i="9"/>
  <c r="ED205" i="9"/>
  <c r="ED202" i="9"/>
  <c r="ED204" i="9"/>
  <c r="ED201" i="9"/>
  <c r="ED197" i="9"/>
  <c r="ED203" i="9"/>
  <c r="ED199" i="9"/>
  <c r="ED196" i="9"/>
  <c r="ED195" i="9"/>
  <c r="ED190" i="9"/>
  <c r="ED193" i="9"/>
  <c r="ED200" i="9"/>
  <c r="ED194" i="9"/>
  <c r="ED186" i="9"/>
  <c r="ED182" i="9"/>
  <c r="ED198" i="9"/>
  <c r="ED189" i="9"/>
  <c r="ED185" i="9"/>
  <c r="ED181" i="9"/>
  <c r="ED184" i="9"/>
  <c r="ED178" i="9"/>
  <c r="ED174" i="9"/>
  <c r="ED191" i="9"/>
  <c r="ED183" i="9"/>
  <c r="ED179" i="9"/>
  <c r="ED177" i="9"/>
  <c r="ED173" i="9"/>
  <c r="ED180" i="9"/>
  <c r="ED176" i="9"/>
  <c r="ED170" i="9"/>
  <c r="ED166" i="9"/>
  <c r="ED162" i="9"/>
  <c r="ED158" i="9"/>
  <c r="ED154" i="9"/>
  <c r="ED187" i="9"/>
  <c r="ED175" i="9"/>
  <c r="ED169" i="9"/>
  <c r="ED165" i="9"/>
  <c r="ED161" i="9"/>
  <c r="ED157" i="9"/>
  <c r="ED153" i="9"/>
  <c r="ED192" i="9"/>
  <c r="ED171" i="9"/>
  <c r="ED188" i="9"/>
  <c r="ED172" i="9"/>
  <c r="ED167" i="9"/>
  <c r="ED159" i="9"/>
  <c r="ED164" i="9"/>
  <c r="ED156" i="9"/>
  <c r="ED163" i="9"/>
  <c r="ED168" i="9"/>
  <c r="ED160" i="9"/>
  <c r="ED155" i="9"/>
  <c r="ED150" i="9"/>
  <c r="ED149" i="9"/>
  <c r="ED152" i="9"/>
  <c r="ED148" i="9"/>
  <c r="ED151" i="9"/>
  <c r="ED147" i="9"/>
  <c r="ED146" i="9"/>
  <c r="ED144" i="9"/>
  <c r="ED140" i="9"/>
  <c r="ED136" i="9"/>
  <c r="ED145" i="9"/>
  <c r="ED143" i="9"/>
  <c r="ED139" i="9"/>
  <c r="ED135" i="9"/>
  <c r="ED131" i="9"/>
  <c r="ED142" i="9"/>
  <c r="ED138" i="9"/>
  <c r="ED134" i="9"/>
  <c r="ED141" i="9"/>
  <c r="ED137" i="9"/>
  <c r="ED133" i="9"/>
  <c r="ED130" i="9"/>
  <c r="ED126" i="9"/>
  <c r="ED122" i="9"/>
  <c r="ED118" i="9"/>
  <c r="ED132" i="9"/>
  <c r="ED129" i="9"/>
  <c r="ED125" i="9"/>
  <c r="ED121" i="9"/>
  <c r="ED117" i="9"/>
  <c r="ED128" i="9"/>
  <c r="ED124" i="9"/>
  <c r="ED120" i="9"/>
  <c r="ED127" i="9"/>
  <c r="ED123" i="9"/>
  <c r="ED119" i="9"/>
  <c r="ED116" i="9"/>
  <c r="ED115" i="9"/>
  <c r="ED111" i="9"/>
  <c r="ED107" i="9"/>
  <c r="ED103" i="9"/>
  <c r="ED99" i="9"/>
  <c r="ED95" i="9"/>
  <c r="ED114" i="9"/>
  <c r="ED110" i="9"/>
  <c r="ED106" i="9"/>
  <c r="ED102" i="9"/>
  <c r="ED98" i="9"/>
  <c r="ED94" i="9"/>
  <c r="ED90" i="9"/>
  <c r="ED113" i="9"/>
  <c r="ED109" i="9"/>
  <c r="ED112" i="9"/>
  <c r="ED108" i="9"/>
  <c r="ED104" i="9"/>
  <c r="ED100" i="9"/>
  <c r="ED96" i="9"/>
  <c r="ED92" i="9"/>
  <c r="ED88" i="9"/>
  <c r="ED101" i="9"/>
  <c r="ED87" i="9"/>
  <c r="ED86" i="9"/>
  <c r="ED82" i="9"/>
  <c r="ED78" i="9"/>
  <c r="ED74" i="9"/>
  <c r="ED70" i="9"/>
  <c r="ED66" i="9"/>
  <c r="ED97" i="9"/>
  <c r="ED85" i="9"/>
  <c r="ED81" i="9"/>
  <c r="ED77" i="9"/>
  <c r="ED73" i="9"/>
  <c r="ED69" i="9"/>
  <c r="ED65" i="9"/>
  <c r="ED93" i="9"/>
  <c r="ED91" i="9"/>
  <c r="ED84" i="9"/>
  <c r="ED80" i="9"/>
  <c r="ED76" i="9"/>
  <c r="ED72" i="9"/>
  <c r="ED68" i="9"/>
  <c r="ED64" i="9"/>
  <c r="ED105" i="9"/>
  <c r="ED89" i="9"/>
  <c r="ED83" i="9"/>
  <c r="ED79" i="9"/>
  <c r="ED75" i="9"/>
  <c r="ED71" i="9"/>
  <c r="ED67" i="9"/>
  <c r="ED63" i="9"/>
  <c r="ED62" i="9"/>
  <c r="EE6" i="9"/>
  <c r="ED15" i="9"/>
  <c r="ED13" i="9"/>
  <c r="ED11" i="9"/>
  <c r="ED9" i="9"/>
  <c r="ED8" i="9"/>
  <c r="ED16" i="9"/>
  <c r="ED14" i="9"/>
  <c r="ED12" i="9"/>
  <c r="ED10" i="9"/>
  <c r="EE213" i="9" l="1"/>
  <c r="EE212" i="9"/>
  <c r="EE211" i="9"/>
  <c r="EE210" i="9"/>
  <c r="EE209" i="9"/>
  <c r="EE208" i="9"/>
  <c r="EE207" i="9"/>
  <c r="EE205" i="9"/>
  <c r="EE204" i="9"/>
  <c r="EE201" i="9"/>
  <c r="EE200" i="9"/>
  <c r="EE206" i="9"/>
  <c r="EE203" i="9"/>
  <c r="EE199" i="9"/>
  <c r="EE196" i="9"/>
  <c r="EE202" i="9"/>
  <c r="EE195" i="9"/>
  <c r="EE193" i="9"/>
  <c r="EE194" i="9"/>
  <c r="EE192" i="9"/>
  <c r="EE198" i="9"/>
  <c r="EE189" i="9"/>
  <c r="EE185" i="9"/>
  <c r="EE181" i="9"/>
  <c r="EE188" i="9"/>
  <c r="EE184" i="9"/>
  <c r="EE180" i="9"/>
  <c r="EE191" i="9"/>
  <c r="EE183" i="9"/>
  <c r="EE179" i="9"/>
  <c r="EE177" i="9"/>
  <c r="EE173" i="9"/>
  <c r="EE197" i="9"/>
  <c r="EE182" i="9"/>
  <c r="EE176" i="9"/>
  <c r="EE187" i="9"/>
  <c r="EE175" i="9"/>
  <c r="EE169" i="9"/>
  <c r="EE165" i="9"/>
  <c r="EE161" i="9"/>
  <c r="EE157" i="9"/>
  <c r="EE153" i="9"/>
  <c r="EE190" i="9"/>
  <c r="EE174" i="9"/>
  <c r="EE172" i="9"/>
  <c r="EE168" i="9"/>
  <c r="EE164" i="9"/>
  <c r="EE160" i="9"/>
  <c r="EE156" i="9"/>
  <c r="EE152" i="9"/>
  <c r="EE186" i="9"/>
  <c r="EE171" i="9"/>
  <c r="EE170" i="9"/>
  <c r="EE178" i="9"/>
  <c r="EE166" i="9"/>
  <c r="EE163" i="9"/>
  <c r="EE162" i="9"/>
  <c r="EE167" i="9"/>
  <c r="EE159" i="9"/>
  <c r="EE154" i="9"/>
  <c r="EE148" i="9"/>
  <c r="EE151" i="9"/>
  <c r="EE147" i="9"/>
  <c r="EE158" i="9"/>
  <c r="EE155" i="9"/>
  <c r="EE150" i="9"/>
  <c r="EE149" i="9"/>
  <c r="EE145" i="9"/>
  <c r="EE146" i="9"/>
  <c r="EE143" i="9"/>
  <c r="EE139" i="9"/>
  <c r="EE135" i="9"/>
  <c r="EE142" i="9"/>
  <c r="EE138" i="9"/>
  <c r="EE134" i="9"/>
  <c r="EE141" i="9"/>
  <c r="EE137" i="9"/>
  <c r="EE133" i="9"/>
  <c r="EE144" i="9"/>
  <c r="EE140" i="9"/>
  <c r="EE136" i="9"/>
  <c r="EE132" i="9"/>
  <c r="EE129" i="9"/>
  <c r="EE125" i="9"/>
  <c r="EE121" i="9"/>
  <c r="EE117" i="9"/>
  <c r="EE131" i="9"/>
  <c r="EE128" i="9"/>
  <c r="EE124" i="9"/>
  <c r="EE120" i="9"/>
  <c r="EE116" i="9"/>
  <c r="EE127" i="9"/>
  <c r="EE123" i="9"/>
  <c r="EE119" i="9"/>
  <c r="EE130" i="9"/>
  <c r="EE126" i="9"/>
  <c r="EE122" i="9"/>
  <c r="EE118" i="9"/>
  <c r="EE114" i="9"/>
  <c r="EE110" i="9"/>
  <c r="EE106" i="9"/>
  <c r="EE102" i="9"/>
  <c r="EE98" i="9"/>
  <c r="EE94" i="9"/>
  <c r="EE113" i="9"/>
  <c r="EE109" i="9"/>
  <c r="EE105" i="9"/>
  <c r="EE101" i="9"/>
  <c r="EE97" i="9"/>
  <c r="EE93" i="9"/>
  <c r="EE89" i="9"/>
  <c r="EE112" i="9"/>
  <c r="EE108" i="9"/>
  <c r="EE115" i="9"/>
  <c r="EE111" i="9"/>
  <c r="EE107" i="9"/>
  <c r="EE103" i="9"/>
  <c r="EE99" i="9"/>
  <c r="EE95" i="9"/>
  <c r="EE91" i="9"/>
  <c r="EE87" i="9"/>
  <c r="EE85" i="9"/>
  <c r="EE81" i="9"/>
  <c r="EE77" i="9"/>
  <c r="EE73" i="9"/>
  <c r="EE69" i="9"/>
  <c r="EE65" i="9"/>
  <c r="EE104" i="9"/>
  <c r="EE92" i="9"/>
  <c r="EE84" i="9"/>
  <c r="EE80" i="9"/>
  <c r="EE76" i="9"/>
  <c r="EE72" i="9"/>
  <c r="EE68" i="9"/>
  <c r="EE64" i="9"/>
  <c r="EE100" i="9"/>
  <c r="EE90" i="9"/>
  <c r="EE83" i="9"/>
  <c r="EE79" i="9"/>
  <c r="EE75" i="9"/>
  <c r="EE71" i="9"/>
  <c r="EE67" i="9"/>
  <c r="EE96" i="9"/>
  <c r="EE88" i="9"/>
  <c r="EE86" i="9"/>
  <c r="EE82" i="9"/>
  <c r="EE78" i="9"/>
  <c r="EE74" i="9"/>
  <c r="EE70" i="9"/>
  <c r="EE66" i="9"/>
  <c r="EE62" i="9"/>
  <c r="EE63" i="9"/>
  <c r="EE15" i="9"/>
  <c r="EE13" i="9"/>
  <c r="EE11" i="9"/>
  <c r="EE9" i="9"/>
  <c r="EE8" i="9"/>
  <c r="EF6" i="9"/>
  <c r="EE16" i="9"/>
  <c r="EE14" i="9"/>
  <c r="EE12" i="9"/>
  <c r="EE10" i="9"/>
  <c r="EF212" i="9" l="1"/>
  <c r="EF211" i="9"/>
  <c r="EF213" i="9"/>
  <c r="EF206" i="9"/>
  <c r="EF210" i="9"/>
  <c r="EF209" i="9"/>
  <c r="EF205" i="9"/>
  <c r="EF208" i="9"/>
  <c r="EF204" i="9"/>
  <c r="EF207" i="9"/>
  <c r="EF203" i="9"/>
  <c r="EF199" i="9"/>
  <c r="EF202" i="9"/>
  <c r="EF195" i="9"/>
  <c r="EF200" i="9"/>
  <c r="EF198" i="9"/>
  <c r="EF194" i="9"/>
  <c r="EF192" i="9"/>
  <c r="EF201" i="9"/>
  <c r="EF191" i="9"/>
  <c r="EF188" i="9"/>
  <c r="EF184" i="9"/>
  <c r="EF180" i="9"/>
  <c r="EF196" i="9"/>
  <c r="EF193" i="9"/>
  <c r="EF187" i="9"/>
  <c r="EF183" i="9"/>
  <c r="EF179" i="9"/>
  <c r="EF197" i="9"/>
  <c r="EF182" i="9"/>
  <c r="EF176" i="9"/>
  <c r="EF172" i="9"/>
  <c r="EF189" i="9"/>
  <c r="EF181" i="9"/>
  <c r="EF175" i="9"/>
  <c r="EF190" i="9"/>
  <c r="EF174" i="9"/>
  <c r="EF168" i="9"/>
  <c r="EF164" i="9"/>
  <c r="EF160" i="9"/>
  <c r="EF156" i="9"/>
  <c r="EF152" i="9"/>
  <c r="EF185" i="9"/>
  <c r="EF173" i="9"/>
  <c r="EF171" i="9"/>
  <c r="EF167" i="9"/>
  <c r="EF163" i="9"/>
  <c r="EF159" i="9"/>
  <c r="EF155" i="9"/>
  <c r="EF151" i="9"/>
  <c r="EF186" i="9"/>
  <c r="EF177" i="9"/>
  <c r="EF178" i="9"/>
  <c r="EF165" i="9"/>
  <c r="EF162" i="9"/>
  <c r="EF169" i="9"/>
  <c r="EF161" i="9"/>
  <c r="EF170" i="9"/>
  <c r="EF166" i="9"/>
  <c r="EF158" i="9"/>
  <c r="EF153" i="9"/>
  <c r="EF147" i="9"/>
  <c r="EF157" i="9"/>
  <c r="EF146" i="9"/>
  <c r="EF150" i="9"/>
  <c r="EF149" i="9"/>
  <c r="EF154" i="9"/>
  <c r="EF148" i="9"/>
  <c r="EF145" i="9"/>
  <c r="EF142" i="9"/>
  <c r="EF138" i="9"/>
  <c r="EF134" i="9"/>
  <c r="EF141" i="9"/>
  <c r="EF137" i="9"/>
  <c r="EF133" i="9"/>
  <c r="EF144" i="9"/>
  <c r="EF140" i="9"/>
  <c r="EF136" i="9"/>
  <c r="EF143" i="9"/>
  <c r="EF139" i="9"/>
  <c r="EF135" i="9"/>
  <c r="EF131" i="9"/>
  <c r="EF132" i="9"/>
  <c r="EF128" i="9"/>
  <c r="EF124" i="9"/>
  <c r="EF120" i="9"/>
  <c r="EF127" i="9"/>
  <c r="EF123" i="9"/>
  <c r="EF119" i="9"/>
  <c r="EF130" i="9"/>
  <c r="EF126" i="9"/>
  <c r="EF122" i="9"/>
  <c r="EF118" i="9"/>
  <c r="EF129" i="9"/>
  <c r="EF125" i="9"/>
  <c r="EF121" i="9"/>
  <c r="EF117" i="9"/>
  <c r="EF113" i="9"/>
  <c r="EF109" i="9"/>
  <c r="EF105" i="9"/>
  <c r="EF101" i="9"/>
  <c r="EF97" i="9"/>
  <c r="EF93" i="9"/>
  <c r="EF112" i="9"/>
  <c r="EF108" i="9"/>
  <c r="EF104" i="9"/>
  <c r="EF100" i="9"/>
  <c r="EF96" i="9"/>
  <c r="EF92" i="9"/>
  <c r="EF88" i="9"/>
  <c r="EF115" i="9"/>
  <c r="EF111" i="9"/>
  <c r="EF107" i="9"/>
  <c r="EF116" i="9"/>
  <c r="EF114" i="9"/>
  <c r="EF110" i="9"/>
  <c r="EF106" i="9"/>
  <c r="EF102" i="9"/>
  <c r="EF98" i="9"/>
  <c r="EF94" i="9"/>
  <c r="EF90" i="9"/>
  <c r="EF99" i="9"/>
  <c r="EF84" i="9"/>
  <c r="EF80" i="9"/>
  <c r="EF76" i="9"/>
  <c r="EF72" i="9"/>
  <c r="EF68" i="9"/>
  <c r="EF64" i="9"/>
  <c r="EF95" i="9"/>
  <c r="EF91" i="9"/>
  <c r="EF83" i="9"/>
  <c r="EF79" i="9"/>
  <c r="EF75" i="9"/>
  <c r="EF71" i="9"/>
  <c r="EF67" i="9"/>
  <c r="EF63" i="9"/>
  <c r="EF89" i="9"/>
  <c r="EF86" i="9"/>
  <c r="EF82" i="9"/>
  <c r="EF78" i="9"/>
  <c r="EF74" i="9"/>
  <c r="EF70" i="9"/>
  <c r="EF66" i="9"/>
  <c r="EF103" i="9"/>
  <c r="EF87" i="9"/>
  <c r="EF85" i="9"/>
  <c r="EF81" i="9"/>
  <c r="EF77" i="9"/>
  <c r="EF73" i="9"/>
  <c r="EF69" i="9"/>
  <c r="EF65" i="9"/>
  <c r="EF62" i="9"/>
  <c r="EF8" i="9"/>
  <c r="EF16" i="9"/>
  <c r="EF14" i="9"/>
  <c r="EF12" i="9"/>
  <c r="EF10" i="9"/>
  <c r="EG6" i="9"/>
  <c r="EF15" i="9"/>
  <c r="EF13" i="9"/>
  <c r="EF11" i="9"/>
  <c r="EF9" i="9"/>
  <c r="EH6" i="9" l="1"/>
  <c r="EG8" i="9"/>
  <c r="EI6" i="9" l="1"/>
  <c r="EH8" i="9"/>
  <c r="EI213" i="9" l="1"/>
  <c r="EI212" i="9"/>
  <c r="EI211" i="9"/>
  <c r="EI210" i="9"/>
  <c r="EI209" i="9"/>
  <c r="EI208" i="9"/>
  <c r="EI204" i="9"/>
  <c r="EI203" i="9"/>
  <c r="EI207" i="9"/>
  <c r="EI206" i="9"/>
  <c r="EI202" i="9"/>
  <c r="EI205" i="9"/>
  <c r="EI201" i="9"/>
  <c r="EI200" i="9"/>
  <c r="EI198" i="9"/>
  <c r="EI194" i="9"/>
  <c r="EI197" i="9"/>
  <c r="EI191" i="9"/>
  <c r="EI190" i="9"/>
  <c r="EI196" i="9"/>
  <c r="EI193" i="9"/>
  <c r="EI187" i="9"/>
  <c r="EI183" i="9"/>
  <c r="EI192" i="9"/>
  <c r="EI186" i="9"/>
  <c r="EI182" i="9"/>
  <c r="EI189" i="9"/>
  <c r="EI181" i="9"/>
  <c r="EI175" i="9"/>
  <c r="EI188" i="9"/>
  <c r="EI180" i="9"/>
  <c r="EI178" i="9"/>
  <c r="EI174" i="9"/>
  <c r="EI185" i="9"/>
  <c r="EI173" i="9"/>
  <c r="EI172" i="9"/>
  <c r="EI171" i="9"/>
  <c r="EI167" i="9"/>
  <c r="EI163" i="9"/>
  <c r="EI159" i="9"/>
  <c r="EI155" i="9"/>
  <c r="EI151" i="9"/>
  <c r="EI199" i="9"/>
  <c r="EI179" i="9"/>
  <c r="EI170" i="9"/>
  <c r="EI166" i="9"/>
  <c r="EI162" i="9"/>
  <c r="EI158" i="9"/>
  <c r="EI154" i="9"/>
  <c r="EI150" i="9"/>
  <c r="EI195" i="9"/>
  <c r="EI177" i="9"/>
  <c r="EI184" i="9"/>
  <c r="EI176" i="9"/>
  <c r="EI164" i="9"/>
  <c r="EI169" i="9"/>
  <c r="EI161" i="9"/>
  <c r="EI168" i="9"/>
  <c r="EI160" i="9"/>
  <c r="EI165" i="9"/>
  <c r="EI157" i="9"/>
  <c r="EI152" i="9"/>
  <c r="EI149" i="9"/>
  <c r="EI145" i="9"/>
  <c r="EI148" i="9"/>
  <c r="EI156" i="9"/>
  <c r="EI153" i="9"/>
  <c r="EI147" i="9"/>
  <c r="EI141" i="9"/>
  <c r="EI137" i="9"/>
  <c r="EI133" i="9"/>
  <c r="EI144" i="9"/>
  <c r="EI140" i="9"/>
  <c r="EI136" i="9"/>
  <c r="EI132" i="9"/>
  <c r="EI143" i="9"/>
  <c r="EI139" i="9"/>
  <c r="EI135" i="9"/>
  <c r="EI146" i="9"/>
  <c r="EI142" i="9"/>
  <c r="EI138" i="9"/>
  <c r="EI134" i="9"/>
  <c r="EI131" i="9"/>
  <c r="EI127" i="9"/>
  <c r="EI123" i="9"/>
  <c r="EI119" i="9"/>
  <c r="EI130" i="9"/>
  <c r="EI126" i="9"/>
  <c r="EI122" i="9"/>
  <c r="EI118" i="9"/>
  <c r="EI129" i="9"/>
  <c r="EI125" i="9"/>
  <c r="EI121" i="9"/>
  <c r="EI117" i="9"/>
  <c r="EI128" i="9"/>
  <c r="EI124" i="9"/>
  <c r="EI120" i="9"/>
  <c r="EI116" i="9"/>
  <c r="EI112" i="9"/>
  <c r="EI108" i="9"/>
  <c r="EI104" i="9"/>
  <c r="EI100" i="9"/>
  <c r="EI96" i="9"/>
  <c r="EI115" i="9"/>
  <c r="EI111" i="9"/>
  <c r="EI107" i="9"/>
  <c r="EI103" i="9"/>
  <c r="EI99" i="9"/>
  <c r="EI95" i="9"/>
  <c r="EI91" i="9"/>
  <c r="EI87" i="9"/>
  <c r="EI114" i="9"/>
  <c r="EI110" i="9"/>
  <c r="EI106" i="9"/>
  <c r="EI113" i="9"/>
  <c r="EI109" i="9"/>
  <c r="EI105" i="9"/>
  <c r="EI101" i="9"/>
  <c r="EI97" i="9"/>
  <c r="EI93" i="9"/>
  <c r="EI89" i="9"/>
  <c r="EI92" i="9"/>
  <c r="EI83" i="9"/>
  <c r="EI79" i="9"/>
  <c r="EI75" i="9"/>
  <c r="EI71" i="9"/>
  <c r="EI67" i="9"/>
  <c r="EI102" i="9"/>
  <c r="EI90" i="9"/>
  <c r="EI86" i="9"/>
  <c r="EI82" i="9"/>
  <c r="EI78" i="9"/>
  <c r="EI74" i="9"/>
  <c r="EI70" i="9"/>
  <c r="EI66" i="9"/>
  <c r="EI98" i="9"/>
  <c r="EI88" i="9"/>
  <c r="EI85" i="9"/>
  <c r="EI81" i="9"/>
  <c r="EI77" i="9"/>
  <c r="EI73" i="9"/>
  <c r="EI69" i="9"/>
  <c r="EI65" i="9"/>
  <c r="EI94" i="9"/>
  <c r="EI84" i="9"/>
  <c r="EI80" i="9"/>
  <c r="EI76" i="9"/>
  <c r="EI72" i="9"/>
  <c r="EI68" i="9"/>
  <c r="EI64" i="9"/>
  <c r="EI63" i="9"/>
  <c r="EI62" i="9"/>
  <c r="EI16" i="9"/>
  <c r="EI14" i="9"/>
  <c r="EI12" i="9"/>
  <c r="EI10" i="9"/>
  <c r="EI8" i="9"/>
  <c r="EI15" i="9"/>
  <c r="EI13" i="9"/>
  <c r="EI11" i="9"/>
  <c r="EI9" i="9"/>
  <c r="EJ6" i="9"/>
  <c r="EJ213" i="9" l="1"/>
  <c r="EJ212" i="9"/>
  <c r="EJ209" i="9"/>
  <c r="EJ211" i="9"/>
  <c r="EJ210" i="9"/>
  <c r="EJ208" i="9"/>
  <c r="EJ207" i="9"/>
  <c r="EJ206" i="9"/>
  <c r="EJ205" i="9"/>
  <c r="EJ204" i="9"/>
  <c r="EJ203" i="9"/>
  <c r="EJ202" i="9"/>
  <c r="EJ201" i="9"/>
  <c r="EJ197" i="9"/>
  <c r="EJ196" i="9"/>
  <c r="EJ190" i="9"/>
  <c r="EJ200" i="9"/>
  <c r="EJ198" i="9"/>
  <c r="EJ193" i="9"/>
  <c r="EJ192" i="9"/>
  <c r="EJ186" i="9"/>
  <c r="EJ182" i="9"/>
  <c r="EJ191" i="9"/>
  <c r="EJ189" i="9"/>
  <c r="EJ185" i="9"/>
  <c r="EJ181" i="9"/>
  <c r="EJ188" i="9"/>
  <c r="EJ180" i="9"/>
  <c r="EJ178" i="9"/>
  <c r="EJ174" i="9"/>
  <c r="EJ187" i="9"/>
  <c r="EJ177" i="9"/>
  <c r="EJ173" i="9"/>
  <c r="EJ199" i="9"/>
  <c r="EJ179" i="9"/>
  <c r="EJ170" i="9"/>
  <c r="EJ166" i="9"/>
  <c r="EJ162" i="9"/>
  <c r="EJ158" i="9"/>
  <c r="EJ154" i="9"/>
  <c r="EJ183" i="9"/>
  <c r="EJ169" i="9"/>
  <c r="EJ165" i="9"/>
  <c r="EJ161" i="9"/>
  <c r="EJ157" i="9"/>
  <c r="EJ153" i="9"/>
  <c r="EJ195" i="9"/>
  <c r="EJ194" i="9"/>
  <c r="EJ184" i="9"/>
  <c r="EJ175" i="9"/>
  <c r="EJ172" i="9"/>
  <c r="EJ176" i="9"/>
  <c r="EJ171" i="9"/>
  <c r="EJ163" i="9"/>
  <c r="EJ168" i="9"/>
  <c r="EJ160" i="9"/>
  <c r="EJ167" i="9"/>
  <c r="EJ159" i="9"/>
  <c r="EJ164" i="9"/>
  <c r="EJ156" i="9"/>
  <c r="EJ151" i="9"/>
  <c r="EJ149" i="9"/>
  <c r="EJ150" i="9"/>
  <c r="EJ148" i="9"/>
  <c r="EJ155" i="9"/>
  <c r="EJ147" i="9"/>
  <c r="EJ152" i="9"/>
  <c r="EJ146" i="9"/>
  <c r="EJ144" i="9"/>
  <c r="EJ140" i="9"/>
  <c r="EJ136" i="9"/>
  <c r="EJ143" i="9"/>
  <c r="EJ139" i="9"/>
  <c r="EJ135" i="9"/>
  <c r="EJ131" i="9"/>
  <c r="EJ142" i="9"/>
  <c r="EJ138" i="9"/>
  <c r="EJ134" i="9"/>
  <c r="EJ145" i="9"/>
  <c r="EJ141" i="9"/>
  <c r="EJ137" i="9"/>
  <c r="EJ133" i="9"/>
  <c r="EJ130" i="9"/>
  <c r="EJ126" i="9"/>
  <c r="EJ122" i="9"/>
  <c r="EJ118" i="9"/>
  <c r="EJ129" i="9"/>
  <c r="EJ125" i="9"/>
  <c r="EJ121" i="9"/>
  <c r="EJ117" i="9"/>
  <c r="EJ128" i="9"/>
  <c r="EJ124" i="9"/>
  <c r="EJ120" i="9"/>
  <c r="EJ132" i="9"/>
  <c r="EJ127" i="9"/>
  <c r="EJ123" i="9"/>
  <c r="EJ119" i="9"/>
  <c r="EJ115" i="9"/>
  <c r="EJ111" i="9"/>
  <c r="EJ107" i="9"/>
  <c r="EJ103" i="9"/>
  <c r="EJ99" i="9"/>
  <c r="EJ95" i="9"/>
  <c r="EJ114" i="9"/>
  <c r="EJ110" i="9"/>
  <c r="EJ106" i="9"/>
  <c r="EJ102" i="9"/>
  <c r="EJ98" i="9"/>
  <c r="EJ94" i="9"/>
  <c r="EJ90" i="9"/>
  <c r="EJ116" i="9"/>
  <c r="EJ113" i="9"/>
  <c r="EJ109" i="9"/>
  <c r="EJ112" i="9"/>
  <c r="EJ108" i="9"/>
  <c r="EJ104" i="9"/>
  <c r="EJ100" i="9"/>
  <c r="EJ96" i="9"/>
  <c r="EJ92" i="9"/>
  <c r="EJ88" i="9"/>
  <c r="EJ97" i="9"/>
  <c r="EJ91" i="9"/>
  <c r="EJ86" i="9"/>
  <c r="EJ82" i="9"/>
  <c r="EJ78" i="9"/>
  <c r="EJ74" i="9"/>
  <c r="EJ70" i="9"/>
  <c r="EJ66" i="9"/>
  <c r="EJ93" i="9"/>
  <c r="EJ89" i="9"/>
  <c r="EJ85" i="9"/>
  <c r="EJ81" i="9"/>
  <c r="EJ77" i="9"/>
  <c r="EJ73" i="9"/>
  <c r="EJ69" i="9"/>
  <c r="EJ65" i="9"/>
  <c r="EJ105" i="9"/>
  <c r="EJ87" i="9"/>
  <c r="EJ84" i="9"/>
  <c r="EJ80" i="9"/>
  <c r="EJ76" i="9"/>
  <c r="EJ72" i="9"/>
  <c r="EJ68" i="9"/>
  <c r="EJ64" i="9"/>
  <c r="EJ101" i="9"/>
  <c r="EJ83" i="9"/>
  <c r="EJ79" i="9"/>
  <c r="EJ75" i="9"/>
  <c r="EJ71" i="9"/>
  <c r="EJ67" i="9"/>
  <c r="EJ63" i="9"/>
  <c r="EJ62" i="9"/>
  <c r="EJ8" i="9"/>
  <c r="EJ15" i="9"/>
  <c r="EJ13" i="9"/>
  <c r="EJ11" i="9"/>
  <c r="EJ9" i="9"/>
  <c r="EK6" i="9"/>
  <c r="EJ16" i="9"/>
  <c r="EJ14" i="9"/>
  <c r="EJ12" i="9"/>
  <c r="EJ10" i="9"/>
  <c r="EK213" i="9" l="1"/>
  <c r="EK212" i="9"/>
  <c r="EK211" i="9"/>
  <c r="EK209" i="9"/>
  <c r="EK210" i="9"/>
  <c r="EK208" i="9"/>
  <c r="EK207" i="9"/>
  <c r="EK206" i="9"/>
  <c r="EK205" i="9"/>
  <c r="EK204" i="9"/>
  <c r="EK201" i="9"/>
  <c r="EK200" i="9"/>
  <c r="EK203" i="9"/>
  <c r="EK202" i="9"/>
  <c r="EK196" i="9"/>
  <c r="EK199" i="9"/>
  <c r="EK195" i="9"/>
  <c r="EK198" i="9"/>
  <c r="EK193" i="9"/>
  <c r="EK197" i="9"/>
  <c r="EK192" i="9"/>
  <c r="EK191" i="9"/>
  <c r="EK189" i="9"/>
  <c r="EK185" i="9"/>
  <c r="EK181" i="9"/>
  <c r="EK190" i="9"/>
  <c r="EK188" i="9"/>
  <c r="EK184" i="9"/>
  <c r="EK180" i="9"/>
  <c r="EK187" i="9"/>
  <c r="EK177" i="9"/>
  <c r="EK173" i="9"/>
  <c r="EK186" i="9"/>
  <c r="EK179" i="9"/>
  <c r="EK176" i="9"/>
  <c r="EK183" i="9"/>
  <c r="EK169" i="9"/>
  <c r="EK165" i="9"/>
  <c r="EK161" i="9"/>
  <c r="EK157" i="9"/>
  <c r="EK153" i="9"/>
  <c r="EK178" i="9"/>
  <c r="EK168" i="9"/>
  <c r="EK164" i="9"/>
  <c r="EK160" i="9"/>
  <c r="EK156" i="9"/>
  <c r="EK152" i="9"/>
  <c r="EK194" i="9"/>
  <c r="EK182" i="9"/>
  <c r="EK175" i="9"/>
  <c r="EK172" i="9"/>
  <c r="EK171" i="9"/>
  <c r="EK174" i="9"/>
  <c r="EK170" i="9"/>
  <c r="EK162" i="9"/>
  <c r="EK167" i="9"/>
  <c r="EK159" i="9"/>
  <c r="EK166" i="9"/>
  <c r="EK163" i="9"/>
  <c r="EK150" i="9"/>
  <c r="EK148" i="9"/>
  <c r="EK155" i="9"/>
  <c r="EK147" i="9"/>
  <c r="EK158" i="9"/>
  <c r="EK154" i="9"/>
  <c r="EK151" i="9"/>
  <c r="EK149" i="9"/>
  <c r="EK145" i="9"/>
  <c r="EK143" i="9"/>
  <c r="EK139" i="9"/>
  <c r="EK135" i="9"/>
  <c r="EK142" i="9"/>
  <c r="EK138" i="9"/>
  <c r="EK134" i="9"/>
  <c r="EK146" i="9"/>
  <c r="EK141" i="9"/>
  <c r="EK137" i="9"/>
  <c r="EK133" i="9"/>
  <c r="EK144" i="9"/>
  <c r="EK140" i="9"/>
  <c r="EK136" i="9"/>
  <c r="EK132" i="9"/>
  <c r="EK129" i="9"/>
  <c r="EK125" i="9"/>
  <c r="EK121" i="9"/>
  <c r="EK117" i="9"/>
  <c r="EK128" i="9"/>
  <c r="EK124" i="9"/>
  <c r="EK120" i="9"/>
  <c r="EK116" i="9"/>
  <c r="EK127" i="9"/>
  <c r="EK123" i="9"/>
  <c r="EK119" i="9"/>
  <c r="EK131" i="9"/>
  <c r="EK130" i="9"/>
  <c r="EK126" i="9"/>
  <c r="EK122" i="9"/>
  <c r="EK118" i="9"/>
  <c r="EK114" i="9"/>
  <c r="EK110" i="9"/>
  <c r="EK106" i="9"/>
  <c r="EK102" i="9"/>
  <c r="EK98" i="9"/>
  <c r="EK94" i="9"/>
  <c r="EK113" i="9"/>
  <c r="EK109" i="9"/>
  <c r="EK105" i="9"/>
  <c r="EK101" i="9"/>
  <c r="EK97" i="9"/>
  <c r="EK93" i="9"/>
  <c r="EK89" i="9"/>
  <c r="EK112" i="9"/>
  <c r="EK108" i="9"/>
  <c r="EK115" i="9"/>
  <c r="EK111" i="9"/>
  <c r="EK107" i="9"/>
  <c r="EK103" i="9"/>
  <c r="EK99" i="9"/>
  <c r="EK95" i="9"/>
  <c r="EK91" i="9"/>
  <c r="EK87" i="9"/>
  <c r="EK104" i="9"/>
  <c r="EK90" i="9"/>
  <c r="EK85" i="9"/>
  <c r="EK81" i="9"/>
  <c r="EK77" i="9"/>
  <c r="EK73" i="9"/>
  <c r="EK69" i="9"/>
  <c r="EK65" i="9"/>
  <c r="EK100" i="9"/>
  <c r="EK88" i="9"/>
  <c r="EK84" i="9"/>
  <c r="EK80" i="9"/>
  <c r="EK76" i="9"/>
  <c r="EK72" i="9"/>
  <c r="EK68" i="9"/>
  <c r="EK64" i="9"/>
  <c r="EK96" i="9"/>
  <c r="EK83" i="9"/>
  <c r="EK79" i="9"/>
  <c r="EK75" i="9"/>
  <c r="EK71" i="9"/>
  <c r="EK67" i="9"/>
  <c r="EK92" i="9"/>
  <c r="EK86" i="9"/>
  <c r="EK82" i="9"/>
  <c r="EK78" i="9"/>
  <c r="EK74" i="9"/>
  <c r="EK70" i="9"/>
  <c r="EK66" i="9"/>
  <c r="EK63" i="9"/>
  <c r="EK62" i="9"/>
  <c r="EK15" i="9"/>
  <c r="EK13" i="9"/>
  <c r="EK11" i="9"/>
  <c r="EK9" i="9"/>
  <c r="EL6" i="9"/>
  <c r="EK16" i="9"/>
  <c r="EK14" i="9"/>
  <c r="EK12" i="9"/>
  <c r="EK10" i="9"/>
  <c r="EK8" i="9"/>
  <c r="EL211" i="9" l="1"/>
  <c r="EL213" i="9"/>
  <c r="EL210" i="9"/>
  <c r="EL212" i="9"/>
  <c r="EL206" i="9"/>
  <c r="EL209" i="9"/>
  <c r="EL208" i="9"/>
  <c r="EL205" i="9"/>
  <c r="EL207" i="9"/>
  <c r="EL204" i="9"/>
  <c r="EL199" i="9"/>
  <c r="EL203" i="9"/>
  <c r="EL202" i="9"/>
  <c r="EL195" i="9"/>
  <c r="EL198" i="9"/>
  <c r="EL201" i="9"/>
  <c r="EL200" i="9"/>
  <c r="EL197" i="9"/>
  <c r="EL192" i="9"/>
  <c r="EL196" i="9"/>
  <c r="EL194" i="9"/>
  <c r="EL191" i="9"/>
  <c r="EL190" i="9"/>
  <c r="EL188" i="9"/>
  <c r="EL184" i="9"/>
  <c r="EL180" i="9"/>
  <c r="EL187" i="9"/>
  <c r="EL183" i="9"/>
  <c r="EL179" i="9"/>
  <c r="EL186" i="9"/>
  <c r="EL176" i="9"/>
  <c r="EL172" i="9"/>
  <c r="EL185" i="9"/>
  <c r="EL175" i="9"/>
  <c r="EL178" i="9"/>
  <c r="EL168" i="9"/>
  <c r="EL164" i="9"/>
  <c r="EL160" i="9"/>
  <c r="EL156" i="9"/>
  <c r="EL152" i="9"/>
  <c r="EL181" i="9"/>
  <c r="EL177" i="9"/>
  <c r="EL171" i="9"/>
  <c r="EL167" i="9"/>
  <c r="EL163" i="9"/>
  <c r="EL159" i="9"/>
  <c r="EL155" i="9"/>
  <c r="EL151" i="9"/>
  <c r="EL193" i="9"/>
  <c r="EL182" i="9"/>
  <c r="EL173" i="9"/>
  <c r="EL174" i="9"/>
  <c r="EL189" i="9"/>
  <c r="EL169" i="9"/>
  <c r="EL161" i="9"/>
  <c r="EL166" i="9"/>
  <c r="EL158" i="9"/>
  <c r="EL170" i="9"/>
  <c r="EL165" i="9"/>
  <c r="EL162" i="9"/>
  <c r="EL157" i="9"/>
  <c r="EL147" i="9"/>
  <c r="EL154" i="9"/>
  <c r="EL146" i="9"/>
  <c r="EL153" i="9"/>
  <c r="EL149" i="9"/>
  <c r="EL150" i="9"/>
  <c r="EL148" i="9"/>
  <c r="EL142" i="9"/>
  <c r="EL138" i="9"/>
  <c r="EL134" i="9"/>
  <c r="EL141" i="9"/>
  <c r="EL137" i="9"/>
  <c r="EL133" i="9"/>
  <c r="EL145" i="9"/>
  <c r="EL144" i="9"/>
  <c r="EL140" i="9"/>
  <c r="EL136" i="9"/>
  <c r="EL143" i="9"/>
  <c r="EL139" i="9"/>
  <c r="EL135" i="9"/>
  <c r="EL131" i="9"/>
  <c r="EL128" i="9"/>
  <c r="EL124" i="9"/>
  <c r="EL120" i="9"/>
  <c r="EL127" i="9"/>
  <c r="EL123" i="9"/>
  <c r="EL119" i="9"/>
  <c r="EL132" i="9"/>
  <c r="EL130" i="9"/>
  <c r="EL126" i="9"/>
  <c r="EL122" i="9"/>
  <c r="EL118" i="9"/>
  <c r="EL129" i="9"/>
  <c r="EL125" i="9"/>
  <c r="EL121" i="9"/>
  <c r="EL117" i="9"/>
  <c r="EL113" i="9"/>
  <c r="EL109" i="9"/>
  <c r="EL105" i="9"/>
  <c r="EL101" i="9"/>
  <c r="EL97" i="9"/>
  <c r="EL93" i="9"/>
  <c r="EL116" i="9"/>
  <c r="EL112" i="9"/>
  <c r="EL108" i="9"/>
  <c r="EL104" i="9"/>
  <c r="EL100" i="9"/>
  <c r="EL96" i="9"/>
  <c r="EL92" i="9"/>
  <c r="EL88" i="9"/>
  <c r="EL115" i="9"/>
  <c r="EL111" i="9"/>
  <c r="EL107" i="9"/>
  <c r="EL114" i="9"/>
  <c r="EL110" i="9"/>
  <c r="EL106" i="9"/>
  <c r="EL102" i="9"/>
  <c r="EL98" i="9"/>
  <c r="EL94" i="9"/>
  <c r="EL90" i="9"/>
  <c r="EL95" i="9"/>
  <c r="EL89" i="9"/>
  <c r="EL84" i="9"/>
  <c r="EL80" i="9"/>
  <c r="EL76" i="9"/>
  <c r="EL72" i="9"/>
  <c r="EL68" i="9"/>
  <c r="EL64" i="9"/>
  <c r="EL87" i="9"/>
  <c r="EL83" i="9"/>
  <c r="EL79" i="9"/>
  <c r="EL75" i="9"/>
  <c r="EL71" i="9"/>
  <c r="EL67" i="9"/>
  <c r="EL63" i="9"/>
  <c r="EL103" i="9"/>
  <c r="EL86" i="9"/>
  <c r="EL82" i="9"/>
  <c r="EL78" i="9"/>
  <c r="EL74" i="9"/>
  <c r="EL70" i="9"/>
  <c r="EL66" i="9"/>
  <c r="EL99" i="9"/>
  <c r="EL91" i="9"/>
  <c r="EL85" i="9"/>
  <c r="EL81" i="9"/>
  <c r="EL77" i="9"/>
  <c r="EL73" i="9"/>
  <c r="EL69" i="9"/>
  <c r="EL65" i="9"/>
  <c r="EL62" i="9"/>
  <c r="EM6" i="9"/>
  <c r="EL16" i="9"/>
  <c r="EL14" i="9"/>
  <c r="EL12" i="9"/>
  <c r="EL10" i="9"/>
  <c r="EL8" i="9"/>
  <c r="EL15" i="9"/>
  <c r="EL13" i="9"/>
  <c r="EL11" i="9"/>
  <c r="EL9" i="9"/>
  <c r="EM213" i="9" l="1"/>
  <c r="EM211" i="9"/>
  <c r="EM210" i="9"/>
  <c r="EM212" i="9"/>
  <c r="EM209" i="9"/>
  <c r="EM208" i="9"/>
  <c r="EM207" i="9"/>
  <c r="EM204" i="9"/>
  <c r="EM203" i="9"/>
  <c r="EM206" i="9"/>
  <c r="EM205" i="9"/>
  <c r="EM202" i="9"/>
  <c r="EM201" i="9"/>
  <c r="EM199" i="9"/>
  <c r="EM198" i="9"/>
  <c r="EM194" i="9"/>
  <c r="EM200" i="9"/>
  <c r="EM197" i="9"/>
  <c r="EM196" i="9"/>
  <c r="EM191" i="9"/>
  <c r="EM195" i="9"/>
  <c r="EM190" i="9"/>
  <c r="EM187" i="9"/>
  <c r="EM183" i="9"/>
  <c r="EM186" i="9"/>
  <c r="EM182" i="9"/>
  <c r="EM185" i="9"/>
  <c r="EM179" i="9"/>
  <c r="EM175" i="9"/>
  <c r="EM192" i="9"/>
  <c r="EM184" i="9"/>
  <c r="EM178" i="9"/>
  <c r="EM174" i="9"/>
  <c r="EM181" i="9"/>
  <c r="EM177" i="9"/>
  <c r="EM171" i="9"/>
  <c r="EM167" i="9"/>
  <c r="EM163" i="9"/>
  <c r="EM159" i="9"/>
  <c r="EM155" i="9"/>
  <c r="EM151" i="9"/>
  <c r="EM188" i="9"/>
  <c r="EM176" i="9"/>
  <c r="EM172" i="9"/>
  <c r="EM170" i="9"/>
  <c r="EM166" i="9"/>
  <c r="EM162" i="9"/>
  <c r="EM158" i="9"/>
  <c r="EM154" i="9"/>
  <c r="EM150" i="9"/>
  <c r="EM193" i="9"/>
  <c r="EM173" i="9"/>
  <c r="EM189" i="9"/>
  <c r="EM180" i="9"/>
  <c r="EM168" i="9"/>
  <c r="EM160" i="9"/>
  <c r="EM165" i="9"/>
  <c r="EM157" i="9"/>
  <c r="EM164" i="9"/>
  <c r="EM169" i="9"/>
  <c r="EM161" i="9"/>
  <c r="EM153" i="9"/>
  <c r="EM149" i="9"/>
  <c r="EM145" i="9"/>
  <c r="EM156" i="9"/>
  <c r="EM152" i="9"/>
  <c r="EM148" i="9"/>
  <c r="EM147" i="9"/>
  <c r="EM141" i="9"/>
  <c r="EM137" i="9"/>
  <c r="EM133" i="9"/>
  <c r="EM146" i="9"/>
  <c r="EM144" i="9"/>
  <c r="EM140" i="9"/>
  <c r="EM136" i="9"/>
  <c r="EM132" i="9"/>
  <c r="EM143" i="9"/>
  <c r="EM139" i="9"/>
  <c r="EM135" i="9"/>
  <c r="EM142" i="9"/>
  <c r="EM138" i="9"/>
  <c r="EM134" i="9"/>
  <c r="EM127" i="9"/>
  <c r="EM123" i="9"/>
  <c r="EM119" i="9"/>
  <c r="EM130" i="9"/>
  <c r="EM126" i="9"/>
  <c r="EM122" i="9"/>
  <c r="EM118" i="9"/>
  <c r="EM131" i="9"/>
  <c r="EM129" i="9"/>
  <c r="EM125" i="9"/>
  <c r="EM121" i="9"/>
  <c r="EM117" i="9"/>
  <c r="EM128" i="9"/>
  <c r="EM124" i="9"/>
  <c r="EM120" i="9"/>
  <c r="EM116" i="9"/>
  <c r="EM112" i="9"/>
  <c r="EM108" i="9"/>
  <c r="EM104" i="9"/>
  <c r="EM100" i="9"/>
  <c r="EM96" i="9"/>
  <c r="EM115" i="9"/>
  <c r="EM111" i="9"/>
  <c r="EM107" i="9"/>
  <c r="EM103" i="9"/>
  <c r="EM99" i="9"/>
  <c r="EM95" i="9"/>
  <c r="EM91" i="9"/>
  <c r="EM87" i="9"/>
  <c r="EM114" i="9"/>
  <c r="EM110" i="9"/>
  <c r="EM106" i="9"/>
  <c r="EM113" i="9"/>
  <c r="EM109" i="9"/>
  <c r="EM105" i="9"/>
  <c r="EM101" i="9"/>
  <c r="EM97" i="9"/>
  <c r="EM93" i="9"/>
  <c r="EM89" i="9"/>
  <c r="EM102" i="9"/>
  <c r="EM88" i="9"/>
  <c r="EM83" i="9"/>
  <c r="EM79" i="9"/>
  <c r="EM75" i="9"/>
  <c r="EM71" i="9"/>
  <c r="EM67" i="9"/>
  <c r="EM98" i="9"/>
  <c r="EM86" i="9"/>
  <c r="EM82" i="9"/>
  <c r="EM78" i="9"/>
  <c r="EM74" i="9"/>
  <c r="EM70" i="9"/>
  <c r="EM66" i="9"/>
  <c r="EM94" i="9"/>
  <c r="EM92" i="9"/>
  <c r="EM85" i="9"/>
  <c r="EM81" i="9"/>
  <c r="EM77" i="9"/>
  <c r="EM73" i="9"/>
  <c r="EM69" i="9"/>
  <c r="EM65" i="9"/>
  <c r="EM90" i="9"/>
  <c r="EM84" i="9"/>
  <c r="EM80" i="9"/>
  <c r="EM76" i="9"/>
  <c r="EM72" i="9"/>
  <c r="EM68" i="9"/>
  <c r="EM64" i="9"/>
  <c r="EM63" i="9"/>
  <c r="EM62" i="9"/>
  <c r="EM16" i="9"/>
  <c r="EM14" i="9"/>
  <c r="EM12" i="9"/>
  <c r="EM10" i="9"/>
  <c r="EM8" i="9"/>
  <c r="EM15" i="9"/>
  <c r="EM13" i="9"/>
  <c r="EM11" i="9"/>
  <c r="EM9" i="9"/>
  <c r="EN6" i="9"/>
  <c r="EN8" i="9" l="1"/>
  <c r="EO6" i="9"/>
  <c r="EP6" i="9" l="1"/>
  <c r="EO8" i="9"/>
  <c r="EP213" i="9" l="1"/>
  <c r="EP212" i="9"/>
  <c r="EP211" i="9"/>
  <c r="EP209" i="9"/>
  <c r="EP210" i="9"/>
  <c r="EP208" i="9"/>
  <c r="EP207" i="9"/>
  <c r="EP206" i="9"/>
  <c r="EP205" i="9"/>
  <c r="EP202" i="9"/>
  <c r="EP203" i="9"/>
  <c r="EP201" i="9"/>
  <c r="EP200" i="9"/>
  <c r="EP197" i="9"/>
  <c r="EP204" i="9"/>
  <c r="EP196" i="9"/>
  <c r="EP195" i="9"/>
  <c r="EP194" i="9"/>
  <c r="EP190" i="9"/>
  <c r="EP199" i="9"/>
  <c r="EP193" i="9"/>
  <c r="EP186" i="9"/>
  <c r="EP182" i="9"/>
  <c r="EP189" i="9"/>
  <c r="EP185" i="9"/>
  <c r="EP181" i="9"/>
  <c r="EP192" i="9"/>
  <c r="EP184" i="9"/>
  <c r="EP178" i="9"/>
  <c r="EP174" i="9"/>
  <c r="EP198" i="9"/>
  <c r="EP183" i="9"/>
  <c r="EP177" i="9"/>
  <c r="EP173" i="9"/>
  <c r="EP188" i="9"/>
  <c r="EP176" i="9"/>
  <c r="EP172" i="9"/>
  <c r="EP170" i="9"/>
  <c r="EP166" i="9"/>
  <c r="EP162" i="9"/>
  <c r="EP158" i="9"/>
  <c r="EP154" i="9"/>
  <c r="EP191" i="9"/>
  <c r="EP175" i="9"/>
  <c r="EP169" i="9"/>
  <c r="EP165" i="9"/>
  <c r="EP161" i="9"/>
  <c r="EP157" i="9"/>
  <c r="EP153" i="9"/>
  <c r="EP187" i="9"/>
  <c r="EP179" i="9"/>
  <c r="EP171" i="9"/>
  <c r="EP180" i="9"/>
  <c r="EP167" i="9"/>
  <c r="EP159" i="9"/>
  <c r="EP164" i="9"/>
  <c r="EP156" i="9"/>
  <c r="EP163" i="9"/>
  <c r="EP168" i="9"/>
  <c r="EP160" i="9"/>
  <c r="EP155" i="9"/>
  <c r="EP149" i="9"/>
  <c r="EP152" i="9"/>
  <c r="EP148" i="9"/>
  <c r="EP151" i="9"/>
  <c r="EP150" i="9"/>
  <c r="EP147" i="9"/>
  <c r="EP146" i="9"/>
  <c r="EP144" i="9"/>
  <c r="EP140" i="9"/>
  <c r="EP136" i="9"/>
  <c r="EP145" i="9"/>
  <c r="EP143" i="9"/>
  <c r="EP139" i="9"/>
  <c r="EP135" i="9"/>
  <c r="EP131" i="9"/>
  <c r="EP142" i="9"/>
  <c r="EP138" i="9"/>
  <c r="EP134" i="9"/>
  <c r="EP141" i="9"/>
  <c r="EP137" i="9"/>
  <c r="EP133" i="9"/>
  <c r="EP130" i="9"/>
  <c r="EP126" i="9"/>
  <c r="EP122" i="9"/>
  <c r="EP118" i="9"/>
  <c r="EP132" i="9"/>
  <c r="EP129" i="9"/>
  <c r="EP125" i="9"/>
  <c r="EP121" i="9"/>
  <c r="EP117" i="9"/>
  <c r="EP128" i="9"/>
  <c r="EP124" i="9"/>
  <c r="EP120" i="9"/>
  <c r="EP127" i="9"/>
  <c r="EP123" i="9"/>
  <c r="EP119" i="9"/>
  <c r="EP116" i="9"/>
  <c r="EP115" i="9"/>
  <c r="EP111" i="9"/>
  <c r="EP107" i="9"/>
  <c r="EP103" i="9"/>
  <c r="EP99" i="9"/>
  <c r="EP95" i="9"/>
  <c r="EP114" i="9"/>
  <c r="EP110" i="9"/>
  <c r="EP106" i="9"/>
  <c r="EP102" i="9"/>
  <c r="EP98" i="9"/>
  <c r="EP94" i="9"/>
  <c r="EP90" i="9"/>
  <c r="EP113" i="9"/>
  <c r="EP109" i="9"/>
  <c r="EP112" i="9"/>
  <c r="EP108" i="9"/>
  <c r="EP104" i="9"/>
  <c r="EP100" i="9"/>
  <c r="EP96" i="9"/>
  <c r="EP92" i="9"/>
  <c r="EP88" i="9"/>
  <c r="EP93" i="9"/>
  <c r="EP87" i="9"/>
  <c r="EP86" i="9"/>
  <c r="EP82" i="9"/>
  <c r="EP78" i="9"/>
  <c r="EP74" i="9"/>
  <c r="EP70" i="9"/>
  <c r="EP66" i="9"/>
  <c r="EP105" i="9"/>
  <c r="EP85" i="9"/>
  <c r="EP81" i="9"/>
  <c r="EP77" i="9"/>
  <c r="EP73" i="9"/>
  <c r="EP69" i="9"/>
  <c r="EP65" i="9"/>
  <c r="EP101" i="9"/>
  <c r="EP91" i="9"/>
  <c r="EP84" i="9"/>
  <c r="EP80" i="9"/>
  <c r="EP76" i="9"/>
  <c r="EP72" i="9"/>
  <c r="EP68" i="9"/>
  <c r="EP64" i="9"/>
  <c r="EP97" i="9"/>
  <c r="EP89" i="9"/>
  <c r="EP83" i="9"/>
  <c r="EP79" i="9"/>
  <c r="EP75" i="9"/>
  <c r="EP71" i="9"/>
  <c r="EP67" i="9"/>
  <c r="EP63" i="9"/>
  <c r="EP62" i="9"/>
  <c r="EQ6" i="9"/>
  <c r="EP15" i="9"/>
  <c r="EP13" i="9"/>
  <c r="EP11" i="9"/>
  <c r="EP9" i="9"/>
  <c r="EP8" i="9"/>
  <c r="EP16" i="9"/>
  <c r="EP14" i="9"/>
  <c r="EP12" i="9"/>
  <c r="EP10" i="9"/>
  <c r="EQ213" i="9" l="1"/>
  <c r="EQ212" i="9"/>
  <c r="EQ211" i="9"/>
  <c r="EQ209" i="9"/>
  <c r="EQ210" i="9"/>
  <c r="EQ208" i="9"/>
  <c r="EQ207" i="9"/>
  <c r="EQ206" i="9"/>
  <c r="EQ205" i="9"/>
  <c r="EQ204" i="9"/>
  <c r="EQ203" i="9"/>
  <c r="EQ201" i="9"/>
  <c r="EQ200" i="9"/>
  <c r="EQ196" i="9"/>
  <c r="EQ195" i="9"/>
  <c r="EQ199" i="9"/>
  <c r="EQ193" i="9"/>
  <c r="EQ202" i="9"/>
  <c r="EQ192" i="9"/>
  <c r="EQ189" i="9"/>
  <c r="EQ185" i="9"/>
  <c r="EQ181" i="9"/>
  <c r="EQ197" i="9"/>
  <c r="EQ194" i="9"/>
  <c r="EQ188" i="9"/>
  <c r="EQ184" i="9"/>
  <c r="EQ180" i="9"/>
  <c r="EQ198" i="9"/>
  <c r="EQ183" i="9"/>
  <c r="EQ177" i="9"/>
  <c r="EQ173" i="9"/>
  <c r="EQ190" i="9"/>
  <c r="EQ182" i="9"/>
  <c r="EQ176" i="9"/>
  <c r="EQ191" i="9"/>
  <c r="EQ175" i="9"/>
  <c r="EQ169" i="9"/>
  <c r="EQ165" i="9"/>
  <c r="EQ161" i="9"/>
  <c r="EQ157" i="9"/>
  <c r="EQ153" i="9"/>
  <c r="EQ186" i="9"/>
  <c r="EQ174" i="9"/>
  <c r="EQ168" i="9"/>
  <c r="EQ164" i="9"/>
  <c r="EQ160" i="9"/>
  <c r="EQ156" i="9"/>
  <c r="EQ152" i="9"/>
  <c r="EQ187" i="9"/>
  <c r="EQ179" i="9"/>
  <c r="EQ171" i="9"/>
  <c r="EQ178" i="9"/>
  <c r="EQ170" i="9"/>
  <c r="EQ172" i="9"/>
  <c r="EQ166" i="9"/>
  <c r="EQ163" i="9"/>
  <c r="EQ162" i="9"/>
  <c r="EQ167" i="9"/>
  <c r="EQ159" i="9"/>
  <c r="EQ154" i="9"/>
  <c r="EQ148" i="9"/>
  <c r="EQ158" i="9"/>
  <c r="EQ151" i="9"/>
  <c r="EQ150" i="9"/>
  <c r="EQ147" i="9"/>
  <c r="EQ155" i="9"/>
  <c r="EQ149" i="9"/>
  <c r="EQ145" i="9"/>
  <c r="EQ146" i="9"/>
  <c r="EQ143" i="9"/>
  <c r="EQ139" i="9"/>
  <c r="EQ135" i="9"/>
  <c r="EQ142" i="9"/>
  <c r="EQ138" i="9"/>
  <c r="EQ134" i="9"/>
  <c r="EQ141" i="9"/>
  <c r="EQ137" i="9"/>
  <c r="EQ133" i="9"/>
  <c r="EQ144" i="9"/>
  <c r="EQ140" i="9"/>
  <c r="EQ136" i="9"/>
  <c r="EQ132" i="9"/>
  <c r="EQ129" i="9"/>
  <c r="EQ125" i="9"/>
  <c r="EQ121" i="9"/>
  <c r="EQ117" i="9"/>
  <c r="EQ131" i="9"/>
  <c r="EQ128" i="9"/>
  <c r="EQ124" i="9"/>
  <c r="EQ120" i="9"/>
  <c r="EQ116" i="9"/>
  <c r="EQ127" i="9"/>
  <c r="EQ123" i="9"/>
  <c r="EQ119" i="9"/>
  <c r="EQ130" i="9"/>
  <c r="EQ126" i="9"/>
  <c r="EQ122" i="9"/>
  <c r="EQ118" i="9"/>
  <c r="EQ114" i="9"/>
  <c r="EQ110" i="9"/>
  <c r="EQ106" i="9"/>
  <c r="EQ102" i="9"/>
  <c r="EQ98" i="9"/>
  <c r="EQ94" i="9"/>
  <c r="EQ113" i="9"/>
  <c r="EQ109" i="9"/>
  <c r="EQ105" i="9"/>
  <c r="EQ101" i="9"/>
  <c r="EQ97" i="9"/>
  <c r="EQ93" i="9"/>
  <c r="EQ89" i="9"/>
  <c r="EQ112" i="9"/>
  <c r="EQ108" i="9"/>
  <c r="EQ115" i="9"/>
  <c r="EQ111" i="9"/>
  <c r="EQ107" i="9"/>
  <c r="EQ103" i="9"/>
  <c r="EQ99" i="9"/>
  <c r="EQ95" i="9"/>
  <c r="EQ91" i="9"/>
  <c r="EQ87" i="9"/>
  <c r="EQ100" i="9"/>
  <c r="EQ85" i="9"/>
  <c r="EQ81" i="9"/>
  <c r="EQ77" i="9"/>
  <c r="EQ73" i="9"/>
  <c r="EQ69" i="9"/>
  <c r="EQ65" i="9"/>
  <c r="EQ96" i="9"/>
  <c r="EQ92" i="9"/>
  <c r="EQ84" i="9"/>
  <c r="EQ80" i="9"/>
  <c r="EQ76" i="9"/>
  <c r="EQ72" i="9"/>
  <c r="EQ68" i="9"/>
  <c r="EQ64" i="9"/>
  <c r="EQ90" i="9"/>
  <c r="EQ83" i="9"/>
  <c r="EQ79" i="9"/>
  <c r="EQ75" i="9"/>
  <c r="EQ71" i="9"/>
  <c r="EQ67" i="9"/>
  <c r="EQ104" i="9"/>
  <c r="EQ88" i="9"/>
  <c r="EQ86" i="9"/>
  <c r="EQ82" i="9"/>
  <c r="EQ78" i="9"/>
  <c r="EQ74" i="9"/>
  <c r="EQ70" i="9"/>
  <c r="EQ66" i="9"/>
  <c r="EQ62" i="9"/>
  <c r="EQ63" i="9"/>
  <c r="EQ15" i="9"/>
  <c r="EQ13" i="9"/>
  <c r="EQ11" i="9"/>
  <c r="EQ9" i="9"/>
  <c r="EQ8" i="9"/>
  <c r="ER6" i="9"/>
  <c r="EQ16" i="9"/>
  <c r="EQ14" i="9"/>
  <c r="EQ12" i="9"/>
  <c r="EQ10" i="9"/>
  <c r="ER213" i="9" l="1"/>
  <c r="ER212" i="9"/>
  <c r="ER211" i="9"/>
  <c r="ER210" i="9"/>
  <c r="ER209" i="9"/>
  <c r="ER206" i="9"/>
  <c r="ER205" i="9"/>
  <c r="ER204" i="9"/>
  <c r="ER208" i="9"/>
  <c r="ER207" i="9"/>
  <c r="ER199" i="9"/>
  <c r="ER202" i="9"/>
  <c r="ER195" i="9"/>
  <c r="ER201" i="9"/>
  <c r="ER198" i="9"/>
  <c r="ER192" i="9"/>
  <c r="ER191" i="9"/>
  <c r="ER197" i="9"/>
  <c r="ER194" i="9"/>
  <c r="ER188" i="9"/>
  <c r="ER184" i="9"/>
  <c r="ER180" i="9"/>
  <c r="ER203" i="9"/>
  <c r="ER193" i="9"/>
  <c r="ER187" i="9"/>
  <c r="ER183" i="9"/>
  <c r="ER179" i="9"/>
  <c r="ER190" i="9"/>
  <c r="ER182" i="9"/>
  <c r="ER176" i="9"/>
  <c r="ER172" i="9"/>
  <c r="ER200" i="9"/>
  <c r="ER189" i="9"/>
  <c r="ER181" i="9"/>
  <c r="ER175" i="9"/>
  <c r="ER186" i="9"/>
  <c r="ER174" i="9"/>
  <c r="ER168" i="9"/>
  <c r="ER164" i="9"/>
  <c r="ER160" i="9"/>
  <c r="ER156" i="9"/>
  <c r="ER152" i="9"/>
  <c r="ER173" i="9"/>
  <c r="ER171" i="9"/>
  <c r="ER167" i="9"/>
  <c r="ER163" i="9"/>
  <c r="ER159" i="9"/>
  <c r="ER155" i="9"/>
  <c r="ER151" i="9"/>
  <c r="ER196" i="9"/>
  <c r="ER178" i="9"/>
  <c r="ER185" i="9"/>
  <c r="ER177" i="9"/>
  <c r="ER165" i="9"/>
  <c r="ER170" i="9"/>
  <c r="ER162" i="9"/>
  <c r="ER169" i="9"/>
  <c r="ER161" i="9"/>
  <c r="ER166" i="9"/>
  <c r="ER158" i="9"/>
  <c r="ER153" i="9"/>
  <c r="ER150" i="9"/>
  <c r="ER147" i="9"/>
  <c r="ER146" i="9"/>
  <c r="ER149" i="9"/>
  <c r="ER157" i="9"/>
  <c r="ER154" i="9"/>
  <c r="ER148" i="9"/>
  <c r="ER145" i="9"/>
  <c r="ER142" i="9"/>
  <c r="ER138" i="9"/>
  <c r="ER134" i="9"/>
  <c r="ER141" i="9"/>
  <c r="ER137" i="9"/>
  <c r="ER133" i="9"/>
  <c r="ER144" i="9"/>
  <c r="ER140" i="9"/>
  <c r="ER136" i="9"/>
  <c r="ER143" i="9"/>
  <c r="ER139" i="9"/>
  <c r="ER135" i="9"/>
  <c r="ER131" i="9"/>
  <c r="ER132" i="9"/>
  <c r="ER128" i="9"/>
  <c r="ER124" i="9"/>
  <c r="ER120" i="9"/>
  <c r="ER127" i="9"/>
  <c r="ER123" i="9"/>
  <c r="ER119" i="9"/>
  <c r="ER130" i="9"/>
  <c r="ER126" i="9"/>
  <c r="ER122" i="9"/>
  <c r="ER118" i="9"/>
  <c r="ER129" i="9"/>
  <c r="ER125" i="9"/>
  <c r="ER121" i="9"/>
  <c r="ER117" i="9"/>
  <c r="ER113" i="9"/>
  <c r="ER109" i="9"/>
  <c r="ER105" i="9"/>
  <c r="ER101" i="9"/>
  <c r="ER97" i="9"/>
  <c r="ER93" i="9"/>
  <c r="ER112" i="9"/>
  <c r="ER108" i="9"/>
  <c r="ER104" i="9"/>
  <c r="ER100" i="9"/>
  <c r="ER96" i="9"/>
  <c r="ER92" i="9"/>
  <c r="ER88" i="9"/>
  <c r="ER115" i="9"/>
  <c r="ER111" i="9"/>
  <c r="ER107" i="9"/>
  <c r="ER116" i="9"/>
  <c r="ER114" i="9"/>
  <c r="ER110" i="9"/>
  <c r="ER106" i="9"/>
  <c r="ER102" i="9"/>
  <c r="ER98" i="9"/>
  <c r="ER94" i="9"/>
  <c r="ER90" i="9"/>
  <c r="ER84" i="9"/>
  <c r="ER80" i="9"/>
  <c r="ER76" i="9"/>
  <c r="ER72" i="9"/>
  <c r="ER68" i="9"/>
  <c r="ER64" i="9"/>
  <c r="ER103" i="9"/>
  <c r="ER91" i="9"/>
  <c r="ER83" i="9"/>
  <c r="ER79" i="9"/>
  <c r="ER75" i="9"/>
  <c r="ER71" i="9"/>
  <c r="ER67" i="9"/>
  <c r="ER63" i="9"/>
  <c r="ER99" i="9"/>
  <c r="ER89" i="9"/>
  <c r="ER86" i="9"/>
  <c r="ER82" i="9"/>
  <c r="ER78" i="9"/>
  <c r="ER74" i="9"/>
  <c r="ER70" i="9"/>
  <c r="ER66" i="9"/>
  <c r="ER95" i="9"/>
  <c r="ER87" i="9"/>
  <c r="ER85" i="9"/>
  <c r="ER81" i="9"/>
  <c r="ER77" i="9"/>
  <c r="ER73" i="9"/>
  <c r="ER69" i="9"/>
  <c r="ER65" i="9"/>
  <c r="ER62" i="9"/>
  <c r="ER8" i="9"/>
  <c r="ER16" i="9"/>
  <c r="ER14" i="9"/>
  <c r="ER12" i="9"/>
  <c r="ER10" i="9"/>
  <c r="ES6" i="9"/>
  <c r="ER15" i="9"/>
  <c r="ER13" i="9"/>
  <c r="ER11" i="9"/>
  <c r="ER9" i="9"/>
  <c r="ES213" i="9" l="1"/>
  <c r="ES212" i="9"/>
  <c r="ES211" i="9"/>
  <c r="ES210" i="9"/>
  <c r="ES209" i="9"/>
  <c r="ES208" i="9"/>
  <c r="ES206" i="9"/>
  <c r="ES204" i="9"/>
  <c r="ES203" i="9"/>
  <c r="ES207" i="9"/>
  <c r="ES205" i="9"/>
  <c r="ES202" i="9"/>
  <c r="ES201" i="9"/>
  <c r="ES198" i="9"/>
  <c r="ES194" i="9"/>
  <c r="ES199" i="9"/>
  <c r="ES197" i="9"/>
  <c r="ES191" i="9"/>
  <c r="ES190" i="9"/>
  <c r="ES193" i="9"/>
  <c r="ES187" i="9"/>
  <c r="ES183" i="9"/>
  <c r="ES195" i="9"/>
  <c r="ES192" i="9"/>
  <c r="ES186" i="9"/>
  <c r="ES182" i="9"/>
  <c r="ES200" i="9"/>
  <c r="ES189" i="9"/>
  <c r="ES181" i="9"/>
  <c r="ES175" i="9"/>
  <c r="ES188" i="9"/>
  <c r="ES180" i="9"/>
  <c r="ES179" i="9"/>
  <c r="ES178" i="9"/>
  <c r="ES174" i="9"/>
  <c r="ES173" i="9"/>
  <c r="ES171" i="9"/>
  <c r="ES167" i="9"/>
  <c r="ES163" i="9"/>
  <c r="ES159" i="9"/>
  <c r="ES155" i="9"/>
  <c r="ES151" i="9"/>
  <c r="ES184" i="9"/>
  <c r="ES170" i="9"/>
  <c r="ES166" i="9"/>
  <c r="ES162" i="9"/>
  <c r="ES158" i="9"/>
  <c r="ES154" i="9"/>
  <c r="ES150" i="9"/>
  <c r="ES196" i="9"/>
  <c r="ES185" i="9"/>
  <c r="ES176" i="9"/>
  <c r="ES177" i="9"/>
  <c r="ES172" i="9"/>
  <c r="ES164" i="9"/>
  <c r="ES169" i="9"/>
  <c r="ES161" i="9"/>
  <c r="ES168" i="9"/>
  <c r="ES160" i="9"/>
  <c r="ES165" i="9"/>
  <c r="ES157" i="9"/>
  <c r="ES152" i="9"/>
  <c r="ES156" i="9"/>
  <c r="ES149" i="9"/>
  <c r="ES145" i="9"/>
  <c r="ES148" i="9"/>
  <c r="ES153" i="9"/>
  <c r="ES147" i="9"/>
  <c r="ES141" i="9"/>
  <c r="ES137" i="9"/>
  <c r="ES133" i="9"/>
  <c r="ES144" i="9"/>
  <c r="ES140" i="9"/>
  <c r="ES136" i="9"/>
  <c r="ES132" i="9"/>
  <c r="ES143" i="9"/>
  <c r="ES139" i="9"/>
  <c r="ES135" i="9"/>
  <c r="ES146" i="9"/>
  <c r="ES142" i="9"/>
  <c r="ES138" i="9"/>
  <c r="ES134" i="9"/>
  <c r="ES131" i="9"/>
  <c r="ES127" i="9"/>
  <c r="ES123" i="9"/>
  <c r="ES119" i="9"/>
  <c r="ES130" i="9"/>
  <c r="ES126" i="9"/>
  <c r="ES122" i="9"/>
  <c r="ES118" i="9"/>
  <c r="ES129" i="9"/>
  <c r="ES125" i="9"/>
  <c r="ES121" i="9"/>
  <c r="ES117" i="9"/>
  <c r="ES128" i="9"/>
  <c r="ES124" i="9"/>
  <c r="ES120" i="9"/>
  <c r="ES116" i="9"/>
  <c r="ES112" i="9"/>
  <c r="ES108" i="9"/>
  <c r="ES104" i="9"/>
  <c r="ES100" i="9"/>
  <c r="ES96" i="9"/>
  <c r="ES115" i="9"/>
  <c r="ES111" i="9"/>
  <c r="ES107" i="9"/>
  <c r="ES103" i="9"/>
  <c r="ES99" i="9"/>
  <c r="ES95" i="9"/>
  <c r="ES91" i="9"/>
  <c r="ES87" i="9"/>
  <c r="ES114" i="9"/>
  <c r="ES110" i="9"/>
  <c r="ES106" i="9"/>
  <c r="ES113" i="9"/>
  <c r="ES109" i="9"/>
  <c r="ES105" i="9"/>
  <c r="ES101" i="9"/>
  <c r="ES97" i="9"/>
  <c r="ES93" i="9"/>
  <c r="ES89" i="9"/>
  <c r="ES98" i="9"/>
  <c r="ES92" i="9"/>
  <c r="ES83" i="9"/>
  <c r="ES79" i="9"/>
  <c r="ES75" i="9"/>
  <c r="ES71" i="9"/>
  <c r="ES67" i="9"/>
  <c r="ES94" i="9"/>
  <c r="ES90" i="9"/>
  <c r="ES86" i="9"/>
  <c r="ES82" i="9"/>
  <c r="ES78" i="9"/>
  <c r="ES74" i="9"/>
  <c r="ES70" i="9"/>
  <c r="ES66" i="9"/>
  <c r="ES62" i="9"/>
  <c r="ES88" i="9"/>
  <c r="ES85" i="9"/>
  <c r="ES81" i="9"/>
  <c r="ES77" i="9"/>
  <c r="ES73" i="9"/>
  <c r="ES69" i="9"/>
  <c r="ES65" i="9"/>
  <c r="ES102" i="9"/>
  <c r="ES84" i="9"/>
  <c r="ES80" i="9"/>
  <c r="ES76" i="9"/>
  <c r="ES72" i="9"/>
  <c r="ES68" i="9"/>
  <c r="ES64" i="9"/>
  <c r="ES63" i="9"/>
  <c r="ES16" i="9"/>
  <c r="ES14" i="9"/>
  <c r="ES12" i="9"/>
  <c r="ES10" i="9"/>
  <c r="ET6" i="9"/>
  <c r="ES15" i="9"/>
  <c r="ES13" i="9"/>
  <c r="ES11" i="9"/>
  <c r="ES9" i="9"/>
  <c r="ES8" i="9"/>
  <c r="ET213" i="9" l="1"/>
  <c r="ET212" i="9"/>
  <c r="ET211" i="9"/>
  <c r="ET210" i="9"/>
  <c r="ET209" i="9"/>
  <c r="ET208" i="9"/>
  <c r="ET207" i="9"/>
  <c r="ET205" i="9"/>
  <c r="ET206" i="9"/>
  <c r="ET202" i="9"/>
  <c r="ET201" i="9"/>
  <c r="ET204" i="9"/>
  <c r="ET203" i="9"/>
  <c r="ET199" i="9"/>
  <c r="ET197" i="9"/>
  <c r="ET200" i="9"/>
  <c r="ET196" i="9"/>
  <c r="ET190" i="9"/>
  <c r="ET198" i="9"/>
  <c r="ET194" i="9"/>
  <c r="ET193" i="9"/>
  <c r="ET195" i="9"/>
  <c r="ET192" i="9"/>
  <c r="ET186" i="9"/>
  <c r="ET182" i="9"/>
  <c r="ET191" i="9"/>
  <c r="ET189" i="9"/>
  <c r="ET185" i="9"/>
  <c r="ET181" i="9"/>
  <c r="ET188" i="9"/>
  <c r="ET180" i="9"/>
  <c r="ET179" i="9"/>
  <c r="ET178" i="9"/>
  <c r="ET174" i="9"/>
  <c r="ET187" i="9"/>
  <c r="ET177" i="9"/>
  <c r="ET173" i="9"/>
  <c r="ET184" i="9"/>
  <c r="ET170" i="9"/>
  <c r="ET166" i="9"/>
  <c r="ET162" i="9"/>
  <c r="ET158" i="9"/>
  <c r="ET154" i="9"/>
  <c r="ET172" i="9"/>
  <c r="ET169" i="9"/>
  <c r="ET165" i="9"/>
  <c r="ET161" i="9"/>
  <c r="ET157" i="9"/>
  <c r="ET153" i="9"/>
  <c r="ET183" i="9"/>
  <c r="ET176" i="9"/>
  <c r="ET175" i="9"/>
  <c r="ET171" i="9"/>
  <c r="ET163" i="9"/>
  <c r="ET168" i="9"/>
  <c r="ET160" i="9"/>
  <c r="ET167" i="9"/>
  <c r="ET159" i="9"/>
  <c r="ET164" i="9"/>
  <c r="ET156" i="9"/>
  <c r="ET151" i="9"/>
  <c r="ET149" i="9"/>
  <c r="ET148" i="9"/>
  <c r="ET155" i="9"/>
  <c r="ET147" i="9"/>
  <c r="ET152" i="9"/>
  <c r="ET150" i="9"/>
  <c r="ET146" i="9"/>
  <c r="ET144" i="9"/>
  <c r="ET140" i="9"/>
  <c r="ET136" i="9"/>
  <c r="ET143" i="9"/>
  <c r="ET139" i="9"/>
  <c r="ET135" i="9"/>
  <c r="ET131" i="9"/>
  <c r="ET142" i="9"/>
  <c r="ET138" i="9"/>
  <c r="ET134" i="9"/>
  <c r="ET145" i="9"/>
  <c r="ET141" i="9"/>
  <c r="ET137" i="9"/>
  <c r="ET133" i="9"/>
  <c r="ET130" i="9"/>
  <c r="ET126" i="9"/>
  <c r="ET122" i="9"/>
  <c r="ET118" i="9"/>
  <c r="ET129" i="9"/>
  <c r="ET125" i="9"/>
  <c r="ET121" i="9"/>
  <c r="ET117" i="9"/>
  <c r="ET128" i="9"/>
  <c r="ET124" i="9"/>
  <c r="ET120" i="9"/>
  <c r="ET132" i="9"/>
  <c r="ET127" i="9"/>
  <c r="ET123" i="9"/>
  <c r="ET119" i="9"/>
  <c r="ET115" i="9"/>
  <c r="ET111" i="9"/>
  <c r="ET107" i="9"/>
  <c r="ET103" i="9"/>
  <c r="ET99" i="9"/>
  <c r="ET95" i="9"/>
  <c r="ET114" i="9"/>
  <c r="ET110" i="9"/>
  <c r="ET106" i="9"/>
  <c r="ET102" i="9"/>
  <c r="ET98" i="9"/>
  <c r="ET94" i="9"/>
  <c r="ET90" i="9"/>
  <c r="ET116" i="9"/>
  <c r="ET113" i="9"/>
  <c r="ET109" i="9"/>
  <c r="ET112" i="9"/>
  <c r="ET108" i="9"/>
  <c r="ET104" i="9"/>
  <c r="ET100" i="9"/>
  <c r="ET96" i="9"/>
  <c r="ET92" i="9"/>
  <c r="ET88" i="9"/>
  <c r="ET105" i="9"/>
  <c r="ET91" i="9"/>
  <c r="ET86" i="9"/>
  <c r="ET82" i="9"/>
  <c r="ET78" i="9"/>
  <c r="ET74" i="9"/>
  <c r="ET70" i="9"/>
  <c r="ET66" i="9"/>
  <c r="ET101" i="9"/>
  <c r="ET89" i="9"/>
  <c r="ET85" i="9"/>
  <c r="ET81" i="9"/>
  <c r="ET77" i="9"/>
  <c r="ET73" i="9"/>
  <c r="ET69" i="9"/>
  <c r="ET65" i="9"/>
  <c r="ET97" i="9"/>
  <c r="ET87" i="9"/>
  <c r="ET84" i="9"/>
  <c r="ET80" i="9"/>
  <c r="ET76" i="9"/>
  <c r="ET72" i="9"/>
  <c r="ET68" i="9"/>
  <c r="ET64" i="9"/>
  <c r="ET93" i="9"/>
  <c r="ET83" i="9"/>
  <c r="ET79" i="9"/>
  <c r="ET75" i="9"/>
  <c r="ET71" i="9"/>
  <c r="ET67" i="9"/>
  <c r="ET63" i="9"/>
  <c r="ET62" i="9"/>
  <c r="EU6" i="9"/>
  <c r="ET15" i="9"/>
  <c r="ET13" i="9"/>
  <c r="ET11" i="9"/>
  <c r="ET9" i="9"/>
  <c r="ET8" i="9"/>
  <c r="ET16" i="9"/>
  <c r="ET14" i="9"/>
  <c r="ET12" i="9"/>
  <c r="ET10" i="9"/>
  <c r="EU8" i="9" l="1"/>
  <c r="EV6" i="9"/>
  <c r="EV8" i="9" l="1"/>
  <c r="EW6" i="9"/>
  <c r="EW213" i="9" l="1"/>
  <c r="EW212" i="9"/>
  <c r="EW211" i="9"/>
  <c r="EW209" i="9"/>
  <c r="EW210" i="9"/>
  <c r="EW208" i="9"/>
  <c r="EW207" i="9"/>
  <c r="EW205" i="9"/>
  <c r="EW206" i="9"/>
  <c r="EW204" i="9"/>
  <c r="EW201" i="9"/>
  <c r="EW203" i="9"/>
  <c r="EW200" i="9"/>
  <c r="EW196" i="9"/>
  <c r="EW195" i="9"/>
  <c r="EW202" i="9"/>
  <c r="EW198" i="9"/>
  <c r="EW194" i="9"/>
  <c r="EW193" i="9"/>
  <c r="EW197" i="9"/>
  <c r="EW192" i="9"/>
  <c r="EW191" i="9"/>
  <c r="EW189" i="9"/>
  <c r="EW185" i="9"/>
  <c r="EW181" i="9"/>
  <c r="EW199" i="9"/>
  <c r="EW190" i="9"/>
  <c r="EW188" i="9"/>
  <c r="EW184" i="9"/>
  <c r="EW180" i="9"/>
  <c r="EW187" i="9"/>
  <c r="EW177" i="9"/>
  <c r="EW173" i="9"/>
  <c r="EW186" i="9"/>
  <c r="EW176" i="9"/>
  <c r="EW172" i="9"/>
  <c r="EW169" i="9"/>
  <c r="EW165" i="9"/>
  <c r="EW161" i="9"/>
  <c r="EW157" i="9"/>
  <c r="EW153" i="9"/>
  <c r="EW182" i="9"/>
  <c r="EW179" i="9"/>
  <c r="EW178" i="9"/>
  <c r="EW168" i="9"/>
  <c r="EW164" i="9"/>
  <c r="EW160" i="9"/>
  <c r="EW156" i="9"/>
  <c r="EW152" i="9"/>
  <c r="EW183" i="9"/>
  <c r="EW174" i="9"/>
  <c r="EW175" i="9"/>
  <c r="EW171" i="9"/>
  <c r="EW170" i="9"/>
  <c r="EW162" i="9"/>
  <c r="EW167" i="9"/>
  <c r="EW159" i="9"/>
  <c r="EW166" i="9"/>
  <c r="EW163" i="9"/>
  <c r="EW158" i="9"/>
  <c r="EW148" i="9"/>
  <c r="EW155" i="9"/>
  <c r="EW147" i="9"/>
  <c r="EW154" i="9"/>
  <c r="EW150" i="9"/>
  <c r="EW151" i="9"/>
  <c r="EW149" i="9"/>
  <c r="EW145" i="9"/>
  <c r="EW143" i="9"/>
  <c r="EW139" i="9"/>
  <c r="EW135" i="9"/>
  <c r="EW142" i="9"/>
  <c r="EW138" i="9"/>
  <c r="EW134" i="9"/>
  <c r="EW146" i="9"/>
  <c r="EW141" i="9"/>
  <c r="EW137" i="9"/>
  <c r="EW133" i="9"/>
  <c r="EW144" i="9"/>
  <c r="EW140" i="9"/>
  <c r="EW136" i="9"/>
  <c r="EW132" i="9"/>
  <c r="EW129" i="9"/>
  <c r="EW125" i="9"/>
  <c r="EW121" i="9"/>
  <c r="EW117" i="9"/>
  <c r="EW128" i="9"/>
  <c r="EW124" i="9"/>
  <c r="EW120" i="9"/>
  <c r="EW116" i="9"/>
  <c r="EW127" i="9"/>
  <c r="EW123" i="9"/>
  <c r="EW119" i="9"/>
  <c r="EW131" i="9"/>
  <c r="EW130" i="9"/>
  <c r="EW126" i="9"/>
  <c r="EW122" i="9"/>
  <c r="EW118" i="9"/>
  <c r="EW114" i="9"/>
  <c r="EW110" i="9"/>
  <c r="EW106" i="9"/>
  <c r="EW102" i="9"/>
  <c r="EW98" i="9"/>
  <c r="EW94" i="9"/>
  <c r="EW113" i="9"/>
  <c r="EW109" i="9"/>
  <c r="EW105" i="9"/>
  <c r="EW101" i="9"/>
  <c r="EW97" i="9"/>
  <c r="EW93" i="9"/>
  <c r="EW89" i="9"/>
  <c r="EW112" i="9"/>
  <c r="EW108" i="9"/>
  <c r="EW115" i="9"/>
  <c r="EW111" i="9"/>
  <c r="EW107" i="9"/>
  <c r="EW103" i="9"/>
  <c r="EW99" i="9"/>
  <c r="EW95" i="9"/>
  <c r="EW91" i="9"/>
  <c r="EW87" i="9"/>
  <c r="EW96" i="9"/>
  <c r="EW90" i="9"/>
  <c r="EW85" i="9"/>
  <c r="EW81" i="9"/>
  <c r="EW77" i="9"/>
  <c r="EW73" i="9"/>
  <c r="EW69" i="9"/>
  <c r="EW65" i="9"/>
  <c r="EW88" i="9"/>
  <c r="EW84" i="9"/>
  <c r="EW80" i="9"/>
  <c r="EW76" i="9"/>
  <c r="EW72" i="9"/>
  <c r="EW68" i="9"/>
  <c r="EW64" i="9"/>
  <c r="EW104" i="9"/>
  <c r="EW83" i="9"/>
  <c r="EW79" i="9"/>
  <c r="EW75" i="9"/>
  <c r="EW71" i="9"/>
  <c r="EW67" i="9"/>
  <c r="EW100" i="9"/>
  <c r="EW92" i="9"/>
  <c r="EW86" i="9"/>
  <c r="EW82" i="9"/>
  <c r="EW78" i="9"/>
  <c r="EW74" i="9"/>
  <c r="EW70" i="9"/>
  <c r="EW66" i="9"/>
  <c r="EW63" i="9"/>
  <c r="EW62" i="9"/>
  <c r="EW15" i="9"/>
  <c r="EW13" i="9"/>
  <c r="EW11" i="9"/>
  <c r="EW9" i="9"/>
  <c r="EX6" i="9"/>
  <c r="EW16" i="9"/>
  <c r="EW14" i="9"/>
  <c r="EW12" i="9"/>
  <c r="EW10" i="9"/>
  <c r="EW8" i="9"/>
  <c r="EX213" i="9" l="1"/>
  <c r="EX211" i="9"/>
  <c r="EX212" i="9"/>
  <c r="EX210" i="9"/>
  <c r="EX209" i="9"/>
  <c r="EX206" i="9"/>
  <c r="EX205" i="9"/>
  <c r="EX207" i="9"/>
  <c r="EX204" i="9"/>
  <c r="EX208" i="9"/>
  <c r="EX203" i="9"/>
  <c r="EX199" i="9"/>
  <c r="EX202" i="9"/>
  <c r="EX201" i="9"/>
  <c r="EX200" i="9"/>
  <c r="EX195" i="9"/>
  <c r="EX198" i="9"/>
  <c r="EX197" i="9"/>
  <c r="EX192" i="9"/>
  <c r="EX196" i="9"/>
  <c r="EX191" i="9"/>
  <c r="EX190" i="9"/>
  <c r="EX188" i="9"/>
  <c r="EX184" i="9"/>
  <c r="EX180" i="9"/>
  <c r="EX187" i="9"/>
  <c r="EX183" i="9"/>
  <c r="EX179" i="9"/>
  <c r="EX186" i="9"/>
  <c r="EX176" i="9"/>
  <c r="EX172" i="9"/>
  <c r="EX194" i="9"/>
  <c r="EX193" i="9"/>
  <c r="EX185" i="9"/>
  <c r="EX175" i="9"/>
  <c r="EX182" i="9"/>
  <c r="EX178" i="9"/>
  <c r="EX168" i="9"/>
  <c r="EX164" i="9"/>
  <c r="EX160" i="9"/>
  <c r="EX156" i="9"/>
  <c r="EX152" i="9"/>
  <c r="EX189" i="9"/>
  <c r="EX177" i="9"/>
  <c r="EX171" i="9"/>
  <c r="EX167" i="9"/>
  <c r="EX163" i="9"/>
  <c r="EX159" i="9"/>
  <c r="EX155" i="9"/>
  <c r="EX151" i="9"/>
  <c r="EX174" i="9"/>
  <c r="EX181" i="9"/>
  <c r="EX173" i="9"/>
  <c r="EX170" i="9"/>
  <c r="EX169" i="9"/>
  <c r="EX161" i="9"/>
  <c r="EX166" i="9"/>
  <c r="EX158" i="9"/>
  <c r="EX165" i="9"/>
  <c r="EX162" i="9"/>
  <c r="EX147" i="9"/>
  <c r="EX154" i="9"/>
  <c r="EX150" i="9"/>
  <c r="EX146" i="9"/>
  <c r="EX157" i="9"/>
  <c r="EX153" i="9"/>
  <c r="EX149" i="9"/>
  <c r="EX148" i="9"/>
  <c r="EX142" i="9"/>
  <c r="EX138" i="9"/>
  <c r="EX134" i="9"/>
  <c r="EX141" i="9"/>
  <c r="EX137" i="9"/>
  <c r="EX133" i="9"/>
  <c r="EX145" i="9"/>
  <c r="EX144" i="9"/>
  <c r="EX140" i="9"/>
  <c r="EX136" i="9"/>
  <c r="EX143" i="9"/>
  <c r="EX139" i="9"/>
  <c r="EX135" i="9"/>
  <c r="EX131" i="9"/>
  <c r="EX128" i="9"/>
  <c r="EX124" i="9"/>
  <c r="EX120" i="9"/>
  <c r="EX127" i="9"/>
  <c r="EX123" i="9"/>
  <c r="EX119" i="9"/>
  <c r="EX132" i="9"/>
  <c r="EX130" i="9"/>
  <c r="EX126" i="9"/>
  <c r="EX122" i="9"/>
  <c r="EX118" i="9"/>
  <c r="EX129" i="9"/>
  <c r="EX125" i="9"/>
  <c r="EX121" i="9"/>
  <c r="EX117" i="9"/>
  <c r="EX113" i="9"/>
  <c r="EX109" i="9"/>
  <c r="EX105" i="9"/>
  <c r="EX101" i="9"/>
  <c r="EX97" i="9"/>
  <c r="EX93" i="9"/>
  <c r="EX116" i="9"/>
  <c r="EX112" i="9"/>
  <c r="EX108" i="9"/>
  <c r="EX104" i="9"/>
  <c r="EX100" i="9"/>
  <c r="EX96" i="9"/>
  <c r="EX92" i="9"/>
  <c r="EX88" i="9"/>
  <c r="EX115" i="9"/>
  <c r="EX111" i="9"/>
  <c r="EX107" i="9"/>
  <c r="EX114" i="9"/>
  <c r="EX110" i="9"/>
  <c r="EX106" i="9"/>
  <c r="EX102" i="9"/>
  <c r="EX98" i="9"/>
  <c r="EX94" i="9"/>
  <c r="EX90" i="9"/>
  <c r="EX103" i="9"/>
  <c r="EX89" i="9"/>
  <c r="EX84" i="9"/>
  <c r="EX80" i="9"/>
  <c r="EX76" i="9"/>
  <c r="EX72" i="9"/>
  <c r="EX68" i="9"/>
  <c r="EX64" i="9"/>
  <c r="EX99" i="9"/>
  <c r="EX87" i="9"/>
  <c r="EX83" i="9"/>
  <c r="EX79" i="9"/>
  <c r="EX75" i="9"/>
  <c r="EX71" i="9"/>
  <c r="EX67" i="9"/>
  <c r="EX63" i="9"/>
  <c r="EX95" i="9"/>
  <c r="EX86" i="9"/>
  <c r="EX82" i="9"/>
  <c r="EX78" i="9"/>
  <c r="EX74" i="9"/>
  <c r="EX70" i="9"/>
  <c r="EX66" i="9"/>
  <c r="EX91" i="9"/>
  <c r="EX85" i="9"/>
  <c r="EX81" i="9"/>
  <c r="EX77" i="9"/>
  <c r="EX73" i="9"/>
  <c r="EX69" i="9"/>
  <c r="EX65" i="9"/>
  <c r="EX62" i="9"/>
  <c r="EY6" i="9"/>
  <c r="EX16" i="9"/>
  <c r="EX14" i="9"/>
  <c r="EX12" i="9"/>
  <c r="EX10" i="9"/>
  <c r="EX8" i="9"/>
  <c r="EX15" i="9"/>
  <c r="EX13" i="9"/>
  <c r="EX11" i="9"/>
  <c r="EX9" i="9"/>
  <c r="EY213" i="9" l="1"/>
  <c r="EY211" i="9"/>
  <c r="EY210" i="9"/>
  <c r="EY212" i="9"/>
  <c r="EY209" i="9"/>
  <c r="EY208" i="9"/>
  <c r="EY207" i="9"/>
  <c r="EY204" i="9"/>
  <c r="EY206" i="9"/>
  <c r="EY203" i="9"/>
  <c r="EY202" i="9"/>
  <c r="EY201" i="9"/>
  <c r="EY198" i="9"/>
  <c r="EY194" i="9"/>
  <c r="EY205" i="9"/>
  <c r="EY197" i="9"/>
  <c r="EY196" i="9"/>
  <c r="EY191" i="9"/>
  <c r="EY200" i="9"/>
  <c r="EY195" i="9"/>
  <c r="EY190" i="9"/>
  <c r="EY199" i="9"/>
  <c r="EY187" i="9"/>
  <c r="EY183" i="9"/>
  <c r="EY186" i="9"/>
  <c r="EY182" i="9"/>
  <c r="EY193" i="9"/>
  <c r="EY185" i="9"/>
  <c r="EY175" i="9"/>
  <c r="EY184" i="9"/>
  <c r="EY178" i="9"/>
  <c r="EY174" i="9"/>
  <c r="EY189" i="9"/>
  <c r="EY179" i="9"/>
  <c r="EY177" i="9"/>
  <c r="EY171" i="9"/>
  <c r="EY167" i="9"/>
  <c r="EY163" i="9"/>
  <c r="EY159" i="9"/>
  <c r="EY155" i="9"/>
  <c r="EY151" i="9"/>
  <c r="EY192" i="9"/>
  <c r="EY180" i="9"/>
  <c r="EY176" i="9"/>
  <c r="EY170" i="9"/>
  <c r="EY166" i="9"/>
  <c r="EY162" i="9"/>
  <c r="EY158" i="9"/>
  <c r="EY154" i="9"/>
  <c r="EY150" i="9"/>
  <c r="EY188" i="9"/>
  <c r="EY172" i="9"/>
  <c r="EY181" i="9"/>
  <c r="EY173" i="9"/>
  <c r="EY168" i="9"/>
  <c r="EY160" i="9"/>
  <c r="EY165" i="9"/>
  <c r="EY157" i="9"/>
  <c r="EY164" i="9"/>
  <c r="EY169" i="9"/>
  <c r="EY161" i="9"/>
  <c r="EY156" i="9"/>
  <c r="EY153" i="9"/>
  <c r="EY149" i="9"/>
  <c r="EY145" i="9"/>
  <c r="EY152" i="9"/>
  <c r="EY148" i="9"/>
  <c r="EY147" i="9"/>
  <c r="EY141" i="9"/>
  <c r="EY137" i="9"/>
  <c r="EY133" i="9"/>
  <c r="EY146" i="9"/>
  <c r="EY144" i="9"/>
  <c r="EY140" i="9"/>
  <c r="EY136" i="9"/>
  <c r="EY132" i="9"/>
  <c r="EY143" i="9"/>
  <c r="EY139" i="9"/>
  <c r="EY135" i="9"/>
  <c r="EY142" i="9"/>
  <c r="EY138" i="9"/>
  <c r="EY134" i="9"/>
  <c r="EY127" i="9"/>
  <c r="EY123" i="9"/>
  <c r="EY119" i="9"/>
  <c r="EY130" i="9"/>
  <c r="EY126" i="9"/>
  <c r="EY122" i="9"/>
  <c r="EY118" i="9"/>
  <c r="EY131" i="9"/>
  <c r="EY129" i="9"/>
  <c r="EY125" i="9"/>
  <c r="EY121" i="9"/>
  <c r="EY117" i="9"/>
  <c r="EY128" i="9"/>
  <c r="EY124" i="9"/>
  <c r="EY120" i="9"/>
  <c r="EY116" i="9"/>
  <c r="EY112" i="9"/>
  <c r="EY108" i="9"/>
  <c r="EY104" i="9"/>
  <c r="EY100" i="9"/>
  <c r="EY96" i="9"/>
  <c r="EY115" i="9"/>
  <c r="EY111" i="9"/>
  <c r="EY107" i="9"/>
  <c r="EY103" i="9"/>
  <c r="EY99" i="9"/>
  <c r="EY95" i="9"/>
  <c r="EY91" i="9"/>
  <c r="EY87" i="9"/>
  <c r="EY114" i="9"/>
  <c r="EY110" i="9"/>
  <c r="EY106" i="9"/>
  <c r="EY113" i="9"/>
  <c r="EY109" i="9"/>
  <c r="EY105" i="9"/>
  <c r="EY101" i="9"/>
  <c r="EY97" i="9"/>
  <c r="EY93" i="9"/>
  <c r="EY89" i="9"/>
  <c r="EY94" i="9"/>
  <c r="EY88" i="9"/>
  <c r="EY83" i="9"/>
  <c r="EY79" i="9"/>
  <c r="EY75" i="9"/>
  <c r="EY71" i="9"/>
  <c r="EY67" i="9"/>
  <c r="EY86" i="9"/>
  <c r="EY82" i="9"/>
  <c r="EY78" i="9"/>
  <c r="EY74" i="9"/>
  <c r="EY70" i="9"/>
  <c r="EY66" i="9"/>
  <c r="EY62" i="9"/>
  <c r="EY102" i="9"/>
  <c r="EY92" i="9"/>
  <c r="EY85" i="9"/>
  <c r="EY81" i="9"/>
  <c r="EY77" i="9"/>
  <c r="EY73" i="9"/>
  <c r="EY69" i="9"/>
  <c r="EY65" i="9"/>
  <c r="EY98" i="9"/>
  <c r="EY90" i="9"/>
  <c r="EY84" i="9"/>
  <c r="EY80" i="9"/>
  <c r="EY76" i="9"/>
  <c r="EY72" i="9"/>
  <c r="EY68" i="9"/>
  <c r="EY64" i="9"/>
  <c r="EY63" i="9"/>
  <c r="EY16" i="9"/>
  <c r="EY14" i="9"/>
  <c r="EY12" i="9"/>
  <c r="EY10" i="9"/>
  <c r="EY8" i="9"/>
  <c r="EY15" i="9"/>
  <c r="EY13" i="9"/>
  <c r="EY11" i="9"/>
  <c r="EY9" i="9"/>
  <c r="EZ6" i="9"/>
  <c r="EZ213" i="9" l="1"/>
  <c r="EZ212" i="9"/>
  <c r="EZ210" i="9"/>
  <c r="EZ209" i="9"/>
  <c r="EZ211" i="9"/>
  <c r="EZ208" i="9"/>
  <c r="EZ207" i="9"/>
  <c r="EZ206" i="9"/>
  <c r="EZ205" i="9"/>
  <c r="EZ202" i="9"/>
  <c r="EZ204" i="9"/>
  <c r="EZ201" i="9"/>
  <c r="EZ197" i="9"/>
  <c r="EZ199" i="9"/>
  <c r="EZ196" i="9"/>
  <c r="EZ200" i="9"/>
  <c r="EZ195" i="9"/>
  <c r="EZ190" i="9"/>
  <c r="EZ193" i="9"/>
  <c r="EZ203" i="9"/>
  <c r="EZ186" i="9"/>
  <c r="EZ182" i="9"/>
  <c r="EZ198" i="9"/>
  <c r="EZ189" i="9"/>
  <c r="EZ185" i="9"/>
  <c r="EZ181" i="9"/>
  <c r="EZ194" i="9"/>
  <c r="EZ184" i="9"/>
  <c r="EZ178" i="9"/>
  <c r="EZ174" i="9"/>
  <c r="EZ191" i="9"/>
  <c r="EZ183" i="9"/>
  <c r="EZ179" i="9"/>
  <c r="EZ177" i="9"/>
  <c r="EZ173" i="9"/>
  <c r="EZ192" i="9"/>
  <c r="EZ180" i="9"/>
  <c r="EZ176" i="9"/>
  <c r="EZ170" i="9"/>
  <c r="EZ166" i="9"/>
  <c r="EZ162" i="9"/>
  <c r="EZ158" i="9"/>
  <c r="EZ154" i="9"/>
  <c r="EZ187" i="9"/>
  <c r="EZ175" i="9"/>
  <c r="EZ169" i="9"/>
  <c r="EZ165" i="9"/>
  <c r="EZ161" i="9"/>
  <c r="EZ157" i="9"/>
  <c r="EZ153" i="9"/>
  <c r="EZ188" i="9"/>
  <c r="EZ172" i="9"/>
  <c r="EZ171" i="9"/>
  <c r="EZ167" i="9"/>
  <c r="EZ159" i="9"/>
  <c r="EZ164" i="9"/>
  <c r="EZ156" i="9"/>
  <c r="EZ163" i="9"/>
  <c r="EZ168" i="9"/>
  <c r="EZ160" i="9"/>
  <c r="EZ155" i="9"/>
  <c r="EZ150" i="9"/>
  <c r="EZ149" i="9"/>
  <c r="EZ152" i="9"/>
  <c r="EZ148" i="9"/>
  <c r="EZ151" i="9"/>
  <c r="EZ147" i="9"/>
  <c r="EZ146" i="9"/>
  <c r="EZ144" i="9"/>
  <c r="EZ140" i="9"/>
  <c r="EZ136" i="9"/>
  <c r="EZ145" i="9"/>
  <c r="EZ143" i="9"/>
  <c r="EZ139" i="9"/>
  <c r="EZ135" i="9"/>
  <c r="EZ131" i="9"/>
  <c r="EZ142" i="9"/>
  <c r="EZ138" i="9"/>
  <c r="EZ134" i="9"/>
  <c r="EZ141" i="9"/>
  <c r="EZ137" i="9"/>
  <c r="EZ133" i="9"/>
  <c r="EZ130" i="9"/>
  <c r="EZ126" i="9"/>
  <c r="EZ122" i="9"/>
  <c r="EZ118" i="9"/>
  <c r="EZ132" i="9"/>
  <c r="EZ129" i="9"/>
  <c r="EZ125" i="9"/>
  <c r="EZ121" i="9"/>
  <c r="EZ117" i="9"/>
  <c r="EZ128" i="9"/>
  <c r="EZ124" i="9"/>
  <c r="EZ120" i="9"/>
  <c r="EZ127" i="9"/>
  <c r="EZ123" i="9"/>
  <c r="EZ119" i="9"/>
  <c r="EZ116" i="9"/>
  <c r="EZ115" i="9"/>
  <c r="EZ111" i="9"/>
  <c r="EZ107" i="9"/>
  <c r="EZ103" i="9"/>
  <c r="EZ99" i="9"/>
  <c r="EZ95" i="9"/>
  <c r="EZ114" i="9"/>
  <c r="EZ110" i="9"/>
  <c r="EZ106" i="9"/>
  <c r="EZ102" i="9"/>
  <c r="EZ98" i="9"/>
  <c r="EZ94" i="9"/>
  <c r="EZ90" i="9"/>
  <c r="EZ113" i="9"/>
  <c r="EZ109" i="9"/>
  <c r="EZ112" i="9"/>
  <c r="EZ108" i="9"/>
  <c r="EZ104" i="9"/>
  <c r="EZ100" i="9"/>
  <c r="EZ96" i="9"/>
  <c r="EZ92" i="9"/>
  <c r="EZ88" i="9"/>
  <c r="EZ101" i="9"/>
  <c r="EZ87" i="9"/>
  <c r="EZ86" i="9"/>
  <c r="EZ82" i="9"/>
  <c r="EZ78" i="9"/>
  <c r="EZ74" i="9"/>
  <c r="EZ70" i="9"/>
  <c r="EZ66" i="9"/>
  <c r="EZ97" i="9"/>
  <c r="EZ85" i="9"/>
  <c r="EZ81" i="9"/>
  <c r="EZ77" i="9"/>
  <c r="EZ73" i="9"/>
  <c r="EZ69" i="9"/>
  <c r="EZ65" i="9"/>
  <c r="EZ93" i="9"/>
  <c r="EZ91" i="9"/>
  <c r="EZ84" i="9"/>
  <c r="EZ80" i="9"/>
  <c r="EZ76" i="9"/>
  <c r="EZ72" i="9"/>
  <c r="EZ68" i="9"/>
  <c r="EZ64" i="9"/>
  <c r="EZ105" i="9"/>
  <c r="EZ89" i="9"/>
  <c r="EZ83" i="9"/>
  <c r="EZ79" i="9"/>
  <c r="EZ75" i="9"/>
  <c r="EZ71" i="9"/>
  <c r="EZ67" i="9"/>
  <c r="EZ63" i="9"/>
  <c r="EZ62" i="9"/>
  <c r="EZ8" i="9"/>
  <c r="EZ15" i="9"/>
  <c r="EZ13" i="9"/>
  <c r="EZ11" i="9"/>
  <c r="EZ9" i="9"/>
  <c r="FA6" i="9"/>
  <c r="EZ16" i="9"/>
  <c r="EZ14" i="9"/>
  <c r="EZ12" i="9"/>
  <c r="EZ10" i="9"/>
  <c r="FA213" i="9" l="1"/>
  <c r="FA212" i="9"/>
  <c r="FA211" i="9"/>
  <c r="FA210" i="9"/>
  <c r="FA209" i="9"/>
  <c r="FA208" i="9"/>
  <c r="FA207" i="9"/>
  <c r="FA205" i="9"/>
  <c r="FA204" i="9"/>
  <c r="FA201" i="9"/>
  <c r="FA200" i="9"/>
  <c r="FA203" i="9"/>
  <c r="FA199" i="9"/>
  <c r="FA196" i="9"/>
  <c r="FA202" i="9"/>
  <c r="FA195" i="9"/>
  <c r="FA193" i="9"/>
  <c r="FA206" i="9"/>
  <c r="FA194" i="9"/>
  <c r="FA192" i="9"/>
  <c r="FA198" i="9"/>
  <c r="FA189" i="9"/>
  <c r="FA185" i="9"/>
  <c r="FA181" i="9"/>
  <c r="FA188" i="9"/>
  <c r="FA184" i="9"/>
  <c r="FA180" i="9"/>
  <c r="FA191" i="9"/>
  <c r="FA183" i="9"/>
  <c r="FA179" i="9"/>
  <c r="FA177" i="9"/>
  <c r="FA173" i="9"/>
  <c r="FA182" i="9"/>
  <c r="FA176" i="9"/>
  <c r="FA187" i="9"/>
  <c r="FA175" i="9"/>
  <c r="FA169" i="9"/>
  <c r="FA165" i="9"/>
  <c r="FA161" i="9"/>
  <c r="FA157" i="9"/>
  <c r="FA153" i="9"/>
  <c r="FA174" i="9"/>
  <c r="FA172" i="9"/>
  <c r="FA168" i="9"/>
  <c r="FA164" i="9"/>
  <c r="FA160" i="9"/>
  <c r="FA156" i="9"/>
  <c r="FA152" i="9"/>
  <c r="FA197" i="9"/>
  <c r="FA190" i="9"/>
  <c r="FA171" i="9"/>
  <c r="FA186" i="9"/>
  <c r="FA170" i="9"/>
  <c r="FA178" i="9"/>
  <c r="FA166" i="9"/>
  <c r="FA163" i="9"/>
  <c r="FA162" i="9"/>
  <c r="FA167" i="9"/>
  <c r="FA159" i="9"/>
  <c r="FA154" i="9"/>
  <c r="FA148" i="9"/>
  <c r="FA151" i="9"/>
  <c r="FA147" i="9"/>
  <c r="FA158" i="9"/>
  <c r="FA155" i="9"/>
  <c r="FA150" i="9"/>
  <c r="FA149" i="9"/>
  <c r="FA145" i="9"/>
  <c r="FA146" i="9"/>
  <c r="FA143" i="9"/>
  <c r="FA139" i="9"/>
  <c r="FA135" i="9"/>
  <c r="FA142" i="9"/>
  <c r="FA138" i="9"/>
  <c r="FA134" i="9"/>
  <c r="FA141" i="9"/>
  <c r="FA137" i="9"/>
  <c r="FA133" i="9"/>
  <c r="FA144" i="9"/>
  <c r="FA140" i="9"/>
  <c r="FA136" i="9"/>
  <c r="FA132" i="9"/>
  <c r="FA129" i="9"/>
  <c r="FA125" i="9"/>
  <c r="FA121" i="9"/>
  <c r="FA117" i="9"/>
  <c r="FA131" i="9"/>
  <c r="FA128" i="9"/>
  <c r="FA124" i="9"/>
  <c r="FA120" i="9"/>
  <c r="FA116" i="9"/>
  <c r="FA127" i="9"/>
  <c r="FA123" i="9"/>
  <c r="FA119" i="9"/>
  <c r="FA130" i="9"/>
  <c r="FA126" i="9"/>
  <c r="FA122" i="9"/>
  <c r="FA118" i="9"/>
  <c r="FA114" i="9"/>
  <c r="FA110" i="9"/>
  <c r="FA106" i="9"/>
  <c r="FA102" i="9"/>
  <c r="FA98" i="9"/>
  <c r="FA94" i="9"/>
  <c r="FA113" i="9"/>
  <c r="FA109" i="9"/>
  <c r="FA105" i="9"/>
  <c r="FA101" i="9"/>
  <c r="FA97" i="9"/>
  <c r="FA93" i="9"/>
  <c r="FA89" i="9"/>
  <c r="FA112" i="9"/>
  <c r="FA108" i="9"/>
  <c r="FA115" i="9"/>
  <c r="FA111" i="9"/>
  <c r="FA107" i="9"/>
  <c r="FA103" i="9"/>
  <c r="FA99" i="9"/>
  <c r="FA95" i="9"/>
  <c r="FA91" i="9"/>
  <c r="FA87" i="9"/>
  <c r="FA85" i="9"/>
  <c r="FA81" i="9"/>
  <c r="FA77" i="9"/>
  <c r="FA73" i="9"/>
  <c r="FA69" i="9"/>
  <c r="FA65" i="9"/>
  <c r="FA104" i="9"/>
  <c r="FA92" i="9"/>
  <c r="FA84" i="9"/>
  <c r="FA80" i="9"/>
  <c r="FA76" i="9"/>
  <c r="FA72" i="9"/>
  <c r="FA68" i="9"/>
  <c r="FA64" i="9"/>
  <c r="FA100" i="9"/>
  <c r="FA90" i="9"/>
  <c r="FA83" i="9"/>
  <c r="FA79" i="9"/>
  <c r="FA75" i="9"/>
  <c r="FA71" i="9"/>
  <c r="FA67" i="9"/>
  <c r="FA96" i="9"/>
  <c r="FA88" i="9"/>
  <c r="FA86" i="9"/>
  <c r="FA82" i="9"/>
  <c r="FA78" i="9"/>
  <c r="FA74" i="9"/>
  <c r="FA70" i="9"/>
  <c r="FA66" i="9"/>
  <c r="FA63" i="9"/>
  <c r="FA62" i="9"/>
  <c r="FA15" i="9"/>
  <c r="FA13" i="9"/>
  <c r="FA11" i="9"/>
  <c r="FA9" i="9"/>
  <c r="FB6" i="9"/>
  <c r="FA16" i="9"/>
  <c r="FA14" i="9"/>
  <c r="FA12" i="9"/>
  <c r="FA10" i="9"/>
  <c r="FA8" i="9"/>
  <c r="FC6" i="9" l="1"/>
  <c r="FB8" i="9"/>
  <c r="FC8" i="9" l="1"/>
  <c r="FD6" i="9"/>
  <c r="FD212" i="9" l="1"/>
  <c r="FD211" i="9"/>
  <c r="FD213" i="9"/>
  <c r="FD207" i="9"/>
  <c r="FD206" i="9"/>
  <c r="FD210" i="9"/>
  <c r="FD205" i="9"/>
  <c r="FD208" i="9"/>
  <c r="FD204" i="9"/>
  <c r="FD209" i="9"/>
  <c r="FD203" i="9"/>
  <c r="FD199" i="9"/>
  <c r="FD202" i="9"/>
  <c r="FD195" i="9"/>
  <c r="FD200" i="9"/>
  <c r="FD198" i="9"/>
  <c r="FD194" i="9"/>
  <c r="FD192" i="9"/>
  <c r="FD191" i="9"/>
  <c r="FD188" i="9"/>
  <c r="FD184" i="9"/>
  <c r="FD180" i="9"/>
  <c r="FD201" i="9"/>
  <c r="FD196" i="9"/>
  <c r="FD193" i="9"/>
  <c r="FD187" i="9"/>
  <c r="FD183" i="9"/>
  <c r="FD179" i="9"/>
  <c r="FD182" i="9"/>
  <c r="FD176" i="9"/>
  <c r="FD172" i="9"/>
  <c r="FD189" i="9"/>
  <c r="FD181" i="9"/>
  <c r="FD175" i="9"/>
  <c r="FD174" i="9"/>
  <c r="FD168" i="9"/>
  <c r="FD164" i="9"/>
  <c r="FD160" i="9"/>
  <c r="FD156" i="9"/>
  <c r="FD152" i="9"/>
  <c r="FD185" i="9"/>
  <c r="FD173" i="9"/>
  <c r="FD171" i="9"/>
  <c r="FD167" i="9"/>
  <c r="FD163" i="9"/>
  <c r="FD159" i="9"/>
  <c r="FD155" i="9"/>
  <c r="FD151" i="9"/>
  <c r="FD197" i="9"/>
  <c r="FD190" i="9"/>
  <c r="FD186" i="9"/>
  <c r="FD170" i="9"/>
  <c r="FD177" i="9"/>
  <c r="FD178" i="9"/>
  <c r="FD165" i="9"/>
  <c r="FD162" i="9"/>
  <c r="FD169" i="9"/>
  <c r="FD161" i="9"/>
  <c r="FD166" i="9"/>
  <c r="FD158" i="9"/>
  <c r="FD153" i="9"/>
  <c r="FD147" i="9"/>
  <c r="FD157" i="9"/>
  <c r="FD146" i="9"/>
  <c r="FD150" i="9"/>
  <c r="FD149" i="9"/>
  <c r="FD154" i="9"/>
  <c r="FD148" i="9"/>
  <c r="FD145" i="9"/>
  <c r="FD142" i="9"/>
  <c r="FD138" i="9"/>
  <c r="FD134" i="9"/>
  <c r="FD141" i="9"/>
  <c r="FD137" i="9"/>
  <c r="FD133" i="9"/>
  <c r="FD144" i="9"/>
  <c r="FD140" i="9"/>
  <c r="FD136" i="9"/>
  <c r="FD143" i="9"/>
  <c r="FD139" i="9"/>
  <c r="FD135" i="9"/>
  <c r="FD131" i="9"/>
  <c r="FD132" i="9"/>
  <c r="FD128" i="9"/>
  <c r="FD124" i="9"/>
  <c r="FD120" i="9"/>
  <c r="FD127" i="9"/>
  <c r="FD123" i="9"/>
  <c r="FD119" i="9"/>
  <c r="FD130" i="9"/>
  <c r="FD126" i="9"/>
  <c r="FD122" i="9"/>
  <c r="FD118" i="9"/>
  <c r="FD129" i="9"/>
  <c r="FD125" i="9"/>
  <c r="FD121" i="9"/>
  <c r="FD117" i="9"/>
  <c r="FD113" i="9"/>
  <c r="FD109" i="9"/>
  <c r="FD105" i="9"/>
  <c r="FD101" i="9"/>
  <c r="FD97" i="9"/>
  <c r="FD93" i="9"/>
  <c r="FD112" i="9"/>
  <c r="FD108" i="9"/>
  <c r="FD104" i="9"/>
  <c r="FD100" i="9"/>
  <c r="FD96" i="9"/>
  <c r="FD92" i="9"/>
  <c r="FD88" i="9"/>
  <c r="FD115" i="9"/>
  <c r="FD111" i="9"/>
  <c r="FD107" i="9"/>
  <c r="FD116" i="9"/>
  <c r="FD114" i="9"/>
  <c r="FD110" i="9"/>
  <c r="FD106" i="9"/>
  <c r="FD102" i="9"/>
  <c r="FD98" i="9"/>
  <c r="FD94" i="9"/>
  <c r="FD90" i="9"/>
  <c r="FD99" i="9"/>
  <c r="FD84" i="9"/>
  <c r="FD80" i="9"/>
  <c r="FD76" i="9"/>
  <c r="FD72" i="9"/>
  <c r="FD68" i="9"/>
  <c r="FD64" i="9"/>
  <c r="FD95" i="9"/>
  <c r="FD91" i="9"/>
  <c r="FD83" i="9"/>
  <c r="FD79" i="9"/>
  <c r="FD75" i="9"/>
  <c r="FD71" i="9"/>
  <c r="FD67" i="9"/>
  <c r="FD63" i="9"/>
  <c r="FD89" i="9"/>
  <c r="FD86" i="9"/>
  <c r="FD82" i="9"/>
  <c r="FD78" i="9"/>
  <c r="FD74" i="9"/>
  <c r="FD70" i="9"/>
  <c r="FD66" i="9"/>
  <c r="FD103" i="9"/>
  <c r="FD87" i="9"/>
  <c r="FD85" i="9"/>
  <c r="FD81" i="9"/>
  <c r="FD77" i="9"/>
  <c r="FD73" i="9"/>
  <c r="FD69" i="9"/>
  <c r="FD65" i="9"/>
  <c r="FD62" i="9"/>
  <c r="FD8" i="9"/>
  <c r="FD16" i="9"/>
  <c r="FD14" i="9"/>
  <c r="FD12" i="9"/>
  <c r="FD10" i="9"/>
  <c r="FE6" i="9"/>
  <c r="FD15" i="9"/>
  <c r="FD13" i="9"/>
  <c r="FD11" i="9"/>
  <c r="FD9" i="9"/>
  <c r="FE213" i="9" l="1"/>
  <c r="FE211" i="9"/>
  <c r="FE212" i="9"/>
  <c r="FE210" i="9"/>
  <c r="FE209" i="9"/>
  <c r="FE208" i="9"/>
  <c r="FE204" i="9"/>
  <c r="FE203" i="9"/>
  <c r="FE206" i="9"/>
  <c r="FE202" i="9"/>
  <c r="FE205" i="9"/>
  <c r="FE201" i="9"/>
  <c r="FE200" i="9"/>
  <c r="FE198" i="9"/>
  <c r="FE194" i="9"/>
  <c r="FE207" i="9"/>
  <c r="FE197" i="9"/>
  <c r="FE191" i="9"/>
  <c r="FE199" i="9"/>
  <c r="FE190" i="9"/>
  <c r="FE196" i="9"/>
  <c r="FE193" i="9"/>
  <c r="FE187" i="9"/>
  <c r="FE183" i="9"/>
  <c r="FE192" i="9"/>
  <c r="FE186" i="9"/>
  <c r="FE182" i="9"/>
  <c r="FE189" i="9"/>
  <c r="FE181" i="9"/>
  <c r="FE175" i="9"/>
  <c r="FE195" i="9"/>
  <c r="FE188" i="9"/>
  <c r="FE180" i="9"/>
  <c r="FE178" i="9"/>
  <c r="FE174" i="9"/>
  <c r="FE185" i="9"/>
  <c r="FE173" i="9"/>
  <c r="FE172" i="9"/>
  <c r="FE171" i="9"/>
  <c r="FE167" i="9"/>
  <c r="FE163" i="9"/>
  <c r="FE159" i="9"/>
  <c r="FE155" i="9"/>
  <c r="FE151" i="9"/>
  <c r="FE170" i="9"/>
  <c r="FE166" i="9"/>
  <c r="FE162" i="9"/>
  <c r="FE158" i="9"/>
  <c r="FE154" i="9"/>
  <c r="FE150" i="9"/>
  <c r="FE184" i="9"/>
  <c r="FE177" i="9"/>
  <c r="FE179" i="9"/>
  <c r="FE176" i="9"/>
  <c r="FE164" i="9"/>
  <c r="FE169" i="9"/>
  <c r="FE161" i="9"/>
  <c r="FE168" i="9"/>
  <c r="FE160" i="9"/>
  <c r="FE165" i="9"/>
  <c r="FE157" i="9"/>
  <c r="FE152" i="9"/>
  <c r="FE149" i="9"/>
  <c r="FE145" i="9"/>
  <c r="FE148" i="9"/>
  <c r="FE156" i="9"/>
  <c r="FE153" i="9"/>
  <c r="FE147" i="9"/>
  <c r="FE141" i="9"/>
  <c r="FE137" i="9"/>
  <c r="FE133" i="9"/>
  <c r="FE144" i="9"/>
  <c r="FE140" i="9"/>
  <c r="FE136" i="9"/>
  <c r="FE132" i="9"/>
  <c r="FE143" i="9"/>
  <c r="FE139" i="9"/>
  <c r="FE135" i="9"/>
  <c r="FE146" i="9"/>
  <c r="FE142" i="9"/>
  <c r="FE138" i="9"/>
  <c r="FE134" i="9"/>
  <c r="FE131" i="9"/>
  <c r="FE127" i="9"/>
  <c r="FE123" i="9"/>
  <c r="FE119" i="9"/>
  <c r="FE130" i="9"/>
  <c r="FE126" i="9"/>
  <c r="FE122" i="9"/>
  <c r="FE118" i="9"/>
  <c r="FE129" i="9"/>
  <c r="FE125" i="9"/>
  <c r="FE121" i="9"/>
  <c r="FE117" i="9"/>
  <c r="FE128" i="9"/>
  <c r="FE124" i="9"/>
  <c r="FE120" i="9"/>
  <c r="FE116" i="9"/>
  <c r="FE112" i="9"/>
  <c r="FE108" i="9"/>
  <c r="FE104" i="9"/>
  <c r="FE100" i="9"/>
  <c r="FE96" i="9"/>
  <c r="FE115" i="9"/>
  <c r="FE111" i="9"/>
  <c r="FE107" i="9"/>
  <c r="FE103" i="9"/>
  <c r="FE99" i="9"/>
  <c r="FE95" i="9"/>
  <c r="FE91" i="9"/>
  <c r="FE87" i="9"/>
  <c r="FE114" i="9"/>
  <c r="FE110" i="9"/>
  <c r="FE106" i="9"/>
  <c r="FE113" i="9"/>
  <c r="FE109" i="9"/>
  <c r="FE105" i="9"/>
  <c r="FE101" i="9"/>
  <c r="FE97" i="9"/>
  <c r="FE93" i="9"/>
  <c r="FE89" i="9"/>
  <c r="FE92" i="9"/>
  <c r="FE83" i="9"/>
  <c r="FE79" i="9"/>
  <c r="FE75" i="9"/>
  <c r="FE71" i="9"/>
  <c r="FE67" i="9"/>
  <c r="FE102" i="9"/>
  <c r="FE90" i="9"/>
  <c r="FE86" i="9"/>
  <c r="FE82" i="9"/>
  <c r="FE78" i="9"/>
  <c r="FE74" i="9"/>
  <c r="FE70" i="9"/>
  <c r="FE66" i="9"/>
  <c r="FE62" i="9"/>
  <c r="FE98" i="9"/>
  <c r="FE88" i="9"/>
  <c r="FE85" i="9"/>
  <c r="FE81" i="9"/>
  <c r="FE77" i="9"/>
  <c r="FE73" i="9"/>
  <c r="FE69" i="9"/>
  <c r="FE65" i="9"/>
  <c r="FE94" i="9"/>
  <c r="FE84" i="9"/>
  <c r="FE80" i="9"/>
  <c r="FE76" i="9"/>
  <c r="FE72" i="9"/>
  <c r="FE68" i="9"/>
  <c r="FE64" i="9"/>
  <c r="FE63" i="9"/>
  <c r="FE16" i="9"/>
  <c r="FE14" i="9"/>
  <c r="FE12" i="9"/>
  <c r="FE10" i="9"/>
  <c r="FF6" i="9"/>
  <c r="FE15" i="9"/>
  <c r="FE13" i="9"/>
  <c r="FE11" i="9"/>
  <c r="FE9" i="9"/>
  <c r="FE8" i="9"/>
  <c r="FF213" i="9" l="1"/>
  <c r="FF212" i="9"/>
  <c r="FF209" i="9"/>
  <c r="FF211" i="9"/>
  <c r="FF210" i="9"/>
  <c r="FF208" i="9"/>
  <c r="FF207" i="9"/>
  <c r="FF206" i="9"/>
  <c r="FF205" i="9"/>
  <c r="FF204" i="9"/>
  <c r="FF203" i="9"/>
  <c r="FF202" i="9"/>
  <c r="FF201" i="9"/>
  <c r="FF197" i="9"/>
  <c r="FF196" i="9"/>
  <c r="FF199" i="9"/>
  <c r="FF190" i="9"/>
  <c r="FF198" i="9"/>
  <c r="FF193" i="9"/>
  <c r="FF192" i="9"/>
  <c r="FF186" i="9"/>
  <c r="FF182" i="9"/>
  <c r="FF200" i="9"/>
  <c r="FF194" i="9"/>
  <c r="FF191" i="9"/>
  <c r="FF189" i="9"/>
  <c r="FF185" i="9"/>
  <c r="FF181" i="9"/>
  <c r="FF195" i="9"/>
  <c r="FF188" i="9"/>
  <c r="FF180" i="9"/>
  <c r="FF178" i="9"/>
  <c r="FF174" i="9"/>
  <c r="FF187" i="9"/>
  <c r="FF177" i="9"/>
  <c r="FF173" i="9"/>
  <c r="FF170" i="9"/>
  <c r="FF166" i="9"/>
  <c r="FF162" i="9"/>
  <c r="FF158" i="9"/>
  <c r="FF154" i="9"/>
  <c r="FF183" i="9"/>
  <c r="FF169" i="9"/>
  <c r="FF165" i="9"/>
  <c r="FF161" i="9"/>
  <c r="FF157" i="9"/>
  <c r="FF153" i="9"/>
  <c r="FF184" i="9"/>
  <c r="FF175" i="9"/>
  <c r="FF179" i="9"/>
  <c r="FF176" i="9"/>
  <c r="FF172" i="9"/>
  <c r="FF171" i="9"/>
  <c r="FF163" i="9"/>
  <c r="FF168" i="9"/>
  <c r="FF160" i="9"/>
  <c r="FF167" i="9"/>
  <c r="FF159" i="9"/>
  <c r="FF164" i="9"/>
  <c r="FF156" i="9"/>
  <c r="FF151" i="9"/>
  <c r="FF149" i="9"/>
  <c r="FF150" i="9"/>
  <c r="FF148" i="9"/>
  <c r="FF155" i="9"/>
  <c r="FF147" i="9"/>
  <c r="FF152" i="9"/>
  <c r="FF146" i="9"/>
  <c r="FF144" i="9"/>
  <c r="FF140" i="9"/>
  <c r="FF136" i="9"/>
  <c r="FF143" i="9"/>
  <c r="FF139" i="9"/>
  <c r="FF135" i="9"/>
  <c r="FF131" i="9"/>
  <c r="FF142" i="9"/>
  <c r="FF138" i="9"/>
  <c r="FF134" i="9"/>
  <c r="FF145" i="9"/>
  <c r="FF141" i="9"/>
  <c r="FF137" i="9"/>
  <c r="FF133" i="9"/>
  <c r="FF130" i="9"/>
  <c r="FF126" i="9"/>
  <c r="FF122" i="9"/>
  <c r="FF118" i="9"/>
  <c r="FF129" i="9"/>
  <c r="FF125" i="9"/>
  <c r="FF121" i="9"/>
  <c r="FF117" i="9"/>
  <c r="FF128" i="9"/>
  <c r="FF124" i="9"/>
  <c r="FF120" i="9"/>
  <c r="FF132" i="9"/>
  <c r="FF127" i="9"/>
  <c r="FF123" i="9"/>
  <c r="FF119" i="9"/>
  <c r="FF115" i="9"/>
  <c r="FF111" i="9"/>
  <c r="FF107" i="9"/>
  <c r="FF103" i="9"/>
  <c r="FF99" i="9"/>
  <c r="FF95" i="9"/>
  <c r="FF114" i="9"/>
  <c r="FF110" i="9"/>
  <c r="FF106" i="9"/>
  <c r="FF102" i="9"/>
  <c r="FF98" i="9"/>
  <c r="FF94" i="9"/>
  <c r="FF90" i="9"/>
  <c r="FF116" i="9"/>
  <c r="FF113" i="9"/>
  <c r="FF109" i="9"/>
  <c r="FF112" i="9"/>
  <c r="FF108" i="9"/>
  <c r="FF104" i="9"/>
  <c r="FF100" i="9"/>
  <c r="FF96" i="9"/>
  <c r="FF92" i="9"/>
  <c r="FF88" i="9"/>
  <c r="FF97" i="9"/>
  <c r="FF91" i="9"/>
  <c r="FF86" i="9"/>
  <c r="FF82" i="9"/>
  <c r="FF78" i="9"/>
  <c r="FF74" i="9"/>
  <c r="FF70" i="9"/>
  <c r="FF66" i="9"/>
  <c r="FF93" i="9"/>
  <c r="FF89" i="9"/>
  <c r="FF85" i="9"/>
  <c r="FF81" i="9"/>
  <c r="FF77" i="9"/>
  <c r="FF73" i="9"/>
  <c r="FF69" i="9"/>
  <c r="FF65" i="9"/>
  <c r="FF105" i="9"/>
  <c r="FF87" i="9"/>
  <c r="FF84" i="9"/>
  <c r="FF80" i="9"/>
  <c r="FF76" i="9"/>
  <c r="FF72" i="9"/>
  <c r="FF68" i="9"/>
  <c r="FF64" i="9"/>
  <c r="FF101" i="9"/>
  <c r="FF83" i="9"/>
  <c r="FF79" i="9"/>
  <c r="FF75" i="9"/>
  <c r="FF71" i="9"/>
  <c r="FF67" i="9"/>
  <c r="FF63" i="9"/>
  <c r="FF62" i="9"/>
  <c r="FG6" i="9"/>
  <c r="FF15" i="9"/>
  <c r="FF13" i="9"/>
  <c r="FF11" i="9"/>
  <c r="FF9" i="9"/>
  <c r="FF8" i="9"/>
  <c r="FF16" i="9"/>
  <c r="FF14" i="9"/>
  <c r="FF12" i="9"/>
  <c r="FF10" i="9"/>
  <c r="FG213" i="9" l="1"/>
  <c r="FG212" i="9"/>
  <c r="FG211" i="9"/>
  <c r="FG209" i="9"/>
  <c r="FG210" i="9"/>
  <c r="FG208" i="9"/>
  <c r="FG207" i="9"/>
  <c r="FG206" i="9"/>
  <c r="FG205" i="9"/>
  <c r="FG204" i="9"/>
  <c r="FG201" i="9"/>
  <c r="FG200" i="9"/>
  <c r="FG202" i="9"/>
  <c r="FG196" i="9"/>
  <c r="FG203" i="9"/>
  <c r="FG199" i="9"/>
  <c r="FG195" i="9"/>
  <c r="FG198" i="9"/>
  <c r="FG193" i="9"/>
  <c r="FG197" i="9"/>
  <c r="FG192" i="9"/>
  <c r="FG194" i="9"/>
  <c r="FG191" i="9"/>
  <c r="FG189" i="9"/>
  <c r="FG185" i="9"/>
  <c r="FG181" i="9"/>
  <c r="FG190" i="9"/>
  <c r="FG188" i="9"/>
  <c r="FG184" i="9"/>
  <c r="FG180" i="9"/>
  <c r="FG187" i="9"/>
  <c r="FG177" i="9"/>
  <c r="FG173" i="9"/>
  <c r="FG186" i="9"/>
  <c r="FG179" i="9"/>
  <c r="FG176" i="9"/>
  <c r="FG183" i="9"/>
  <c r="FG169" i="9"/>
  <c r="FG165" i="9"/>
  <c r="FG161" i="9"/>
  <c r="FG157" i="9"/>
  <c r="FG153" i="9"/>
  <c r="FG178" i="9"/>
  <c r="FG168" i="9"/>
  <c r="FG164" i="9"/>
  <c r="FG160" i="9"/>
  <c r="FG156" i="9"/>
  <c r="FG152" i="9"/>
  <c r="FG175" i="9"/>
  <c r="FG172" i="9"/>
  <c r="FG171" i="9"/>
  <c r="FG182" i="9"/>
  <c r="FG174" i="9"/>
  <c r="FG170" i="9"/>
  <c r="FG162" i="9"/>
  <c r="FG167" i="9"/>
  <c r="FG159" i="9"/>
  <c r="FG166" i="9"/>
  <c r="FG163" i="9"/>
  <c r="FG150" i="9"/>
  <c r="FG148" i="9"/>
  <c r="FG155" i="9"/>
  <c r="FG147" i="9"/>
  <c r="FG158" i="9"/>
  <c r="FG154" i="9"/>
  <c r="FG151" i="9"/>
  <c r="FG149" i="9"/>
  <c r="FG145" i="9"/>
  <c r="FG143" i="9"/>
  <c r="FG139" i="9"/>
  <c r="FG135" i="9"/>
  <c r="FG142" i="9"/>
  <c r="FG138" i="9"/>
  <c r="FG134" i="9"/>
  <c r="FG146" i="9"/>
  <c r="FG141" i="9"/>
  <c r="FG137" i="9"/>
  <c r="FG133" i="9"/>
  <c r="FG144" i="9"/>
  <c r="FG140" i="9"/>
  <c r="FG136" i="9"/>
  <c r="FG132" i="9"/>
  <c r="FG129" i="9"/>
  <c r="FG125" i="9"/>
  <c r="FG121" i="9"/>
  <c r="FG117" i="9"/>
  <c r="FG128" i="9"/>
  <c r="FG124" i="9"/>
  <c r="FG120" i="9"/>
  <c r="FG116" i="9"/>
  <c r="FG127" i="9"/>
  <c r="FG123" i="9"/>
  <c r="FG119" i="9"/>
  <c r="FG131" i="9"/>
  <c r="FG130" i="9"/>
  <c r="FG126" i="9"/>
  <c r="FG122" i="9"/>
  <c r="FG118" i="9"/>
  <c r="FG114" i="9"/>
  <c r="FG110" i="9"/>
  <c r="FG106" i="9"/>
  <c r="FG102" i="9"/>
  <c r="FG98" i="9"/>
  <c r="FG94" i="9"/>
  <c r="FG113" i="9"/>
  <c r="FG109" i="9"/>
  <c r="FG105" i="9"/>
  <c r="FG101" i="9"/>
  <c r="FG97" i="9"/>
  <c r="FG93" i="9"/>
  <c r="FG89" i="9"/>
  <c r="FG112" i="9"/>
  <c r="FG108" i="9"/>
  <c r="FG115" i="9"/>
  <c r="FG111" i="9"/>
  <c r="FG107" i="9"/>
  <c r="FG103" i="9"/>
  <c r="FG99" i="9"/>
  <c r="FG95" i="9"/>
  <c r="FG91" i="9"/>
  <c r="FG87" i="9"/>
  <c r="FG104" i="9"/>
  <c r="FG90" i="9"/>
  <c r="FG85" i="9"/>
  <c r="FG81" i="9"/>
  <c r="FG77" i="9"/>
  <c r="FG73" i="9"/>
  <c r="FG69" i="9"/>
  <c r="FG65" i="9"/>
  <c r="FG100" i="9"/>
  <c r="FG88" i="9"/>
  <c r="FG84" i="9"/>
  <c r="FG80" i="9"/>
  <c r="FG76" i="9"/>
  <c r="FG72" i="9"/>
  <c r="FG68" i="9"/>
  <c r="FG64" i="9"/>
  <c r="FG96" i="9"/>
  <c r="FG83" i="9"/>
  <c r="FG79" i="9"/>
  <c r="FG75" i="9"/>
  <c r="FG71" i="9"/>
  <c r="FG67" i="9"/>
  <c r="FG92" i="9"/>
  <c r="FG86" i="9"/>
  <c r="FG82" i="9"/>
  <c r="FG78" i="9"/>
  <c r="FG74" i="9"/>
  <c r="FG70" i="9"/>
  <c r="FG66" i="9"/>
  <c r="FG62" i="9"/>
  <c r="FG63" i="9"/>
  <c r="FG15" i="9"/>
  <c r="FG13" i="9"/>
  <c r="FG11" i="9"/>
  <c r="FG9" i="9"/>
  <c r="FG8" i="9"/>
  <c r="FG16" i="9"/>
  <c r="FG14" i="9"/>
  <c r="FG12" i="9"/>
  <c r="FG10" i="9"/>
  <c r="FH6" i="9"/>
  <c r="FH212" i="9" l="1"/>
  <c r="FH211" i="9"/>
  <c r="FH213" i="9"/>
  <c r="FH210" i="9"/>
  <c r="FH208" i="9"/>
  <c r="FH207" i="9"/>
  <c r="FH206" i="9"/>
  <c r="FH209" i="9"/>
  <c r="FH205" i="9"/>
  <c r="FH204" i="9"/>
  <c r="FH199" i="9"/>
  <c r="FH203" i="9"/>
  <c r="FH202" i="9"/>
  <c r="FH195" i="9"/>
  <c r="FH198" i="9"/>
  <c r="FH194" i="9"/>
  <c r="FH197" i="9"/>
  <c r="FH192" i="9"/>
  <c r="FH196" i="9"/>
  <c r="FH191" i="9"/>
  <c r="FH201" i="9"/>
  <c r="FH200" i="9"/>
  <c r="FH190" i="9"/>
  <c r="FH188" i="9"/>
  <c r="FH184" i="9"/>
  <c r="FH180" i="9"/>
  <c r="FH187" i="9"/>
  <c r="FH183" i="9"/>
  <c r="FH179" i="9"/>
  <c r="FH186" i="9"/>
  <c r="FH176" i="9"/>
  <c r="FH172" i="9"/>
  <c r="FH185" i="9"/>
  <c r="FH175" i="9"/>
  <c r="FH178" i="9"/>
  <c r="FH168" i="9"/>
  <c r="FH164" i="9"/>
  <c r="FH160" i="9"/>
  <c r="FH156" i="9"/>
  <c r="FH152" i="9"/>
  <c r="FH193" i="9"/>
  <c r="FH181" i="9"/>
  <c r="FH177" i="9"/>
  <c r="FH171" i="9"/>
  <c r="FH167" i="9"/>
  <c r="FH163" i="9"/>
  <c r="FH159" i="9"/>
  <c r="FH155" i="9"/>
  <c r="FH151" i="9"/>
  <c r="FH189" i="9"/>
  <c r="FH173" i="9"/>
  <c r="FH182" i="9"/>
  <c r="FH174" i="9"/>
  <c r="FH170" i="9"/>
  <c r="FH169" i="9"/>
  <c r="FH161" i="9"/>
  <c r="FH166" i="9"/>
  <c r="FH158" i="9"/>
  <c r="FH165" i="9"/>
  <c r="FH162" i="9"/>
  <c r="FH157" i="9"/>
  <c r="FH147" i="9"/>
  <c r="FH154" i="9"/>
  <c r="FH146" i="9"/>
  <c r="FH153" i="9"/>
  <c r="FH149" i="9"/>
  <c r="FH150" i="9"/>
  <c r="FH148" i="9"/>
  <c r="FH142" i="9"/>
  <c r="FH138" i="9"/>
  <c r="FH134" i="9"/>
  <c r="FH141" i="9"/>
  <c r="FH137" i="9"/>
  <c r="FH133" i="9"/>
  <c r="FH145" i="9"/>
  <c r="FH144" i="9"/>
  <c r="FH140" i="9"/>
  <c r="FH136" i="9"/>
  <c r="FH143" i="9"/>
  <c r="FH139" i="9"/>
  <c r="FH135" i="9"/>
  <c r="FH131" i="9"/>
  <c r="FH128" i="9"/>
  <c r="FH124" i="9"/>
  <c r="FH120" i="9"/>
  <c r="FH127" i="9"/>
  <c r="FH123" i="9"/>
  <c r="FH119" i="9"/>
  <c r="FH132" i="9"/>
  <c r="FH130" i="9"/>
  <c r="FH126" i="9"/>
  <c r="FH122" i="9"/>
  <c r="FH118" i="9"/>
  <c r="FH129" i="9"/>
  <c r="FH125" i="9"/>
  <c r="FH121" i="9"/>
  <c r="FH117" i="9"/>
  <c r="FH113" i="9"/>
  <c r="FH109" i="9"/>
  <c r="FH105" i="9"/>
  <c r="FH101" i="9"/>
  <c r="FH97" i="9"/>
  <c r="FH93" i="9"/>
  <c r="FH116" i="9"/>
  <c r="FH112" i="9"/>
  <c r="FH108" i="9"/>
  <c r="FH104" i="9"/>
  <c r="FH100" i="9"/>
  <c r="FH96" i="9"/>
  <c r="FH92" i="9"/>
  <c r="FH88" i="9"/>
  <c r="FH115" i="9"/>
  <c r="FH111" i="9"/>
  <c r="FH107" i="9"/>
  <c r="FH114" i="9"/>
  <c r="FH110" i="9"/>
  <c r="FH106" i="9"/>
  <c r="FH102" i="9"/>
  <c r="FH98" i="9"/>
  <c r="FH94" i="9"/>
  <c r="FH90" i="9"/>
  <c r="FH95" i="9"/>
  <c r="FH89" i="9"/>
  <c r="FH84" i="9"/>
  <c r="FH80" i="9"/>
  <c r="FH76" i="9"/>
  <c r="FH72" i="9"/>
  <c r="FH68" i="9"/>
  <c r="FH64" i="9"/>
  <c r="FH87" i="9"/>
  <c r="FH83" i="9"/>
  <c r="FH79" i="9"/>
  <c r="FH75" i="9"/>
  <c r="FH71" i="9"/>
  <c r="FH67" i="9"/>
  <c r="FH63" i="9"/>
  <c r="FH103" i="9"/>
  <c r="FH86" i="9"/>
  <c r="FH82" i="9"/>
  <c r="FH78" i="9"/>
  <c r="FH74" i="9"/>
  <c r="FH70" i="9"/>
  <c r="FH66" i="9"/>
  <c r="FH99" i="9"/>
  <c r="FH91" i="9"/>
  <c r="FH85" i="9"/>
  <c r="FH81" i="9"/>
  <c r="FH77" i="9"/>
  <c r="FH73" i="9"/>
  <c r="FH69" i="9"/>
  <c r="FH65" i="9"/>
  <c r="FH62" i="9"/>
  <c r="FH8" i="9"/>
  <c r="FH16" i="9"/>
  <c r="FH14" i="9"/>
  <c r="FH12" i="9"/>
  <c r="FH10" i="9"/>
  <c r="FI6" i="9"/>
  <c r="FH15" i="9"/>
  <c r="FH13" i="9"/>
  <c r="FH11" i="9"/>
  <c r="FH9" i="9"/>
  <c r="FJ6" i="9" l="1"/>
  <c r="FI8" i="9"/>
  <c r="FK6" i="9" l="1"/>
  <c r="FJ8" i="9"/>
  <c r="FK213" i="9" l="1"/>
  <c r="FK212" i="9"/>
  <c r="FK211" i="9"/>
  <c r="FK210" i="9"/>
  <c r="FK209" i="9"/>
  <c r="FK208" i="9"/>
  <c r="FK204" i="9"/>
  <c r="FK203" i="9"/>
  <c r="FK207" i="9"/>
  <c r="FK205" i="9"/>
  <c r="FK202" i="9"/>
  <c r="FK206" i="9"/>
  <c r="FK201" i="9"/>
  <c r="FK199" i="9"/>
  <c r="FK198" i="9"/>
  <c r="FK194" i="9"/>
  <c r="FK200" i="9"/>
  <c r="FK197" i="9"/>
  <c r="FK196" i="9"/>
  <c r="FK191" i="9"/>
  <c r="FK195" i="9"/>
  <c r="FK190" i="9"/>
  <c r="FK187" i="9"/>
  <c r="FK183" i="9"/>
  <c r="FK186" i="9"/>
  <c r="FK182" i="9"/>
  <c r="FK185" i="9"/>
  <c r="FK179" i="9"/>
  <c r="FK175" i="9"/>
  <c r="FK192" i="9"/>
  <c r="FK184" i="9"/>
  <c r="FK178" i="9"/>
  <c r="FK174" i="9"/>
  <c r="FK193" i="9"/>
  <c r="FK181" i="9"/>
  <c r="FK177" i="9"/>
  <c r="FK171" i="9"/>
  <c r="FK167" i="9"/>
  <c r="FK163" i="9"/>
  <c r="FK159" i="9"/>
  <c r="FK155" i="9"/>
  <c r="FK151" i="9"/>
  <c r="FK188" i="9"/>
  <c r="FK176" i="9"/>
  <c r="FK172" i="9"/>
  <c r="FK170" i="9"/>
  <c r="FK166" i="9"/>
  <c r="FK162" i="9"/>
  <c r="FK158" i="9"/>
  <c r="FK154" i="9"/>
  <c r="FK150" i="9"/>
  <c r="FK189" i="9"/>
  <c r="FK180" i="9"/>
  <c r="FK173" i="9"/>
  <c r="FK168" i="9"/>
  <c r="FK160" i="9"/>
  <c r="FK165" i="9"/>
  <c r="FK157" i="9"/>
  <c r="FK164" i="9"/>
  <c r="FK169" i="9"/>
  <c r="FK161" i="9"/>
  <c r="FK153" i="9"/>
  <c r="FK149" i="9"/>
  <c r="FK145" i="9"/>
  <c r="FK156" i="9"/>
  <c r="FK152" i="9"/>
  <c r="FK148" i="9"/>
  <c r="FK147" i="9"/>
  <c r="FK141" i="9"/>
  <c r="FK137" i="9"/>
  <c r="FK133" i="9"/>
  <c r="FK146" i="9"/>
  <c r="FK144" i="9"/>
  <c r="FK140" i="9"/>
  <c r="FK136" i="9"/>
  <c r="FK132" i="9"/>
  <c r="FK143" i="9"/>
  <c r="FK139" i="9"/>
  <c r="FK135" i="9"/>
  <c r="FK142" i="9"/>
  <c r="FK138" i="9"/>
  <c r="FK134" i="9"/>
  <c r="FK127" i="9"/>
  <c r="FK123" i="9"/>
  <c r="FK119" i="9"/>
  <c r="FK130" i="9"/>
  <c r="FK126" i="9"/>
  <c r="FK122" i="9"/>
  <c r="FK118" i="9"/>
  <c r="FK131" i="9"/>
  <c r="FK129" i="9"/>
  <c r="FK125" i="9"/>
  <c r="FK121" i="9"/>
  <c r="FK117" i="9"/>
  <c r="FK128" i="9"/>
  <c r="FK124" i="9"/>
  <c r="FK120" i="9"/>
  <c r="FK116" i="9"/>
  <c r="FK112" i="9"/>
  <c r="FK108" i="9"/>
  <c r="FK104" i="9"/>
  <c r="FK100" i="9"/>
  <c r="FK96" i="9"/>
  <c r="FK115" i="9"/>
  <c r="FK111" i="9"/>
  <c r="FK107" i="9"/>
  <c r="FK103" i="9"/>
  <c r="FK99" i="9"/>
  <c r="FK95" i="9"/>
  <c r="FK91" i="9"/>
  <c r="FK87" i="9"/>
  <c r="FK114" i="9"/>
  <c r="FK110" i="9"/>
  <c r="FK106" i="9"/>
  <c r="FK113" i="9"/>
  <c r="FK109" i="9"/>
  <c r="FK105" i="9"/>
  <c r="FK101" i="9"/>
  <c r="FK97" i="9"/>
  <c r="FK93" i="9"/>
  <c r="FK89" i="9"/>
  <c r="FK102" i="9"/>
  <c r="FK88" i="9"/>
  <c r="FK83" i="9"/>
  <c r="FK79" i="9"/>
  <c r="FK75" i="9"/>
  <c r="FK71" i="9"/>
  <c r="FK67" i="9"/>
  <c r="FK98" i="9"/>
  <c r="FK86" i="9"/>
  <c r="FK82" i="9"/>
  <c r="FK78" i="9"/>
  <c r="FK74" i="9"/>
  <c r="FK70" i="9"/>
  <c r="FK66" i="9"/>
  <c r="FK62" i="9"/>
  <c r="FK94" i="9"/>
  <c r="FK92" i="9"/>
  <c r="FK85" i="9"/>
  <c r="FK81" i="9"/>
  <c r="FK77" i="9"/>
  <c r="FK73" i="9"/>
  <c r="FK69" i="9"/>
  <c r="FK65" i="9"/>
  <c r="FK90" i="9"/>
  <c r="FK84" i="9"/>
  <c r="FK80" i="9"/>
  <c r="FK76" i="9"/>
  <c r="FK72" i="9"/>
  <c r="FK68" i="9"/>
  <c r="FK64" i="9"/>
  <c r="FK63" i="9"/>
  <c r="FK16" i="9"/>
  <c r="FK14" i="9"/>
  <c r="FK12" i="9"/>
  <c r="FK10" i="9"/>
  <c r="FK8" i="9"/>
  <c r="FK15" i="9"/>
  <c r="FK13" i="9"/>
  <c r="FK11" i="9"/>
  <c r="FK9" i="9"/>
  <c r="FL6" i="9"/>
  <c r="FL213" i="9" l="1"/>
  <c r="FL212" i="9"/>
  <c r="FL211" i="9"/>
  <c r="FL209" i="9"/>
  <c r="FL210" i="9"/>
  <c r="FL208" i="9"/>
  <c r="FL207" i="9"/>
  <c r="FL206" i="9"/>
  <c r="FL205" i="9"/>
  <c r="FL202" i="9"/>
  <c r="FL203" i="9"/>
  <c r="FL201" i="9"/>
  <c r="FL204" i="9"/>
  <c r="FL200" i="9"/>
  <c r="FL197" i="9"/>
  <c r="FL196" i="9"/>
  <c r="FL195" i="9"/>
  <c r="FL190" i="9"/>
  <c r="FL194" i="9"/>
  <c r="FL193" i="9"/>
  <c r="FL186" i="9"/>
  <c r="FL182" i="9"/>
  <c r="FL189" i="9"/>
  <c r="FL185" i="9"/>
  <c r="FL181" i="9"/>
  <c r="FL192" i="9"/>
  <c r="FL184" i="9"/>
  <c r="FL178" i="9"/>
  <c r="FL174" i="9"/>
  <c r="FL199" i="9"/>
  <c r="FL183" i="9"/>
  <c r="FL177" i="9"/>
  <c r="FL173" i="9"/>
  <c r="FL188" i="9"/>
  <c r="FL176" i="9"/>
  <c r="FL172" i="9"/>
  <c r="FL170" i="9"/>
  <c r="FL166" i="9"/>
  <c r="FL162" i="9"/>
  <c r="FL158" i="9"/>
  <c r="FL154" i="9"/>
  <c r="FL179" i="9"/>
  <c r="FL175" i="9"/>
  <c r="FL169" i="9"/>
  <c r="FL165" i="9"/>
  <c r="FL161" i="9"/>
  <c r="FL157" i="9"/>
  <c r="FL153" i="9"/>
  <c r="FL180" i="9"/>
  <c r="FL198" i="9"/>
  <c r="FL191" i="9"/>
  <c r="FL187" i="9"/>
  <c r="FL171" i="9"/>
  <c r="FL167" i="9"/>
  <c r="FL159" i="9"/>
  <c r="FL164" i="9"/>
  <c r="FL156" i="9"/>
  <c r="FL163" i="9"/>
  <c r="FL168" i="9"/>
  <c r="FL160" i="9"/>
  <c r="FL155" i="9"/>
  <c r="FL149" i="9"/>
  <c r="FL152" i="9"/>
  <c r="FL148" i="9"/>
  <c r="FL151" i="9"/>
  <c r="FL150" i="9"/>
  <c r="FL147" i="9"/>
  <c r="FL146" i="9"/>
  <c r="FL144" i="9"/>
  <c r="FL140" i="9"/>
  <c r="FL136" i="9"/>
  <c r="FL145" i="9"/>
  <c r="FL143" i="9"/>
  <c r="FL139" i="9"/>
  <c r="FL135" i="9"/>
  <c r="FL131" i="9"/>
  <c r="FL142" i="9"/>
  <c r="FL138" i="9"/>
  <c r="FL134" i="9"/>
  <c r="FL141" i="9"/>
  <c r="FL137" i="9"/>
  <c r="FL133" i="9"/>
  <c r="FL130" i="9"/>
  <c r="FL126" i="9"/>
  <c r="FL122" i="9"/>
  <c r="FL118" i="9"/>
  <c r="FL132" i="9"/>
  <c r="FL129" i="9"/>
  <c r="FL125" i="9"/>
  <c r="FL121" i="9"/>
  <c r="FL117" i="9"/>
  <c r="FL128" i="9"/>
  <c r="FL124" i="9"/>
  <c r="FL120" i="9"/>
  <c r="FL127" i="9"/>
  <c r="FL123" i="9"/>
  <c r="FL119" i="9"/>
  <c r="FL116" i="9"/>
  <c r="FL115" i="9"/>
  <c r="FL111" i="9"/>
  <c r="FL107" i="9"/>
  <c r="FL103" i="9"/>
  <c r="FL99" i="9"/>
  <c r="FL95" i="9"/>
  <c r="FL114" i="9"/>
  <c r="FL110" i="9"/>
  <c r="FL106" i="9"/>
  <c r="FL102" i="9"/>
  <c r="FL98" i="9"/>
  <c r="FL94" i="9"/>
  <c r="FL90" i="9"/>
  <c r="FL113" i="9"/>
  <c r="FL109" i="9"/>
  <c r="FL112" i="9"/>
  <c r="FL108" i="9"/>
  <c r="FL104" i="9"/>
  <c r="FL100" i="9"/>
  <c r="FL96" i="9"/>
  <c r="FL92" i="9"/>
  <c r="FL88" i="9"/>
  <c r="FL93" i="9"/>
  <c r="FL87" i="9"/>
  <c r="FL86" i="9"/>
  <c r="FL82" i="9"/>
  <c r="FL78" i="9"/>
  <c r="FL74" i="9"/>
  <c r="FL70" i="9"/>
  <c r="FL66" i="9"/>
  <c r="FL105" i="9"/>
  <c r="FL85" i="9"/>
  <c r="FL81" i="9"/>
  <c r="FL77" i="9"/>
  <c r="FL73" i="9"/>
  <c r="FL69" i="9"/>
  <c r="FL65" i="9"/>
  <c r="FL101" i="9"/>
  <c r="FL91" i="9"/>
  <c r="FL84" i="9"/>
  <c r="FL80" i="9"/>
  <c r="FL76" i="9"/>
  <c r="FL72" i="9"/>
  <c r="FL68" i="9"/>
  <c r="FL64" i="9"/>
  <c r="FL97" i="9"/>
  <c r="FL89" i="9"/>
  <c r="FL83" i="9"/>
  <c r="FL79" i="9"/>
  <c r="FL75" i="9"/>
  <c r="FL71" i="9"/>
  <c r="FL67" i="9"/>
  <c r="FL63" i="9"/>
  <c r="FL62" i="9"/>
  <c r="FL8" i="9"/>
  <c r="FL15" i="9"/>
  <c r="FL13" i="9"/>
  <c r="FL11" i="9"/>
  <c r="FL9" i="9"/>
  <c r="FM6" i="9"/>
  <c r="FL16" i="9"/>
  <c r="FL14" i="9"/>
  <c r="FL12" i="9"/>
  <c r="FL10" i="9"/>
  <c r="FM213" i="9" l="1"/>
  <c r="FM212" i="9"/>
  <c r="FM211" i="9"/>
  <c r="FM209" i="9"/>
  <c r="FM208" i="9"/>
  <c r="FM210" i="9"/>
  <c r="FM207" i="9"/>
  <c r="FM206" i="9"/>
  <c r="FM205" i="9"/>
  <c r="FM204" i="9"/>
  <c r="FM203" i="9"/>
  <c r="FM201" i="9"/>
  <c r="FM200" i="9"/>
  <c r="FM196" i="9"/>
  <c r="FM195" i="9"/>
  <c r="FM194" i="9"/>
  <c r="FM193" i="9"/>
  <c r="FM192" i="9"/>
  <c r="FM189" i="9"/>
  <c r="FM185" i="9"/>
  <c r="FM181" i="9"/>
  <c r="FM202" i="9"/>
  <c r="FM197" i="9"/>
  <c r="FM188" i="9"/>
  <c r="FM184" i="9"/>
  <c r="FM180" i="9"/>
  <c r="FM199" i="9"/>
  <c r="FM183" i="9"/>
  <c r="FM177" i="9"/>
  <c r="FM173" i="9"/>
  <c r="FM190" i="9"/>
  <c r="FM182" i="9"/>
  <c r="FM176" i="9"/>
  <c r="FM179" i="9"/>
  <c r="FM175" i="9"/>
  <c r="FM169" i="9"/>
  <c r="FM165" i="9"/>
  <c r="FM161" i="9"/>
  <c r="FM157" i="9"/>
  <c r="FM153" i="9"/>
  <c r="FM186" i="9"/>
  <c r="FM174" i="9"/>
  <c r="FM168" i="9"/>
  <c r="FM164" i="9"/>
  <c r="FM160" i="9"/>
  <c r="FM156" i="9"/>
  <c r="FM152" i="9"/>
  <c r="FM198" i="9"/>
  <c r="FM191" i="9"/>
  <c r="FM187" i="9"/>
  <c r="FM171" i="9"/>
  <c r="FM178" i="9"/>
  <c r="FM172" i="9"/>
  <c r="FM170" i="9"/>
  <c r="FM166" i="9"/>
  <c r="FM163" i="9"/>
  <c r="FM162" i="9"/>
  <c r="FM167" i="9"/>
  <c r="FM159" i="9"/>
  <c r="FM154" i="9"/>
  <c r="FM148" i="9"/>
  <c r="FM158" i="9"/>
  <c r="FM151" i="9"/>
  <c r="FM150" i="9"/>
  <c r="FM147" i="9"/>
  <c r="FM155" i="9"/>
  <c r="FM149" i="9"/>
  <c r="FM145" i="9"/>
  <c r="FM146" i="9"/>
  <c r="FM143" i="9"/>
  <c r="FM139" i="9"/>
  <c r="FM135" i="9"/>
  <c r="FM142" i="9"/>
  <c r="FM138" i="9"/>
  <c r="FM134" i="9"/>
  <c r="FM141" i="9"/>
  <c r="FM137" i="9"/>
  <c r="FM133" i="9"/>
  <c r="FM144" i="9"/>
  <c r="FM140" i="9"/>
  <c r="FM136" i="9"/>
  <c r="FM132" i="9"/>
  <c r="FM129" i="9"/>
  <c r="FM125" i="9"/>
  <c r="FM121" i="9"/>
  <c r="FM117" i="9"/>
  <c r="FM131" i="9"/>
  <c r="FM128" i="9"/>
  <c r="FM124" i="9"/>
  <c r="FM120" i="9"/>
  <c r="FM116" i="9"/>
  <c r="FM127" i="9"/>
  <c r="FM123" i="9"/>
  <c r="FM119" i="9"/>
  <c r="FM130" i="9"/>
  <c r="FM126" i="9"/>
  <c r="FM122" i="9"/>
  <c r="FM118" i="9"/>
  <c r="FM114" i="9"/>
  <c r="FM110" i="9"/>
  <c r="FM106" i="9"/>
  <c r="FM102" i="9"/>
  <c r="FM98" i="9"/>
  <c r="FM94" i="9"/>
  <c r="FM113" i="9"/>
  <c r="FM109" i="9"/>
  <c r="FM105" i="9"/>
  <c r="FM101" i="9"/>
  <c r="FM97" i="9"/>
  <c r="FM93" i="9"/>
  <c r="FM89" i="9"/>
  <c r="FM112" i="9"/>
  <c r="FM108" i="9"/>
  <c r="FM115" i="9"/>
  <c r="FM111" i="9"/>
  <c r="FM107" i="9"/>
  <c r="FM103" i="9"/>
  <c r="FM99" i="9"/>
  <c r="FM95" i="9"/>
  <c r="FM91" i="9"/>
  <c r="FM87" i="9"/>
  <c r="FM100" i="9"/>
  <c r="FM85" i="9"/>
  <c r="FM81" i="9"/>
  <c r="FM77" i="9"/>
  <c r="FM73" i="9"/>
  <c r="FM69" i="9"/>
  <c r="FM65" i="9"/>
  <c r="FM96" i="9"/>
  <c r="FM92" i="9"/>
  <c r="FM84" i="9"/>
  <c r="FM80" i="9"/>
  <c r="FM76" i="9"/>
  <c r="FM72" i="9"/>
  <c r="FM68" i="9"/>
  <c r="FM64" i="9"/>
  <c r="FM90" i="9"/>
  <c r="FM83" i="9"/>
  <c r="FM79" i="9"/>
  <c r="FM75" i="9"/>
  <c r="FM71" i="9"/>
  <c r="FM67" i="9"/>
  <c r="FM104" i="9"/>
  <c r="FM88" i="9"/>
  <c r="FM86" i="9"/>
  <c r="FM82" i="9"/>
  <c r="FM78" i="9"/>
  <c r="FM74" i="9"/>
  <c r="FM70" i="9"/>
  <c r="FM66" i="9"/>
  <c r="FM62" i="9"/>
  <c r="FM63" i="9"/>
  <c r="FM15" i="9"/>
  <c r="FM13" i="9"/>
  <c r="FM11" i="9"/>
  <c r="FM9" i="9"/>
  <c r="FN6" i="9"/>
  <c r="FM16" i="9"/>
  <c r="FM14" i="9"/>
  <c r="FM12" i="9"/>
  <c r="FM10" i="9"/>
  <c r="FM8" i="9"/>
  <c r="FN212" i="9" l="1"/>
  <c r="FN213" i="9"/>
  <c r="FN211" i="9"/>
  <c r="FN210" i="9"/>
  <c r="FN207" i="9"/>
  <c r="FN209" i="9"/>
  <c r="FN208" i="9"/>
  <c r="FN206" i="9"/>
  <c r="FN205" i="9"/>
  <c r="FN204" i="9"/>
  <c r="FN199" i="9"/>
  <c r="FN202" i="9"/>
  <c r="FN203" i="9"/>
  <c r="FN195" i="9"/>
  <c r="FN201" i="9"/>
  <c r="FN198" i="9"/>
  <c r="FN194" i="9"/>
  <c r="FN192" i="9"/>
  <c r="FN200" i="9"/>
  <c r="FN191" i="9"/>
  <c r="FN197" i="9"/>
  <c r="FN188" i="9"/>
  <c r="FN184" i="9"/>
  <c r="FN180" i="9"/>
  <c r="FN193" i="9"/>
  <c r="FN187" i="9"/>
  <c r="FN183" i="9"/>
  <c r="FN179" i="9"/>
  <c r="FN190" i="9"/>
  <c r="FN182" i="9"/>
  <c r="FN176" i="9"/>
  <c r="FN172" i="9"/>
  <c r="FN196" i="9"/>
  <c r="FN189" i="9"/>
  <c r="FN181" i="9"/>
  <c r="FN175" i="9"/>
  <c r="FN186" i="9"/>
  <c r="FN174" i="9"/>
  <c r="FN168" i="9"/>
  <c r="FN164" i="9"/>
  <c r="FN160" i="9"/>
  <c r="FN156" i="9"/>
  <c r="FN152" i="9"/>
  <c r="FN173" i="9"/>
  <c r="FN171" i="9"/>
  <c r="FN167" i="9"/>
  <c r="FN163" i="9"/>
  <c r="FN159" i="9"/>
  <c r="FN155" i="9"/>
  <c r="FN151" i="9"/>
  <c r="FN185" i="9"/>
  <c r="FN178" i="9"/>
  <c r="FN170" i="9"/>
  <c r="FN177" i="9"/>
  <c r="FN165" i="9"/>
  <c r="FN162" i="9"/>
  <c r="FN169" i="9"/>
  <c r="FN161" i="9"/>
  <c r="FN166" i="9"/>
  <c r="FN158" i="9"/>
  <c r="FN153" i="9"/>
  <c r="FN150" i="9"/>
  <c r="FN147" i="9"/>
  <c r="FN146" i="9"/>
  <c r="FN149" i="9"/>
  <c r="FN157" i="9"/>
  <c r="FN154" i="9"/>
  <c r="FN148" i="9"/>
  <c r="FN145" i="9"/>
  <c r="FN142" i="9"/>
  <c r="FN138" i="9"/>
  <c r="FN134" i="9"/>
  <c r="FN141" i="9"/>
  <c r="FN137" i="9"/>
  <c r="FN133" i="9"/>
  <c r="FN144" i="9"/>
  <c r="FN140" i="9"/>
  <c r="FN136" i="9"/>
  <c r="FN143" i="9"/>
  <c r="FN139" i="9"/>
  <c r="FN135" i="9"/>
  <c r="FN131" i="9"/>
  <c r="FN132" i="9"/>
  <c r="FN128" i="9"/>
  <c r="FN124" i="9"/>
  <c r="FN120" i="9"/>
  <c r="FN127" i="9"/>
  <c r="FN123" i="9"/>
  <c r="FN119" i="9"/>
  <c r="FN130" i="9"/>
  <c r="FN126" i="9"/>
  <c r="FN122" i="9"/>
  <c r="FN118" i="9"/>
  <c r="FN129" i="9"/>
  <c r="FN125" i="9"/>
  <c r="FN121" i="9"/>
  <c r="FN117" i="9"/>
  <c r="FN113" i="9"/>
  <c r="FN109" i="9"/>
  <c r="FN105" i="9"/>
  <c r="FN101" i="9"/>
  <c r="FN97" i="9"/>
  <c r="FN93" i="9"/>
  <c r="FN112" i="9"/>
  <c r="FN108" i="9"/>
  <c r="FN104" i="9"/>
  <c r="FN100" i="9"/>
  <c r="FN96" i="9"/>
  <c r="FN92" i="9"/>
  <c r="FN88" i="9"/>
  <c r="FN115" i="9"/>
  <c r="FN111" i="9"/>
  <c r="FN107" i="9"/>
  <c r="FN116" i="9"/>
  <c r="FN114" i="9"/>
  <c r="FN110" i="9"/>
  <c r="FN106" i="9"/>
  <c r="FN102" i="9"/>
  <c r="FN98" i="9"/>
  <c r="FN94" i="9"/>
  <c r="FN90" i="9"/>
  <c r="FN84" i="9"/>
  <c r="FN80" i="9"/>
  <c r="FN76" i="9"/>
  <c r="FN72" i="9"/>
  <c r="FN68" i="9"/>
  <c r="FN64" i="9"/>
  <c r="FN103" i="9"/>
  <c r="FN91" i="9"/>
  <c r="FN83" i="9"/>
  <c r="FN79" i="9"/>
  <c r="FN75" i="9"/>
  <c r="FN71" i="9"/>
  <c r="FN67" i="9"/>
  <c r="FN63" i="9"/>
  <c r="FN99" i="9"/>
  <c r="FN89" i="9"/>
  <c r="FN86" i="9"/>
  <c r="FN82" i="9"/>
  <c r="FN78" i="9"/>
  <c r="FN74" i="9"/>
  <c r="FN70" i="9"/>
  <c r="FN66" i="9"/>
  <c r="FN95" i="9"/>
  <c r="FN87" i="9"/>
  <c r="FN85" i="9"/>
  <c r="FN81" i="9"/>
  <c r="FN77" i="9"/>
  <c r="FN73" i="9"/>
  <c r="FN69" i="9"/>
  <c r="FN65" i="9"/>
  <c r="FN62" i="9"/>
  <c r="FO6" i="9"/>
  <c r="FN16" i="9"/>
  <c r="FN14" i="9"/>
  <c r="FN12" i="9"/>
  <c r="FN10" i="9"/>
  <c r="FN8" i="9"/>
  <c r="FN15" i="9"/>
  <c r="FN13" i="9"/>
  <c r="FN11" i="9"/>
  <c r="FN9" i="9"/>
  <c r="FO213" i="9" l="1"/>
  <c r="FO211" i="9"/>
  <c r="FO210" i="9"/>
  <c r="FO209" i="9"/>
  <c r="FO208" i="9"/>
  <c r="FO212" i="9"/>
  <c r="FO206" i="9"/>
  <c r="FO204" i="9"/>
  <c r="FO207" i="9"/>
  <c r="FO203" i="9"/>
  <c r="FO205" i="9"/>
  <c r="FO202" i="9"/>
  <c r="FO201" i="9"/>
  <c r="FO198" i="9"/>
  <c r="FO194" i="9"/>
  <c r="FO199" i="9"/>
  <c r="FO197" i="9"/>
  <c r="FO200" i="9"/>
  <c r="FO191" i="9"/>
  <c r="FO190" i="9"/>
  <c r="FO193" i="9"/>
  <c r="FO187" i="9"/>
  <c r="FO183" i="9"/>
  <c r="FO195" i="9"/>
  <c r="FO192" i="9"/>
  <c r="FO186" i="9"/>
  <c r="FO182" i="9"/>
  <c r="FO196" i="9"/>
  <c r="FO189" i="9"/>
  <c r="FO181" i="9"/>
  <c r="FO175" i="9"/>
  <c r="FO188" i="9"/>
  <c r="FO180" i="9"/>
  <c r="FO179" i="9"/>
  <c r="FO178" i="9"/>
  <c r="FO174" i="9"/>
  <c r="FO173" i="9"/>
  <c r="FO171" i="9"/>
  <c r="FO167" i="9"/>
  <c r="FO163" i="9"/>
  <c r="FO159" i="9"/>
  <c r="FO155" i="9"/>
  <c r="FO151" i="9"/>
  <c r="FO184" i="9"/>
  <c r="FO170" i="9"/>
  <c r="FO166" i="9"/>
  <c r="FO162" i="9"/>
  <c r="FO158" i="9"/>
  <c r="FO154" i="9"/>
  <c r="FO150" i="9"/>
  <c r="FO185" i="9"/>
  <c r="FO172" i="9"/>
  <c r="FO176" i="9"/>
  <c r="FO177" i="9"/>
  <c r="FO164" i="9"/>
  <c r="FO169" i="9"/>
  <c r="FO161" i="9"/>
  <c r="FO168" i="9"/>
  <c r="FO160" i="9"/>
  <c r="FO165" i="9"/>
  <c r="FO157" i="9"/>
  <c r="FO152" i="9"/>
  <c r="FO156" i="9"/>
  <c r="FO149" i="9"/>
  <c r="FO145" i="9"/>
  <c r="FO148" i="9"/>
  <c r="FO153" i="9"/>
  <c r="FO147" i="9"/>
  <c r="FO141" i="9"/>
  <c r="FO137" i="9"/>
  <c r="FO133" i="9"/>
  <c r="FO144" i="9"/>
  <c r="FO140" i="9"/>
  <c r="FO136" i="9"/>
  <c r="FO132" i="9"/>
  <c r="FO143" i="9"/>
  <c r="FO139" i="9"/>
  <c r="FO135" i="9"/>
  <c r="FO146" i="9"/>
  <c r="FO142" i="9"/>
  <c r="FO138" i="9"/>
  <c r="FO134" i="9"/>
  <c r="FO131" i="9"/>
  <c r="FO127" i="9"/>
  <c r="FO123" i="9"/>
  <c r="FO119" i="9"/>
  <c r="FO130" i="9"/>
  <c r="FO126" i="9"/>
  <c r="FO122" i="9"/>
  <c r="FO118" i="9"/>
  <c r="FO129" i="9"/>
  <c r="FO125" i="9"/>
  <c r="FO121" i="9"/>
  <c r="FO117" i="9"/>
  <c r="FO128" i="9"/>
  <c r="FO124" i="9"/>
  <c r="FO120" i="9"/>
  <c r="FO116" i="9"/>
  <c r="FO112" i="9"/>
  <c r="FO108" i="9"/>
  <c r="FO104" i="9"/>
  <c r="FO100" i="9"/>
  <c r="FO96" i="9"/>
  <c r="FO115" i="9"/>
  <c r="FO111" i="9"/>
  <c r="FO107" i="9"/>
  <c r="FO103" i="9"/>
  <c r="FO99" i="9"/>
  <c r="FO95" i="9"/>
  <c r="FO91" i="9"/>
  <c r="FO87" i="9"/>
  <c r="FO114" i="9"/>
  <c r="FO110" i="9"/>
  <c r="FO106" i="9"/>
  <c r="FO113" i="9"/>
  <c r="FO109" i="9"/>
  <c r="FO105" i="9"/>
  <c r="FO101" i="9"/>
  <c r="FO97" i="9"/>
  <c r="FO93" i="9"/>
  <c r="FO89" i="9"/>
  <c r="FO98" i="9"/>
  <c r="FO92" i="9"/>
  <c r="FO83" i="9"/>
  <c r="FO79" i="9"/>
  <c r="FO75" i="9"/>
  <c r="FO71" i="9"/>
  <c r="FO67" i="9"/>
  <c r="FO94" i="9"/>
  <c r="FO90" i="9"/>
  <c r="FO86" i="9"/>
  <c r="FO82" i="9"/>
  <c r="FO78" i="9"/>
  <c r="FO74" i="9"/>
  <c r="FO70" i="9"/>
  <c r="FO66" i="9"/>
  <c r="FO62" i="9"/>
  <c r="FO88" i="9"/>
  <c r="FO85" i="9"/>
  <c r="FO81" i="9"/>
  <c r="FO77" i="9"/>
  <c r="FO73" i="9"/>
  <c r="FO69" i="9"/>
  <c r="FO65" i="9"/>
  <c r="FO102" i="9"/>
  <c r="FO84" i="9"/>
  <c r="FO80" i="9"/>
  <c r="FO76" i="9"/>
  <c r="FO72" i="9"/>
  <c r="FO68" i="9"/>
  <c r="FO64" i="9"/>
  <c r="FO63" i="9"/>
  <c r="FO16" i="9"/>
  <c r="FO14" i="9"/>
  <c r="FO12" i="9"/>
  <c r="FO10" i="9"/>
  <c r="FO8" i="9"/>
  <c r="FP6" i="9"/>
  <c r="FO15" i="9"/>
  <c r="FO13" i="9"/>
  <c r="FO11" i="9"/>
  <c r="FO9" i="9"/>
  <c r="FP8" i="9" l="1"/>
  <c r="FQ6" i="9"/>
  <c r="FR6" i="9" l="1"/>
  <c r="FQ8" i="9"/>
  <c r="FR213" i="9" l="1"/>
  <c r="FR212" i="9"/>
  <c r="FR211" i="9"/>
  <c r="FR210" i="9"/>
  <c r="FR209" i="9"/>
  <c r="FR207" i="9"/>
  <c r="FR202" i="9"/>
  <c r="FR205" i="9"/>
  <c r="FR206" i="9"/>
  <c r="FR201" i="9"/>
  <c r="FR204" i="9"/>
  <c r="FR203" i="9"/>
  <c r="FR199" i="9"/>
  <c r="FR197" i="9"/>
  <c r="FR200" i="9"/>
  <c r="FR196" i="9"/>
  <c r="FR208" i="9"/>
  <c r="FR190" i="9"/>
  <c r="FR198" i="9"/>
  <c r="FR193" i="9"/>
  <c r="FR195" i="9"/>
  <c r="FR192" i="9"/>
  <c r="FR186" i="9"/>
  <c r="FR182" i="9"/>
  <c r="FR191" i="9"/>
  <c r="FR189" i="9"/>
  <c r="FR185" i="9"/>
  <c r="FR181" i="9"/>
  <c r="FR188" i="9"/>
  <c r="FR180" i="9"/>
  <c r="FR179" i="9"/>
  <c r="FR178" i="9"/>
  <c r="FR174" i="9"/>
  <c r="FR187" i="9"/>
  <c r="FR177" i="9"/>
  <c r="FR173" i="9"/>
  <c r="FR184" i="9"/>
  <c r="FR170" i="9"/>
  <c r="FR166" i="9"/>
  <c r="FR162" i="9"/>
  <c r="FR158" i="9"/>
  <c r="FR154" i="9"/>
  <c r="FR194" i="9"/>
  <c r="FR172" i="9"/>
  <c r="FR169" i="9"/>
  <c r="FR165" i="9"/>
  <c r="FR161" i="9"/>
  <c r="FR157" i="9"/>
  <c r="FR153" i="9"/>
  <c r="FR176" i="9"/>
  <c r="FR183" i="9"/>
  <c r="FR175" i="9"/>
  <c r="FR171" i="9"/>
  <c r="FR163" i="9"/>
  <c r="FR168" i="9"/>
  <c r="FR160" i="9"/>
  <c r="FR167" i="9"/>
  <c r="FR159" i="9"/>
  <c r="FR164" i="9"/>
  <c r="FR156" i="9"/>
  <c r="FR151" i="9"/>
  <c r="FR149" i="9"/>
  <c r="FR148" i="9"/>
  <c r="FR155" i="9"/>
  <c r="FR147" i="9"/>
  <c r="FR152" i="9"/>
  <c r="FR150" i="9"/>
  <c r="FR146" i="9"/>
  <c r="FR144" i="9"/>
  <c r="FR140" i="9"/>
  <c r="FR136" i="9"/>
  <c r="FR143" i="9"/>
  <c r="FR139" i="9"/>
  <c r="FR135" i="9"/>
  <c r="FR131" i="9"/>
  <c r="FR142" i="9"/>
  <c r="FR138" i="9"/>
  <c r="FR134" i="9"/>
  <c r="FR145" i="9"/>
  <c r="FR141" i="9"/>
  <c r="FR137" i="9"/>
  <c r="FR133" i="9"/>
  <c r="FR130" i="9"/>
  <c r="FR126" i="9"/>
  <c r="FR122" i="9"/>
  <c r="FR118" i="9"/>
  <c r="FR129" i="9"/>
  <c r="FR125" i="9"/>
  <c r="FR121" i="9"/>
  <c r="FR117" i="9"/>
  <c r="FR128" i="9"/>
  <c r="FR124" i="9"/>
  <c r="FR120" i="9"/>
  <c r="FR132" i="9"/>
  <c r="FR127" i="9"/>
  <c r="FR123" i="9"/>
  <c r="FR119" i="9"/>
  <c r="FR115" i="9"/>
  <c r="FR111" i="9"/>
  <c r="FR107" i="9"/>
  <c r="FR103" i="9"/>
  <c r="FR99" i="9"/>
  <c r="FR95" i="9"/>
  <c r="FR114" i="9"/>
  <c r="FR110" i="9"/>
  <c r="FR106" i="9"/>
  <c r="FR102" i="9"/>
  <c r="FR98" i="9"/>
  <c r="FR94" i="9"/>
  <c r="FR90" i="9"/>
  <c r="FR116" i="9"/>
  <c r="FR113" i="9"/>
  <c r="FR109" i="9"/>
  <c r="FR112" i="9"/>
  <c r="FR108" i="9"/>
  <c r="FR104" i="9"/>
  <c r="FR100" i="9"/>
  <c r="FR96" i="9"/>
  <c r="FR92" i="9"/>
  <c r="FR88" i="9"/>
  <c r="FR105" i="9"/>
  <c r="FR91" i="9"/>
  <c r="FR86" i="9"/>
  <c r="FR82" i="9"/>
  <c r="FR78" i="9"/>
  <c r="FR74" i="9"/>
  <c r="FR70" i="9"/>
  <c r="FR66" i="9"/>
  <c r="FR101" i="9"/>
  <c r="FR89" i="9"/>
  <c r="FR85" i="9"/>
  <c r="FR81" i="9"/>
  <c r="FR77" i="9"/>
  <c r="FR73" i="9"/>
  <c r="FR69" i="9"/>
  <c r="FR65" i="9"/>
  <c r="FR97" i="9"/>
  <c r="FR87" i="9"/>
  <c r="FR84" i="9"/>
  <c r="FR80" i="9"/>
  <c r="FR76" i="9"/>
  <c r="FR72" i="9"/>
  <c r="FR68" i="9"/>
  <c r="FR64" i="9"/>
  <c r="FR93" i="9"/>
  <c r="FR83" i="9"/>
  <c r="FR79" i="9"/>
  <c r="FR75" i="9"/>
  <c r="FR71" i="9"/>
  <c r="FR67" i="9"/>
  <c r="FR63" i="9"/>
  <c r="FR62" i="9"/>
  <c r="FS6" i="9"/>
  <c r="FR15" i="9"/>
  <c r="FR13" i="9"/>
  <c r="FR11" i="9"/>
  <c r="FR9" i="9"/>
  <c r="FR8" i="9"/>
  <c r="FR16" i="9"/>
  <c r="FR14" i="9"/>
  <c r="FR12" i="9"/>
  <c r="FR10" i="9"/>
  <c r="FS213" i="9" l="1"/>
  <c r="FS212" i="9"/>
  <c r="FS211" i="9"/>
  <c r="FS209" i="9"/>
  <c r="FS208" i="9"/>
  <c r="FS210" i="9"/>
  <c r="FS207" i="9"/>
  <c r="FS205" i="9"/>
  <c r="FS206" i="9"/>
  <c r="FS204" i="9"/>
  <c r="FS202" i="9"/>
  <c r="FS201" i="9"/>
  <c r="FS203" i="9"/>
  <c r="FS200" i="9"/>
  <c r="FS196" i="9"/>
  <c r="FS195" i="9"/>
  <c r="FS198" i="9"/>
  <c r="FS193" i="9"/>
  <c r="FS199" i="9"/>
  <c r="FS197" i="9"/>
  <c r="FS192" i="9"/>
  <c r="FS191" i="9"/>
  <c r="FS189" i="9"/>
  <c r="FS185" i="9"/>
  <c r="FS181" i="9"/>
  <c r="FS190" i="9"/>
  <c r="FS188" i="9"/>
  <c r="FS184" i="9"/>
  <c r="FS180" i="9"/>
  <c r="FS187" i="9"/>
  <c r="FS177" i="9"/>
  <c r="FS173" i="9"/>
  <c r="FS186" i="9"/>
  <c r="FS176" i="9"/>
  <c r="FS194" i="9"/>
  <c r="FS172" i="9"/>
  <c r="FS169" i="9"/>
  <c r="FS165" i="9"/>
  <c r="FS161" i="9"/>
  <c r="FS157" i="9"/>
  <c r="FS153" i="9"/>
  <c r="FS182" i="9"/>
  <c r="FS178" i="9"/>
  <c r="FS168" i="9"/>
  <c r="FS164" i="9"/>
  <c r="FS160" i="9"/>
  <c r="FS156" i="9"/>
  <c r="FS152" i="9"/>
  <c r="FS179" i="9"/>
  <c r="FS174" i="9"/>
  <c r="FS183" i="9"/>
  <c r="FS175" i="9"/>
  <c r="FS171" i="9"/>
  <c r="FS170" i="9"/>
  <c r="FS162" i="9"/>
  <c r="FS167" i="9"/>
  <c r="FS159" i="9"/>
  <c r="FS166" i="9"/>
  <c r="FS163" i="9"/>
  <c r="FS158" i="9"/>
  <c r="FS148" i="9"/>
  <c r="FS155" i="9"/>
  <c r="FS147" i="9"/>
  <c r="FS154" i="9"/>
  <c r="FS150" i="9"/>
  <c r="FS151" i="9"/>
  <c r="FS149" i="9"/>
  <c r="FS145" i="9"/>
  <c r="FS143" i="9"/>
  <c r="FS139" i="9"/>
  <c r="FS135" i="9"/>
  <c r="FS142" i="9"/>
  <c r="FS138" i="9"/>
  <c r="FS134" i="9"/>
  <c r="FS146" i="9"/>
  <c r="FS141" i="9"/>
  <c r="FS137" i="9"/>
  <c r="FS133" i="9"/>
  <c r="FS144" i="9"/>
  <c r="FS140" i="9"/>
  <c r="FS136" i="9"/>
  <c r="FS132" i="9"/>
  <c r="FS129" i="9"/>
  <c r="FS125" i="9"/>
  <c r="FS121" i="9"/>
  <c r="FS117" i="9"/>
  <c r="FS128" i="9"/>
  <c r="FS124" i="9"/>
  <c r="FS120" i="9"/>
  <c r="FS116" i="9"/>
  <c r="FS127" i="9"/>
  <c r="FS123" i="9"/>
  <c r="FS119" i="9"/>
  <c r="FS131" i="9"/>
  <c r="FS130" i="9"/>
  <c r="FS126" i="9"/>
  <c r="FS122" i="9"/>
  <c r="FS118" i="9"/>
  <c r="FS114" i="9"/>
  <c r="FS110" i="9"/>
  <c r="FS106" i="9"/>
  <c r="FS102" i="9"/>
  <c r="FS98" i="9"/>
  <c r="FS94" i="9"/>
  <c r="FS113" i="9"/>
  <c r="FS109" i="9"/>
  <c r="FS105" i="9"/>
  <c r="FS101" i="9"/>
  <c r="FS97" i="9"/>
  <c r="FS93" i="9"/>
  <c r="FS89" i="9"/>
  <c r="FS112" i="9"/>
  <c r="FS108" i="9"/>
  <c r="FS115" i="9"/>
  <c r="FS111" i="9"/>
  <c r="FS107" i="9"/>
  <c r="FS103" i="9"/>
  <c r="FS99" i="9"/>
  <c r="FS95" i="9"/>
  <c r="FS91" i="9"/>
  <c r="FS87" i="9"/>
  <c r="FS96" i="9"/>
  <c r="FS90" i="9"/>
  <c r="FS85" i="9"/>
  <c r="FS81" i="9"/>
  <c r="FS77" i="9"/>
  <c r="FS73" i="9"/>
  <c r="FS69" i="9"/>
  <c r="FS65" i="9"/>
  <c r="FS88" i="9"/>
  <c r="FS84" i="9"/>
  <c r="FS80" i="9"/>
  <c r="FS76" i="9"/>
  <c r="FS72" i="9"/>
  <c r="FS68" i="9"/>
  <c r="FS64" i="9"/>
  <c r="FS104" i="9"/>
  <c r="FS83" i="9"/>
  <c r="FS79" i="9"/>
  <c r="FS75" i="9"/>
  <c r="FS71" i="9"/>
  <c r="FS67" i="9"/>
  <c r="FS100" i="9"/>
  <c r="FS92" i="9"/>
  <c r="FS86" i="9"/>
  <c r="FS82" i="9"/>
  <c r="FS78" i="9"/>
  <c r="FS74" i="9"/>
  <c r="FS70" i="9"/>
  <c r="FS66" i="9"/>
  <c r="FS62" i="9"/>
  <c r="FS63" i="9"/>
  <c r="FS15" i="9"/>
  <c r="FS13" i="9"/>
  <c r="FS11" i="9"/>
  <c r="FS9" i="9"/>
  <c r="FS8" i="9"/>
  <c r="FS16" i="9"/>
  <c r="FS14" i="9"/>
  <c r="FS12" i="9"/>
  <c r="FS10" i="9"/>
  <c r="FT6" i="9"/>
  <c r="FT212" i="9" l="1"/>
  <c r="FT213" i="9"/>
  <c r="FT211" i="9"/>
  <c r="FT210" i="9"/>
  <c r="FT209" i="9"/>
  <c r="FT207" i="9"/>
  <c r="FT206" i="9"/>
  <c r="FT208" i="9"/>
  <c r="FT205" i="9"/>
  <c r="FT204" i="9"/>
  <c r="FT203" i="9"/>
  <c r="FT199" i="9"/>
  <c r="FT201" i="9"/>
  <c r="FT200" i="9"/>
  <c r="FT195" i="9"/>
  <c r="FT198" i="9"/>
  <c r="FT194" i="9"/>
  <c r="FT197" i="9"/>
  <c r="FT192" i="9"/>
  <c r="FT196" i="9"/>
  <c r="FT191" i="9"/>
  <c r="FT202" i="9"/>
  <c r="FT190" i="9"/>
  <c r="FT188" i="9"/>
  <c r="FT184" i="9"/>
  <c r="FT180" i="9"/>
  <c r="FT187" i="9"/>
  <c r="FT183" i="9"/>
  <c r="FT179" i="9"/>
  <c r="FT186" i="9"/>
  <c r="FT176" i="9"/>
  <c r="FT172" i="9"/>
  <c r="FT193" i="9"/>
  <c r="FT185" i="9"/>
  <c r="FT175" i="9"/>
  <c r="FT182" i="9"/>
  <c r="FT178" i="9"/>
  <c r="FT168" i="9"/>
  <c r="FT164" i="9"/>
  <c r="FT160" i="9"/>
  <c r="FT156" i="9"/>
  <c r="FT152" i="9"/>
  <c r="FT189" i="9"/>
  <c r="FT177" i="9"/>
  <c r="FT171" i="9"/>
  <c r="FT167" i="9"/>
  <c r="FT163" i="9"/>
  <c r="FT159" i="9"/>
  <c r="FT155" i="9"/>
  <c r="FT151" i="9"/>
  <c r="FT181" i="9"/>
  <c r="FT174" i="9"/>
  <c r="FT170" i="9"/>
  <c r="FT173" i="9"/>
  <c r="FT169" i="9"/>
  <c r="FT161" i="9"/>
  <c r="FT166" i="9"/>
  <c r="FT158" i="9"/>
  <c r="FT165" i="9"/>
  <c r="FT162" i="9"/>
  <c r="FT147" i="9"/>
  <c r="FT154" i="9"/>
  <c r="FT150" i="9"/>
  <c r="FT146" i="9"/>
  <c r="FT157" i="9"/>
  <c r="FT153" i="9"/>
  <c r="FT149" i="9"/>
  <c r="FT148" i="9"/>
  <c r="FT142" i="9"/>
  <c r="FT138" i="9"/>
  <c r="FT134" i="9"/>
  <c r="FT141" i="9"/>
  <c r="FT137" i="9"/>
  <c r="FT133" i="9"/>
  <c r="FT145" i="9"/>
  <c r="FT144" i="9"/>
  <c r="FT140" i="9"/>
  <c r="FT136" i="9"/>
  <c r="FT143" i="9"/>
  <c r="FT139" i="9"/>
  <c r="FT135" i="9"/>
  <c r="FT131" i="9"/>
  <c r="FT128" i="9"/>
  <c r="FT124" i="9"/>
  <c r="FT120" i="9"/>
  <c r="FT127" i="9"/>
  <c r="FT123" i="9"/>
  <c r="FT119" i="9"/>
  <c r="FT132" i="9"/>
  <c r="FT130" i="9"/>
  <c r="FT126" i="9"/>
  <c r="FT122" i="9"/>
  <c r="FT118" i="9"/>
  <c r="FT129" i="9"/>
  <c r="FT125" i="9"/>
  <c r="FT121" i="9"/>
  <c r="FT117" i="9"/>
  <c r="FT113" i="9"/>
  <c r="FT109" i="9"/>
  <c r="FT105" i="9"/>
  <c r="FT101" i="9"/>
  <c r="FT97" i="9"/>
  <c r="FT93" i="9"/>
  <c r="FT116" i="9"/>
  <c r="FT112" i="9"/>
  <c r="FT108" i="9"/>
  <c r="FT104" i="9"/>
  <c r="FT100" i="9"/>
  <c r="FT96" i="9"/>
  <c r="FT92" i="9"/>
  <c r="FT88" i="9"/>
  <c r="FT115" i="9"/>
  <c r="FT111" i="9"/>
  <c r="FT107" i="9"/>
  <c r="FT114" i="9"/>
  <c r="FT110" i="9"/>
  <c r="FT106" i="9"/>
  <c r="FT102" i="9"/>
  <c r="FT98" i="9"/>
  <c r="FT94" i="9"/>
  <c r="FT90" i="9"/>
  <c r="FT103" i="9"/>
  <c r="FT89" i="9"/>
  <c r="FT84" i="9"/>
  <c r="FT80" i="9"/>
  <c r="FT76" i="9"/>
  <c r="FT72" i="9"/>
  <c r="FT68" i="9"/>
  <c r="FT64" i="9"/>
  <c r="FT99" i="9"/>
  <c r="FT87" i="9"/>
  <c r="FT83" i="9"/>
  <c r="FT79" i="9"/>
  <c r="FT75" i="9"/>
  <c r="FT71" i="9"/>
  <c r="FT67" i="9"/>
  <c r="FT63" i="9"/>
  <c r="FT95" i="9"/>
  <c r="FT86" i="9"/>
  <c r="FT82" i="9"/>
  <c r="FT78" i="9"/>
  <c r="FT74" i="9"/>
  <c r="FT70" i="9"/>
  <c r="FT66" i="9"/>
  <c r="FT91" i="9"/>
  <c r="FT85" i="9"/>
  <c r="FT81" i="9"/>
  <c r="FT77" i="9"/>
  <c r="FT73" i="9"/>
  <c r="FT69" i="9"/>
  <c r="FT65" i="9"/>
  <c r="FT62" i="9"/>
  <c r="FT8" i="9"/>
  <c r="FT16" i="9"/>
  <c r="FT14" i="9"/>
  <c r="FT12" i="9"/>
  <c r="FT10" i="9"/>
  <c r="FU6" i="9"/>
  <c r="FT15" i="9"/>
  <c r="FT13" i="9"/>
  <c r="FT11" i="9"/>
  <c r="FT9" i="9"/>
  <c r="FU213" i="9" l="1"/>
  <c r="FU211" i="9"/>
  <c r="FU210" i="9"/>
  <c r="FU212" i="9"/>
  <c r="FU209" i="9"/>
  <c r="FU208" i="9"/>
  <c r="FU207" i="9"/>
  <c r="FU204" i="9"/>
  <c r="FU206" i="9"/>
  <c r="FU203" i="9"/>
  <c r="FU202" i="9"/>
  <c r="FU201" i="9"/>
  <c r="FU205" i="9"/>
  <c r="FU198" i="9"/>
  <c r="FU194" i="9"/>
  <c r="FU197" i="9"/>
  <c r="FU199" i="9"/>
  <c r="FU196" i="9"/>
  <c r="FU191" i="9"/>
  <c r="FU195" i="9"/>
  <c r="FU190" i="9"/>
  <c r="FU187" i="9"/>
  <c r="FU183" i="9"/>
  <c r="FU186" i="9"/>
  <c r="FU182" i="9"/>
  <c r="FU193" i="9"/>
  <c r="FU185" i="9"/>
  <c r="FU175" i="9"/>
  <c r="FU184" i="9"/>
  <c r="FU178" i="9"/>
  <c r="FU174" i="9"/>
  <c r="FU189" i="9"/>
  <c r="FU177" i="9"/>
  <c r="FU171" i="9"/>
  <c r="FU167" i="9"/>
  <c r="FU163" i="9"/>
  <c r="FU159" i="9"/>
  <c r="FU155" i="9"/>
  <c r="FU151" i="9"/>
  <c r="FU180" i="9"/>
  <c r="FU176" i="9"/>
  <c r="FU170" i="9"/>
  <c r="FU166" i="9"/>
  <c r="FU162" i="9"/>
  <c r="FU158" i="9"/>
  <c r="FU154" i="9"/>
  <c r="FU150" i="9"/>
  <c r="FU200" i="9"/>
  <c r="FU181" i="9"/>
  <c r="FU192" i="9"/>
  <c r="FU179" i="9"/>
  <c r="FU188" i="9"/>
  <c r="FU173" i="9"/>
  <c r="FU172" i="9"/>
  <c r="FU168" i="9"/>
  <c r="FU160" i="9"/>
  <c r="FU165" i="9"/>
  <c r="FU157" i="9"/>
  <c r="FU164" i="9"/>
  <c r="FU169" i="9"/>
  <c r="FU161" i="9"/>
  <c r="FU156" i="9"/>
  <c r="FU153" i="9"/>
  <c r="FU149" i="9"/>
  <c r="FU145" i="9"/>
  <c r="FU152" i="9"/>
  <c r="FU148" i="9"/>
  <c r="FU147" i="9"/>
  <c r="FU141" i="9"/>
  <c r="FU137" i="9"/>
  <c r="FU133" i="9"/>
  <c r="FU146" i="9"/>
  <c r="FU144" i="9"/>
  <c r="FU140" i="9"/>
  <c r="FU136" i="9"/>
  <c r="FU132" i="9"/>
  <c r="FU143" i="9"/>
  <c r="FU139" i="9"/>
  <c r="FU135" i="9"/>
  <c r="FU142" i="9"/>
  <c r="FU138" i="9"/>
  <c r="FU134" i="9"/>
  <c r="FU127" i="9"/>
  <c r="FU123" i="9"/>
  <c r="FU119" i="9"/>
  <c r="FU130" i="9"/>
  <c r="FU126" i="9"/>
  <c r="FU122" i="9"/>
  <c r="FU118" i="9"/>
  <c r="FU131" i="9"/>
  <c r="FU129" i="9"/>
  <c r="FU125" i="9"/>
  <c r="FU121" i="9"/>
  <c r="FU117" i="9"/>
  <c r="FU128" i="9"/>
  <c r="FU124" i="9"/>
  <c r="FU120" i="9"/>
  <c r="FU116" i="9"/>
  <c r="FU112" i="9"/>
  <c r="FU108" i="9"/>
  <c r="FU104" i="9"/>
  <c r="FU100" i="9"/>
  <c r="FU96" i="9"/>
  <c r="FU115" i="9"/>
  <c r="FU111" i="9"/>
  <c r="FU107" i="9"/>
  <c r="FU103" i="9"/>
  <c r="FU99" i="9"/>
  <c r="FU95" i="9"/>
  <c r="FU91" i="9"/>
  <c r="FU87" i="9"/>
  <c r="FU114" i="9"/>
  <c r="FU110" i="9"/>
  <c r="FU106" i="9"/>
  <c r="FU113" i="9"/>
  <c r="FU109" i="9"/>
  <c r="FU105" i="9"/>
  <c r="FU101" i="9"/>
  <c r="FU97" i="9"/>
  <c r="FU93" i="9"/>
  <c r="FU89" i="9"/>
  <c r="FU94" i="9"/>
  <c r="FU88" i="9"/>
  <c r="FU83" i="9"/>
  <c r="FU79" i="9"/>
  <c r="FU75" i="9"/>
  <c r="FU71" i="9"/>
  <c r="FU67" i="9"/>
  <c r="FU86" i="9"/>
  <c r="FU82" i="9"/>
  <c r="FU78" i="9"/>
  <c r="FU74" i="9"/>
  <c r="FU70" i="9"/>
  <c r="FU66" i="9"/>
  <c r="FU62" i="9"/>
  <c r="FU102" i="9"/>
  <c r="FU92" i="9"/>
  <c r="FU85" i="9"/>
  <c r="FU81" i="9"/>
  <c r="FU77" i="9"/>
  <c r="FU73" i="9"/>
  <c r="FU69" i="9"/>
  <c r="FU65" i="9"/>
  <c r="FU98" i="9"/>
  <c r="FU90" i="9"/>
  <c r="FU84" i="9"/>
  <c r="FU80" i="9"/>
  <c r="FU76" i="9"/>
  <c r="FU72" i="9"/>
  <c r="FU68" i="9"/>
  <c r="FU64" i="9"/>
  <c r="FU63" i="9"/>
  <c r="FU16" i="9"/>
  <c r="FU14" i="9"/>
  <c r="FU12" i="9"/>
  <c r="FU10" i="9"/>
  <c r="FV6" i="9"/>
  <c r="FU15" i="9"/>
  <c r="FU13" i="9"/>
  <c r="FU11" i="9"/>
  <c r="FU9" i="9"/>
  <c r="FU8" i="9"/>
  <c r="FV213" i="9" l="1"/>
  <c r="FV212" i="9"/>
  <c r="FV210" i="9"/>
  <c r="FV209" i="9"/>
  <c r="FV211" i="9"/>
  <c r="FV208" i="9"/>
  <c r="FV207" i="9"/>
  <c r="FV206" i="9"/>
  <c r="FV202" i="9"/>
  <c r="FV205" i="9"/>
  <c r="FV204" i="9"/>
  <c r="FV201" i="9"/>
  <c r="FV197" i="9"/>
  <c r="FV199" i="9"/>
  <c r="FV196" i="9"/>
  <c r="FV195" i="9"/>
  <c r="FV190" i="9"/>
  <c r="FV203" i="9"/>
  <c r="FV194" i="9"/>
  <c r="FV193" i="9"/>
  <c r="FV186" i="9"/>
  <c r="FV182" i="9"/>
  <c r="FV198" i="9"/>
  <c r="FV189" i="9"/>
  <c r="FV185" i="9"/>
  <c r="FV181" i="9"/>
  <c r="FV184" i="9"/>
  <c r="FV178" i="9"/>
  <c r="FV174" i="9"/>
  <c r="FV191" i="9"/>
  <c r="FV183" i="9"/>
  <c r="FV179" i="9"/>
  <c r="FV177" i="9"/>
  <c r="FV173" i="9"/>
  <c r="FV180" i="9"/>
  <c r="FV176" i="9"/>
  <c r="FV170" i="9"/>
  <c r="FV166" i="9"/>
  <c r="FV162" i="9"/>
  <c r="FV158" i="9"/>
  <c r="FV154" i="9"/>
  <c r="FV187" i="9"/>
  <c r="FV175" i="9"/>
  <c r="FV169" i="9"/>
  <c r="FV165" i="9"/>
  <c r="FV161" i="9"/>
  <c r="FV157" i="9"/>
  <c r="FV153" i="9"/>
  <c r="FV200" i="9"/>
  <c r="FV192" i="9"/>
  <c r="FV188" i="9"/>
  <c r="FV171" i="9"/>
  <c r="FV172" i="9"/>
  <c r="FV167" i="9"/>
  <c r="FV159" i="9"/>
  <c r="FV164" i="9"/>
  <c r="FV156" i="9"/>
  <c r="FV163" i="9"/>
  <c r="FV168" i="9"/>
  <c r="FV160" i="9"/>
  <c r="FV155" i="9"/>
  <c r="FV150" i="9"/>
  <c r="FV149" i="9"/>
  <c r="FV152" i="9"/>
  <c r="FV148" i="9"/>
  <c r="FV151" i="9"/>
  <c r="FV147" i="9"/>
  <c r="FV146" i="9"/>
  <c r="FV144" i="9"/>
  <c r="FV140" i="9"/>
  <c r="FV136" i="9"/>
  <c r="FV145" i="9"/>
  <c r="FV143" i="9"/>
  <c r="FV139" i="9"/>
  <c r="FV135" i="9"/>
  <c r="FV131" i="9"/>
  <c r="FV142" i="9"/>
  <c r="FV138" i="9"/>
  <c r="FV134" i="9"/>
  <c r="FV141" i="9"/>
  <c r="FV137" i="9"/>
  <c r="FV133" i="9"/>
  <c r="FV130" i="9"/>
  <c r="FV126" i="9"/>
  <c r="FV122" i="9"/>
  <c r="FV118" i="9"/>
  <c r="FV132" i="9"/>
  <c r="FV129" i="9"/>
  <c r="FV125" i="9"/>
  <c r="FV121" i="9"/>
  <c r="FV117" i="9"/>
  <c r="FV128" i="9"/>
  <c r="FV124" i="9"/>
  <c r="FV120" i="9"/>
  <c r="FV127" i="9"/>
  <c r="FV123" i="9"/>
  <c r="FV119" i="9"/>
  <c r="FV116" i="9"/>
  <c r="FV115" i="9"/>
  <c r="FV111" i="9"/>
  <c r="FV107" i="9"/>
  <c r="FV103" i="9"/>
  <c r="FV99" i="9"/>
  <c r="FV95" i="9"/>
  <c r="FV114" i="9"/>
  <c r="FV110" i="9"/>
  <c r="FV106" i="9"/>
  <c r="FV102" i="9"/>
  <c r="FV98" i="9"/>
  <c r="FV94" i="9"/>
  <c r="FV90" i="9"/>
  <c r="FV113" i="9"/>
  <c r="FV109" i="9"/>
  <c r="FV112" i="9"/>
  <c r="FV108" i="9"/>
  <c r="FV104" i="9"/>
  <c r="FV100" i="9"/>
  <c r="FV96" i="9"/>
  <c r="FV92" i="9"/>
  <c r="FV88" i="9"/>
  <c r="FV101" i="9"/>
  <c r="FV87" i="9"/>
  <c r="FV86" i="9"/>
  <c r="FV82" i="9"/>
  <c r="FV78" i="9"/>
  <c r="FV74" i="9"/>
  <c r="FV70" i="9"/>
  <c r="FV66" i="9"/>
  <c r="FV97" i="9"/>
  <c r="FV85" i="9"/>
  <c r="FV81" i="9"/>
  <c r="FV77" i="9"/>
  <c r="FV73" i="9"/>
  <c r="FV69" i="9"/>
  <c r="FV65" i="9"/>
  <c r="FV93" i="9"/>
  <c r="FV91" i="9"/>
  <c r="FV84" i="9"/>
  <c r="FV80" i="9"/>
  <c r="FV76" i="9"/>
  <c r="FV72" i="9"/>
  <c r="FV68" i="9"/>
  <c r="FV64" i="9"/>
  <c r="FV105" i="9"/>
  <c r="FV89" i="9"/>
  <c r="FV83" i="9"/>
  <c r="FV79" i="9"/>
  <c r="FV75" i="9"/>
  <c r="FV71" i="9"/>
  <c r="FV67" i="9"/>
  <c r="FV63" i="9"/>
  <c r="FV62" i="9"/>
  <c r="FW6" i="9"/>
  <c r="FV15" i="9"/>
  <c r="FV13" i="9"/>
  <c r="FV11" i="9"/>
  <c r="FV9" i="9"/>
  <c r="FV8" i="9"/>
  <c r="FV16" i="9"/>
  <c r="FV14" i="9"/>
  <c r="FV12" i="9"/>
  <c r="FV10" i="9"/>
  <c r="FW8" i="9" l="1"/>
  <c r="FX6" i="9"/>
  <c r="FX8" i="9" l="1"/>
  <c r="FY6" i="9"/>
  <c r="FY213" i="9" l="1"/>
  <c r="FY212" i="9"/>
  <c r="FY211" i="9"/>
  <c r="FY210" i="9"/>
  <c r="FY209" i="9"/>
  <c r="FY208" i="9"/>
  <c r="FY207" i="9"/>
  <c r="FY206" i="9"/>
  <c r="FY205" i="9"/>
  <c r="FY204" i="9"/>
  <c r="FY201" i="9"/>
  <c r="FY202" i="9"/>
  <c r="FY200" i="9"/>
  <c r="FY203" i="9"/>
  <c r="FY199" i="9"/>
  <c r="FY196" i="9"/>
  <c r="FY195" i="9"/>
  <c r="FY194" i="9"/>
  <c r="FY193" i="9"/>
  <c r="FY192" i="9"/>
  <c r="FY198" i="9"/>
  <c r="FY189" i="9"/>
  <c r="FY185" i="9"/>
  <c r="FY181" i="9"/>
  <c r="FY188" i="9"/>
  <c r="FY184" i="9"/>
  <c r="FY180" i="9"/>
  <c r="FY191" i="9"/>
  <c r="FY183" i="9"/>
  <c r="FY179" i="9"/>
  <c r="FY177" i="9"/>
  <c r="FY173" i="9"/>
  <c r="FY197" i="9"/>
  <c r="FY182" i="9"/>
  <c r="FY176" i="9"/>
  <c r="FY187" i="9"/>
  <c r="FY175" i="9"/>
  <c r="FY169" i="9"/>
  <c r="FY165" i="9"/>
  <c r="FY161" i="9"/>
  <c r="FY157" i="9"/>
  <c r="FY153" i="9"/>
  <c r="FY190" i="9"/>
  <c r="FY174" i="9"/>
  <c r="FY172" i="9"/>
  <c r="FY168" i="9"/>
  <c r="FY164" i="9"/>
  <c r="FY160" i="9"/>
  <c r="FY156" i="9"/>
  <c r="FY152" i="9"/>
  <c r="FY186" i="9"/>
  <c r="FY171" i="9"/>
  <c r="FY170" i="9"/>
  <c r="FY178" i="9"/>
  <c r="FY166" i="9"/>
  <c r="FY163" i="9"/>
  <c r="FY162" i="9"/>
  <c r="FY167" i="9"/>
  <c r="FY159" i="9"/>
  <c r="FY154" i="9"/>
  <c r="FY148" i="9"/>
  <c r="FY151" i="9"/>
  <c r="FY147" i="9"/>
  <c r="FY158" i="9"/>
  <c r="FY155" i="9"/>
  <c r="FY150" i="9"/>
  <c r="FY149" i="9"/>
  <c r="FY145" i="9"/>
  <c r="FY146" i="9"/>
  <c r="FY143" i="9"/>
  <c r="FY139" i="9"/>
  <c r="FY135" i="9"/>
  <c r="FY142" i="9"/>
  <c r="FY138" i="9"/>
  <c r="FY134" i="9"/>
  <c r="FY141" i="9"/>
  <c r="FY137" i="9"/>
  <c r="FY133" i="9"/>
  <c r="FY144" i="9"/>
  <c r="FY140" i="9"/>
  <c r="FY136" i="9"/>
  <c r="FY132" i="9"/>
  <c r="FY129" i="9"/>
  <c r="FY125" i="9"/>
  <c r="FY121" i="9"/>
  <c r="FY117" i="9"/>
  <c r="FY131" i="9"/>
  <c r="FY128" i="9"/>
  <c r="FY124" i="9"/>
  <c r="FY120" i="9"/>
  <c r="FY116" i="9"/>
  <c r="FY127" i="9"/>
  <c r="FY123" i="9"/>
  <c r="FY119" i="9"/>
  <c r="FY130" i="9"/>
  <c r="FY126" i="9"/>
  <c r="FY122" i="9"/>
  <c r="FY118" i="9"/>
  <c r="FY114" i="9"/>
  <c r="FY110" i="9"/>
  <c r="FY106" i="9"/>
  <c r="FY102" i="9"/>
  <c r="FY98" i="9"/>
  <c r="FY94" i="9"/>
  <c r="FY113" i="9"/>
  <c r="FY109" i="9"/>
  <c r="FY105" i="9"/>
  <c r="FY101" i="9"/>
  <c r="FY97" i="9"/>
  <c r="FY93" i="9"/>
  <c r="FY89" i="9"/>
  <c r="FY112" i="9"/>
  <c r="FY108" i="9"/>
  <c r="FY115" i="9"/>
  <c r="FY111" i="9"/>
  <c r="FY107" i="9"/>
  <c r="FY103" i="9"/>
  <c r="FY99" i="9"/>
  <c r="FY95" i="9"/>
  <c r="FY91" i="9"/>
  <c r="FY87" i="9"/>
  <c r="FY85" i="9"/>
  <c r="FY81" i="9"/>
  <c r="FY77" i="9"/>
  <c r="FY73" i="9"/>
  <c r="FY69" i="9"/>
  <c r="FY65" i="9"/>
  <c r="FY104" i="9"/>
  <c r="FY92" i="9"/>
  <c r="FY84" i="9"/>
  <c r="FY80" i="9"/>
  <c r="FY76" i="9"/>
  <c r="FY72" i="9"/>
  <c r="FY68" i="9"/>
  <c r="FY64" i="9"/>
  <c r="FY100" i="9"/>
  <c r="FY90" i="9"/>
  <c r="FY83" i="9"/>
  <c r="FY79" i="9"/>
  <c r="FY75" i="9"/>
  <c r="FY71" i="9"/>
  <c r="FY67" i="9"/>
  <c r="FY96" i="9"/>
  <c r="FY88" i="9"/>
  <c r="FY86" i="9"/>
  <c r="FY82" i="9"/>
  <c r="FY78" i="9"/>
  <c r="FY74" i="9"/>
  <c r="FY70" i="9"/>
  <c r="FY66" i="9"/>
  <c r="FY62" i="9"/>
  <c r="FY63" i="9"/>
  <c r="FY15" i="9"/>
  <c r="FY13" i="9"/>
  <c r="FY11" i="9"/>
  <c r="FY9" i="9"/>
  <c r="FZ6" i="9"/>
  <c r="FY16" i="9"/>
  <c r="FY14" i="9"/>
  <c r="FY12" i="9"/>
  <c r="FY10" i="9"/>
  <c r="FY8" i="9"/>
  <c r="FZ212" i="9" l="1"/>
  <c r="FZ211" i="9"/>
  <c r="FZ213" i="9"/>
  <c r="FZ210" i="9"/>
  <c r="FZ207" i="9"/>
  <c r="FZ206" i="9"/>
  <c r="FZ205" i="9"/>
  <c r="FZ204" i="9"/>
  <c r="FZ209" i="9"/>
  <c r="FZ208" i="9"/>
  <c r="FZ202" i="9"/>
  <c r="FZ203" i="9"/>
  <c r="FZ199" i="9"/>
  <c r="FZ195" i="9"/>
  <c r="FZ200" i="9"/>
  <c r="FZ198" i="9"/>
  <c r="FZ194" i="9"/>
  <c r="FZ192" i="9"/>
  <c r="FZ201" i="9"/>
  <c r="FZ191" i="9"/>
  <c r="FZ188" i="9"/>
  <c r="FZ184" i="9"/>
  <c r="FZ180" i="9"/>
  <c r="FZ196" i="9"/>
  <c r="FZ193" i="9"/>
  <c r="FZ187" i="9"/>
  <c r="FZ183" i="9"/>
  <c r="FZ179" i="9"/>
  <c r="FZ197" i="9"/>
  <c r="FZ182" i="9"/>
  <c r="FZ176" i="9"/>
  <c r="FZ172" i="9"/>
  <c r="FZ189" i="9"/>
  <c r="FZ181" i="9"/>
  <c r="FZ175" i="9"/>
  <c r="FZ190" i="9"/>
  <c r="FZ174" i="9"/>
  <c r="FZ168" i="9"/>
  <c r="FZ164" i="9"/>
  <c r="FZ160" i="9"/>
  <c r="FZ156" i="9"/>
  <c r="FZ152" i="9"/>
  <c r="FZ185" i="9"/>
  <c r="FZ173" i="9"/>
  <c r="FZ171" i="9"/>
  <c r="FZ167" i="9"/>
  <c r="FZ163" i="9"/>
  <c r="FZ159" i="9"/>
  <c r="FZ155" i="9"/>
  <c r="FZ151" i="9"/>
  <c r="FZ186" i="9"/>
  <c r="FZ170" i="9"/>
  <c r="FZ177" i="9"/>
  <c r="FZ178" i="9"/>
  <c r="FZ165" i="9"/>
  <c r="FZ162" i="9"/>
  <c r="FZ169" i="9"/>
  <c r="FZ161" i="9"/>
  <c r="FZ166" i="9"/>
  <c r="FZ158" i="9"/>
  <c r="FZ153" i="9"/>
  <c r="FZ147" i="9"/>
  <c r="FZ157" i="9"/>
  <c r="FZ146" i="9"/>
  <c r="FZ150" i="9"/>
  <c r="FZ149" i="9"/>
  <c r="FZ154" i="9"/>
  <c r="FZ148" i="9"/>
  <c r="FZ145" i="9"/>
  <c r="FZ142" i="9"/>
  <c r="FZ138" i="9"/>
  <c r="FZ134" i="9"/>
  <c r="FZ141" i="9"/>
  <c r="FZ137" i="9"/>
  <c r="FZ133" i="9"/>
  <c r="FZ144" i="9"/>
  <c r="FZ140" i="9"/>
  <c r="FZ136" i="9"/>
  <c r="FZ143" i="9"/>
  <c r="FZ139" i="9"/>
  <c r="FZ135" i="9"/>
  <c r="FZ131" i="9"/>
  <c r="FZ132" i="9"/>
  <c r="FZ128" i="9"/>
  <c r="FZ124" i="9"/>
  <c r="FZ120" i="9"/>
  <c r="FZ127" i="9"/>
  <c r="FZ123" i="9"/>
  <c r="FZ119" i="9"/>
  <c r="FZ130" i="9"/>
  <c r="FZ126" i="9"/>
  <c r="FZ122" i="9"/>
  <c r="FZ118" i="9"/>
  <c r="FZ129" i="9"/>
  <c r="FZ125" i="9"/>
  <c r="FZ121" i="9"/>
  <c r="FZ117" i="9"/>
  <c r="FZ113" i="9"/>
  <c r="FZ109" i="9"/>
  <c r="FZ105" i="9"/>
  <c r="FZ101" i="9"/>
  <c r="FZ97" i="9"/>
  <c r="FZ93" i="9"/>
  <c r="FZ112" i="9"/>
  <c r="FZ108" i="9"/>
  <c r="FZ104" i="9"/>
  <c r="FZ100" i="9"/>
  <c r="FZ96" i="9"/>
  <c r="FZ92" i="9"/>
  <c r="FZ88" i="9"/>
  <c r="FZ115" i="9"/>
  <c r="FZ111" i="9"/>
  <c r="FZ107" i="9"/>
  <c r="FZ116" i="9"/>
  <c r="FZ114" i="9"/>
  <c r="FZ110" i="9"/>
  <c r="FZ106" i="9"/>
  <c r="FZ102" i="9"/>
  <c r="FZ98" i="9"/>
  <c r="FZ94" i="9"/>
  <c r="FZ90" i="9"/>
  <c r="FZ99" i="9"/>
  <c r="FZ84" i="9"/>
  <c r="FZ80" i="9"/>
  <c r="FZ76" i="9"/>
  <c r="FZ72" i="9"/>
  <c r="FZ68" i="9"/>
  <c r="FZ64" i="9"/>
  <c r="FZ95" i="9"/>
  <c r="FZ91" i="9"/>
  <c r="FZ83" i="9"/>
  <c r="FZ79" i="9"/>
  <c r="FZ75" i="9"/>
  <c r="FZ71" i="9"/>
  <c r="FZ67" i="9"/>
  <c r="FZ63" i="9"/>
  <c r="FZ89" i="9"/>
  <c r="FZ86" i="9"/>
  <c r="FZ82" i="9"/>
  <c r="FZ78" i="9"/>
  <c r="FZ74" i="9"/>
  <c r="FZ70" i="9"/>
  <c r="FZ66" i="9"/>
  <c r="FZ103" i="9"/>
  <c r="FZ87" i="9"/>
  <c r="FZ85" i="9"/>
  <c r="FZ81" i="9"/>
  <c r="FZ77" i="9"/>
  <c r="FZ73" i="9"/>
  <c r="FZ69" i="9"/>
  <c r="FZ65" i="9"/>
  <c r="FZ62" i="9"/>
  <c r="GA6" i="9"/>
  <c r="FZ16" i="9"/>
  <c r="FZ14" i="9"/>
  <c r="FZ12" i="9"/>
  <c r="FZ10" i="9"/>
  <c r="FZ8" i="9"/>
  <c r="FZ15" i="9"/>
  <c r="FZ13" i="9"/>
  <c r="FZ11" i="9"/>
  <c r="FZ9" i="9"/>
  <c r="GA213" i="9" l="1"/>
  <c r="GA211" i="9"/>
  <c r="GA212" i="9"/>
  <c r="GA210" i="9"/>
  <c r="GA209" i="9"/>
  <c r="GA208" i="9"/>
  <c r="GA204" i="9"/>
  <c r="GA203" i="9"/>
  <c r="GA206" i="9"/>
  <c r="GA207" i="9"/>
  <c r="GA205" i="9"/>
  <c r="GA201" i="9"/>
  <c r="GA200" i="9"/>
  <c r="GA198" i="9"/>
  <c r="GA194" i="9"/>
  <c r="GA202" i="9"/>
  <c r="GA197" i="9"/>
  <c r="GA191" i="9"/>
  <c r="GA190" i="9"/>
  <c r="GA196" i="9"/>
  <c r="GA193" i="9"/>
  <c r="GA187" i="9"/>
  <c r="GA183" i="9"/>
  <c r="GA199" i="9"/>
  <c r="GA192" i="9"/>
  <c r="GA186" i="9"/>
  <c r="GA182" i="9"/>
  <c r="GA189" i="9"/>
  <c r="GA181" i="9"/>
  <c r="GA175" i="9"/>
  <c r="GA188" i="9"/>
  <c r="GA180" i="9"/>
  <c r="GA178" i="9"/>
  <c r="GA174" i="9"/>
  <c r="GA185" i="9"/>
  <c r="GA173" i="9"/>
  <c r="GA172" i="9"/>
  <c r="GA171" i="9"/>
  <c r="GA167" i="9"/>
  <c r="GA163" i="9"/>
  <c r="GA159" i="9"/>
  <c r="GA155" i="9"/>
  <c r="GA151" i="9"/>
  <c r="GA195" i="9"/>
  <c r="GA179" i="9"/>
  <c r="GA170" i="9"/>
  <c r="GA166" i="9"/>
  <c r="GA162" i="9"/>
  <c r="GA158" i="9"/>
  <c r="GA154" i="9"/>
  <c r="GA150" i="9"/>
  <c r="GA177" i="9"/>
  <c r="GA184" i="9"/>
  <c r="GA176" i="9"/>
  <c r="GA164" i="9"/>
  <c r="GA169" i="9"/>
  <c r="GA161" i="9"/>
  <c r="GA168" i="9"/>
  <c r="GA160" i="9"/>
  <c r="GA165" i="9"/>
  <c r="GA157" i="9"/>
  <c r="GA152" i="9"/>
  <c r="GA149" i="9"/>
  <c r="GA145" i="9"/>
  <c r="GA148" i="9"/>
  <c r="GA156" i="9"/>
  <c r="GA153" i="9"/>
  <c r="GA147" i="9"/>
  <c r="GA141" i="9"/>
  <c r="GA137" i="9"/>
  <c r="GA133" i="9"/>
  <c r="GA144" i="9"/>
  <c r="GA140" i="9"/>
  <c r="GA136" i="9"/>
  <c r="GA132" i="9"/>
  <c r="GA143" i="9"/>
  <c r="GA139" i="9"/>
  <c r="GA135" i="9"/>
  <c r="GA146" i="9"/>
  <c r="GA142" i="9"/>
  <c r="GA138" i="9"/>
  <c r="GA134" i="9"/>
  <c r="GA131" i="9"/>
  <c r="GA127" i="9"/>
  <c r="GA123" i="9"/>
  <c r="GA119" i="9"/>
  <c r="GA130" i="9"/>
  <c r="GA126" i="9"/>
  <c r="GA122" i="9"/>
  <c r="GA118" i="9"/>
  <c r="GA129" i="9"/>
  <c r="GA125" i="9"/>
  <c r="GA121" i="9"/>
  <c r="GA117" i="9"/>
  <c r="GA128" i="9"/>
  <c r="GA124" i="9"/>
  <c r="GA120" i="9"/>
  <c r="GA116" i="9"/>
  <c r="GA112" i="9"/>
  <c r="GA108" i="9"/>
  <c r="GA104" i="9"/>
  <c r="GA100" i="9"/>
  <c r="GA96" i="9"/>
  <c r="GA115" i="9"/>
  <c r="GA111" i="9"/>
  <c r="GA107" i="9"/>
  <c r="GA103" i="9"/>
  <c r="GA99" i="9"/>
  <c r="GA95" i="9"/>
  <c r="GA91" i="9"/>
  <c r="GA87" i="9"/>
  <c r="GA114" i="9"/>
  <c r="GA110" i="9"/>
  <c r="GA106" i="9"/>
  <c r="GA113" i="9"/>
  <c r="GA109" i="9"/>
  <c r="GA105" i="9"/>
  <c r="GA101" i="9"/>
  <c r="GA97" i="9"/>
  <c r="GA93" i="9"/>
  <c r="GA89" i="9"/>
  <c r="GA92" i="9"/>
  <c r="GA83" i="9"/>
  <c r="GA79" i="9"/>
  <c r="GA75" i="9"/>
  <c r="GA71" i="9"/>
  <c r="GA67" i="9"/>
  <c r="GA102" i="9"/>
  <c r="GA90" i="9"/>
  <c r="GA86" i="9"/>
  <c r="GA82" i="9"/>
  <c r="GA78" i="9"/>
  <c r="GA74" i="9"/>
  <c r="GA70" i="9"/>
  <c r="GA66" i="9"/>
  <c r="GA62" i="9"/>
  <c r="GA98" i="9"/>
  <c r="GA88" i="9"/>
  <c r="GA85" i="9"/>
  <c r="GA81" i="9"/>
  <c r="GA77" i="9"/>
  <c r="GA73" i="9"/>
  <c r="GA69" i="9"/>
  <c r="GA65" i="9"/>
  <c r="GA94" i="9"/>
  <c r="GA84" i="9"/>
  <c r="GA80" i="9"/>
  <c r="GA76" i="9"/>
  <c r="GA72" i="9"/>
  <c r="GA68" i="9"/>
  <c r="GA64" i="9"/>
  <c r="GA63" i="9"/>
  <c r="GA16" i="9"/>
  <c r="GA14" i="9"/>
  <c r="GA12" i="9"/>
  <c r="GA10" i="9"/>
  <c r="GA8" i="9"/>
  <c r="GB6" i="9"/>
  <c r="GA15" i="9"/>
  <c r="GA13" i="9"/>
  <c r="GA11" i="9"/>
  <c r="GA9" i="9"/>
  <c r="GB213" i="9" l="1"/>
  <c r="GB212" i="9"/>
  <c r="GB209" i="9"/>
  <c r="GB211" i="9"/>
  <c r="GB210" i="9"/>
  <c r="GB208" i="9"/>
  <c r="GB207" i="9"/>
  <c r="GB202" i="9"/>
  <c r="GB206" i="9"/>
  <c r="GB205" i="9"/>
  <c r="GB204" i="9"/>
  <c r="GB203" i="9"/>
  <c r="GB201" i="9"/>
  <c r="GB197" i="9"/>
  <c r="GB196" i="9"/>
  <c r="GB190" i="9"/>
  <c r="GB200" i="9"/>
  <c r="GB198" i="9"/>
  <c r="GB193" i="9"/>
  <c r="GB199" i="9"/>
  <c r="GB192" i="9"/>
  <c r="GB186" i="9"/>
  <c r="GB182" i="9"/>
  <c r="GB194" i="9"/>
  <c r="GB191" i="9"/>
  <c r="GB189" i="9"/>
  <c r="GB185" i="9"/>
  <c r="GB181" i="9"/>
  <c r="GB188" i="9"/>
  <c r="GB180" i="9"/>
  <c r="GB178" i="9"/>
  <c r="GB174" i="9"/>
  <c r="GB187" i="9"/>
  <c r="GB177" i="9"/>
  <c r="GB173" i="9"/>
  <c r="GB195" i="9"/>
  <c r="GB179" i="9"/>
  <c r="GB170" i="9"/>
  <c r="GB166" i="9"/>
  <c r="GB162" i="9"/>
  <c r="GB158" i="9"/>
  <c r="GB154" i="9"/>
  <c r="GB183" i="9"/>
  <c r="GB169" i="9"/>
  <c r="GB165" i="9"/>
  <c r="GB161" i="9"/>
  <c r="GB157" i="9"/>
  <c r="GB153" i="9"/>
  <c r="GB175" i="9"/>
  <c r="GB172" i="9"/>
  <c r="GB184" i="9"/>
  <c r="GB176" i="9"/>
  <c r="GB171" i="9"/>
  <c r="GB163" i="9"/>
  <c r="GB168" i="9"/>
  <c r="GB160" i="9"/>
  <c r="GB167" i="9"/>
  <c r="GB159" i="9"/>
  <c r="GB164" i="9"/>
  <c r="GB156" i="9"/>
  <c r="GB151" i="9"/>
  <c r="GB149" i="9"/>
  <c r="GB150" i="9"/>
  <c r="GB148" i="9"/>
  <c r="GB155" i="9"/>
  <c r="GB147" i="9"/>
  <c r="GB152" i="9"/>
  <c r="GB146" i="9"/>
  <c r="GB144" i="9"/>
  <c r="GB140" i="9"/>
  <c r="GB136" i="9"/>
  <c r="GB143" i="9"/>
  <c r="GB139" i="9"/>
  <c r="GB135" i="9"/>
  <c r="GB131" i="9"/>
  <c r="GB142" i="9"/>
  <c r="GB138" i="9"/>
  <c r="GB134" i="9"/>
  <c r="GB145" i="9"/>
  <c r="GB141" i="9"/>
  <c r="GB137" i="9"/>
  <c r="GB133" i="9"/>
  <c r="GB130" i="9"/>
  <c r="GB126" i="9"/>
  <c r="GB122" i="9"/>
  <c r="GB118" i="9"/>
  <c r="GB129" i="9"/>
  <c r="GB125" i="9"/>
  <c r="GB121" i="9"/>
  <c r="GB117" i="9"/>
  <c r="GB128" i="9"/>
  <c r="GB124" i="9"/>
  <c r="GB120" i="9"/>
  <c r="GB132" i="9"/>
  <c r="GB127" i="9"/>
  <c r="GB123" i="9"/>
  <c r="GB119" i="9"/>
  <c r="GB115" i="9"/>
  <c r="GB111" i="9"/>
  <c r="GB107" i="9"/>
  <c r="GB103" i="9"/>
  <c r="GB99" i="9"/>
  <c r="GB95" i="9"/>
  <c r="GB114" i="9"/>
  <c r="GB110" i="9"/>
  <c r="GB106" i="9"/>
  <c r="GB102" i="9"/>
  <c r="GB98" i="9"/>
  <c r="GB94" i="9"/>
  <c r="GB90" i="9"/>
  <c r="GB116" i="9"/>
  <c r="GB113" i="9"/>
  <c r="GB109" i="9"/>
  <c r="GB112" i="9"/>
  <c r="GB108" i="9"/>
  <c r="GB104" i="9"/>
  <c r="GB100" i="9"/>
  <c r="GB96" i="9"/>
  <c r="GB92" i="9"/>
  <c r="GB88" i="9"/>
  <c r="GB97" i="9"/>
  <c r="GB91" i="9"/>
  <c r="GB86" i="9"/>
  <c r="GB82" i="9"/>
  <c r="GB78" i="9"/>
  <c r="GB74" i="9"/>
  <c r="GB70" i="9"/>
  <c r="GB66" i="9"/>
  <c r="GB93" i="9"/>
  <c r="GB89" i="9"/>
  <c r="GB85" i="9"/>
  <c r="GB81" i="9"/>
  <c r="GB77" i="9"/>
  <c r="GB73" i="9"/>
  <c r="GB69" i="9"/>
  <c r="GB65" i="9"/>
  <c r="GB105" i="9"/>
  <c r="GB87" i="9"/>
  <c r="GB84" i="9"/>
  <c r="GB80" i="9"/>
  <c r="GB76" i="9"/>
  <c r="GB72" i="9"/>
  <c r="GB68" i="9"/>
  <c r="GB64" i="9"/>
  <c r="GB101" i="9"/>
  <c r="GB83" i="9"/>
  <c r="GB79" i="9"/>
  <c r="GB75" i="9"/>
  <c r="GB71" i="9"/>
  <c r="GB67" i="9"/>
  <c r="GB63" i="9"/>
  <c r="GB62" i="9"/>
  <c r="GB8" i="9"/>
  <c r="GB15" i="9"/>
  <c r="GB13" i="9"/>
  <c r="GB11" i="9"/>
  <c r="GB9" i="9"/>
  <c r="GC6" i="9"/>
  <c r="GB16" i="9"/>
  <c r="GB14" i="9"/>
  <c r="GB12" i="9"/>
  <c r="GB10" i="9"/>
  <c r="GC213" i="9" l="1"/>
  <c r="GC212" i="9"/>
  <c r="GC211" i="9"/>
  <c r="GC209" i="9"/>
  <c r="GC210" i="9"/>
  <c r="GC208" i="9"/>
  <c r="GC207" i="9"/>
  <c r="GC206" i="9"/>
  <c r="GC205" i="9"/>
  <c r="GC204" i="9"/>
  <c r="GC201" i="9"/>
  <c r="GC200" i="9"/>
  <c r="GC202" i="9"/>
  <c r="GC196" i="9"/>
  <c r="GC199" i="9"/>
  <c r="GC195" i="9"/>
  <c r="GC203" i="9"/>
  <c r="GC198" i="9"/>
  <c r="GC193" i="9"/>
  <c r="GC197" i="9"/>
  <c r="GC192" i="9"/>
  <c r="GC194" i="9"/>
  <c r="GC191" i="9"/>
  <c r="GC189" i="9"/>
  <c r="GC185" i="9"/>
  <c r="GC181" i="9"/>
  <c r="GC190" i="9"/>
  <c r="GC188" i="9"/>
  <c r="GC184" i="9"/>
  <c r="GC180" i="9"/>
  <c r="GC187" i="9"/>
  <c r="GC177" i="9"/>
  <c r="GC173" i="9"/>
  <c r="GC186" i="9"/>
  <c r="GC179" i="9"/>
  <c r="GC176" i="9"/>
  <c r="GC183" i="9"/>
  <c r="GC169" i="9"/>
  <c r="GC165" i="9"/>
  <c r="GC161" i="9"/>
  <c r="GC157" i="9"/>
  <c r="GC153" i="9"/>
  <c r="GC178" i="9"/>
  <c r="GC168" i="9"/>
  <c r="GC164" i="9"/>
  <c r="GC160" i="9"/>
  <c r="GC156" i="9"/>
  <c r="GC152" i="9"/>
  <c r="GC182" i="9"/>
  <c r="GC175" i="9"/>
  <c r="GC172" i="9"/>
  <c r="GC171" i="9"/>
  <c r="GC174" i="9"/>
  <c r="GC170" i="9"/>
  <c r="GC162" i="9"/>
  <c r="GC167" i="9"/>
  <c r="GC159" i="9"/>
  <c r="GC166" i="9"/>
  <c r="GC163" i="9"/>
  <c r="GC150" i="9"/>
  <c r="GC148" i="9"/>
  <c r="GC155" i="9"/>
  <c r="GC147" i="9"/>
  <c r="GC158" i="9"/>
  <c r="GC154" i="9"/>
  <c r="GC151" i="9"/>
  <c r="GC149" i="9"/>
  <c r="GC145" i="9"/>
  <c r="GC143" i="9"/>
  <c r="GC139" i="9"/>
  <c r="GC135" i="9"/>
  <c r="GC142" i="9"/>
  <c r="GC138" i="9"/>
  <c r="GC134" i="9"/>
  <c r="GC146" i="9"/>
  <c r="GC141" i="9"/>
  <c r="GC137" i="9"/>
  <c r="GC133" i="9"/>
  <c r="GC144" i="9"/>
  <c r="GC140" i="9"/>
  <c r="GC136" i="9"/>
  <c r="GC132" i="9"/>
  <c r="GC129" i="9"/>
  <c r="GC125" i="9"/>
  <c r="GC121" i="9"/>
  <c r="GC117" i="9"/>
  <c r="GC128" i="9"/>
  <c r="GC124" i="9"/>
  <c r="GC120" i="9"/>
  <c r="GC116" i="9"/>
  <c r="GC127" i="9"/>
  <c r="GC123" i="9"/>
  <c r="GC119" i="9"/>
  <c r="GC131" i="9"/>
  <c r="GC130" i="9"/>
  <c r="GC126" i="9"/>
  <c r="GC122" i="9"/>
  <c r="GC118" i="9"/>
  <c r="GC114" i="9"/>
  <c r="GC110" i="9"/>
  <c r="GC106" i="9"/>
  <c r="GC102" i="9"/>
  <c r="GC98" i="9"/>
  <c r="GC94" i="9"/>
  <c r="GC113" i="9"/>
  <c r="GC109" i="9"/>
  <c r="GC105" i="9"/>
  <c r="GC101" i="9"/>
  <c r="GC97" i="9"/>
  <c r="GC93" i="9"/>
  <c r="GC89" i="9"/>
  <c r="GC112" i="9"/>
  <c r="GC108" i="9"/>
  <c r="GC115" i="9"/>
  <c r="GC111" i="9"/>
  <c r="GC107" i="9"/>
  <c r="GC103" i="9"/>
  <c r="GC99" i="9"/>
  <c r="GC95" i="9"/>
  <c r="GC91" i="9"/>
  <c r="GC87" i="9"/>
  <c r="GC104" i="9"/>
  <c r="GC90" i="9"/>
  <c r="GC85" i="9"/>
  <c r="GC81" i="9"/>
  <c r="GC77" i="9"/>
  <c r="GC73" i="9"/>
  <c r="GC69" i="9"/>
  <c r="GC65" i="9"/>
  <c r="GC100" i="9"/>
  <c r="GC88" i="9"/>
  <c r="GC84" i="9"/>
  <c r="GC80" i="9"/>
  <c r="GC76" i="9"/>
  <c r="GC72" i="9"/>
  <c r="GC68" i="9"/>
  <c r="GC64" i="9"/>
  <c r="GC96" i="9"/>
  <c r="GC83" i="9"/>
  <c r="GC79" i="9"/>
  <c r="GC75" i="9"/>
  <c r="GC71" i="9"/>
  <c r="GC67" i="9"/>
  <c r="GC92" i="9"/>
  <c r="GC86" i="9"/>
  <c r="GC82" i="9"/>
  <c r="GC78" i="9"/>
  <c r="GC74" i="9"/>
  <c r="GC70" i="9"/>
  <c r="GC66" i="9"/>
  <c r="GC62" i="9"/>
  <c r="GC63" i="9"/>
  <c r="GC15" i="9"/>
  <c r="GC13" i="9"/>
  <c r="GC11" i="9"/>
  <c r="GC9" i="9"/>
  <c r="GD6" i="9"/>
  <c r="GC16" i="9"/>
  <c r="GC14" i="9"/>
  <c r="GC12" i="9"/>
  <c r="GC10" i="9"/>
  <c r="GC8" i="9"/>
  <c r="GE6" i="9" l="1"/>
  <c r="GD8" i="9"/>
  <c r="GE8" i="9" l="1"/>
  <c r="GF6" i="9"/>
  <c r="GF212" i="9" l="1"/>
  <c r="GF211" i="9"/>
  <c r="GF213" i="9"/>
  <c r="GF210" i="9"/>
  <c r="GF208" i="9"/>
  <c r="GF207" i="9"/>
  <c r="GF206" i="9"/>
  <c r="GF209" i="9"/>
  <c r="GF205" i="9"/>
  <c r="GF204" i="9"/>
  <c r="GF202" i="9"/>
  <c r="GF199" i="9"/>
  <c r="GF203" i="9"/>
  <c r="GF195" i="9"/>
  <c r="GF198" i="9"/>
  <c r="GF194" i="9"/>
  <c r="GF201" i="9"/>
  <c r="GF200" i="9"/>
  <c r="GF197" i="9"/>
  <c r="GF192" i="9"/>
  <c r="GF196" i="9"/>
  <c r="GF191" i="9"/>
  <c r="GF190" i="9"/>
  <c r="GF188" i="9"/>
  <c r="GF184" i="9"/>
  <c r="GF180" i="9"/>
  <c r="GF187" i="9"/>
  <c r="GF183" i="9"/>
  <c r="GF179" i="9"/>
  <c r="GF186" i="9"/>
  <c r="GF176" i="9"/>
  <c r="GF172" i="9"/>
  <c r="GF185" i="9"/>
  <c r="GF175" i="9"/>
  <c r="GF178" i="9"/>
  <c r="GF168" i="9"/>
  <c r="GF164" i="9"/>
  <c r="GF160" i="9"/>
  <c r="GF156" i="9"/>
  <c r="GF152" i="9"/>
  <c r="GF181" i="9"/>
  <c r="GF177" i="9"/>
  <c r="GF171" i="9"/>
  <c r="GF167" i="9"/>
  <c r="GF163" i="9"/>
  <c r="GF159" i="9"/>
  <c r="GF155" i="9"/>
  <c r="GF151" i="9"/>
  <c r="GF182" i="9"/>
  <c r="GF193" i="9"/>
  <c r="GF189" i="9"/>
  <c r="GF173" i="9"/>
  <c r="GF174" i="9"/>
  <c r="GF170" i="9"/>
  <c r="GF169" i="9"/>
  <c r="GF161" i="9"/>
  <c r="GF166" i="9"/>
  <c r="GF158" i="9"/>
  <c r="GF165" i="9"/>
  <c r="GF162" i="9"/>
  <c r="GF157" i="9"/>
  <c r="GF147" i="9"/>
  <c r="GF154" i="9"/>
  <c r="GF146" i="9"/>
  <c r="GF153" i="9"/>
  <c r="GF149" i="9"/>
  <c r="GF150" i="9"/>
  <c r="GF148" i="9"/>
  <c r="GF142" i="9"/>
  <c r="GF138" i="9"/>
  <c r="GF134" i="9"/>
  <c r="GF141" i="9"/>
  <c r="GF137" i="9"/>
  <c r="GF133" i="9"/>
  <c r="GF145" i="9"/>
  <c r="GF144" i="9"/>
  <c r="GF140" i="9"/>
  <c r="GF136" i="9"/>
  <c r="GF143" i="9"/>
  <c r="GF139" i="9"/>
  <c r="GF135" i="9"/>
  <c r="GF131" i="9"/>
  <c r="GF128" i="9"/>
  <c r="GF124" i="9"/>
  <c r="GF120" i="9"/>
  <c r="GF127" i="9"/>
  <c r="GF123" i="9"/>
  <c r="GF119" i="9"/>
  <c r="GF132" i="9"/>
  <c r="GF130" i="9"/>
  <c r="GF126" i="9"/>
  <c r="GF122" i="9"/>
  <c r="GF118" i="9"/>
  <c r="GF129" i="9"/>
  <c r="GF125" i="9"/>
  <c r="GF121" i="9"/>
  <c r="GF117" i="9"/>
  <c r="GF113" i="9"/>
  <c r="GF109" i="9"/>
  <c r="GF105" i="9"/>
  <c r="GF101" i="9"/>
  <c r="GF97" i="9"/>
  <c r="GF93" i="9"/>
  <c r="GF116" i="9"/>
  <c r="GF112" i="9"/>
  <c r="GF108" i="9"/>
  <c r="GF104" i="9"/>
  <c r="GF100" i="9"/>
  <c r="GF96" i="9"/>
  <c r="GF92" i="9"/>
  <c r="GF88" i="9"/>
  <c r="GF115" i="9"/>
  <c r="GF111" i="9"/>
  <c r="GF107" i="9"/>
  <c r="GF114" i="9"/>
  <c r="GF110" i="9"/>
  <c r="GF106" i="9"/>
  <c r="GF102" i="9"/>
  <c r="GF98" i="9"/>
  <c r="GF94" i="9"/>
  <c r="GF90" i="9"/>
  <c r="GF95" i="9"/>
  <c r="GF89" i="9"/>
  <c r="GF84" i="9"/>
  <c r="GF80" i="9"/>
  <c r="GF76" i="9"/>
  <c r="GF72" i="9"/>
  <c r="GF68" i="9"/>
  <c r="GF64" i="9"/>
  <c r="GF87" i="9"/>
  <c r="GF83" i="9"/>
  <c r="GF79" i="9"/>
  <c r="GF75" i="9"/>
  <c r="GF71" i="9"/>
  <c r="GF67" i="9"/>
  <c r="GF63" i="9"/>
  <c r="GF103" i="9"/>
  <c r="GF86" i="9"/>
  <c r="GF82" i="9"/>
  <c r="GF78" i="9"/>
  <c r="GF74" i="9"/>
  <c r="GF70" i="9"/>
  <c r="GF66" i="9"/>
  <c r="GF99" i="9"/>
  <c r="GF91" i="9"/>
  <c r="GF85" i="9"/>
  <c r="GF81" i="9"/>
  <c r="GF77" i="9"/>
  <c r="GF73" i="9"/>
  <c r="GF69" i="9"/>
  <c r="GF65" i="9"/>
  <c r="GF62" i="9"/>
  <c r="GF8" i="9"/>
  <c r="GF16" i="9"/>
  <c r="GF14" i="9"/>
  <c r="GF12" i="9"/>
  <c r="GF10" i="9"/>
  <c r="GG6" i="9"/>
  <c r="GF15" i="9"/>
  <c r="GF13" i="9"/>
  <c r="GF11" i="9"/>
  <c r="GF9" i="9"/>
  <c r="GG213" i="9" l="1"/>
  <c r="GG212" i="9"/>
  <c r="GG211" i="9"/>
  <c r="GG210" i="9"/>
  <c r="GG209" i="9"/>
  <c r="GG204" i="9"/>
  <c r="GG208" i="9"/>
  <c r="GG206" i="9"/>
  <c r="GG203" i="9"/>
  <c r="GG207" i="9"/>
  <c r="GG202" i="9"/>
  <c r="GG205" i="9"/>
  <c r="GG201" i="9"/>
  <c r="GG199" i="9"/>
  <c r="GG198" i="9"/>
  <c r="GG194" i="9"/>
  <c r="GG200" i="9"/>
  <c r="GG197" i="9"/>
  <c r="GG196" i="9"/>
  <c r="GG191" i="9"/>
  <c r="GG195" i="9"/>
  <c r="GG190" i="9"/>
  <c r="GG187" i="9"/>
  <c r="GG183" i="9"/>
  <c r="GG186" i="9"/>
  <c r="GG182" i="9"/>
  <c r="GG185" i="9"/>
  <c r="GG179" i="9"/>
  <c r="GG175" i="9"/>
  <c r="GG192" i="9"/>
  <c r="GG184" i="9"/>
  <c r="GG178" i="9"/>
  <c r="GG174" i="9"/>
  <c r="GG181" i="9"/>
  <c r="GG177" i="9"/>
  <c r="GG171" i="9"/>
  <c r="GG167" i="9"/>
  <c r="GG163" i="9"/>
  <c r="GG159" i="9"/>
  <c r="GG155" i="9"/>
  <c r="GG151" i="9"/>
  <c r="GG188" i="9"/>
  <c r="GG176" i="9"/>
  <c r="GG172" i="9"/>
  <c r="GG170" i="9"/>
  <c r="GG166" i="9"/>
  <c r="GG162" i="9"/>
  <c r="GG158" i="9"/>
  <c r="GG154" i="9"/>
  <c r="GG150" i="9"/>
  <c r="GG193" i="9"/>
  <c r="GG189" i="9"/>
  <c r="GG173" i="9"/>
  <c r="GG180" i="9"/>
  <c r="GG168" i="9"/>
  <c r="GG160" i="9"/>
  <c r="GG165" i="9"/>
  <c r="GG157" i="9"/>
  <c r="GG164" i="9"/>
  <c r="GG169" i="9"/>
  <c r="GG161" i="9"/>
  <c r="GG153" i="9"/>
  <c r="GG149" i="9"/>
  <c r="GG145" i="9"/>
  <c r="GG156" i="9"/>
  <c r="GG152" i="9"/>
  <c r="GG148" i="9"/>
  <c r="GG147" i="9"/>
  <c r="GG141" i="9"/>
  <c r="GG137" i="9"/>
  <c r="GG133" i="9"/>
  <c r="GG146" i="9"/>
  <c r="GG144" i="9"/>
  <c r="GG140" i="9"/>
  <c r="GG136" i="9"/>
  <c r="GG132" i="9"/>
  <c r="GG143" i="9"/>
  <c r="GG139" i="9"/>
  <c r="GG135" i="9"/>
  <c r="GG142" i="9"/>
  <c r="GG138" i="9"/>
  <c r="GG134" i="9"/>
  <c r="GG127" i="9"/>
  <c r="GG123" i="9"/>
  <c r="GG119" i="9"/>
  <c r="GG130" i="9"/>
  <c r="GG126" i="9"/>
  <c r="GG122" i="9"/>
  <c r="GG118" i="9"/>
  <c r="GG131" i="9"/>
  <c r="GG129" i="9"/>
  <c r="GG125" i="9"/>
  <c r="GG121" i="9"/>
  <c r="GG117" i="9"/>
  <c r="GG128" i="9"/>
  <c r="GG124" i="9"/>
  <c r="GG120" i="9"/>
  <c r="GG116" i="9"/>
  <c r="GG112" i="9"/>
  <c r="GG108" i="9"/>
  <c r="GG104" i="9"/>
  <c r="GG100" i="9"/>
  <c r="GG96" i="9"/>
  <c r="GG92" i="9"/>
  <c r="GG115" i="9"/>
  <c r="GG111" i="9"/>
  <c r="GG107" i="9"/>
  <c r="GG103" i="9"/>
  <c r="GG99" i="9"/>
  <c r="GG95" i="9"/>
  <c r="GG91" i="9"/>
  <c r="GG87" i="9"/>
  <c r="GG114" i="9"/>
  <c r="GG110" i="9"/>
  <c r="GG106" i="9"/>
  <c r="GG113" i="9"/>
  <c r="GG109" i="9"/>
  <c r="GG105" i="9"/>
  <c r="GG101" i="9"/>
  <c r="GG97" i="9"/>
  <c r="GG93" i="9"/>
  <c r="GG89" i="9"/>
  <c r="GG102" i="9"/>
  <c r="GG88" i="9"/>
  <c r="GG83" i="9"/>
  <c r="GG79" i="9"/>
  <c r="GG75" i="9"/>
  <c r="GG71" i="9"/>
  <c r="GG67" i="9"/>
  <c r="GG98" i="9"/>
  <c r="GG86" i="9"/>
  <c r="GG82" i="9"/>
  <c r="GG78" i="9"/>
  <c r="GG74" i="9"/>
  <c r="GG70" i="9"/>
  <c r="GG66" i="9"/>
  <c r="GG62" i="9"/>
  <c r="GG94" i="9"/>
  <c r="GG85" i="9"/>
  <c r="GG81" i="9"/>
  <c r="GG77" i="9"/>
  <c r="GG73" i="9"/>
  <c r="GG69" i="9"/>
  <c r="GG65" i="9"/>
  <c r="GG90" i="9"/>
  <c r="GG84" i="9"/>
  <c r="GG80" i="9"/>
  <c r="GG76" i="9"/>
  <c r="GG72" i="9"/>
  <c r="GG68" i="9"/>
  <c r="GG64" i="9"/>
  <c r="GG63" i="9"/>
  <c r="GG16" i="9"/>
  <c r="GG14" i="9"/>
  <c r="GG12" i="9"/>
  <c r="GG10" i="9"/>
  <c r="GH6" i="9"/>
  <c r="GG15" i="9"/>
  <c r="GG13" i="9"/>
  <c r="GG11" i="9"/>
  <c r="GG9" i="9"/>
  <c r="GG8" i="9"/>
  <c r="GH213" i="9" l="1"/>
  <c r="GH212" i="9"/>
  <c r="GH211" i="9"/>
  <c r="GH209" i="9"/>
  <c r="GH208" i="9"/>
  <c r="GH207" i="9"/>
  <c r="GH206" i="9"/>
  <c r="GH202" i="9"/>
  <c r="GH205" i="9"/>
  <c r="GH210" i="9"/>
  <c r="GH203" i="9"/>
  <c r="GH201" i="9"/>
  <c r="GH200" i="9"/>
  <c r="GH197" i="9"/>
  <c r="GH196" i="9"/>
  <c r="GH195" i="9"/>
  <c r="GH190" i="9"/>
  <c r="GH199" i="9"/>
  <c r="GH194" i="9"/>
  <c r="GH193" i="9"/>
  <c r="GH186" i="9"/>
  <c r="GH182" i="9"/>
  <c r="GH189" i="9"/>
  <c r="GH185" i="9"/>
  <c r="GH181" i="9"/>
  <c r="GH192" i="9"/>
  <c r="GH184" i="9"/>
  <c r="GH178" i="9"/>
  <c r="GH174" i="9"/>
  <c r="GH198" i="9"/>
  <c r="GH183" i="9"/>
  <c r="GH177" i="9"/>
  <c r="GH173" i="9"/>
  <c r="GH188" i="9"/>
  <c r="GH176" i="9"/>
  <c r="GH172" i="9"/>
  <c r="GH170" i="9"/>
  <c r="GH166" i="9"/>
  <c r="GH162" i="9"/>
  <c r="GH158" i="9"/>
  <c r="GH154" i="9"/>
  <c r="GH204" i="9"/>
  <c r="GH191" i="9"/>
  <c r="GH175" i="9"/>
  <c r="GH169" i="9"/>
  <c r="GH165" i="9"/>
  <c r="GH161" i="9"/>
  <c r="GH157" i="9"/>
  <c r="GH153" i="9"/>
  <c r="GH187" i="9"/>
  <c r="GH179" i="9"/>
  <c r="GH180" i="9"/>
  <c r="GH171" i="9"/>
  <c r="GH167" i="9"/>
  <c r="GH159" i="9"/>
  <c r="GH164" i="9"/>
  <c r="GH156" i="9"/>
  <c r="GH163" i="9"/>
  <c r="GH168" i="9"/>
  <c r="GH160" i="9"/>
  <c r="GH155" i="9"/>
  <c r="GH149" i="9"/>
  <c r="GH152" i="9"/>
  <c r="GH148" i="9"/>
  <c r="GH151" i="9"/>
  <c r="GH150" i="9"/>
  <c r="GH147" i="9"/>
  <c r="GH146" i="9"/>
  <c r="GH144" i="9"/>
  <c r="GH140" i="9"/>
  <c r="GH136" i="9"/>
  <c r="GH145" i="9"/>
  <c r="GH143" i="9"/>
  <c r="GH139" i="9"/>
  <c r="GH135" i="9"/>
  <c r="GH131" i="9"/>
  <c r="GH142" i="9"/>
  <c r="GH138" i="9"/>
  <c r="GH134" i="9"/>
  <c r="GH141" i="9"/>
  <c r="GH137" i="9"/>
  <c r="GH133" i="9"/>
  <c r="GH130" i="9"/>
  <c r="GH126" i="9"/>
  <c r="GH122" i="9"/>
  <c r="GH118" i="9"/>
  <c r="GH132" i="9"/>
  <c r="GH129" i="9"/>
  <c r="GH125" i="9"/>
  <c r="GH121" i="9"/>
  <c r="GH117" i="9"/>
  <c r="GH128" i="9"/>
  <c r="GH124" i="9"/>
  <c r="GH120" i="9"/>
  <c r="GH127" i="9"/>
  <c r="GH123" i="9"/>
  <c r="GH119" i="9"/>
  <c r="GH116" i="9"/>
  <c r="GH115" i="9"/>
  <c r="GH111" i="9"/>
  <c r="GH107" i="9"/>
  <c r="GH103" i="9"/>
  <c r="GH99" i="9"/>
  <c r="GH95" i="9"/>
  <c r="GH114" i="9"/>
  <c r="GH110" i="9"/>
  <c r="GH106" i="9"/>
  <c r="GH102" i="9"/>
  <c r="GH98" i="9"/>
  <c r="GH94" i="9"/>
  <c r="GH90" i="9"/>
  <c r="GH113" i="9"/>
  <c r="GH109" i="9"/>
  <c r="GH112" i="9"/>
  <c r="GH108" i="9"/>
  <c r="GH104" i="9"/>
  <c r="GH100" i="9"/>
  <c r="GH96" i="9"/>
  <c r="GH92" i="9"/>
  <c r="GH88" i="9"/>
  <c r="GH93" i="9"/>
  <c r="GH87" i="9"/>
  <c r="GH86" i="9"/>
  <c r="GH82" i="9"/>
  <c r="GH78" i="9"/>
  <c r="GH74" i="9"/>
  <c r="GH70" i="9"/>
  <c r="GH66" i="9"/>
  <c r="GH105" i="9"/>
  <c r="GH85" i="9"/>
  <c r="GH81" i="9"/>
  <c r="GH77" i="9"/>
  <c r="GH73" i="9"/>
  <c r="GH69" i="9"/>
  <c r="GH65" i="9"/>
  <c r="GH101" i="9"/>
  <c r="GH91" i="9"/>
  <c r="GH84" i="9"/>
  <c r="GH80" i="9"/>
  <c r="GH76" i="9"/>
  <c r="GH72" i="9"/>
  <c r="GH68" i="9"/>
  <c r="GH64" i="9"/>
  <c r="GH97" i="9"/>
  <c r="GH89" i="9"/>
  <c r="GH83" i="9"/>
  <c r="GH79" i="9"/>
  <c r="GH75" i="9"/>
  <c r="GH71" i="9"/>
  <c r="GH67" i="9"/>
  <c r="GH63" i="9"/>
  <c r="GH62" i="9"/>
  <c r="GI6" i="9"/>
  <c r="GH15" i="9"/>
  <c r="GH13" i="9"/>
  <c r="GH11" i="9"/>
  <c r="GH9" i="9"/>
  <c r="GH8" i="9"/>
  <c r="GH16" i="9"/>
  <c r="GH14" i="9"/>
  <c r="GH12" i="9"/>
  <c r="GH10" i="9"/>
  <c r="GI213" i="9" l="1"/>
  <c r="GI212" i="9"/>
  <c r="GI211" i="9"/>
  <c r="GI209" i="9"/>
  <c r="GI208" i="9"/>
  <c r="GI210" i="9"/>
  <c r="GI207" i="9"/>
  <c r="GI206" i="9"/>
  <c r="GI205" i="9"/>
  <c r="GI204" i="9"/>
  <c r="GI203" i="9"/>
  <c r="GI201" i="9"/>
  <c r="GI200" i="9"/>
  <c r="GI202" i="9"/>
  <c r="GI196" i="9"/>
  <c r="GI195" i="9"/>
  <c r="GI199" i="9"/>
  <c r="GI194" i="9"/>
  <c r="GI193" i="9"/>
  <c r="GI192" i="9"/>
  <c r="GI189" i="9"/>
  <c r="GI185" i="9"/>
  <c r="GI181" i="9"/>
  <c r="GI197" i="9"/>
  <c r="GI188" i="9"/>
  <c r="GI184" i="9"/>
  <c r="GI180" i="9"/>
  <c r="GI198" i="9"/>
  <c r="GI183" i="9"/>
  <c r="GI177" i="9"/>
  <c r="GI173" i="9"/>
  <c r="GI190" i="9"/>
  <c r="GI182" i="9"/>
  <c r="GI176" i="9"/>
  <c r="GI191" i="9"/>
  <c r="GI175" i="9"/>
  <c r="GI169" i="9"/>
  <c r="GI165" i="9"/>
  <c r="GI161" i="9"/>
  <c r="GI157" i="9"/>
  <c r="GI153" i="9"/>
  <c r="GI186" i="9"/>
  <c r="GI174" i="9"/>
  <c r="GI168" i="9"/>
  <c r="GI164" i="9"/>
  <c r="GI160" i="9"/>
  <c r="GI156" i="9"/>
  <c r="GI152" i="9"/>
  <c r="GI187" i="9"/>
  <c r="GI171" i="9"/>
  <c r="GI178" i="9"/>
  <c r="GI170" i="9"/>
  <c r="GI179" i="9"/>
  <c r="GI172" i="9"/>
  <c r="GI166" i="9"/>
  <c r="GI163" i="9"/>
  <c r="GI155" i="9"/>
  <c r="GI162" i="9"/>
  <c r="GI167" i="9"/>
  <c r="GI159" i="9"/>
  <c r="GI154" i="9"/>
  <c r="GI148" i="9"/>
  <c r="GI158" i="9"/>
  <c r="GI151" i="9"/>
  <c r="GI150" i="9"/>
  <c r="GI147" i="9"/>
  <c r="GI149" i="9"/>
  <c r="GI145" i="9"/>
  <c r="GI146" i="9"/>
  <c r="GI143" i="9"/>
  <c r="GI139" i="9"/>
  <c r="GI135" i="9"/>
  <c r="GI142" i="9"/>
  <c r="GI138" i="9"/>
  <c r="GI134" i="9"/>
  <c r="GI141" i="9"/>
  <c r="GI137" i="9"/>
  <c r="GI133" i="9"/>
  <c r="GI144" i="9"/>
  <c r="GI140" i="9"/>
  <c r="GI136" i="9"/>
  <c r="GI132" i="9"/>
  <c r="GI129" i="9"/>
  <c r="GI125" i="9"/>
  <c r="GI121" i="9"/>
  <c r="GI117" i="9"/>
  <c r="GI131" i="9"/>
  <c r="GI128" i="9"/>
  <c r="GI124" i="9"/>
  <c r="GI120" i="9"/>
  <c r="GI116" i="9"/>
  <c r="GI127" i="9"/>
  <c r="GI123" i="9"/>
  <c r="GI119" i="9"/>
  <c r="GI130" i="9"/>
  <c r="GI126" i="9"/>
  <c r="GI122" i="9"/>
  <c r="GI118" i="9"/>
  <c r="GI114" i="9"/>
  <c r="GI110" i="9"/>
  <c r="GI106" i="9"/>
  <c r="GI102" i="9"/>
  <c r="GI98" i="9"/>
  <c r="GI94" i="9"/>
  <c r="GI113" i="9"/>
  <c r="GI109" i="9"/>
  <c r="GI105" i="9"/>
  <c r="GI101" i="9"/>
  <c r="GI97" i="9"/>
  <c r="GI93" i="9"/>
  <c r="GI89" i="9"/>
  <c r="GI112" i="9"/>
  <c r="GI108" i="9"/>
  <c r="GI115" i="9"/>
  <c r="GI111" i="9"/>
  <c r="GI107" i="9"/>
  <c r="GI103" i="9"/>
  <c r="GI99" i="9"/>
  <c r="GI95" i="9"/>
  <c r="GI91" i="9"/>
  <c r="GI87" i="9"/>
  <c r="GI100" i="9"/>
  <c r="GI85" i="9"/>
  <c r="GI81" i="9"/>
  <c r="GI77" i="9"/>
  <c r="GI73" i="9"/>
  <c r="GI69" i="9"/>
  <c r="GI65" i="9"/>
  <c r="GI96" i="9"/>
  <c r="GI84" i="9"/>
  <c r="GI80" i="9"/>
  <c r="GI76" i="9"/>
  <c r="GI72" i="9"/>
  <c r="GI68" i="9"/>
  <c r="GI64" i="9"/>
  <c r="GI92" i="9"/>
  <c r="GI90" i="9"/>
  <c r="GI83" i="9"/>
  <c r="GI79" i="9"/>
  <c r="GI75" i="9"/>
  <c r="GI71" i="9"/>
  <c r="GI67" i="9"/>
  <c r="GI104" i="9"/>
  <c r="GI88" i="9"/>
  <c r="GI86" i="9"/>
  <c r="GI82" i="9"/>
  <c r="GI78" i="9"/>
  <c r="GI74" i="9"/>
  <c r="GI70" i="9"/>
  <c r="GI66" i="9"/>
  <c r="GI62" i="9"/>
  <c r="GI63" i="9"/>
  <c r="GI15" i="9"/>
  <c r="GI13" i="9"/>
  <c r="GI11" i="9"/>
  <c r="GI9" i="9"/>
  <c r="GI8" i="9"/>
  <c r="GI16" i="9"/>
  <c r="GI14" i="9"/>
  <c r="GI12" i="9"/>
  <c r="GI10" i="9"/>
  <c r="GJ6" i="9"/>
  <c r="GJ212" i="9" l="1"/>
  <c r="GJ213" i="9"/>
  <c r="GJ211" i="9"/>
  <c r="GJ210" i="9"/>
  <c r="GJ207" i="9"/>
  <c r="GJ209" i="9"/>
  <c r="GJ208" i="9"/>
  <c r="GJ206" i="9"/>
  <c r="GJ205" i="9"/>
  <c r="GJ204" i="9"/>
  <c r="GJ199" i="9"/>
  <c r="GJ202" i="9"/>
  <c r="GJ195" i="9"/>
  <c r="GJ203" i="9"/>
  <c r="GJ201" i="9"/>
  <c r="GJ198" i="9"/>
  <c r="GJ194" i="9"/>
  <c r="GJ192" i="9"/>
  <c r="GJ191" i="9"/>
  <c r="GJ197" i="9"/>
  <c r="GJ188" i="9"/>
  <c r="GJ184" i="9"/>
  <c r="GJ180" i="9"/>
  <c r="GJ200" i="9"/>
  <c r="GJ193" i="9"/>
  <c r="GJ187" i="9"/>
  <c r="GJ183" i="9"/>
  <c r="GJ179" i="9"/>
  <c r="GJ190" i="9"/>
  <c r="GJ182" i="9"/>
  <c r="GJ176" i="9"/>
  <c r="GJ172" i="9"/>
  <c r="GJ189" i="9"/>
  <c r="GJ181" i="9"/>
  <c r="GJ175" i="9"/>
  <c r="GJ186" i="9"/>
  <c r="GJ174" i="9"/>
  <c r="GJ168" i="9"/>
  <c r="GJ164" i="9"/>
  <c r="GJ160" i="9"/>
  <c r="GJ156" i="9"/>
  <c r="GJ152" i="9"/>
  <c r="GJ196" i="9"/>
  <c r="GJ173" i="9"/>
  <c r="GJ171" i="9"/>
  <c r="GJ167" i="9"/>
  <c r="GJ163" i="9"/>
  <c r="GJ159" i="9"/>
  <c r="GJ155" i="9"/>
  <c r="GJ151" i="9"/>
  <c r="GJ178" i="9"/>
  <c r="GJ170" i="9"/>
  <c r="GJ185" i="9"/>
  <c r="GJ177" i="9"/>
  <c r="GJ165" i="9"/>
  <c r="GJ162" i="9"/>
  <c r="GJ169" i="9"/>
  <c r="GJ161" i="9"/>
  <c r="GJ166" i="9"/>
  <c r="GJ158" i="9"/>
  <c r="GJ153" i="9"/>
  <c r="GJ150" i="9"/>
  <c r="GJ147" i="9"/>
  <c r="GJ146" i="9"/>
  <c r="GJ149" i="9"/>
  <c r="GJ157" i="9"/>
  <c r="GJ154" i="9"/>
  <c r="GJ148" i="9"/>
  <c r="GJ145" i="9"/>
  <c r="GJ142" i="9"/>
  <c r="GJ138" i="9"/>
  <c r="GJ134" i="9"/>
  <c r="GJ141" i="9"/>
  <c r="GJ137" i="9"/>
  <c r="GJ133" i="9"/>
  <c r="GJ144" i="9"/>
  <c r="GJ140" i="9"/>
  <c r="GJ136" i="9"/>
  <c r="GJ143" i="9"/>
  <c r="GJ139" i="9"/>
  <c r="GJ135" i="9"/>
  <c r="GJ131" i="9"/>
  <c r="GJ132" i="9"/>
  <c r="GJ128" i="9"/>
  <c r="GJ124" i="9"/>
  <c r="GJ120" i="9"/>
  <c r="GJ127" i="9"/>
  <c r="GJ123" i="9"/>
  <c r="GJ119" i="9"/>
  <c r="GJ130" i="9"/>
  <c r="GJ126" i="9"/>
  <c r="GJ122" i="9"/>
  <c r="GJ118" i="9"/>
  <c r="GJ129" i="9"/>
  <c r="GJ125" i="9"/>
  <c r="GJ121" i="9"/>
  <c r="GJ117" i="9"/>
  <c r="GJ113" i="9"/>
  <c r="GJ109" i="9"/>
  <c r="GJ105" i="9"/>
  <c r="GJ101" i="9"/>
  <c r="GJ97" i="9"/>
  <c r="GJ93" i="9"/>
  <c r="GJ112" i="9"/>
  <c r="GJ108" i="9"/>
  <c r="GJ104" i="9"/>
  <c r="GJ100" i="9"/>
  <c r="GJ96" i="9"/>
  <c r="GJ92" i="9"/>
  <c r="GJ88" i="9"/>
  <c r="GJ115" i="9"/>
  <c r="GJ111" i="9"/>
  <c r="GJ107" i="9"/>
  <c r="GJ116" i="9"/>
  <c r="GJ114" i="9"/>
  <c r="GJ110" i="9"/>
  <c r="GJ106" i="9"/>
  <c r="GJ102" i="9"/>
  <c r="GJ98" i="9"/>
  <c r="GJ94" i="9"/>
  <c r="GJ90" i="9"/>
  <c r="GJ84" i="9"/>
  <c r="GJ80" i="9"/>
  <c r="GJ76" i="9"/>
  <c r="GJ72" i="9"/>
  <c r="GJ68" i="9"/>
  <c r="GJ64" i="9"/>
  <c r="GJ103" i="9"/>
  <c r="GJ91" i="9"/>
  <c r="GJ83" i="9"/>
  <c r="GJ79" i="9"/>
  <c r="GJ75" i="9"/>
  <c r="GJ71" i="9"/>
  <c r="GJ67" i="9"/>
  <c r="GJ63" i="9"/>
  <c r="GJ99" i="9"/>
  <c r="GJ89" i="9"/>
  <c r="GJ86" i="9"/>
  <c r="GJ82" i="9"/>
  <c r="GJ78" i="9"/>
  <c r="GJ74" i="9"/>
  <c r="GJ70" i="9"/>
  <c r="GJ66" i="9"/>
  <c r="GJ95" i="9"/>
  <c r="GJ87" i="9"/>
  <c r="GJ85" i="9"/>
  <c r="GJ81" i="9"/>
  <c r="GJ77" i="9"/>
  <c r="GJ73" i="9"/>
  <c r="GJ69" i="9"/>
  <c r="GJ65" i="9"/>
  <c r="GJ62" i="9"/>
  <c r="GJ8" i="9"/>
  <c r="GJ16" i="9"/>
  <c r="GJ14" i="9"/>
  <c r="GJ12" i="9"/>
  <c r="GJ10" i="9"/>
  <c r="GK6" i="9"/>
  <c r="GJ15" i="9"/>
  <c r="GJ13" i="9"/>
  <c r="GJ11" i="9"/>
  <c r="GJ9" i="9"/>
  <c r="GL6" i="9" l="1"/>
  <c r="GK8" i="9"/>
  <c r="GM6" i="9" l="1"/>
  <c r="GL8" i="9"/>
  <c r="GM213" i="9" l="1"/>
  <c r="GM211" i="9"/>
  <c r="GM210" i="9"/>
  <c r="GM212" i="9"/>
  <c r="GM209" i="9"/>
  <c r="GM208" i="9"/>
  <c r="GM204" i="9"/>
  <c r="GM207" i="9"/>
  <c r="GM203" i="9"/>
  <c r="GM205" i="9"/>
  <c r="GM202" i="9"/>
  <c r="GM201" i="9"/>
  <c r="GM198" i="9"/>
  <c r="GM194" i="9"/>
  <c r="GM199" i="9"/>
  <c r="GM197" i="9"/>
  <c r="GM206" i="9"/>
  <c r="GM191" i="9"/>
  <c r="GM190" i="9"/>
  <c r="GM200" i="9"/>
  <c r="GM193" i="9"/>
  <c r="GM187" i="9"/>
  <c r="GM183" i="9"/>
  <c r="GM195" i="9"/>
  <c r="GM192" i="9"/>
  <c r="GM186" i="9"/>
  <c r="GM182" i="9"/>
  <c r="GM189" i="9"/>
  <c r="GM181" i="9"/>
  <c r="GM175" i="9"/>
  <c r="GM188" i="9"/>
  <c r="GM180" i="9"/>
  <c r="GM179" i="9"/>
  <c r="GM178" i="9"/>
  <c r="GM174" i="9"/>
  <c r="GM196" i="9"/>
  <c r="GM173" i="9"/>
  <c r="GM171" i="9"/>
  <c r="GM167" i="9"/>
  <c r="GM163" i="9"/>
  <c r="GM159" i="9"/>
  <c r="GM155" i="9"/>
  <c r="GM151" i="9"/>
  <c r="GM184" i="9"/>
  <c r="GM170" i="9"/>
  <c r="GM166" i="9"/>
  <c r="GM162" i="9"/>
  <c r="GM158" i="9"/>
  <c r="GM154" i="9"/>
  <c r="GM150" i="9"/>
  <c r="GM176" i="9"/>
  <c r="GM185" i="9"/>
  <c r="GM177" i="9"/>
  <c r="GM172" i="9"/>
  <c r="GM164" i="9"/>
  <c r="GM169" i="9"/>
  <c r="GM161" i="9"/>
  <c r="GM168" i="9"/>
  <c r="GM160" i="9"/>
  <c r="GM165" i="9"/>
  <c r="GM157" i="9"/>
  <c r="GM152" i="9"/>
  <c r="GM156" i="9"/>
  <c r="GM149" i="9"/>
  <c r="GM145" i="9"/>
  <c r="GM148" i="9"/>
  <c r="GM153" i="9"/>
  <c r="GM147" i="9"/>
  <c r="GM141" i="9"/>
  <c r="GM137" i="9"/>
  <c r="GM133" i="9"/>
  <c r="GM144" i="9"/>
  <c r="GM140" i="9"/>
  <c r="GM136" i="9"/>
  <c r="GM132" i="9"/>
  <c r="GM143" i="9"/>
  <c r="GM139" i="9"/>
  <c r="GM135" i="9"/>
  <c r="GM146" i="9"/>
  <c r="GM142" i="9"/>
  <c r="GM138" i="9"/>
  <c r="GM134" i="9"/>
  <c r="GM131" i="9"/>
  <c r="GM127" i="9"/>
  <c r="GM123" i="9"/>
  <c r="GM119" i="9"/>
  <c r="GM130" i="9"/>
  <c r="GM126" i="9"/>
  <c r="GM122" i="9"/>
  <c r="GM118" i="9"/>
  <c r="GM129" i="9"/>
  <c r="GM125" i="9"/>
  <c r="GM121" i="9"/>
  <c r="GM117" i="9"/>
  <c r="GM128" i="9"/>
  <c r="GM124" i="9"/>
  <c r="GM120" i="9"/>
  <c r="GM116" i="9"/>
  <c r="GM112" i="9"/>
  <c r="GM108" i="9"/>
  <c r="GM104" i="9"/>
  <c r="GM100" i="9"/>
  <c r="GM96" i="9"/>
  <c r="GM92" i="9"/>
  <c r="GM115" i="9"/>
  <c r="GM111" i="9"/>
  <c r="GM107" i="9"/>
  <c r="GM103" i="9"/>
  <c r="GM99" i="9"/>
  <c r="GM95" i="9"/>
  <c r="GM91" i="9"/>
  <c r="GM87" i="9"/>
  <c r="GM114" i="9"/>
  <c r="GM110" i="9"/>
  <c r="GM106" i="9"/>
  <c r="GM113" i="9"/>
  <c r="GM109" i="9"/>
  <c r="GM105" i="9"/>
  <c r="GM101" i="9"/>
  <c r="GM97" i="9"/>
  <c r="GM93" i="9"/>
  <c r="GM89" i="9"/>
  <c r="GM98" i="9"/>
  <c r="GM83" i="9"/>
  <c r="GM79" i="9"/>
  <c r="GM75" i="9"/>
  <c r="GM71" i="9"/>
  <c r="GM67" i="9"/>
  <c r="GM94" i="9"/>
  <c r="GM90" i="9"/>
  <c r="GM86" i="9"/>
  <c r="GM82" i="9"/>
  <c r="GM78" i="9"/>
  <c r="GM74" i="9"/>
  <c r="GM70" i="9"/>
  <c r="GM66" i="9"/>
  <c r="GM62" i="9"/>
  <c r="GM88" i="9"/>
  <c r="GM85" i="9"/>
  <c r="GM81" i="9"/>
  <c r="GM77" i="9"/>
  <c r="GM73" i="9"/>
  <c r="GM69" i="9"/>
  <c r="GM65" i="9"/>
  <c r="GM102" i="9"/>
  <c r="GM84" i="9"/>
  <c r="GM80" i="9"/>
  <c r="GM76" i="9"/>
  <c r="GM72" i="9"/>
  <c r="GM68" i="9"/>
  <c r="GM64" i="9"/>
  <c r="GM63" i="9"/>
  <c r="GM16" i="9"/>
  <c r="GM14" i="9"/>
  <c r="GM12" i="9"/>
  <c r="GM10" i="9"/>
  <c r="GM8" i="9"/>
  <c r="GN6" i="9"/>
  <c r="GM15" i="9"/>
  <c r="GM13" i="9"/>
  <c r="GM11" i="9"/>
  <c r="GM9" i="9"/>
  <c r="GN213" i="9" l="1"/>
  <c r="GN212" i="9"/>
  <c r="GN211" i="9"/>
  <c r="GN210" i="9"/>
  <c r="GN209" i="9"/>
  <c r="GN207" i="9"/>
  <c r="GN208" i="9"/>
  <c r="GN202" i="9"/>
  <c r="GN206" i="9"/>
  <c r="GN205" i="9"/>
  <c r="GN201" i="9"/>
  <c r="GN204" i="9"/>
  <c r="GN203" i="9"/>
  <c r="GN199" i="9"/>
  <c r="GN197" i="9"/>
  <c r="GN200" i="9"/>
  <c r="GN196" i="9"/>
  <c r="GN190" i="9"/>
  <c r="GN198" i="9"/>
  <c r="GN193" i="9"/>
  <c r="GN195" i="9"/>
  <c r="GN192" i="9"/>
  <c r="GN186" i="9"/>
  <c r="GN182" i="9"/>
  <c r="GN191" i="9"/>
  <c r="GN189" i="9"/>
  <c r="GN185" i="9"/>
  <c r="GN181" i="9"/>
  <c r="GN188" i="9"/>
  <c r="GN180" i="9"/>
  <c r="GN179" i="9"/>
  <c r="GN178" i="9"/>
  <c r="GN174" i="9"/>
  <c r="GN194" i="9"/>
  <c r="GN187" i="9"/>
  <c r="GN177" i="9"/>
  <c r="GN173" i="9"/>
  <c r="GN184" i="9"/>
  <c r="GN170" i="9"/>
  <c r="GN166" i="9"/>
  <c r="GN162" i="9"/>
  <c r="GN158" i="9"/>
  <c r="GN154" i="9"/>
  <c r="GN172" i="9"/>
  <c r="GN169" i="9"/>
  <c r="GN165" i="9"/>
  <c r="GN161" i="9"/>
  <c r="GN157" i="9"/>
  <c r="GN153" i="9"/>
  <c r="GN183" i="9"/>
  <c r="GN176" i="9"/>
  <c r="GN175" i="9"/>
  <c r="GN171" i="9"/>
  <c r="GN163" i="9"/>
  <c r="GN168" i="9"/>
  <c r="GN160" i="9"/>
  <c r="GN167" i="9"/>
  <c r="GN159" i="9"/>
  <c r="GN164" i="9"/>
  <c r="GN156" i="9"/>
  <c r="GN151" i="9"/>
  <c r="GN149" i="9"/>
  <c r="GN148" i="9"/>
  <c r="GN147" i="9"/>
  <c r="GN155" i="9"/>
  <c r="GN152" i="9"/>
  <c r="GN150" i="9"/>
  <c r="GN146" i="9"/>
  <c r="GN144" i="9"/>
  <c r="GN140" i="9"/>
  <c r="GN136" i="9"/>
  <c r="GN143" i="9"/>
  <c r="GN139" i="9"/>
  <c r="GN135" i="9"/>
  <c r="GN131" i="9"/>
  <c r="GN142" i="9"/>
  <c r="GN138" i="9"/>
  <c r="GN134" i="9"/>
  <c r="GN145" i="9"/>
  <c r="GN141" i="9"/>
  <c r="GN137" i="9"/>
  <c r="GN133" i="9"/>
  <c r="GN130" i="9"/>
  <c r="GN126" i="9"/>
  <c r="GN122" i="9"/>
  <c r="GN118" i="9"/>
  <c r="GN129" i="9"/>
  <c r="GN125" i="9"/>
  <c r="GN121" i="9"/>
  <c r="GN117" i="9"/>
  <c r="GN128" i="9"/>
  <c r="GN124" i="9"/>
  <c r="GN120" i="9"/>
  <c r="GN132" i="9"/>
  <c r="GN127" i="9"/>
  <c r="GN123" i="9"/>
  <c r="GN119" i="9"/>
  <c r="GN115" i="9"/>
  <c r="GN111" i="9"/>
  <c r="GN107" i="9"/>
  <c r="GN103" i="9"/>
  <c r="GN99" i="9"/>
  <c r="GN95" i="9"/>
  <c r="GN114" i="9"/>
  <c r="GN110" i="9"/>
  <c r="GN106" i="9"/>
  <c r="GN102" i="9"/>
  <c r="GN98" i="9"/>
  <c r="GN94" i="9"/>
  <c r="GN90" i="9"/>
  <c r="GN116" i="9"/>
  <c r="GN113" i="9"/>
  <c r="GN109" i="9"/>
  <c r="GN112" i="9"/>
  <c r="GN108" i="9"/>
  <c r="GN104" i="9"/>
  <c r="GN100" i="9"/>
  <c r="GN96" i="9"/>
  <c r="GN92" i="9"/>
  <c r="GN88" i="9"/>
  <c r="GN105" i="9"/>
  <c r="GN91" i="9"/>
  <c r="GN86" i="9"/>
  <c r="GN82" i="9"/>
  <c r="GN78" i="9"/>
  <c r="GN74" i="9"/>
  <c r="GN70" i="9"/>
  <c r="GN66" i="9"/>
  <c r="GN101" i="9"/>
  <c r="GN89" i="9"/>
  <c r="GN85" i="9"/>
  <c r="GN81" i="9"/>
  <c r="GN77" i="9"/>
  <c r="GN73" i="9"/>
  <c r="GN69" i="9"/>
  <c r="GN65" i="9"/>
  <c r="GN97" i="9"/>
  <c r="GN87" i="9"/>
  <c r="GN84" i="9"/>
  <c r="GN80" i="9"/>
  <c r="GN76" i="9"/>
  <c r="GN72" i="9"/>
  <c r="GN68" i="9"/>
  <c r="GN64" i="9"/>
  <c r="GN93" i="9"/>
  <c r="GN83" i="9"/>
  <c r="GN79" i="9"/>
  <c r="GN75" i="9"/>
  <c r="GN71" i="9"/>
  <c r="GN67" i="9"/>
  <c r="GN63" i="9"/>
  <c r="GN62" i="9"/>
  <c r="GN8" i="9"/>
  <c r="GN15" i="9"/>
  <c r="GN13" i="9"/>
  <c r="GN11" i="9"/>
  <c r="GN9" i="9"/>
  <c r="GO6" i="9"/>
  <c r="GN16" i="9"/>
  <c r="GN14" i="9"/>
  <c r="GN12" i="9"/>
  <c r="GN10" i="9"/>
  <c r="GO213" i="9" l="1"/>
  <c r="GO212" i="9"/>
  <c r="GO211" i="9"/>
  <c r="GO209" i="9"/>
  <c r="GO208" i="9"/>
  <c r="GO207" i="9"/>
  <c r="GO210" i="9"/>
  <c r="GO206" i="9"/>
  <c r="GO205" i="9"/>
  <c r="GO204" i="9"/>
  <c r="GO202" i="9"/>
  <c r="GO201" i="9"/>
  <c r="GO203" i="9"/>
  <c r="GO200" i="9"/>
  <c r="GO196" i="9"/>
  <c r="GO195" i="9"/>
  <c r="GO198" i="9"/>
  <c r="GO193" i="9"/>
  <c r="GO197" i="9"/>
  <c r="GO192" i="9"/>
  <c r="GO191" i="9"/>
  <c r="GO189" i="9"/>
  <c r="GO185" i="9"/>
  <c r="GO181" i="9"/>
  <c r="GO190" i="9"/>
  <c r="GO188" i="9"/>
  <c r="GO184" i="9"/>
  <c r="GO180" i="9"/>
  <c r="GO194" i="9"/>
  <c r="GO187" i="9"/>
  <c r="GO177" i="9"/>
  <c r="GO173" i="9"/>
  <c r="GO186" i="9"/>
  <c r="GO176" i="9"/>
  <c r="GO172" i="9"/>
  <c r="GO169" i="9"/>
  <c r="GO165" i="9"/>
  <c r="GO161" i="9"/>
  <c r="GO157" i="9"/>
  <c r="GO153" i="9"/>
  <c r="GO182" i="9"/>
  <c r="GO179" i="9"/>
  <c r="GO178" i="9"/>
  <c r="GO168" i="9"/>
  <c r="GO164" i="9"/>
  <c r="GO160" i="9"/>
  <c r="GO156" i="9"/>
  <c r="GO152" i="9"/>
  <c r="GO199" i="9"/>
  <c r="GO183" i="9"/>
  <c r="GO174" i="9"/>
  <c r="GO175" i="9"/>
  <c r="GO171" i="9"/>
  <c r="GO170" i="9"/>
  <c r="GO162" i="9"/>
  <c r="GO167" i="9"/>
  <c r="GO159" i="9"/>
  <c r="GO166" i="9"/>
  <c r="GO163" i="9"/>
  <c r="GO155" i="9"/>
  <c r="GO158" i="9"/>
  <c r="GO148" i="9"/>
  <c r="GO147" i="9"/>
  <c r="GO154" i="9"/>
  <c r="GO150" i="9"/>
  <c r="GO151" i="9"/>
  <c r="GO149" i="9"/>
  <c r="GO145" i="9"/>
  <c r="GO143" i="9"/>
  <c r="GO139" i="9"/>
  <c r="GO135" i="9"/>
  <c r="GO142" i="9"/>
  <c r="GO138" i="9"/>
  <c r="GO134" i="9"/>
  <c r="GO146" i="9"/>
  <c r="GO141" i="9"/>
  <c r="GO137" i="9"/>
  <c r="GO133" i="9"/>
  <c r="GO144" i="9"/>
  <c r="GO140" i="9"/>
  <c r="GO136" i="9"/>
  <c r="GO132" i="9"/>
  <c r="GO129" i="9"/>
  <c r="GO125" i="9"/>
  <c r="GO121" i="9"/>
  <c r="GO117" i="9"/>
  <c r="GO128" i="9"/>
  <c r="GO124" i="9"/>
  <c r="GO120" i="9"/>
  <c r="GO116" i="9"/>
  <c r="GO127" i="9"/>
  <c r="GO123" i="9"/>
  <c r="GO119" i="9"/>
  <c r="GO131" i="9"/>
  <c r="GO130" i="9"/>
  <c r="GO126" i="9"/>
  <c r="GO122" i="9"/>
  <c r="GO118" i="9"/>
  <c r="GO114" i="9"/>
  <c r="GO110" i="9"/>
  <c r="GO106" i="9"/>
  <c r="GO102" i="9"/>
  <c r="GO98" i="9"/>
  <c r="GO94" i="9"/>
  <c r="GO113" i="9"/>
  <c r="GO109" i="9"/>
  <c r="GO105" i="9"/>
  <c r="GO101" i="9"/>
  <c r="GO97" i="9"/>
  <c r="GO93" i="9"/>
  <c r="GO89" i="9"/>
  <c r="GO112" i="9"/>
  <c r="GO108" i="9"/>
  <c r="GO115" i="9"/>
  <c r="GO111" i="9"/>
  <c r="GO107" i="9"/>
  <c r="GO103" i="9"/>
  <c r="GO99" i="9"/>
  <c r="GO95" i="9"/>
  <c r="GO91" i="9"/>
  <c r="GO87" i="9"/>
  <c r="GO96" i="9"/>
  <c r="GO90" i="9"/>
  <c r="GO85" i="9"/>
  <c r="GO81" i="9"/>
  <c r="GO77" i="9"/>
  <c r="GO73" i="9"/>
  <c r="GO69" i="9"/>
  <c r="GO65" i="9"/>
  <c r="GO92" i="9"/>
  <c r="GO88" i="9"/>
  <c r="GO84" i="9"/>
  <c r="GO80" i="9"/>
  <c r="GO76" i="9"/>
  <c r="GO72" i="9"/>
  <c r="GO68" i="9"/>
  <c r="GO64" i="9"/>
  <c r="GO104" i="9"/>
  <c r="GO83" i="9"/>
  <c r="GO79" i="9"/>
  <c r="GO75" i="9"/>
  <c r="GO71" i="9"/>
  <c r="GO67" i="9"/>
  <c r="GO100" i="9"/>
  <c r="GO86" i="9"/>
  <c r="GO82" i="9"/>
  <c r="GO78" i="9"/>
  <c r="GO74" i="9"/>
  <c r="GO70" i="9"/>
  <c r="GO66" i="9"/>
  <c r="GO62" i="9"/>
  <c r="GO63" i="9"/>
  <c r="GO15" i="9"/>
  <c r="GO13" i="9"/>
  <c r="GO11" i="9"/>
  <c r="GO9" i="9"/>
  <c r="GP6" i="9"/>
  <c r="GO16" i="9"/>
  <c r="GO14" i="9"/>
  <c r="GO12" i="9"/>
  <c r="GO10" i="9"/>
  <c r="GO8" i="9"/>
  <c r="GP212" i="9" l="1"/>
  <c r="GP213" i="9"/>
  <c r="GP211" i="9"/>
  <c r="GP210" i="9"/>
  <c r="GP209" i="9"/>
  <c r="GP207" i="9"/>
  <c r="GP206" i="9"/>
  <c r="GP208" i="9"/>
  <c r="GP205" i="9"/>
  <c r="GP204" i="9"/>
  <c r="GP203" i="9"/>
  <c r="GP199" i="9"/>
  <c r="GP201" i="9"/>
  <c r="GP200" i="9"/>
  <c r="GP195" i="9"/>
  <c r="GP198" i="9"/>
  <c r="GP194" i="9"/>
  <c r="GP197" i="9"/>
  <c r="GP192" i="9"/>
  <c r="GP202" i="9"/>
  <c r="GP196" i="9"/>
  <c r="GP191" i="9"/>
  <c r="GP190" i="9"/>
  <c r="GP188" i="9"/>
  <c r="GP184" i="9"/>
  <c r="GP180" i="9"/>
  <c r="GP187" i="9"/>
  <c r="GP183" i="9"/>
  <c r="GP179" i="9"/>
  <c r="GP186" i="9"/>
  <c r="GP176" i="9"/>
  <c r="GP172" i="9"/>
  <c r="GP193" i="9"/>
  <c r="GP185" i="9"/>
  <c r="GP175" i="9"/>
  <c r="GP182" i="9"/>
  <c r="GP178" i="9"/>
  <c r="GP168" i="9"/>
  <c r="GP164" i="9"/>
  <c r="GP160" i="9"/>
  <c r="GP156" i="9"/>
  <c r="GP152" i="9"/>
  <c r="GP189" i="9"/>
  <c r="GP177" i="9"/>
  <c r="GP171" i="9"/>
  <c r="GP167" i="9"/>
  <c r="GP163" i="9"/>
  <c r="GP159" i="9"/>
  <c r="GP155" i="9"/>
  <c r="GP151" i="9"/>
  <c r="GP174" i="9"/>
  <c r="GP181" i="9"/>
  <c r="GP170" i="9"/>
  <c r="GP173" i="9"/>
  <c r="GP169" i="9"/>
  <c r="GP161" i="9"/>
  <c r="GP166" i="9"/>
  <c r="GP158" i="9"/>
  <c r="GP165" i="9"/>
  <c r="GP162" i="9"/>
  <c r="GP147" i="9"/>
  <c r="GP154" i="9"/>
  <c r="GP150" i="9"/>
  <c r="GP146" i="9"/>
  <c r="GP157" i="9"/>
  <c r="GP153" i="9"/>
  <c r="GP149" i="9"/>
  <c r="GP148" i="9"/>
  <c r="GP142" i="9"/>
  <c r="GP138" i="9"/>
  <c r="GP134" i="9"/>
  <c r="GP141" i="9"/>
  <c r="GP137" i="9"/>
  <c r="GP133" i="9"/>
  <c r="GP145" i="9"/>
  <c r="GP144" i="9"/>
  <c r="GP140" i="9"/>
  <c r="GP136" i="9"/>
  <c r="GP143" i="9"/>
  <c r="GP139" i="9"/>
  <c r="GP135" i="9"/>
  <c r="GP131" i="9"/>
  <c r="GP128" i="9"/>
  <c r="GP124" i="9"/>
  <c r="GP120" i="9"/>
  <c r="GP127" i="9"/>
  <c r="GP123" i="9"/>
  <c r="GP119" i="9"/>
  <c r="GP132" i="9"/>
  <c r="GP130" i="9"/>
  <c r="GP126" i="9"/>
  <c r="GP122" i="9"/>
  <c r="GP118" i="9"/>
  <c r="GP129" i="9"/>
  <c r="GP125" i="9"/>
  <c r="GP121" i="9"/>
  <c r="GP117" i="9"/>
  <c r="GP113" i="9"/>
  <c r="GP109" i="9"/>
  <c r="GP105" i="9"/>
  <c r="GP101" i="9"/>
  <c r="GP97" i="9"/>
  <c r="GP93" i="9"/>
  <c r="GP116" i="9"/>
  <c r="GP112" i="9"/>
  <c r="GP108" i="9"/>
  <c r="GP104" i="9"/>
  <c r="GP100" i="9"/>
  <c r="GP96" i="9"/>
  <c r="GP92" i="9"/>
  <c r="GP88" i="9"/>
  <c r="GP115" i="9"/>
  <c r="GP111" i="9"/>
  <c r="GP107" i="9"/>
  <c r="GP114" i="9"/>
  <c r="GP110" i="9"/>
  <c r="GP106" i="9"/>
  <c r="GP102" i="9"/>
  <c r="GP98" i="9"/>
  <c r="GP94" i="9"/>
  <c r="GP90" i="9"/>
  <c r="GP103" i="9"/>
  <c r="GP89" i="9"/>
  <c r="GP84" i="9"/>
  <c r="GP80" i="9"/>
  <c r="GP76" i="9"/>
  <c r="GP72" i="9"/>
  <c r="GP68" i="9"/>
  <c r="GP64" i="9"/>
  <c r="GP99" i="9"/>
  <c r="GP87" i="9"/>
  <c r="GP83" i="9"/>
  <c r="GP79" i="9"/>
  <c r="GP75" i="9"/>
  <c r="GP71" i="9"/>
  <c r="GP67" i="9"/>
  <c r="GP63" i="9"/>
  <c r="GP95" i="9"/>
  <c r="GP86" i="9"/>
  <c r="GP82" i="9"/>
  <c r="GP78" i="9"/>
  <c r="GP74" i="9"/>
  <c r="GP70" i="9"/>
  <c r="GP66" i="9"/>
  <c r="GP91" i="9"/>
  <c r="GP85" i="9"/>
  <c r="GP81" i="9"/>
  <c r="GP77" i="9"/>
  <c r="GP73" i="9"/>
  <c r="GP69" i="9"/>
  <c r="GP65" i="9"/>
  <c r="GP62" i="9"/>
  <c r="GQ6" i="9"/>
  <c r="GP16" i="9"/>
  <c r="GP14" i="9"/>
  <c r="GP12" i="9"/>
  <c r="GP10" i="9"/>
  <c r="GP8" i="9"/>
  <c r="GP15" i="9"/>
  <c r="GP13" i="9"/>
  <c r="GP11" i="9"/>
  <c r="GP9" i="9"/>
  <c r="GQ213" i="9" l="1"/>
  <c r="GQ211" i="9"/>
  <c r="GQ210" i="9"/>
  <c r="GQ212" i="9"/>
  <c r="GQ209" i="9"/>
  <c r="GQ208" i="9"/>
  <c r="GQ207" i="9"/>
  <c r="GQ204" i="9"/>
  <c r="GQ206" i="9"/>
  <c r="GQ203" i="9"/>
  <c r="GQ202" i="9"/>
  <c r="GQ201" i="9"/>
  <c r="GQ198" i="9"/>
  <c r="GQ194" i="9"/>
  <c r="GQ197" i="9"/>
  <c r="GQ196" i="9"/>
  <c r="GQ191" i="9"/>
  <c r="GQ205" i="9"/>
  <c r="GQ200" i="9"/>
  <c r="GQ195" i="9"/>
  <c r="GQ190" i="9"/>
  <c r="GQ187" i="9"/>
  <c r="GQ183" i="9"/>
  <c r="GQ186" i="9"/>
  <c r="GQ182" i="9"/>
  <c r="GQ193" i="9"/>
  <c r="GQ185" i="9"/>
  <c r="GQ175" i="9"/>
  <c r="GQ184" i="9"/>
  <c r="GQ178" i="9"/>
  <c r="GQ174" i="9"/>
  <c r="GQ189" i="9"/>
  <c r="GQ179" i="9"/>
  <c r="GQ177" i="9"/>
  <c r="GQ171" i="9"/>
  <c r="GQ167" i="9"/>
  <c r="GQ163" i="9"/>
  <c r="GQ159" i="9"/>
  <c r="GQ155" i="9"/>
  <c r="GQ151" i="9"/>
  <c r="GQ192" i="9"/>
  <c r="GQ180" i="9"/>
  <c r="GQ176" i="9"/>
  <c r="GQ170" i="9"/>
  <c r="GQ166" i="9"/>
  <c r="GQ162" i="9"/>
  <c r="GQ158" i="9"/>
  <c r="GQ154" i="9"/>
  <c r="GQ150" i="9"/>
  <c r="GQ199" i="9"/>
  <c r="GQ188" i="9"/>
  <c r="GQ181" i="9"/>
  <c r="GQ172" i="9"/>
  <c r="GQ173" i="9"/>
  <c r="GQ168" i="9"/>
  <c r="GQ160" i="9"/>
  <c r="GQ165" i="9"/>
  <c r="GQ157" i="9"/>
  <c r="GQ164" i="9"/>
  <c r="GQ169" i="9"/>
  <c r="GQ161" i="9"/>
  <c r="GQ156" i="9"/>
  <c r="GQ153" i="9"/>
  <c r="GQ149" i="9"/>
  <c r="GQ145" i="9"/>
  <c r="GQ152" i="9"/>
  <c r="GQ148" i="9"/>
  <c r="GQ147" i="9"/>
  <c r="GQ141" i="9"/>
  <c r="GQ137" i="9"/>
  <c r="GQ133" i="9"/>
  <c r="GQ146" i="9"/>
  <c r="GQ144" i="9"/>
  <c r="GQ140" i="9"/>
  <c r="GQ136" i="9"/>
  <c r="GQ132" i="9"/>
  <c r="GQ143" i="9"/>
  <c r="GQ139" i="9"/>
  <c r="GQ135" i="9"/>
  <c r="GQ142" i="9"/>
  <c r="GQ138" i="9"/>
  <c r="GQ134" i="9"/>
  <c r="GQ127" i="9"/>
  <c r="GQ123" i="9"/>
  <c r="GQ119" i="9"/>
  <c r="GQ130" i="9"/>
  <c r="GQ126" i="9"/>
  <c r="GQ122" i="9"/>
  <c r="GQ118" i="9"/>
  <c r="GQ131" i="9"/>
  <c r="GQ129" i="9"/>
  <c r="GQ125" i="9"/>
  <c r="GQ121" i="9"/>
  <c r="GQ117" i="9"/>
  <c r="GQ128" i="9"/>
  <c r="GQ124" i="9"/>
  <c r="GQ120" i="9"/>
  <c r="GQ116" i="9"/>
  <c r="GQ112" i="9"/>
  <c r="GQ108" i="9"/>
  <c r="GQ104" i="9"/>
  <c r="GQ100" i="9"/>
  <c r="GQ96" i="9"/>
  <c r="GQ92" i="9"/>
  <c r="GQ115" i="9"/>
  <c r="GQ111" i="9"/>
  <c r="GQ107" i="9"/>
  <c r="GQ103" i="9"/>
  <c r="GQ99" i="9"/>
  <c r="GQ95" i="9"/>
  <c r="GQ91" i="9"/>
  <c r="GQ87" i="9"/>
  <c r="GQ114" i="9"/>
  <c r="GQ110" i="9"/>
  <c r="GQ106" i="9"/>
  <c r="GQ113" i="9"/>
  <c r="GQ109" i="9"/>
  <c r="GQ105" i="9"/>
  <c r="GQ101" i="9"/>
  <c r="GQ97" i="9"/>
  <c r="GQ93" i="9"/>
  <c r="GQ89" i="9"/>
  <c r="GQ94" i="9"/>
  <c r="GQ88" i="9"/>
  <c r="GQ83" i="9"/>
  <c r="GQ79" i="9"/>
  <c r="GQ75" i="9"/>
  <c r="GQ71" i="9"/>
  <c r="GQ67" i="9"/>
  <c r="GQ86" i="9"/>
  <c r="GQ82" i="9"/>
  <c r="GQ78" i="9"/>
  <c r="GQ74" i="9"/>
  <c r="GQ70" i="9"/>
  <c r="GQ66" i="9"/>
  <c r="GQ62" i="9"/>
  <c r="GQ102" i="9"/>
  <c r="GQ85" i="9"/>
  <c r="GQ81" i="9"/>
  <c r="GQ77" i="9"/>
  <c r="GQ73" i="9"/>
  <c r="GQ69" i="9"/>
  <c r="GQ65" i="9"/>
  <c r="GQ98" i="9"/>
  <c r="GQ90" i="9"/>
  <c r="GQ84" i="9"/>
  <c r="GQ80" i="9"/>
  <c r="GQ76" i="9"/>
  <c r="GQ72" i="9"/>
  <c r="GQ68" i="9"/>
  <c r="GQ64" i="9"/>
  <c r="GQ63" i="9"/>
  <c r="GQ16" i="9"/>
  <c r="GQ14" i="9"/>
  <c r="GQ12" i="9"/>
  <c r="GQ10" i="9"/>
  <c r="GQ8" i="9"/>
  <c r="GQ15" i="9"/>
  <c r="GQ13" i="9"/>
  <c r="GQ11" i="9"/>
  <c r="GQ9" i="9"/>
  <c r="GR6" i="9"/>
  <c r="GR8" i="9" l="1"/>
  <c r="GS6" i="9"/>
  <c r="GT6" i="9" l="1"/>
  <c r="GS8" i="9"/>
  <c r="GT213" i="9" l="1"/>
  <c r="GT212" i="9"/>
  <c r="GT210" i="9"/>
  <c r="GT209" i="9"/>
  <c r="GT208" i="9"/>
  <c r="GT207" i="9"/>
  <c r="GT206" i="9"/>
  <c r="GT202" i="9"/>
  <c r="GT211" i="9"/>
  <c r="GT205" i="9"/>
  <c r="GT204" i="9"/>
  <c r="GT201" i="9"/>
  <c r="GT200" i="9"/>
  <c r="GT203" i="9"/>
  <c r="GT197" i="9"/>
  <c r="GT199" i="9"/>
  <c r="GT196" i="9"/>
  <c r="GT195" i="9"/>
  <c r="GT190" i="9"/>
  <c r="GT194" i="9"/>
  <c r="GT193" i="9"/>
  <c r="GT186" i="9"/>
  <c r="GT182" i="9"/>
  <c r="GT198" i="9"/>
  <c r="GT189" i="9"/>
  <c r="GT185" i="9"/>
  <c r="GT181" i="9"/>
  <c r="GT184" i="9"/>
  <c r="GT178" i="9"/>
  <c r="GT174" i="9"/>
  <c r="GT191" i="9"/>
  <c r="GT183" i="9"/>
  <c r="GT179" i="9"/>
  <c r="GT177" i="9"/>
  <c r="GT173" i="9"/>
  <c r="GT192" i="9"/>
  <c r="GT180" i="9"/>
  <c r="GT176" i="9"/>
  <c r="GT170" i="9"/>
  <c r="GT166" i="9"/>
  <c r="GT162" i="9"/>
  <c r="GT158" i="9"/>
  <c r="GT154" i="9"/>
  <c r="GT187" i="9"/>
  <c r="GT175" i="9"/>
  <c r="GT169" i="9"/>
  <c r="GT165" i="9"/>
  <c r="GT161" i="9"/>
  <c r="GT157" i="9"/>
  <c r="GT153" i="9"/>
  <c r="GT188" i="9"/>
  <c r="GT172" i="9"/>
  <c r="GT171" i="9"/>
  <c r="GT167" i="9"/>
  <c r="GT159" i="9"/>
  <c r="GT164" i="9"/>
  <c r="GT156" i="9"/>
  <c r="GT163" i="9"/>
  <c r="GT168" i="9"/>
  <c r="GT160" i="9"/>
  <c r="GT150" i="9"/>
  <c r="GT149" i="9"/>
  <c r="GT152" i="9"/>
  <c r="GT148" i="9"/>
  <c r="GT155" i="9"/>
  <c r="GT151" i="9"/>
  <c r="GT147" i="9"/>
  <c r="GT146" i="9"/>
  <c r="GT144" i="9"/>
  <c r="GT140" i="9"/>
  <c r="GT136" i="9"/>
  <c r="GT145" i="9"/>
  <c r="GT143" i="9"/>
  <c r="GT139" i="9"/>
  <c r="GT135" i="9"/>
  <c r="GT131" i="9"/>
  <c r="GT142" i="9"/>
  <c r="GT138" i="9"/>
  <c r="GT134" i="9"/>
  <c r="GT141" i="9"/>
  <c r="GT137" i="9"/>
  <c r="GT133" i="9"/>
  <c r="GT130" i="9"/>
  <c r="GT126" i="9"/>
  <c r="GT122" i="9"/>
  <c r="GT118" i="9"/>
  <c r="GT132" i="9"/>
  <c r="GT129" i="9"/>
  <c r="GT125" i="9"/>
  <c r="GT121" i="9"/>
  <c r="GT117" i="9"/>
  <c r="GT128" i="9"/>
  <c r="GT124" i="9"/>
  <c r="GT120" i="9"/>
  <c r="GT127" i="9"/>
  <c r="GT123" i="9"/>
  <c r="GT119" i="9"/>
  <c r="GT116" i="9"/>
  <c r="GT115" i="9"/>
  <c r="GT111" i="9"/>
  <c r="GT107" i="9"/>
  <c r="GT103" i="9"/>
  <c r="GT99" i="9"/>
  <c r="GT95" i="9"/>
  <c r="GT114" i="9"/>
  <c r="GT110" i="9"/>
  <c r="GT106" i="9"/>
  <c r="GT102" i="9"/>
  <c r="GT98" i="9"/>
  <c r="GT94" i="9"/>
  <c r="GT90" i="9"/>
  <c r="GT113" i="9"/>
  <c r="GT109" i="9"/>
  <c r="GT112" i="9"/>
  <c r="GT108" i="9"/>
  <c r="GT104" i="9"/>
  <c r="GT100" i="9"/>
  <c r="GT96" i="9"/>
  <c r="GT92" i="9"/>
  <c r="GT88" i="9"/>
  <c r="GT101" i="9"/>
  <c r="GT87" i="9"/>
  <c r="GT86" i="9"/>
  <c r="GT82" i="9"/>
  <c r="GT78" i="9"/>
  <c r="GT74" i="9"/>
  <c r="GT70" i="9"/>
  <c r="GT66" i="9"/>
  <c r="GT97" i="9"/>
  <c r="GT85" i="9"/>
  <c r="GT81" i="9"/>
  <c r="GT77" i="9"/>
  <c r="GT73" i="9"/>
  <c r="GT69" i="9"/>
  <c r="GT65" i="9"/>
  <c r="GT93" i="9"/>
  <c r="GT91" i="9"/>
  <c r="GT84" i="9"/>
  <c r="GT80" i="9"/>
  <c r="GT76" i="9"/>
  <c r="GT72" i="9"/>
  <c r="GT68" i="9"/>
  <c r="GT64" i="9"/>
  <c r="GT105" i="9"/>
  <c r="GT89" i="9"/>
  <c r="GT83" i="9"/>
  <c r="GT79" i="9"/>
  <c r="GT75" i="9"/>
  <c r="GT71" i="9"/>
  <c r="GT67" i="9"/>
  <c r="GT63" i="9"/>
  <c r="GT62" i="9"/>
  <c r="GU6" i="9"/>
  <c r="GT15" i="9"/>
  <c r="GT13" i="9"/>
  <c r="GT11" i="9"/>
  <c r="GT9" i="9"/>
  <c r="GT8" i="9"/>
  <c r="GT16" i="9"/>
  <c r="GT14" i="9"/>
  <c r="GT12" i="9"/>
  <c r="GT10" i="9"/>
  <c r="GU213" i="9" l="1"/>
  <c r="GU212" i="9"/>
  <c r="GU211" i="9"/>
  <c r="GU210" i="9"/>
  <c r="GU209" i="9"/>
  <c r="GU208" i="9"/>
  <c r="GU207" i="9"/>
  <c r="GU206" i="9"/>
  <c r="GU205" i="9"/>
  <c r="GU204" i="9"/>
  <c r="GU201" i="9"/>
  <c r="GU202" i="9"/>
  <c r="GU200" i="9"/>
  <c r="GU203" i="9"/>
  <c r="GU199" i="9"/>
  <c r="GU196" i="9"/>
  <c r="GU195" i="9"/>
  <c r="GU194" i="9"/>
  <c r="GU193" i="9"/>
  <c r="GU192" i="9"/>
  <c r="GU198" i="9"/>
  <c r="GU189" i="9"/>
  <c r="GU185" i="9"/>
  <c r="GU181" i="9"/>
  <c r="GU188" i="9"/>
  <c r="GU184" i="9"/>
  <c r="GU180" i="9"/>
  <c r="GU191" i="9"/>
  <c r="GU183" i="9"/>
  <c r="GU179" i="9"/>
  <c r="GU177" i="9"/>
  <c r="GU173" i="9"/>
  <c r="GU182" i="9"/>
  <c r="GU176" i="9"/>
  <c r="GU187" i="9"/>
  <c r="GU175" i="9"/>
  <c r="GU169" i="9"/>
  <c r="GU165" i="9"/>
  <c r="GU161" i="9"/>
  <c r="GU157" i="9"/>
  <c r="GU153" i="9"/>
  <c r="GU197" i="9"/>
  <c r="GU174" i="9"/>
  <c r="GU172" i="9"/>
  <c r="GU168" i="9"/>
  <c r="GU164" i="9"/>
  <c r="GU160" i="9"/>
  <c r="GU156" i="9"/>
  <c r="GU152" i="9"/>
  <c r="GU171" i="9"/>
  <c r="GU170" i="9"/>
  <c r="GU190" i="9"/>
  <c r="GU186" i="9"/>
  <c r="GU178" i="9"/>
  <c r="GU166" i="9"/>
  <c r="GU163" i="9"/>
  <c r="GU155" i="9"/>
  <c r="GU162" i="9"/>
  <c r="GU167" i="9"/>
  <c r="GU159" i="9"/>
  <c r="GU154" i="9"/>
  <c r="GU148" i="9"/>
  <c r="GU151" i="9"/>
  <c r="GU147" i="9"/>
  <c r="GU158" i="9"/>
  <c r="GU150" i="9"/>
  <c r="GU149" i="9"/>
  <c r="GU145" i="9"/>
  <c r="GU146" i="9"/>
  <c r="GU143" i="9"/>
  <c r="GU139" i="9"/>
  <c r="GU135" i="9"/>
  <c r="GU142" i="9"/>
  <c r="GU138" i="9"/>
  <c r="GU134" i="9"/>
  <c r="GU141" i="9"/>
  <c r="GU137" i="9"/>
  <c r="GU133" i="9"/>
  <c r="GU144" i="9"/>
  <c r="GU140" i="9"/>
  <c r="GU136" i="9"/>
  <c r="GU132" i="9"/>
  <c r="GU129" i="9"/>
  <c r="GU125" i="9"/>
  <c r="GU121" i="9"/>
  <c r="GU117" i="9"/>
  <c r="GU131" i="9"/>
  <c r="GU128" i="9"/>
  <c r="GU124" i="9"/>
  <c r="GU120" i="9"/>
  <c r="GU116" i="9"/>
  <c r="GU127" i="9"/>
  <c r="GU123" i="9"/>
  <c r="GU119" i="9"/>
  <c r="GU130" i="9"/>
  <c r="GU126" i="9"/>
  <c r="GU122" i="9"/>
  <c r="GU118" i="9"/>
  <c r="GU114" i="9"/>
  <c r="GU110" i="9"/>
  <c r="GU106" i="9"/>
  <c r="GU102" i="9"/>
  <c r="GU98" i="9"/>
  <c r="GU94" i="9"/>
  <c r="GU113" i="9"/>
  <c r="GU109" i="9"/>
  <c r="GU105" i="9"/>
  <c r="GU101" i="9"/>
  <c r="GU97" i="9"/>
  <c r="GU93" i="9"/>
  <c r="GU89" i="9"/>
  <c r="GU112" i="9"/>
  <c r="GU108" i="9"/>
  <c r="GU115" i="9"/>
  <c r="GU111" i="9"/>
  <c r="GU107" i="9"/>
  <c r="GU103" i="9"/>
  <c r="GU99" i="9"/>
  <c r="GU95" i="9"/>
  <c r="GU91" i="9"/>
  <c r="GU87" i="9"/>
  <c r="GU92" i="9"/>
  <c r="GU85" i="9"/>
  <c r="GU81" i="9"/>
  <c r="GU77" i="9"/>
  <c r="GU73" i="9"/>
  <c r="GU69" i="9"/>
  <c r="GU65" i="9"/>
  <c r="GU104" i="9"/>
  <c r="GU84" i="9"/>
  <c r="GU80" i="9"/>
  <c r="GU76" i="9"/>
  <c r="GU72" i="9"/>
  <c r="GU68" i="9"/>
  <c r="GU64" i="9"/>
  <c r="GU100" i="9"/>
  <c r="GU90" i="9"/>
  <c r="GU83" i="9"/>
  <c r="GU79" i="9"/>
  <c r="GU75" i="9"/>
  <c r="GU71" i="9"/>
  <c r="GU67" i="9"/>
  <c r="GU96" i="9"/>
  <c r="GU88" i="9"/>
  <c r="GU86" i="9"/>
  <c r="GU82" i="9"/>
  <c r="GU78" i="9"/>
  <c r="GU74" i="9"/>
  <c r="GU70" i="9"/>
  <c r="GU66" i="9"/>
  <c r="GU62" i="9"/>
  <c r="GU63" i="9"/>
  <c r="GU15" i="9"/>
  <c r="GU13" i="9"/>
  <c r="GU11" i="9"/>
  <c r="GU9" i="9"/>
  <c r="GU8" i="9"/>
  <c r="GU16" i="9"/>
  <c r="GU14" i="9"/>
  <c r="GU12" i="9"/>
  <c r="GU10" i="9"/>
  <c r="GV6" i="9"/>
  <c r="GV212" i="9" l="1"/>
  <c r="GV211" i="9"/>
  <c r="GV213" i="9"/>
  <c r="GV207" i="9"/>
  <c r="GV210" i="9"/>
  <c r="GV206" i="9"/>
  <c r="GV205" i="9"/>
  <c r="GV209" i="9"/>
  <c r="GV204" i="9"/>
  <c r="GV202" i="9"/>
  <c r="GV203" i="9"/>
  <c r="GV199" i="9"/>
  <c r="GV208" i="9"/>
  <c r="GV195" i="9"/>
  <c r="GV198" i="9"/>
  <c r="GV194" i="9"/>
  <c r="GV200" i="9"/>
  <c r="GV192" i="9"/>
  <c r="GV191" i="9"/>
  <c r="GV188" i="9"/>
  <c r="GV184" i="9"/>
  <c r="GV180" i="9"/>
  <c r="GV196" i="9"/>
  <c r="GV193" i="9"/>
  <c r="GV187" i="9"/>
  <c r="GV183" i="9"/>
  <c r="GV179" i="9"/>
  <c r="GV182" i="9"/>
  <c r="GV176" i="9"/>
  <c r="GV172" i="9"/>
  <c r="GV189" i="9"/>
  <c r="GV181" i="9"/>
  <c r="GV175" i="9"/>
  <c r="GV197" i="9"/>
  <c r="GV174" i="9"/>
  <c r="GV168" i="9"/>
  <c r="GV164" i="9"/>
  <c r="GV160" i="9"/>
  <c r="GV156" i="9"/>
  <c r="GV152" i="9"/>
  <c r="GV185" i="9"/>
  <c r="GV173" i="9"/>
  <c r="GV171" i="9"/>
  <c r="GV167" i="9"/>
  <c r="GV163" i="9"/>
  <c r="GV159" i="9"/>
  <c r="GV155" i="9"/>
  <c r="GV151" i="9"/>
  <c r="GV201" i="9"/>
  <c r="GV170" i="9"/>
  <c r="GV177" i="9"/>
  <c r="GV190" i="9"/>
  <c r="GV186" i="9"/>
  <c r="GV178" i="9"/>
  <c r="GV165" i="9"/>
  <c r="GV162" i="9"/>
  <c r="GV169" i="9"/>
  <c r="GV161" i="9"/>
  <c r="GV166" i="9"/>
  <c r="GV158" i="9"/>
  <c r="GV153" i="9"/>
  <c r="GV147" i="9"/>
  <c r="GV157" i="9"/>
  <c r="GV146" i="9"/>
  <c r="GV150" i="9"/>
  <c r="GV149" i="9"/>
  <c r="GV154" i="9"/>
  <c r="GV148" i="9"/>
  <c r="GV145" i="9"/>
  <c r="GV142" i="9"/>
  <c r="GV138" i="9"/>
  <c r="GV134" i="9"/>
  <c r="GV141" i="9"/>
  <c r="GV137" i="9"/>
  <c r="GV133" i="9"/>
  <c r="GV144" i="9"/>
  <c r="GV140" i="9"/>
  <c r="GV136" i="9"/>
  <c r="GV143" i="9"/>
  <c r="GV139" i="9"/>
  <c r="GV135" i="9"/>
  <c r="GV131" i="9"/>
  <c r="GV132" i="9"/>
  <c r="GV128" i="9"/>
  <c r="GV124" i="9"/>
  <c r="GV120" i="9"/>
  <c r="GV127" i="9"/>
  <c r="GV123" i="9"/>
  <c r="GV119" i="9"/>
  <c r="GV130" i="9"/>
  <c r="GV126" i="9"/>
  <c r="GV122" i="9"/>
  <c r="GV118" i="9"/>
  <c r="GV129" i="9"/>
  <c r="GV125" i="9"/>
  <c r="GV121" i="9"/>
  <c r="GV117" i="9"/>
  <c r="GV113" i="9"/>
  <c r="GV109" i="9"/>
  <c r="GV105" i="9"/>
  <c r="GV101" i="9"/>
  <c r="GV97" i="9"/>
  <c r="GV93" i="9"/>
  <c r="GV112" i="9"/>
  <c r="GV108" i="9"/>
  <c r="GV104" i="9"/>
  <c r="GV100" i="9"/>
  <c r="GV96" i="9"/>
  <c r="GV92" i="9"/>
  <c r="GV88" i="9"/>
  <c r="GV115" i="9"/>
  <c r="GV111" i="9"/>
  <c r="GV107" i="9"/>
  <c r="GV116" i="9"/>
  <c r="GV114" i="9"/>
  <c r="GV110" i="9"/>
  <c r="GV106" i="9"/>
  <c r="GV102" i="9"/>
  <c r="GV98" i="9"/>
  <c r="GV94" i="9"/>
  <c r="GV90" i="9"/>
  <c r="GV99" i="9"/>
  <c r="GV84" i="9"/>
  <c r="GV80" i="9"/>
  <c r="GV76" i="9"/>
  <c r="GV72" i="9"/>
  <c r="GV68" i="9"/>
  <c r="GV64" i="9"/>
  <c r="GV95" i="9"/>
  <c r="GV91" i="9"/>
  <c r="GV83" i="9"/>
  <c r="GV79" i="9"/>
  <c r="GV75" i="9"/>
  <c r="GV71" i="9"/>
  <c r="GV67" i="9"/>
  <c r="GV63" i="9"/>
  <c r="GV89" i="9"/>
  <c r="GV86" i="9"/>
  <c r="GV82" i="9"/>
  <c r="GV78" i="9"/>
  <c r="GV74" i="9"/>
  <c r="GV70" i="9"/>
  <c r="GV66" i="9"/>
  <c r="GV103" i="9"/>
  <c r="GV87" i="9"/>
  <c r="GV85" i="9"/>
  <c r="GV81" i="9"/>
  <c r="GV77" i="9"/>
  <c r="GV73" i="9"/>
  <c r="GV69" i="9"/>
  <c r="GV65" i="9"/>
  <c r="GV62" i="9"/>
  <c r="GV8" i="9"/>
  <c r="GV16" i="9"/>
  <c r="GV14" i="9"/>
  <c r="GV12" i="9"/>
  <c r="GV10" i="9"/>
  <c r="GW6" i="9"/>
  <c r="GV15" i="9"/>
  <c r="GV13" i="9"/>
  <c r="GV11" i="9"/>
  <c r="GV9" i="9"/>
  <c r="GW213" i="9" l="1"/>
  <c r="GW211" i="9"/>
  <c r="GW212" i="9"/>
  <c r="GW210" i="9"/>
  <c r="GW209" i="9"/>
  <c r="GW208" i="9"/>
  <c r="GW204" i="9"/>
  <c r="GW203" i="9"/>
  <c r="GW207" i="9"/>
  <c r="GW206" i="9"/>
  <c r="GW205" i="9"/>
  <c r="GW201" i="9"/>
  <c r="GW198" i="9"/>
  <c r="GW194" i="9"/>
  <c r="GW200" i="9"/>
  <c r="GW197" i="9"/>
  <c r="GW202" i="9"/>
  <c r="GW191" i="9"/>
  <c r="GW199" i="9"/>
  <c r="GW190" i="9"/>
  <c r="GW196" i="9"/>
  <c r="GW193" i="9"/>
  <c r="GW187" i="9"/>
  <c r="GW183" i="9"/>
  <c r="GW192" i="9"/>
  <c r="GW186" i="9"/>
  <c r="GW182" i="9"/>
  <c r="GW189" i="9"/>
  <c r="GW181" i="9"/>
  <c r="GW175" i="9"/>
  <c r="GW195" i="9"/>
  <c r="GW188" i="9"/>
  <c r="GW180" i="9"/>
  <c r="GW178" i="9"/>
  <c r="GW174" i="9"/>
  <c r="GW185" i="9"/>
  <c r="GW173" i="9"/>
  <c r="GW172" i="9"/>
  <c r="GW171" i="9"/>
  <c r="GW167" i="9"/>
  <c r="GW163" i="9"/>
  <c r="GW159" i="9"/>
  <c r="GW155" i="9"/>
  <c r="GW151" i="9"/>
  <c r="GW170" i="9"/>
  <c r="GW166" i="9"/>
  <c r="GW162" i="9"/>
  <c r="GW158" i="9"/>
  <c r="GW154" i="9"/>
  <c r="GW150" i="9"/>
  <c r="GW184" i="9"/>
  <c r="GW177" i="9"/>
  <c r="GW179" i="9"/>
  <c r="GW176" i="9"/>
  <c r="GW164" i="9"/>
  <c r="GW169" i="9"/>
  <c r="GW161" i="9"/>
  <c r="GW168" i="9"/>
  <c r="GW160" i="9"/>
  <c r="GW165" i="9"/>
  <c r="GW157" i="9"/>
  <c r="GW152" i="9"/>
  <c r="GW149" i="9"/>
  <c r="GW145" i="9"/>
  <c r="GW148" i="9"/>
  <c r="GW156" i="9"/>
  <c r="GW153" i="9"/>
  <c r="GW147" i="9"/>
  <c r="GW141" i="9"/>
  <c r="GW137" i="9"/>
  <c r="GW133" i="9"/>
  <c r="GW144" i="9"/>
  <c r="GW140" i="9"/>
  <c r="GW136" i="9"/>
  <c r="GW132" i="9"/>
  <c r="GW143" i="9"/>
  <c r="GW139" i="9"/>
  <c r="GW135" i="9"/>
  <c r="GW146" i="9"/>
  <c r="GW142" i="9"/>
  <c r="GW138" i="9"/>
  <c r="GW134" i="9"/>
  <c r="GW131" i="9"/>
  <c r="GW127" i="9"/>
  <c r="GW123" i="9"/>
  <c r="GW119" i="9"/>
  <c r="GW130" i="9"/>
  <c r="GW126" i="9"/>
  <c r="GW122" i="9"/>
  <c r="GW118" i="9"/>
  <c r="GW129" i="9"/>
  <c r="GW125" i="9"/>
  <c r="GW121" i="9"/>
  <c r="GW117" i="9"/>
  <c r="GW128" i="9"/>
  <c r="GW124" i="9"/>
  <c r="GW120" i="9"/>
  <c r="GW116" i="9"/>
  <c r="GW112" i="9"/>
  <c r="GW108" i="9"/>
  <c r="GW104" i="9"/>
  <c r="GW100" i="9"/>
  <c r="GW96" i="9"/>
  <c r="GW92" i="9"/>
  <c r="GW115" i="9"/>
  <c r="GW111" i="9"/>
  <c r="GW107" i="9"/>
  <c r="GW103" i="9"/>
  <c r="GW99" i="9"/>
  <c r="GW95" i="9"/>
  <c r="GW91" i="9"/>
  <c r="GW87" i="9"/>
  <c r="GW114" i="9"/>
  <c r="GW110" i="9"/>
  <c r="GW106" i="9"/>
  <c r="GW113" i="9"/>
  <c r="GW109" i="9"/>
  <c r="GW105" i="9"/>
  <c r="GW101" i="9"/>
  <c r="GW97" i="9"/>
  <c r="GW93" i="9"/>
  <c r="GW89" i="9"/>
  <c r="GW83" i="9"/>
  <c r="GW79" i="9"/>
  <c r="GW75" i="9"/>
  <c r="GW71" i="9"/>
  <c r="GW67" i="9"/>
  <c r="GW102" i="9"/>
  <c r="GW90" i="9"/>
  <c r="GW86" i="9"/>
  <c r="GW82" i="9"/>
  <c r="GW78" i="9"/>
  <c r="GW74" i="9"/>
  <c r="GW70" i="9"/>
  <c r="GW66" i="9"/>
  <c r="GW62" i="9"/>
  <c r="GW98" i="9"/>
  <c r="GW88" i="9"/>
  <c r="GW85" i="9"/>
  <c r="GW81" i="9"/>
  <c r="GW77" i="9"/>
  <c r="GW73" i="9"/>
  <c r="GW69" i="9"/>
  <c r="GW65" i="9"/>
  <c r="GW94" i="9"/>
  <c r="GW84" i="9"/>
  <c r="GW80" i="9"/>
  <c r="GW76" i="9"/>
  <c r="GW72" i="9"/>
  <c r="GW68" i="9"/>
  <c r="GW64" i="9"/>
  <c r="GW63" i="9"/>
  <c r="GW16" i="9"/>
  <c r="GW14" i="9"/>
  <c r="GW12" i="9"/>
  <c r="GW10" i="9"/>
  <c r="GX6" i="9"/>
  <c r="GW15" i="9"/>
  <c r="GW13" i="9"/>
  <c r="GW11" i="9"/>
  <c r="GW9" i="9"/>
  <c r="GW8" i="9"/>
  <c r="GX213" i="9" l="1"/>
  <c r="GX212" i="9"/>
  <c r="GX209" i="9"/>
  <c r="GX211" i="9"/>
  <c r="GX210" i="9"/>
  <c r="GX208" i="9"/>
  <c r="GX207" i="9"/>
  <c r="GX202" i="9"/>
  <c r="GX206" i="9"/>
  <c r="GX205" i="9"/>
  <c r="GX204" i="9"/>
  <c r="GX203" i="9"/>
  <c r="GX201" i="9"/>
  <c r="GX200" i="9"/>
  <c r="GX197" i="9"/>
  <c r="GX196" i="9"/>
  <c r="GX199" i="9"/>
  <c r="GX190" i="9"/>
  <c r="GX198" i="9"/>
  <c r="GX193" i="9"/>
  <c r="GX192" i="9"/>
  <c r="GX186" i="9"/>
  <c r="GX182" i="9"/>
  <c r="GX194" i="9"/>
  <c r="GX191" i="9"/>
  <c r="GX189" i="9"/>
  <c r="GX185" i="9"/>
  <c r="GX181" i="9"/>
  <c r="GX195" i="9"/>
  <c r="GX188" i="9"/>
  <c r="GX180" i="9"/>
  <c r="GX178" i="9"/>
  <c r="GX174" i="9"/>
  <c r="GX187" i="9"/>
  <c r="GX177" i="9"/>
  <c r="GX173" i="9"/>
  <c r="GX170" i="9"/>
  <c r="GX166" i="9"/>
  <c r="GX162" i="9"/>
  <c r="GX158" i="9"/>
  <c r="GX154" i="9"/>
  <c r="GX183" i="9"/>
  <c r="GX169" i="9"/>
  <c r="GX165" i="9"/>
  <c r="GX161" i="9"/>
  <c r="GX157" i="9"/>
  <c r="GX153" i="9"/>
  <c r="GX184" i="9"/>
  <c r="GX179" i="9"/>
  <c r="GX175" i="9"/>
  <c r="GX176" i="9"/>
  <c r="GX172" i="9"/>
  <c r="GX171" i="9"/>
  <c r="GX163" i="9"/>
  <c r="GX168" i="9"/>
  <c r="GX160" i="9"/>
  <c r="GX167" i="9"/>
  <c r="GX159" i="9"/>
  <c r="GX164" i="9"/>
  <c r="GX156" i="9"/>
  <c r="GX151" i="9"/>
  <c r="GX149" i="9"/>
  <c r="GX155" i="9"/>
  <c r="GX150" i="9"/>
  <c r="GX148" i="9"/>
  <c r="GX147" i="9"/>
  <c r="GX152" i="9"/>
  <c r="GX146" i="9"/>
  <c r="GX144" i="9"/>
  <c r="GX140" i="9"/>
  <c r="GX136" i="9"/>
  <c r="GX143" i="9"/>
  <c r="GX139" i="9"/>
  <c r="GX135" i="9"/>
  <c r="GX131" i="9"/>
  <c r="GX142" i="9"/>
  <c r="GX138" i="9"/>
  <c r="GX134" i="9"/>
  <c r="GX145" i="9"/>
  <c r="GX141" i="9"/>
  <c r="GX137" i="9"/>
  <c r="GX133" i="9"/>
  <c r="GX130" i="9"/>
  <c r="GX126" i="9"/>
  <c r="GX122" i="9"/>
  <c r="GX118" i="9"/>
  <c r="GX129" i="9"/>
  <c r="GX125" i="9"/>
  <c r="GX121" i="9"/>
  <c r="GX117" i="9"/>
  <c r="GX128" i="9"/>
  <c r="GX124" i="9"/>
  <c r="GX120" i="9"/>
  <c r="GX132" i="9"/>
  <c r="GX127" i="9"/>
  <c r="GX123" i="9"/>
  <c r="GX119" i="9"/>
  <c r="GX115" i="9"/>
  <c r="GX111" i="9"/>
  <c r="GX107" i="9"/>
  <c r="GX103" i="9"/>
  <c r="GX99" i="9"/>
  <c r="GX95" i="9"/>
  <c r="GX114" i="9"/>
  <c r="GX110" i="9"/>
  <c r="GX106" i="9"/>
  <c r="GX102" i="9"/>
  <c r="GX98" i="9"/>
  <c r="GX94" i="9"/>
  <c r="GX90" i="9"/>
  <c r="GX116" i="9"/>
  <c r="GX113" i="9"/>
  <c r="GX109" i="9"/>
  <c r="GX112" i="9"/>
  <c r="GX108" i="9"/>
  <c r="GX104" i="9"/>
  <c r="GX100" i="9"/>
  <c r="GX96" i="9"/>
  <c r="GX92" i="9"/>
  <c r="GX88" i="9"/>
  <c r="GX97" i="9"/>
  <c r="GX91" i="9"/>
  <c r="GX86" i="9"/>
  <c r="GX82" i="9"/>
  <c r="GX78" i="9"/>
  <c r="GX74" i="9"/>
  <c r="GX70" i="9"/>
  <c r="GX66" i="9"/>
  <c r="GX93" i="9"/>
  <c r="GX89" i="9"/>
  <c r="GX85" i="9"/>
  <c r="GX81" i="9"/>
  <c r="GX77" i="9"/>
  <c r="GX73" i="9"/>
  <c r="GX69" i="9"/>
  <c r="GX65" i="9"/>
  <c r="GX105" i="9"/>
  <c r="GX87" i="9"/>
  <c r="GX84" i="9"/>
  <c r="GX80" i="9"/>
  <c r="GX76" i="9"/>
  <c r="GX72" i="9"/>
  <c r="GX68" i="9"/>
  <c r="GX64" i="9"/>
  <c r="GX101" i="9"/>
  <c r="GX83" i="9"/>
  <c r="GX79" i="9"/>
  <c r="GX75" i="9"/>
  <c r="GX71" i="9"/>
  <c r="GX67" i="9"/>
  <c r="GX63" i="9"/>
  <c r="GX62" i="9"/>
  <c r="GY6" i="9"/>
  <c r="GX15" i="9"/>
  <c r="GX13" i="9"/>
  <c r="GX11" i="9"/>
  <c r="GX9" i="9"/>
  <c r="GX8" i="9"/>
  <c r="GX16" i="9"/>
  <c r="GX14" i="9"/>
  <c r="GX12" i="9"/>
  <c r="GX10" i="9"/>
  <c r="GY8" i="9" l="1"/>
  <c r="GZ6" i="9"/>
  <c r="GZ8" i="9" l="1"/>
  <c r="HA6" i="9"/>
  <c r="HA213" i="9" l="1"/>
  <c r="HA212" i="9"/>
  <c r="HA211" i="9"/>
  <c r="HA209" i="9"/>
  <c r="HA210" i="9"/>
  <c r="HA208" i="9"/>
  <c r="HA207" i="9"/>
  <c r="HA206" i="9"/>
  <c r="HA205" i="9"/>
  <c r="HA204" i="9"/>
  <c r="HA201" i="9"/>
  <c r="HA200" i="9"/>
  <c r="HA202" i="9"/>
  <c r="HA196" i="9"/>
  <c r="HA199" i="9"/>
  <c r="HA195" i="9"/>
  <c r="HA198" i="9"/>
  <c r="HA193" i="9"/>
  <c r="HA197" i="9"/>
  <c r="HA192" i="9"/>
  <c r="HA194" i="9"/>
  <c r="HA191" i="9"/>
  <c r="HA189" i="9"/>
  <c r="HA185" i="9"/>
  <c r="HA181" i="9"/>
  <c r="HA190" i="9"/>
  <c r="HA188" i="9"/>
  <c r="HA184" i="9"/>
  <c r="HA180" i="9"/>
  <c r="HA187" i="9"/>
  <c r="HA177" i="9"/>
  <c r="HA173" i="9"/>
  <c r="HA203" i="9"/>
  <c r="HA186" i="9"/>
  <c r="HA179" i="9"/>
  <c r="HA176" i="9"/>
  <c r="HA183" i="9"/>
  <c r="HA169" i="9"/>
  <c r="HA165" i="9"/>
  <c r="HA161" i="9"/>
  <c r="HA157" i="9"/>
  <c r="HA153" i="9"/>
  <c r="HA178" i="9"/>
  <c r="HA168" i="9"/>
  <c r="HA164" i="9"/>
  <c r="HA160" i="9"/>
  <c r="HA156" i="9"/>
  <c r="HA152" i="9"/>
  <c r="HA175" i="9"/>
  <c r="HA182" i="9"/>
  <c r="HA172" i="9"/>
  <c r="HA171" i="9"/>
  <c r="HA174" i="9"/>
  <c r="HA170" i="9"/>
  <c r="HA162" i="9"/>
  <c r="HA167" i="9"/>
  <c r="HA159" i="9"/>
  <c r="HA166" i="9"/>
  <c r="HA163" i="9"/>
  <c r="HA155" i="9"/>
  <c r="HA150" i="9"/>
  <c r="HA148" i="9"/>
  <c r="HA147" i="9"/>
  <c r="HA158" i="9"/>
  <c r="HA154" i="9"/>
  <c r="HA151" i="9"/>
  <c r="HA149" i="9"/>
  <c r="HA145" i="9"/>
  <c r="HA143" i="9"/>
  <c r="HA139" i="9"/>
  <c r="HA135" i="9"/>
  <c r="HA142" i="9"/>
  <c r="HA138" i="9"/>
  <c r="HA134" i="9"/>
  <c r="HA146" i="9"/>
  <c r="HA141" i="9"/>
  <c r="HA137" i="9"/>
  <c r="HA133" i="9"/>
  <c r="HA144" i="9"/>
  <c r="HA140" i="9"/>
  <c r="HA136" i="9"/>
  <c r="HA132" i="9"/>
  <c r="HA129" i="9"/>
  <c r="HA125" i="9"/>
  <c r="HA121" i="9"/>
  <c r="HA117" i="9"/>
  <c r="HA128" i="9"/>
  <c r="HA124" i="9"/>
  <c r="HA120" i="9"/>
  <c r="HA116" i="9"/>
  <c r="HA127" i="9"/>
  <c r="HA123" i="9"/>
  <c r="HA119" i="9"/>
  <c r="HA131" i="9"/>
  <c r="HA130" i="9"/>
  <c r="HA126" i="9"/>
  <c r="HA122" i="9"/>
  <c r="HA118" i="9"/>
  <c r="HA114" i="9"/>
  <c r="HA110" i="9"/>
  <c r="HA106" i="9"/>
  <c r="HA102" i="9"/>
  <c r="HA98" i="9"/>
  <c r="HA94" i="9"/>
  <c r="HA113" i="9"/>
  <c r="HA109" i="9"/>
  <c r="HA105" i="9"/>
  <c r="HA101" i="9"/>
  <c r="HA97" i="9"/>
  <c r="HA93" i="9"/>
  <c r="HA89" i="9"/>
  <c r="HA112" i="9"/>
  <c r="HA108" i="9"/>
  <c r="HA115" i="9"/>
  <c r="HA111" i="9"/>
  <c r="HA107" i="9"/>
  <c r="HA103" i="9"/>
  <c r="HA99" i="9"/>
  <c r="HA95" i="9"/>
  <c r="HA91" i="9"/>
  <c r="HA87" i="9"/>
  <c r="HA104" i="9"/>
  <c r="HA90" i="9"/>
  <c r="HA85" i="9"/>
  <c r="HA81" i="9"/>
  <c r="HA77" i="9"/>
  <c r="HA73" i="9"/>
  <c r="HA69" i="9"/>
  <c r="HA65" i="9"/>
  <c r="HA100" i="9"/>
  <c r="HA88" i="9"/>
  <c r="HA84" i="9"/>
  <c r="HA80" i="9"/>
  <c r="HA76" i="9"/>
  <c r="HA72" i="9"/>
  <c r="HA68" i="9"/>
  <c r="HA64" i="9"/>
  <c r="HA96" i="9"/>
  <c r="HA83" i="9"/>
  <c r="HA79" i="9"/>
  <c r="HA75" i="9"/>
  <c r="HA71" i="9"/>
  <c r="HA67" i="9"/>
  <c r="HA92" i="9"/>
  <c r="HA86" i="9"/>
  <c r="HA82" i="9"/>
  <c r="HA78" i="9"/>
  <c r="HA74" i="9"/>
  <c r="HA70" i="9"/>
  <c r="HA66" i="9"/>
  <c r="HA62" i="9"/>
  <c r="HA63" i="9"/>
  <c r="HA15" i="9"/>
  <c r="HA13" i="9"/>
  <c r="HA11" i="9"/>
  <c r="HA9" i="9"/>
  <c r="HB6" i="9"/>
  <c r="HA16" i="9"/>
  <c r="HA14" i="9"/>
  <c r="HA12" i="9"/>
  <c r="HA10" i="9"/>
  <c r="HA8" i="9"/>
  <c r="HB212" i="9" l="1"/>
  <c r="HB211" i="9"/>
  <c r="HB213" i="9"/>
  <c r="HB210" i="9"/>
  <c r="HB208" i="9"/>
  <c r="HB207" i="9"/>
  <c r="HB206" i="9"/>
  <c r="HB209" i="9"/>
  <c r="HB205" i="9"/>
  <c r="HB204" i="9"/>
  <c r="HB202" i="9"/>
  <c r="HB199" i="9"/>
  <c r="HB203" i="9"/>
  <c r="HB200" i="9"/>
  <c r="HB195" i="9"/>
  <c r="HB198" i="9"/>
  <c r="HB194" i="9"/>
  <c r="HB197" i="9"/>
  <c r="HB192" i="9"/>
  <c r="HB196" i="9"/>
  <c r="HB191" i="9"/>
  <c r="HB190" i="9"/>
  <c r="HB188" i="9"/>
  <c r="HB184" i="9"/>
  <c r="HB180" i="9"/>
  <c r="HB187" i="9"/>
  <c r="HB183" i="9"/>
  <c r="HB179" i="9"/>
  <c r="HB186" i="9"/>
  <c r="HB176" i="9"/>
  <c r="HB172" i="9"/>
  <c r="HB185" i="9"/>
  <c r="HB175" i="9"/>
  <c r="HB178" i="9"/>
  <c r="HB168" i="9"/>
  <c r="HB164" i="9"/>
  <c r="HB160" i="9"/>
  <c r="HB156" i="9"/>
  <c r="HB152" i="9"/>
  <c r="HB193" i="9"/>
  <c r="HB181" i="9"/>
  <c r="HB177" i="9"/>
  <c r="HB171" i="9"/>
  <c r="HB167" i="9"/>
  <c r="HB163" i="9"/>
  <c r="HB159" i="9"/>
  <c r="HB155" i="9"/>
  <c r="HB151" i="9"/>
  <c r="HB201" i="9"/>
  <c r="HB189" i="9"/>
  <c r="HB182" i="9"/>
  <c r="HB173" i="9"/>
  <c r="HB174" i="9"/>
  <c r="HB170" i="9"/>
  <c r="HB169" i="9"/>
  <c r="HB161" i="9"/>
  <c r="HB166" i="9"/>
  <c r="HB158" i="9"/>
  <c r="HB165" i="9"/>
  <c r="HB162" i="9"/>
  <c r="HB157" i="9"/>
  <c r="HB147" i="9"/>
  <c r="HB154" i="9"/>
  <c r="HB146" i="9"/>
  <c r="HB153" i="9"/>
  <c r="HB149" i="9"/>
  <c r="HB150" i="9"/>
  <c r="HB148" i="9"/>
  <c r="HB142" i="9"/>
  <c r="HB138" i="9"/>
  <c r="HB134" i="9"/>
  <c r="HB141" i="9"/>
  <c r="HB137" i="9"/>
  <c r="HB133" i="9"/>
  <c r="HB145" i="9"/>
  <c r="HB144" i="9"/>
  <c r="HB140" i="9"/>
  <c r="HB136" i="9"/>
  <c r="HB143" i="9"/>
  <c r="HB139" i="9"/>
  <c r="HB135" i="9"/>
  <c r="HB131" i="9"/>
  <c r="HB128" i="9"/>
  <c r="HB124" i="9"/>
  <c r="HB120" i="9"/>
  <c r="HB127" i="9"/>
  <c r="HB123" i="9"/>
  <c r="HB119" i="9"/>
  <c r="HB132" i="9"/>
  <c r="HB130" i="9"/>
  <c r="HB126" i="9"/>
  <c r="HB122" i="9"/>
  <c r="HB118" i="9"/>
  <c r="HB129" i="9"/>
  <c r="HB125" i="9"/>
  <c r="HB121" i="9"/>
  <c r="HB117" i="9"/>
  <c r="HB113" i="9"/>
  <c r="HB109" i="9"/>
  <c r="HB105" i="9"/>
  <c r="HB101" i="9"/>
  <c r="HB97" i="9"/>
  <c r="HB93" i="9"/>
  <c r="HB116" i="9"/>
  <c r="HB112" i="9"/>
  <c r="HB108" i="9"/>
  <c r="HB104" i="9"/>
  <c r="HB100" i="9"/>
  <c r="HB96" i="9"/>
  <c r="HB92" i="9"/>
  <c r="HB88" i="9"/>
  <c r="HB115" i="9"/>
  <c r="HB111" i="9"/>
  <c r="HB107" i="9"/>
  <c r="HB114" i="9"/>
  <c r="HB110" i="9"/>
  <c r="HB106" i="9"/>
  <c r="HB102" i="9"/>
  <c r="HB98" i="9"/>
  <c r="HB94" i="9"/>
  <c r="HB90" i="9"/>
  <c r="HB95" i="9"/>
  <c r="HB89" i="9"/>
  <c r="HB84" i="9"/>
  <c r="HB80" i="9"/>
  <c r="HB76" i="9"/>
  <c r="HB72" i="9"/>
  <c r="HB68" i="9"/>
  <c r="HB64" i="9"/>
  <c r="HB87" i="9"/>
  <c r="HB83" i="9"/>
  <c r="HB79" i="9"/>
  <c r="HB75" i="9"/>
  <c r="HB71" i="9"/>
  <c r="HB67" i="9"/>
  <c r="HB63" i="9"/>
  <c r="HB103" i="9"/>
  <c r="HB86" i="9"/>
  <c r="HB82" i="9"/>
  <c r="HB78" i="9"/>
  <c r="HB74" i="9"/>
  <c r="HB70" i="9"/>
  <c r="HB66" i="9"/>
  <c r="HB99" i="9"/>
  <c r="HB91" i="9"/>
  <c r="HB85" i="9"/>
  <c r="HB81" i="9"/>
  <c r="HB77" i="9"/>
  <c r="HB73" i="9"/>
  <c r="HB69" i="9"/>
  <c r="HB65" i="9"/>
  <c r="HB62" i="9"/>
  <c r="HC6" i="9"/>
  <c r="HB16" i="9"/>
  <c r="HB14" i="9"/>
  <c r="HB12" i="9"/>
  <c r="HB10" i="9"/>
  <c r="HB8" i="9"/>
  <c r="HB15" i="9"/>
  <c r="HB13" i="9"/>
  <c r="HB11" i="9"/>
  <c r="HB9" i="9"/>
  <c r="HC213" i="9" l="1"/>
  <c r="HC212" i="9"/>
  <c r="HC211" i="9"/>
  <c r="HC210" i="9"/>
  <c r="HC209" i="9"/>
  <c r="HC204" i="9"/>
  <c r="HC206" i="9"/>
  <c r="HC203" i="9"/>
  <c r="HC208" i="9"/>
  <c r="HC207" i="9"/>
  <c r="HC202" i="9"/>
  <c r="HC205" i="9"/>
  <c r="HC201" i="9"/>
  <c r="HC199" i="9"/>
  <c r="HC198" i="9"/>
  <c r="HC194" i="9"/>
  <c r="HC197" i="9"/>
  <c r="HC196" i="9"/>
  <c r="HC191" i="9"/>
  <c r="HC195" i="9"/>
  <c r="HC190" i="9"/>
  <c r="HC187" i="9"/>
  <c r="HC183" i="9"/>
  <c r="HC186" i="9"/>
  <c r="HC182" i="9"/>
  <c r="HC185" i="9"/>
  <c r="HC179" i="9"/>
  <c r="HC175" i="9"/>
  <c r="HC200" i="9"/>
  <c r="HC192" i="9"/>
  <c r="HC184" i="9"/>
  <c r="HC178" i="9"/>
  <c r="HC174" i="9"/>
  <c r="HC193" i="9"/>
  <c r="HC181" i="9"/>
  <c r="HC177" i="9"/>
  <c r="HC171" i="9"/>
  <c r="HC167" i="9"/>
  <c r="HC163" i="9"/>
  <c r="HC159" i="9"/>
  <c r="HC155" i="9"/>
  <c r="HC151" i="9"/>
  <c r="HC188" i="9"/>
  <c r="HC176" i="9"/>
  <c r="HC172" i="9"/>
  <c r="HC170" i="9"/>
  <c r="HC166" i="9"/>
  <c r="HC162" i="9"/>
  <c r="HC158" i="9"/>
  <c r="HC154" i="9"/>
  <c r="HC150" i="9"/>
  <c r="HC189" i="9"/>
  <c r="HC180" i="9"/>
  <c r="HC173" i="9"/>
  <c r="HC168" i="9"/>
  <c r="HC160" i="9"/>
  <c r="HC165" i="9"/>
  <c r="HC157" i="9"/>
  <c r="HC164" i="9"/>
  <c r="HC169" i="9"/>
  <c r="HC161" i="9"/>
  <c r="HC153" i="9"/>
  <c r="HC149" i="9"/>
  <c r="HC145" i="9"/>
  <c r="HC156" i="9"/>
  <c r="HC152" i="9"/>
  <c r="HC148" i="9"/>
  <c r="HC147" i="9"/>
  <c r="HC141" i="9"/>
  <c r="HC137" i="9"/>
  <c r="HC133" i="9"/>
  <c r="HC146" i="9"/>
  <c r="HC144" i="9"/>
  <c r="HC140" i="9"/>
  <c r="HC136" i="9"/>
  <c r="HC132" i="9"/>
  <c r="HC143" i="9"/>
  <c r="HC139" i="9"/>
  <c r="HC135" i="9"/>
  <c r="HC142" i="9"/>
  <c r="HC138" i="9"/>
  <c r="HC134" i="9"/>
  <c r="HC127" i="9"/>
  <c r="HC123" i="9"/>
  <c r="HC119" i="9"/>
  <c r="HC130" i="9"/>
  <c r="HC126" i="9"/>
  <c r="HC122" i="9"/>
  <c r="HC118" i="9"/>
  <c r="HC131" i="9"/>
  <c r="HC129" i="9"/>
  <c r="HC125" i="9"/>
  <c r="HC121" i="9"/>
  <c r="HC117" i="9"/>
  <c r="HC128" i="9"/>
  <c r="HC124" i="9"/>
  <c r="HC120" i="9"/>
  <c r="HC116" i="9"/>
  <c r="HC112" i="9"/>
  <c r="HC108" i="9"/>
  <c r="HC104" i="9"/>
  <c r="HC100" i="9"/>
  <c r="HC96" i="9"/>
  <c r="HC92" i="9"/>
  <c r="HC115" i="9"/>
  <c r="HC111" i="9"/>
  <c r="HC107" i="9"/>
  <c r="HC103" i="9"/>
  <c r="HC99" i="9"/>
  <c r="HC95" i="9"/>
  <c r="HC91" i="9"/>
  <c r="HC87" i="9"/>
  <c r="HC114" i="9"/>
  <c r="HC110" i="9"/>
  <c r="HC106" i="9"/>
  <c r="HC113" i="9"/>
  <c r="HC109" i="9"/>
  <c r="HC105" i="9"/>
  <c r="HC101" i="9"/>
  <c r="HC97" i="9"/>
  <c r="HC93" i="9"/>
  <c r="HC89" i="9"/>
  <c r="HC102" i="9"/>
  <c r="HC88" i="9"/>
  <c r="HC83" i="9"/>
  <c r="HC79" i="9"/>
  <c r="HC75" i="9"/>
  <c r="HC71" i="9"/>
  <c r="HC67" i="9"/>
  <c r="HC98" i="9"/>
  <c r="HC86" i="9"/>
  <c r="HC82" i="9"/>
  <c r="HC78" i="9"/>
  <c r="HC74" i="9"/>
  <c r="HC70" i="9"/>
  <c r="HC66" i="9"/>
  <c r="HC62" i="9"/>
  <c r="HC94" i="9"/>
  <c r="HC85" i="9"/>
  <c r="HC81" i="9"/>
  <c r="HC77" i="9"/>
  <c r="HC73" i="9"/>
  <c r="HC69" i="9"/>
  <c r="HC65" i="9"/>
  <c r="HC90" i="9"/>
  <c r="HC84" i="9"/>
  <c r="HC80" i="9"/>
  <c r="HC76" i="9"/>
  <c r="HC72" i="9"/>
  <c r="HC68" i="9"/>
  <c r="HC64" i="9"/>
  <c r="HC63" i="9"/>
  <c r="HC16" i="9"/>
  <c r="HC14" i="9"/>
  <c r="HC12" i="9"/>
  <c r="HC10" i="9"/>
  <c r="HC8" i="9"/>
  <c r="HC15" i="9"/>
  <c r="HC13" i="9"/>
  <c r="HC11" i="9"/>
  <c r="HC9" i="9"/>
  <c r="HD6" i="9"/>
  <c r="HD213" i="9" l="1"/>
  <c r="HD212" i="9"/>
  <c r="HD211" i="9"/>
  <c r="HD209" i="9"/>
  <c r="HD210" i="9"/>
  <c r="HD208" i="9"/>
  <c r="HD207" i="9"/>
  <c r="HD206" i="9"/>
  <c r="HD202" i="9"/>
  <c r="HD205" i="9"/>
  <c r="HD203" i="9"/>
  <c r="HD201" i="9"/>
  <c r="HD200" i="9"/>
  <c r="HD197" i="9"/>
  <c r="HD196" i="9"/>
  <c r="HD195" i="9"/>
  <c r="HD190" i="9"/>
  <c r="HD194" i="9"/>
  <c r="HD193" i="9"/>
  <c r="HD186" i="9"/>
  <c r="HD182" i="9"/>
  <c r="HD199" i="9"/>
  <c r="HD189" i="9"/>
  <c r="HD185" i="9"/>
  <c r="HD181" i="9"/>
  <c r="HD192" i="9"/>
  <c r="HD184" i="9"/>
  <c r="HD178" i="9"/>
  <c r="HD174" i="9"/>
  <c r="HD183" i="9"/>
  <c r="HD177" i="9"/>
  <c r="HD173" i="9"/>
  <c r="HD204" i="9"/>
  <c r="HD188" i="9"/>
  <c r="HD176" i="9"/>
  <c r="HD172" i="9"/>
  <c r="HD170" i="9"/>
  <c r="HD166" i="9"/>
  <c r="HD162" i="9"/>
  <c r="HD158" i="9"/>
  <c r="HD154" i="9"/>
  <c r="HD198" i="9"/>
  <c r="HD179" i="9"/>
  <c r="HD175" i="9"/>
  <c r="HD169" i="9"/>
  <c r="HD165" i="9"/>
  <c r="HD161" i="9"/>
  <c r="HD157" i="9"/>
  <c r="HD153" i="9"/>
  <c r="HD180" i="9"/>
  <c r="HD191" i="9"/>
  <c r="HD171" i="9"/>
  <c r="HD187" i="9"/>
  <c r="HD167" i="9"/>
  <c r="HD159" i="9"/>
  <c r="HD164" i="9"/>
  <c r="HD156" i="9"/>
  <c r="HD163" i="9"/>
  <c r="HD168" i="9"/>
  <c r="HD160" i="9"/>
  <c r="HD155" i="9"/>
  <c r="HD149" i="9"/>
  <c r="HD152" i="9"/>
  <c r="HD148" i="9"/>
  <c r="HD151" i="9"/>
  <c r="HD150" i="9"/>
  <c r="HD147" i="9"/>
  <c r="HD146" i="9"/>
  <c r="HD144" i="9"/>
  <c r="HD140" i="9"/>
  <c r="HD136" i="9"/>
  <c r="HD145" i="9"/>
  <c r="HD143" i="9"/>
  <c r="HD139" i="9"/>
  <c r="HD135" i="9"/>
  <c r="HD131" i="9"/>
  <c r="HD142" i="9"/>
  <c r="HD138" i="9"/>
  <c r="HD134" i="9"/>
  <c r="HD141" i="9"/>
  <c r="HD137" i="9"/>
  <c r="HD133" i="9"/>
  <c r="HD130" i="9"/>
  <c r="HD126" i="9"/>
  <c r="HD122" i="9"/>
  <c r="HD118" i="9"/>
  <c r="HD132" i="9"/>
  <c r="HD129" i="9"/>
  <c r="HD125" i="9"/>
  <c r="HD121" i="9"/>
  <c r="HD117" i="9"/>
  <c r="HD128" i="9"/>
  <c r="HD124" i="9"/>
  <c r="HD120" i="9"/>
  <c r="HD127" i="9"/>
  <c r="HD123" i="9"/>
  <c r="HD119" i="9"/>
  <c r="HD116" i="9"/>
  <c r="HD115" i="9"/>
  <c r="HD111" i="9"/>
  <c r="HD107" i="9"/>
  <c r="HD103" i="9"/>
  <c r="HD99" i="9"/>
  <c r="HD95" i="9"/>
  <c r="HD114" i="9"/>
  <c r="HD110" i="9"/>
  <c r="HD106" i="9"/>
  <c r="HD102" i="9"/>
  <c r="HD98" i="9"/>
  <c r="HD94" i="9"/>
  <c r="HD90" i="9"/>
  <c r="HD113" i="9"/>
  <c r="HD109" i="9"/>
  <c r="HD112" i="9"/>
  <c r="HD108" i="9"/>
  <c r="HD104" i="9"/>
  <c r="HD100" i="9"/>
  <c r="HD96" i="9"/>
  <c r="HD92" i="9"/>
  <c r="HD88" i="9"/>
  <c r="HD93" i="9"/>
  <c r="HD87" i="9"/>
  <c r="HD86" i="9"/>
  <c r="HD82" i="9"/>
  <c r="HD78" i="9"/>
  <c r="HD74" i="9"/>
  <c r="HD70" i="9"/>
  <c r="HD66" i="9"/>
  <c r="HD105" i="9"/>
  <c r="HD85" i="9"/>
  <c r="HD81" i="9"/>
  <c r="HD77" i="9"/>
  <c r="HD73" i="9"/>
  <c r="HD69" i="9"/>
  <c r="HD65" i="9"/>
  <c r="HD101" i="9"/>
  <c r="HD91" i="9"/>
  <c r="HD84" i="9"/>
  <c r="HD80" i="9"/>
  <c r="HD76" i="9"/>
  <c r="HD72" i="9"/>
  <c r="HD68" i="9"/>
  <c r="HD64" i="9"/>
  <c r="HD97" i="9"/>
  <c r="HD89" i="9"/>
  <c r="HD83" i="9"/>
  <c r="HD79" i="9"/>
  <c r="HD75" i="9"/>
  <c r="HD71" i="9"/>
  <c r="HD67" i="9"/>
  <c r="HD63" i="9"/>
  <c r="HD62" i="9"/>
  <c r="HD8" i="9"/>
  <c r="HD15" i="9"/>
  <c r="HD13" i="9"/>
  <c r="HD11" i="9"/>
  <c r="HD9" i="9"/>
  <c r="HE6" i="9"/>
  <c r="HD16" i="9"/>
  <c r="HD14" i="9"/>
  <c r="HD12" i="9"/>
  <c r="HD10" i="9"/>
  <c r="HE213" i="9" l="1"/>
  <c r="HE212" i="9"/>
  <c r="HE211" i="9"/>
  <c r="HE209" i="9"/>
  <c r="HE208" i="9"/>
  <c r="HE210" i="9"/>
  <c r="HE207" i="9"/>
  <c r="HE206" i="9"/>
  <c r="HE205" i="9"/>
  <c r="HE204" i="9"/>
  <c r="HE203" i="9"/>
  <c r="HE201" i="9"/>
  <c r="HE200" i="9"/>
  <c r="HE196" i="9"/>
  <c r="HE202" i="9"/>
  <c r="HE195" i="9"/>
  <c r="HE194" i="9"/>
  <c r="HE193" i="9"/>
  <c r="HE192" i="9"/>
  <c r="HE199" i="9"/>
  <c r="HE189" i="9"/>
  <c r="HE185" i="9"/>
  <c r="HE181" i="9"/>
  <c r="HE197" i="9"/>
  <c r="HE188" i="9"/>
  <c r="HE184" i="9"/>
  <c r="HE180" i="9"/>
  <c r="HE183" i="9"/>
  <c r="HE177" i="9"/>
  <c r="HE173" i="9"/>
  <c r="HE190" i="9"/>
  <c r="HE182" i="9"/>
  <c r="HE176" i="9"/>
  <c r="HE198" i="9"/>
  <c r="HE179" i="9"/>
  <c r="HE175" i="9"/>
  <c r="HE169" i="9"/>
  <c r="HE165" i="9"/>
  <c r="HE161" i="9"/>
  <c r="HE157" i="9"/>
  <c r="HE153" i="9"/>
  <c r="HE186" i="9"/>
  <c r="HE174" i="9"/>
  <c r="HE168" i="9"/>
  <c r="HE164" i="9"/>
  <c r="HE160" i="9"/>
  <c r="HE156" i="9"/>
  <c r="HE152" i="9"/>
  <c r="HE191" i="9"/>
  <c r="HE171" i="9"/>
  <c r="HE178" i="9"/>
  <c r="HE172" i="9"/>
  <c r="HE170" i="9"/>
  <c r="HE187" i="9"/>
  <c r="HE166" i="9"/>
  <c r="HE163" i="9"/>
  <c r="HE155" i="9"/>
  <c r="HE162" i="9"/>
  <c r="HE167" i="9"/>
  <c r="HE159" i="9"/>
  <c r="HE154" i="9"/>
  <c r="HE148" i="9"/>
  <c r="HE158" i="9"/>
  <c r="HE151" i="9"/>
  <c r="HE150" i="9"/>
  <c r="HE147" i="9"/>
  <c r="HE149" i="9"/>
  <c r="HE145" i="9"/>
  <c r="HE146" i="9"/>
  <c r="HE143" i="9"/>
  <c r="HE139" i="9"/>
  <c r="HE135" i="9"/>
  <c r="HE142" i="9"/>
  <c r="HE138" i="9"/>
  <c r="HE134" i="9"/>
  <c r="HE141" i="9"/>
  <c r="HE137" i="9"/>
  <c r="HE133" i="9"/>
  <c r="HE144" i="9"/>
  <c r="HE140" i="9"/>
  <c r="HE136" i="9"/>
  <c r="HE132" i="9"/>
  <c r="HE129" i="9"/>
  <c r="HE125" i="9"/>
  <c r="HE121" i="9"/>
  <c r="HE117" i="9"/>
  <c r="HE131" i="9"/>
  <c r="HE128" i="9"/>
  <c r="HE124" i="9"/>
  <c r="HE120" i="9"/>
  <c r="HE116" i="9"/>
  <c r="HE127" i="9"/>
  <c r="HE123" i="9"/>
  <c r="HE119" i="9"/>
  <c r="HE130" i="9"/>
  <c r="HE126" i="9"/>
  <c r="HE122" i="9"/>
  <c r="HE118" i="9"/>
  <c r="HE114" i="9"/>
  <c r="HE110" i="9"/>
  <c r="HE106" i="9"/>
  <c r="HE102" i="9"/>
  <c r="HE98" i="9"/>
  <c r="HE94" i="9"/>
  <c r="HE113" i="9"/>
  <c r="HE109" i="9"/>
  <c r="HE105" i="9"/>
  <c r="HE101" i="9"/>
  <c r="HE97" i="9"/>
  <c r="HE93" i="9"/>
  <c r="HE89" i="9"/>
  <c r="HE112" i="9"/>
  <c r="HE108" i="9"/>
  <c r="HE115" i="9"/>
  <c r="HE111" i="9"/>
  <c r="HE107" i="9"/>
  <c r="HE103" i="9"/>
  <c r="HE99" i="9"/>
  <c r="HE95" i="9"/>
  <c r="HE91" i="9"/>
  <c r="HE87" i="9"/>
  <c r="HE100" i="9"/>
  <c r="HE85" i="9"/>
  <c r="HE81" i="9"/>
  <c r="HE77" i="9"/>
  <c r="HE73" i="9"/>
  <c r="HE69" i="9"/>
  <c r="HE65" i="9"/>
  <c r="HE96" i="9"/>
  <c r="HE84" i="9"/>
  <c r="HE80" i="9"/>
  <c r="HE76" i="9"/>
  <c r="HE72" i="9"/>
  <c r="HE68" i="9"/>
  <c r="HE64" i="9"/>
  <c r="HE92" i="9"/>
  <c r="HE90" i="9"/>
  <c r="HE83" i="9"/>
  <c r="HE79" i="9"/>
  <c r="HE75" i="9"/>
  <c r="HE71" i="9"/>
  <c r="HE67" i="9"/>
  <c r="HE104" i="9"/>
  <c r="HE88" i="9"/>
  <c r="HE86" i="9"/>
  <c r="HE82" i="9"/>
  <c r="HE78" i="9"/>
  <c r="HE74" i="9"/>
  <c r="HE70" i="9"/>
  <c r="HE66" i="9"/>
  <c r="HE62" i="9"/>
  <c r="HE63" i="9"/>
  <c r="HE15" i="9"/>
  <c r="HE13" i="9"/>
  <c r="HE11" i="9"/>
  <c r="HE9" i="9"/>
  <c r="HF6" i="9"/>
  <c r="HE16" i="9"/>
  <c r="HE14" i="9"/>
  <c r="HE12" i="9"/>
  <c r="HE10" i="9"/>
  <c r="HE8" i="9"/>
  <c r="HG6" i="9" l="1"/>
  <c r="HF8" i="9"/>
  <c r="HG8" i="9" l="1"/>
  <c r="HH6" i="9"/>
  <c r="HH212" i="9" l="1"/>
  <c r="HH213" i="9"/>
  <c r="HH211" i="9"/>
  <c r="HH210" i="9"/>
  <c r="HH207" i="9"/>
  <c r="HH209" i="9"/>
  <c r="HH208" i="9"/>
  <c r="HH206" i="9"/>
  <c r="HH205" i="9"/>
  <c r="HH204" i="9"/>
  <c r="HH203" i="9"/>
  <c r="HH199" i="9"/>
  <c r="HH202" i="9"/>
  <c r="HH195" i="9"/>
  <c r="HH201" i="9"/>
  <c r="HH198" i="9"/>
  <c r="HH194" i="9"/>
  <c r="HH192" i="9"/>
  <c r="HH191" i="9"/>
  <c r="HH197" i="9"/>
  <c r="HH188" i="9"/>
  <c r="HH184" i="9"/>
  <c r="HH180" i="9"/>
  <c r="HH193" i="9"/>
  <c r="HH187" i="9"/>
  <c r="HH183" i="9"/>
  <c r="HH179" i="9"/>
  <c r="HH200" i="9"/>
  <c r="HH190" i="9"/>
  <c r="HH182" i="9"/>
  <c r="HH176" i="9"/>
  <c r="HH172" i="9"/>
  <c r="HH196" i="9"/>
  <c r="HH189" i="9"/>
  <c r="HH181" i="9"/>
  <c r="HH175" i="9"/>
  <c r="HH186" i="9"/>
  <c r="HH174" i="9"/>
  <c r="HH168" i="9"/>
  <c r="HH164" i="9"/>
  <c r="HH160" i="9"/>
  <c r="HH156" i="9"/>
  <c r="HH152" i="9"/>
  <c r="HH173" i="9"/>
  <c r="HH171" i="9"/>
  <c r="HH167" i="9"/>
  <c r="HH163" i="9"/>
  <c r="HH159" i="9"/>
  <c r="HH155" i="9"/>
  <c r="HH151" i="9"/>
  <c r="HH185" i="9"/>
  <c r="HH178" i="9"/>
  <c r="HH170" i="9"/>
  <c r="HH177" i="9"/>
  <c r="HH165" i="9"/>
  <c r="HH162" i="9"/>
  <c r="HH169" i="9"/>
  <c r="HH161" i="9"/>
  <c r="HH166" i="9"/>
  <c r="HH158" i="9"/>
  <c r="HH153" i="9"/>
  <c r="HH150" i="9"/>
  <c r="HH147" i="9"/>
  <c r="HH146" i="9"/>
  <c r="HH149" i="9"/>
  <c r="HH157" i="9"/>
  <c r="HH154" i="9"/>
  <c r="HH148" i="9"/>
  <c r="HH145" i="9"/>
  <c r="HH142" i="9"/>
  <c r="HH138" i="9"/>
  <c r="HH134" i="9"/>
  <c r="HH141" i="9"/>
  <c r="HH137" i="9"/>
  <c r="HH133" i="9"/>
  <c r="HH144" i="9"/>
  <c r="HH140" i="9"/>
  <c r="HH136" i="9"/>
  <c r="HH143" i="9"/>
  <c r="HH139" i="9"/>
  <c r="HH135" i="9"/>
  <c r="HH131" i="9"/>
  <c r="HH132" i="9"/>
  <c r="HH128" i="9"/>
  <c r="HH124" i="9"/>
  <c r="HH120" i="9"/>
  <c r="HH127" i="9"/>
  <c r="HH123" i="9"/>
  <c r="HH119" i="9"/>
  <c r="HH130" i="9"/>
  <c r="HH126" i="9"/>
  <c r="HH122" i="9"/>
  <c r="HH118" i="9"/>
  <c r="HH129" i="9"/>
  <c r="HH125" i="9"/>
  <c r="HH121" i="9"/>
  <c r="HH117" i="9"/>
  <c r="HH113" i="9"/>
  <c r="HH109" i="9"/>
  <c r="HH105" i="9"/>
  <c r="HH101" i="9"/>
  <c r="HH97" i="9"/>
  <c r="HH93" i="9"/>
  <c r="HH112" i="9"/>
  <c r="HH108" i="9"/>
  <c r="HH104" i="9"/>
  <c r="HH100" i="9"/>
  <c r="HH96" i="9"/>
  <c r="HH92" i="9"/>
  <c r="HH88" i="9"/>
  <c r="HH115" i="9"/>
  <c r="HH111" i="9"/>
  <c r="HH107" i="9"/>
  <c r="HH116" i="9"/>
  <c r="HH114" i="9"/>
  <c r="HH110" i="9"/>
  <c r="HH106" i="9"/>
  <c r="HH102" i="9"/>
  <c r="HH98" i="9"/>
  <c r="HH94" i="9"/>
  <c r="HH90" i="9"/>
  <c r="HH84" i="9"/>
  <c r="HH80" i="9"/>
  <c r="HH76" i="9"/>
  <c r="HH72" i="9"/>
  <c r="HH68" i="9"/>
  <c r="HH64" i="9"/>
  <c r="HH103" i="9"/>
  <c r="HH91" i="9"/>
  <c r="HH83" i="9"/>
  <c r="HH79" i="9"/>
  <c r="HH75" i="9"/>
  <c r="HH71" i="9"/>
  <c r="HH67" i="9"/>
  <c r="HH63" i="9"/>
  <c r="HH99" i="9"/>
  <c r="HH89" i="9"/>
  <c r="HH86" i="9"/>
  <c r="HH82" i="9"/>
  <c r="HH78" i="9"/>
  <c r="HH74" i="9"/>
  <c r="HH70" i="9"/>
  <c r="HH66" i="9"/>
  <c r="HH95" i="9"/>
  <c r="HH87" i="9"/>
  <c r="HH85" i="9"/>
  <c r="HH81" i="9"/>
  <c r="HH77" i="9"/>
  <c r="HH73" i="9"/>
  <c r="HH69" i="9"/>
  <c r="HH65" i="9"/>
  <c r="HH62" i="9"/>
  <c r="HH8" i="9"/>
  <c r="HH16" i="9"/>
  <c r="HH14" i="9"/>
  <c r="HH12" i="9"/>
  <c r="HH10" i="9"/>
  <c r="HI6" i="9"/>
  <c r="HH15" i="9"/>
  <c r="HH13" i="9"/>
  <c r="HH11" i="9"/>
  <c r="HH9" i="9"/>
  <c r="HI213" i="9" l="1"/>
  <c r="HI211" i="9"/>
  <c r="HI210" i="9"/>
  <c r="HI212" i="9"/>
  <c r="HI209" i="9"/>
  <c r="HI208" i="9"/>
  <c r="HI204" i="9"/>
  <c r="HI207" i="9"/>
  <c r="HI203" i="9"/>
  <c r="HI205" i="9"/>
  <c r="HI206" i="9"/>
  <c r="HI202" i="9"/>
  <c r="HI201" i="9"/>
  <c r="HI198" i="9"/>
  <c r="HI194" i="9"/>
  <c r="HI200" i="9"/>
  <c r="HI199" i="9"/>
  <c r="HI197" i="9"/>
  <c r="HI191" i="9"/>
  <c r="HI190" i="9"/>
  <c r="HI193" i="9"/>
  <c r="HI187" i="9"/>
  <c r="HI183" i="9"/>
  <c r="HI195" i="9"/>
  <c r="HI192" i="9"/>
  <c r="HI186" i="9"/>
  <c r="HI182" i="9"/>
  <c r="HI196" i="9"/>
  <c r="HI189" i="9"/>
  <c r="HI181" i="9"/>
  <c r="HI175" i="9"/>
  <c r="HI188" i="9"/>
  <c r="HI180" i="9"/>
  <c r="HI179" i="9"/>
  <c r="HI178" i="9"/>
  <c r="HI174" i="9"/>
  <c r="HI173" i="9"/>
  <c r="HI171" i="9"/>
  <c r="HI167" i="9"/>
  <c r="HI163" i="9"/>
  <c r="HI159" i="9"/>
  <c r="HI155" i="9"/>
  <c r="HI151" i="9"/>
  <c r="HI184" i="9"/>
  <c r="HI170" i="9"/>
  <c r="HI166" i="9"/>
  <c r="HI162" i="9"/>
  <c r="HI158" i="9"/>
  <c r="HI154" i="9"/>
  <c r="HI150" i="9"/>
  <c r="HI185" i="9"/>
  <c r="HI172" i="9"/>
  <c r="HI176" i="9"/>
  <c r="HI177" i="9"/>
  <c r="HI164" i="9"/>
  <c r="HI169" i="9"/>
  <c r="HI161" i="9"/>
  <c r="HI168" i="9"/>
  <c r="HI160" i="9"/>
  <c r="HI165" i="9"/>
  <c r="HI157" i="9"/>
  <c r="HI152" i="9"/>
  <c r="HI146" i="9"/>
  <c r="HI156" i="9"/>
  <c r="HI149" i="9"/>
  <c r="HI145" i="9"/>
  <c r="HI148" i="9"/>
  <c r="HI153" i="9"/>
  <c r="HI147" i="9"/>
  <c r="HI141" i="9"/>
  <c r="HI137" i="9"/>
  <c r="HI133" i="9"/>
  <c r="HI144" i="9"/>
  <c r="HI140" i="9"/>
  <c r="HI136" i="9"/>
  <c r="HI132" i="9"/>
  <c r="HI143" i="9"/>
  <c r="HI139" i="9"/>
  <c r="HI135" i="9"/>
  <c r="HI142" i="9"/>
  <c r="HI138" i="9"/>
  <c r="HI134" i="9"/>
  <c r="HI131" i="9"/>
  <c r="HI127" i="9"/>
  <c r="HI123" i="9"/>
  <c r="HI119" i="9"/>
  <c r="HI130" i="9"/>
  <c r="HI126" i="9"/>
  <c r="HI122" i="9"/>
  <c r="HI118" i="9"/>
  <c r="HI129" i="9"/>
  <c r="HI125" i="9"/>
  <c r="HI121" i="9"/>
  <c r="HI117" i="9"/>
  <c r="HI128" i="9"/>
  <c r="HI124" i="9"/>
  <c r="HI120" i="9"/>
  <c r="HI116" i="9"/>
  <c r="HI112" i="9"/>
  <c r="HI108" i="9"/>
  <c r="HI104" i="9"/>
  <c r="HI100" i="9"/>
  <c r="HI96" i="9"/>
  <c r="HI92" i="9"/>
  <c r="HI115" i="9"/>
  <c r="HI111" i="9"/>
  <c r="HI107" i="9"/>
  <c r="HI103" i="9"/>
  <c r="HI99" i="9"/>
  <c r="HI95" i="9"/>
  <c r="HI91" i="9"/>
  <c r="HI87" i="9"/>
  <c r="HI114" i="9"/>
  <c r="HI110" i="9"/>
  <c r="HI106" i="9"/>
  <c r="HI113" i="9"/>
  <c r="HI109" i="9"/>
  <c r="HI105" i="9"/>
  <c r="HI101" i="9"/>
  <c r="HI97" i="9"/>
  <c r="HI93" i="9"/>
  <c r="HI89" i="9"/>
  <c r="HI98" i="9"/>
  <c r="HI83" i="9"/>
  <c r="HI79" i="9"/>
  <c r="HI75" i="9"/>
  <c r="HI71" i="9"/>
  <c r="HI67" i="9"/>
  <c r="HI63" i="9"/>
  <c r="HI94" i="9"/>
  <c r="HI90" i="9"/>
  <c r="HI86" i="9"/>
  <c r="HI82" i="9"/>
  <c r="HI78" i="9"/>
  <c r="HI74" i="9"/>
  <c r="HI70" i="9"/>
  <c r="HI66" i="9"/>
  <c r="HI62" i="9"/>
  <c r="HI88" i="9"/>
  <c r="HI85" i="9"/>
  <c r="HI81" i="9"/>
  <c r="HI77" i="9"/>
  <c r="HI73" i="9"/>
  <c r="HI69" i="9"/>
  <c r="HI65" i="9"/>
  <c r="HI102" i="9"/>
  <c r="HI84" i="9"/>
  <c r="HI80" i="9"/>
  <c r="HI76" i="9"/>
  <c r="HI72" i="9"/>
  <c r="HI68" i="9"/>
  <c r="HI64" i="9"/>
  <c r="HI16" i="9"/>
  <c r="HI14" i="9"/>
  <c r="HI12" i="9"/>
  <c r="HI10" i="9"/>
  <c r="HJ6" i="9"/>
  <c r="HI15" i="9"/>
  <c r="HI13" i="9"/>
  <c r="HI11" i="9"/>
  <c r="HI9" i="9"/>
  <c r="HI8" i="9"/>
  <c r="HJ213" i="9" l="1"/>
  <c r="HJ212" i="9"/>
  <c r="HJ211" i="9"/>
  <c r="HJ210" i="9"/>
  <c r="HJ209" i="9"/>
  <c r="HJ207" i="9"/>
  <c r="HJ208" i="9"/>
  <c r="HJ202" i="9"/>
  <c r="HJ206" i="9"/>
  <c r="HJ205" i="9"/>
  <c r="HJ201" i="9"/>
  <c r="HJ204" i="9"/>
  <c r="HJ200" i="9"/>
  <c r="HJ199" i="9"/>
  <c r="HJ197" i="9"/>
  <c r="HJ196" i="9"/>
  <c r="HJ190" i="9"/>
  <c r="HJ198" i="9"/>
  <c r="HJ193" i="9"/>
  <c r="HJ195" i="9"/>
  <c r="HJ192" i="9"/>
  <c r="HJ186" i="9"/>
  <c r="HJ182" i="9"/>
  <c r="HJ191" i="9"/>
  <c r="HJ189" i="9"/>
  <c r="HJ185" i="9"/>
  <c r="HJ181" i="9"/>
  <c r="HJ203" i="9"/>
  <c r="HJ188" i="9"/>
  <c r="HJ180" i="9"/>
  <c r="HJ179" i="9"/>
  <c r="HJ178" i="9"/>
  <c r="HJ174" i="9"/>
  <c r="HJ187" i="9"/>
  <c r="HJ177" i="9"/>
  <c r="HJ173" i="9"/>
  <c r="HJ184" i="9"/>
  <c r="HJ170" i="9"/>
  <c r="HJ166" i="9"/>
  <c r="HJ162" i="9"/>
  <c r="HJ158" i="9"/>
  <c r="HJ154" i="9"/>
  <c r="HJ172" i="9"/>
  <c r="HJ169" i="9"/>
  <c r="HJ165" i="9"/>
  <c r="HJ161" i="9"/>
  <c r="HJ157" i="9"/>
  <c r="HJ153" i="9"/>
  <c r="HJ194" i="9"/>
  <c r="HJ176" i="9"/>
  <c r="HJ183" i="9"/>
  <c r="HJ175" i="9"/>
  <c r="HJ171" i="9"/>
  <c r="HJ163" i="9"/>
  <c r="HJ168" i="9"/>
  <c r="HJ160" i="9"/>
  <c r="HJ167" i="9"/>
  <c r="HJ159" i="9"/>
  <c r="HJ164" i="9"/>
  <c r="HJ156" i="9"/>
  <c r="HJ151" i="9"/>
  <c r="HJ149" i="9"/>
  <c r="HJ148" i="9"/>
  <c r="HJ147" i="9"/>
  <c r="HJ155" i="9"/>
  <c r="HJ152" i="9"/>
  <c r="HJ150" i="9"/>
  <c r="HJ146" i="9"/>
  <c r="HJ144" i="9"/>
  <c r="HJ140" i="9"/>
  <c r="HJ136" i="9"/>
  <c r="HJ143" i="9"/>
  <c r="HJ139" i="9"/>
  <c r="HJ135" i="9"/>
  <c r="HJ131" i="9"/>
  <c r="HJ142" i="9"/>
  <c r="HJ138" i="9"/>
  <c r="HJ134" i="9"/>
  <c r="HJ145" i="9"/>
  <c r="HJ141" i="9"/>
  <c r="HJ137" i="9"/>
  <c r="HJ133" i="9"/>
  <c r="HJ130" i="9"/>
  <c r="HJ126" i="9"/>
  <c r="HJ122" i="9"/>
  <c r="HJ118" i="9"/>
  <c r="HJ129" i="9"/>
  <c r="HJ125" i="9"/>
  <c r="HJ121" i="9"/>
  <c r="HJ117" i="9"/>
  <c r="HJ128" i="9"/>
  <c r="HJ124" i="9"/>
  <c r="HJ120" i="9"/>
  <c r="HJ132" i="9"/>
  <c r="HJ127" i="9"/>
  <c r="HJ123" i="9"/>
  <c r="HJ119" i="9"/>
  <c r="HJ115" i="9"/>
  <c r="HJ111" i="9"/>
  <c r="HJ107" i="9"/>
  <c r="HJ103" i="9"/>
  <c r="HJ99" i="9"/>
  <c r="HJ95" i="9"/>
  <c r="HJ114" i="9"/>
  <c r="HJ110" i="9"/>
  <c r="HJ106" i="9"/>
  <c r="HJ102" i="9"/>
  <c r="HJ98" i="9"/>
  <c r="HJ94" i="9"/>
  <c r="HJ90" i="9"/>
  <c r="HJ116" i="9"/>
  <c r="HJ113" i="9"/>
  <c r="HJ109" i="9"/>
  <c r="HJ112" i="9"/>
  <c r="HJ108" i="9"/>
  <c r="HJ104" i="9"/>
  <c r="HJ100" i="9"/>
  <c r="HJ96" i="9"/>
  <c r="HJ92" i="9"/>
  <c r="HJ88" i="9"/>
  <c r="HJ105" i="9"/>
  <c r="HJ91" i="9"/>
  <c r="HJ86" i="9"/>
  <c r="HJ82" i="9"/>
  <c r="HJ78" i="9"/>
  <c r="HJ74" i="9"/>
  <c r="HJ70" i="9"/>
  <c r="HJ66" i="9"/>
  <c r="HJ101" i="9"/>
  <c r="HJ89" i="9"/>
  <c r="HJ85" i="9"/>
  <c r="HJ81" i="9"/>
  <c r="HJ77" i="9"/>
  <c r="HJ73" i="9"/>
  <c r="HJ69" i="9"/>
  <c r="HJ65" i="9"/>
  <c r="HJ97" i="9"/>
  <c r="HJ87" i="9"/>
  <c r="HJ84" i="9"/>
  <c r="HJ80" i="9"/>
  <c r="HJ76" i="9"/>
  <c r="HJ72" i="9"/>
  <c r="HJ68" i="9"/>
  <c r="HJ64" i="9"/>
  <c r="HJ93" i="9"/>
  <c r="HJ83" i="9"/>
  <c r="HJ79" i="9"/>
  <c r="HJ75" i="9"/>
  <c r="HJ71" i="9"/>
  <c r="HJ67" i="9"/>
  <c r="HJ63" i="9"/>
  <c r="HJ62" i="9"/>
  <c r="HK6" i="9"/>
  <c r="HJ15" i="9"/>
  <c r="HJ13" i="9"/>
  <c r="HJ11" i="9"/>
  <c r="HJ9" i="9"/>
  <c r="HJ8" i="9"/>
  <c r="HJ16" i="9"/>
  <c r="HJ14" i="9"/>
  <c r="HJ12" i="9"/>
  <c r="HJ10" i="9"/>
  <c r="HK213" i="9" l="1"/>
  <c r="HK212" i="9"/>
  <c r="HK211" i="9"/>
  <c r="HK209" i="9"/>
  <c r="HK208" i="9"/>
  <c r="HK207" i="9"/>
  <c r="HK206" i="9"/>
  <c r="HK205" i="9"/>
  <c r="HK210" i="9"/>
  <c r="HK204" i="9"/>
  <c r="HK202" i="9"/>
  <c r="HK201" i="9"/>
  <c r="HK200" i="9"/>
  <c r="HK203" i="9"/>
  <c r="HK196" i="9"/>
  <c r="HK195" i="9"/>
  <c r="HK198" i="9"/>
  <c r="HK193" i="9"/>
  <c r="HK199" i="9"/>
  <c r="HK197" i="9"/>
  <c r="HK192" i="9"/>
  <c r="HK191" i="9"/>
  <c r="HK189" i="9"/>
  <c r="HK185" i="9"/>
  <c r="HK181" i="9"/>
  <c r="HK190" i="9"/>
  <c r="HK188" i="9"/>
  <c r="HK184" i="9"/>
  <c r="HK180" i="9"/>
  <c r="HK187" i="9"/>
  <c r="HK177" i="9"/>
  <c r="HK173" i="9"/>
  <c r="HK186" i="9"/>
  <c r="HK176" i="9"/>
  <c r="HK172" i="9"/>
  <c r="HK169" i="9"/>
  <c r="HK165" i="9"/>
  <c r="HK161" i="9"/>
  <c r="HK157" i="9"/>
  <c r="HK153" i="9"/>
  <c r="HK182" i="9"/>
  <c r="HK178" i="9"/>
  <c r="HK168" i="9"/>
  <c r="HK164" i="9"/>
  <c r="HK160" i="9"/>
  <c r="HK156" i="9"/>
  <c r="HK152" i="9"/>
  <c r="HK194" i="9"/>
  <c r="HK179" i="9"/>
  <c r="HK183" i="9"/>
  <c r="HK174" i="9"/>
  <c r="HK175" i="9"/>
  <c r="HK171" i="9"/>
  <c r="HK170" i="9"/>
  <c r="HK162" i="9"/>
  <c r="HK167" i="9"/>
  <c r="HK159" i="9"/>
  <c r="HK166" i="9"/>
  <c r="HK163" i="9"/>
  <c r="HK155" i="9"/>
  <c r="HK158" i="9"/>
  <c r="HK148" i="9"/>
  <c r="HK147" i="9"/>
  <c r="HK154" i="9"/>
  <c r="HK150" i="9"/>
  <c r="HK146" i="9"/>
  <c r="HK151" i="9"/>
  <c r="HK149" i="9"/>
  <c r="HK145" i="9"/>
  <c r="HK143" i="9"/>
  <c r="HK139" i="9"/>
  <c r="HK135" i="9"/>
  <c r="HK142" i="9"/>
  <c r="HK138" i="9"/>
  <c r="HK134" i="9"/>
  <c r="HK141" i="9"/>
  <c r="HK137" i="9"/>
  <c r="HK133" i="9"/>
  <c r="HK144" i="9"/>
  <c r="HK140" i="9"/>
  <c r="HK136" i="9"/>
  <c r="HK132" i="9"/>
  <c r="HK129" i="9"/>
  <c r="HK125" i="9"/>
  <c r="HK121" i="9"/>
  <c r="HK117" i="9"/>
  <c r="HK128" i="9"/>
  <c r="HK124" i="9"/>
  <c r="HK120" i="9"/>
  <c r="HK116" i="9"/>
  <c r="HK127" i="9"/>
  <c r="HK123" i="9"/>
  <c r="HK119" i="9"/>
  <c r="HK131" i="9"/>
  <c r="HK130" i="9"/>
  <c r="HK126" i="9"/>
  <c r="HK122" i="9"/>
  <c r="HK118" i="9"/>
  <c r="HK114" i="9"/>
  <c r="HK110" i="9"/>
  <c r="HK106" i="9"/>
  <c r="HK102" i="9"/>
  <c r="HK98" i="9"/>
  <c r="HK94" i="9"/>
  <c r="HK113" i="9"/>
  <c r="HK109" i="9"/>
  <c r="HK105" i="9"/>
  <c r="HK101" i="9"/>
  <c r="HK97" i="9"/>
  <c r="HK93" i="9"/>
  <c r="HK89" i="9"/>
  <c r="HK112" i="9"/>
  <c r="HK108" i="9"/>
  <c r="HK115" i="9"/>
  <c r="HK111" i="9"/>
  <c r="HK107" i="9"/>
  <c r="HK103" i="9"/>
  <c r="HK99" i="9"/>
  <c r="HK95" i="9"/>
  <c r="HK91" i="9"/>
  <c r="HK87" i="9"/>
  <c r="HK96" i="9"/>
  <c r="HK90" i="9"/>
  <c r="HK85" i="9"/>
  <c r="HK81" i="9"/>
  <c r="HK77" i="9"/>
  <c r="HK73" i="9"/>
  <c r="HK69" i="9"/>
  <c r="HK65" i="9"/>
  <c r="HK92" i="9"/>
  <c r="HK88" i="9"/>
  <c r="HK84" i="9"/>
  <c r="HK80" i="9"/>
  <c r="HK76" i="9"/>
  <c r="HK72" i="9"/>
  <c r="HK68" i="9"/>
  <c r="HK64" i="9"/>
  <c r="HK104" i="9"/>
  <c r="HK83" i="9"/>
  <c r="HK79" i="9"/>
  <c r="HK75" i="9"/>
  <c r="HK71" i="9"/>
  <c r="HK67" i="9"/>
  <c r="HK100" i="9"/>
  <c r="HK86" i="9"/>
  <c r="HK82" i="9"/>
  <c r="HK78" i="9"/>
  <c r="HK74" i="9"/>
  <c r="HK70" i="9"/>
  <c r="HK66" i="9"/>
  <c r="HK62" i="9"/>
  <c r="HK63" i="9"/>
  <c r="HK15" i="9"/>
  <c r="HK13" i="9"/>
  <c r="HK11" i="9"/>
  <c r="HK9" i="9"/>
  <c r="HK8" i="9"/>
  <c r="HL6" i="9"/>
  <c r="HK16" i="9"/>
  <c r="HK14" i="9"/>
  <c r="HK12" i="9"/>
  <c r="HK10" i="9"/>
  <c r="HL212" i="9" l="1"/>
  <c r="HL213" i="9"/>
  <c r="HL211" i="9"/>
  <c r="HL210" i="9"/>
  <c r="HL209" i="9"/>
  <c r="HL207" i="9"/>
  <c r="HL206" i="9"/>
  <c r="HL208" i="9"/>
  <c r="HL205" i="9"/>
  <c r="HL204" i="9"/>
  <c r="HL203" i="9"/>
  <c r="HL199" i="9"/>
  <c r="HL202" i="9"/>
  <c r="HL201" i="9"/>
  <c r="HL200" i="9"/>
  <c r="HL195" i="9"/>
  <c r="HL198" i="9"/>
  <c r="HL194" i="9"/>
  <c r="HL197" i="9"/>
  <c r="HL192" i="9"/>
  <c r="HL196" i="9"/>
  <c r="HL191" i="9"/>
  <c r="HL190" i="9"/>
  <c r="HL188" i="9"/>
  <c r="HL184" i="9"/>
  <c r="HL180" i="9"/>
  <c r="HL187" i="9"/>
  <c r="HL183" i="9"/>
  <c r="HL179" i="9"/>
  <c r="HL186" i="9"/>
  <c r="HL176" i="9"/>
  <c r="HL172" i="9"/>
  <c r="HL193" i="9"/>
  <c r="HL185" i="9"/>
  <c r="HL175" i="9"/>
  <c r="HL182" i="9"/>
  <c r="HL178" i="9"/>
  <c r="HL168" i="9"/>
  <c r="HL164" i="9"/>
  <c r="HL160" i="9"/>
  <c r="HL156" i="9"/>
  <c r="HL152" i="9"/>
  <c r="HL189" i="9"/>
  <c r="HL177" i="9"/>
  <c r="HL171" i="9"/>
  <c r="HL167" i="9"/>
  <c r="HL163" i="9"/>
  <c r="HL159" i="9"/>
  <c r="HL155" i="9"/>
  <c r="HL151" i="9"/>
  <c r="HL181" i="9"/>
  <c r="HL174" i="9"/>
  <c r="HL170" i="9"/>
  <c r="HL173" i="9"/>
  <c r="HL169" i="9"/>
  <c r="HL161" i="9"/>
  <c r="HL166" i="9"/>
  <c r="HL158" i="9"/>
  <c r="HL165" i="9"/>
  <c r="HL162" i="9"/>
  <c r="HL147" i="9"/>
  <c r="HL154" i="9"/>
  <c r="HL150" i="9"/>
  <c r="HL146" i="9"/>
  <c r="HL157" i="9"/>
  <c r="HL153" i="9"/>
  <c r="HL149" i="9"/>
  <c r="HL148" i="9"/>
  <c r="HL142" i="9"/>
  <c r="HL138" i="9"/>
  <c r="HL134" i="9"/>
  <c r="HL141" i="9"/>
  <c r="HL137" i="9"/>
  <c r="HL133" i="9"/>
  <c r="HL145" i="9"/>
  <c r="HL144" i="9"/>
  <c r="HL140" i="9"/>
  <c r="HL136" i="9"/>
  <c r="HL143" i="9"/>
  <c r="HL139" i="9"/>
  <c r="HL135" i="9"/>
  <c r="HL131" i="9"/>
  <c r="HL128" i="9"/>
  <c r="HL124" i="9"/>
  <c r="HL120" i="9"/>
  <c r="HL127" i="9"/>
  <c r="HL123" i="9"/>
  <c r="HL119" i="9"/>
  <c r="HL132" i="9"/>
  <c r="HL130" i="9"/>
  <c r="HL126" i="9"/>
  <c r="HL122" i="9"/>
  <c r="HL118" i="9"/>
  <c r="HL129" i="9"/>
  <c r="HL125" i="9"/>
  <c r="HL121" i="9"/>
  <c r="HL117" i="9"/>
  <c r="HL113" i="9"/>
  <c r="HL109" i="9"/>
  <c r="HL105" i="9"/>
  <c r="HL101" i="9"/>
  <c r="HL97" i="9"/>
  <c r="HL93" i="9"/>
  <c r="HL116" i="9"/>
  <c r="HL112" i="9"/>
  <c r="HL108" i="9"/>
  <c r="HL104" i="9"/>
  <c r="HL100" i="9"/>
  <c r="HL96" i="9"/>
  <c r="HL92" i="9"/>
  <c r="HL88" i="9"/>
  <c r="HL115" i="9"/>
  <c r="HL111" i="9"/>
  <c r="HL107" i="9"/>
  <c r="HL114" i="9"/>
  <c r="HL110" i="9"/>
  <c r="HL106" i="9"/>
  <c r="HL102" i="9"/>
  <c r="HL98" i="9"/>
  <c r="HL94" i="9"/>
  <c r="HL90" i="9"/>
  <c r="HL103" i="9"/>
  <c r="HL89" i="9"/>
  <c r="HL84" i="9"/>
  <c r="HL80" i="9"/>
  <c r="HL76" i="9"/>
  <c r="HL72" i="9"/>
  <c r="HL68" i="9"/>
  <c r="HL64" i="9"/>
  <c r="HL99" i="9"/>
  <c r="HL87" i="9"/>
  <c r="HL83" i="9"/>
  <c r="HL79" i="9"/>
  <c r="HL75" i="9"/>
  <c r="HL71" i="9"/>
  <c r="HL67" i="9"/>
  <c r="HL63" i="9"/>
  <c r="HL95" i="9"/>
  <c r="HL86" i="9"/>
  <c r="HL82" i="9"/>
  <c r="HL78" i="9"/>
  <c r="HL74" i="9"/>
  <c r="HL70" i="9"/>
  <c r="HL66" i="9"/>
  <c r="HL91" i="9"/>
  <c r="HL85" i="9"/>
  <c r="HL81" i="9"/>
  <c r="HL77" i="9"/>
  <c r="HL73" i="9"/>
  <c r="HL69" i="9"/>
  <c r="HL65" i="9"/>
  <c r="HL62" i="9"/>
  <c r="HL8" i="9"/>
  <c r="HL16" i="9"/>
  <c r="HL14" i="9"/>
  <c r="HL12" i="9"/>
  <c r="HL10" i="9"/>
  <c r="HM6" i="9"/>
  <c r="HL15" i="9"/>
  <c r="HL13" i="9"/>
  <c r="HL11" i="9"/>
  <c r="HL9" i="9"/>
  <c r="HN6" i="9" l="1"/>
  <c r="HM8" i="9"/>
  <c r="HO6" i="9" l="1"/>
  <c r="HN8" i="9"/>
  <c r="HO213" i="9" l="1"/>
  <c r="HO211" i="9"/>
  <c r="HO210" i="9"/>
  <c r="HO212" i="9"/>
  <c r="HO209" i="9"/>
  <c r="HO208" i="9"/>
  <c r="HO207" i="9"/>
  <c r="HO204" i="9"/>
  <c r="HO206" i="9"/>
  <c r="HO203" i="9"/>
  <c r="HO202" i="9"/>
  <c r="HO201" i="9"/>
  <c r="HO198" i="9"/>
  <c r="HO194" i="9"/>
  <c r="HO197" i="9"/>
  <c r="HO205" i="9"/>
  <c r="HO199" i="9"/>
  <c r="HO196" i="9"/>
  <c r="HO191" i="9"/>
  <c r="HO200" i="9"/>
  <c r="HO195" i="9"/>
  <c r="HO190" i="9"/>
  <c r="HO187" i="9"/>
  <c r="HO183" i="9"/>
  <c r="HO186" i="9"/>
  <c r="HO182" i="9"/>
  <c r="HO193" i="9"/>
  <c r="HO185" i="9"/>
  <c r="HO175" i="9"/>
  <c r="HO184" i="9"/>
  <c r="HO178" i="9"/>
  <c r="HO174" i="9"/>
  <c r="HO189" i="9"/>
  <c r="HO177" i="9"/>
  <c r="HO171" i="9"/>
  <c r="HO167" i="9"/>
  <c r="HO163" i="9"/>
  <c r="HO159" i="9"/>
  <c r="HO155" i="9"/>
  <c r="HO151" i="9"/>
  <c r="HO180" i="9"/>
  <c r="HO176" i="9"/>
  <c r="HO170" i="9"/>
  <c r="HO166" i="9"/>
  <c r="HO162" i="9"/>
  <c r="HO158" i="9"/>
  <c r="HO154" i="9"/>
  <c r="HO150" i="9"/>
  <c r="HO192" i="9"/>
  <c r="HO181" i="9"/>
  <c r="HO179" i="9"/>
  <c r="HO173" i="9"/>
  <c r="HO188" i="9"/>
  <c r="HO172" i="9"/>
  <c r="HO168" i="9"/>
  <c r="HO160" i="9"/>
  <c r="HO165" i="9"/>
  <c r="HO157" i="9"/>
  <c r="HO164" i="9"/>
  <c r="HO169" i="9"/>
  <c r="HO161" i="9"/>
  <c r="HO156" i="9"/>
  <c r="HO146" i="9"/>
  <c r="HO153" i="9"/>
  <c r="HO149" i="9"/>
  <c r="HO145" i="9"/>
  <c r="HO152" i="9"/>
  <c r="HO148" i="9"/>
  <c r="HO147" i="9"/>
  <c r="HO141" i="9"/>
  <c r="HO137" i="9"/>
  <c r="HO133" i="9"/>
  <c r="HO144" i="9"/>
  <c r="HO140" i="9"/>
  <c r="HO136" i="9"/>
  <c r="HO132" i="9"/>
  <c r="HO143" i="9"/>
  <c r="HO139" i="9"/>
  <c r="HO135" i="9"/>
  <c r="HO142" i="9"/>
  <c r="HO138" i="9"/>
  <c r="HO134" i="9"/>
  <c r="HO127" i="9"/>
  <c r="HO123" i="9"/>
  <c r="HO119" i="9"/>
  <c r="HO130" i="9"/>
  <c r="HO126" i="9"/>
  <c r="HO122" i="9"/>
  <c r="HO118" i="9"/>
  <c r="HO131" i="9"/>
  <c r="HO129" i="9"/>
  <c r="HO125" i="9"/>
  <c r="HO121" i="9"/>
  <c r="HO117" i="9"/>
  <c r="HO128" i="9"/>
  <c r="HO124" i="9"/>
  <c r="HO120" i="9"/>
  <c r="HO116" i="9"/>
  <c r="HO112" i="9"/>
  <c r="HO108" i="9"/>
  <c r="HO104" i="9"/>
  <c r="HO100" i="9"/>
  <c r="HO96" i="9"/>
  <c r="HO92" i="9"/>
  <c r="HO115" i="9"/>
  <c r="HO111" i="9"/>
  <c r="HO107" i="9"/>
  <c r="HO103" i="9"/>
  <c r="HO99" i="9"/>
  <c r="HO95" i="9"/>
  <c r="HO91" i="9"/>
  <c r="HO87" i="9"/>
  <c r="HO114" i="9"/>
  <c r="HO110" i="9"/>
  <c r="HO106" i="9"/>
  <c r="HO113" i="9"/>
  <c r="HO109" i="9"/>
  <c r="HO105" i="9"/>
  <c r="HO101" i="9"/>
  <c r="HO97" i="9"/>
  <c r="HO93" i="9"/>
  <c r="HO89" i="9"/>
  <c r="HO94" i="9"/>
  <c r="HO88" i="9"/>
  <c r="HO83" i="9"/>
  <c r="HO79" i="9"/>
  <c r="HO75" i="9"/>
  <c r="HO71" i="9"/>
  <c r="HO67" i="9"/>
  <c r="HO63" i="9"/>
  <c r="HO86" i="9"/>
  <c r="HO82" i="9"/>
  <c r="HO78" i="9"/>
  <c r="HO74" i="9"/>
  <c r="HO70" i="9"/>
  <c r="HO66" i="9"/>
  <c r="HO62" i="9"/>
  <c r="HO102" i="9"/>
  <c r="HO85" i="9"/>
  <c r="HO81" i="9"/>
  <c r="HO77" i="9"/>
  <c r="HO73" i="9"/>
  <c r="HO69" i="9"/>
  <c r="HO65" i="9"/>
  <c r="HO98" i="9"/>
  <c r="HO90" i="9"/>
  <c r="HO84" i="9"/>
  <c r="HO80" i="9"/>
  <c r="HO76" i="9"/>
  <c r="HO72" i="9"/>
  <c r="HO68" i="9"/>
  <c r="HO64" i="9"/>
  <c r="HO16" i="9"/>
  <c r="HO14" i="9"/>
  <c r="HO12" i="9"/>
  <c r="HO10" i="9"/>
  <c r="HO8" i="9"/>
  <c r="HO15" i="9"/>
  <c r="HO13" i="9"/>
  <c r="HO11" i="9"/>
  <c r="HO9" i="9"/>
  <c r="HP6" i="9"/>
  <c r="HP213" i="9" l="1"/>
  <c r="HP212" i="9"/>
  <c r="HP210" i="9"/>
  <c r="HP209" i="9"/>
  <c r="HP208" i="9"/>
  <c r="HP211" i="9"/>
  <c r="HP207" i="9"/>
  <c r="HP206" i="9"/>
  <c r="HP202" i="9"/>
  <c r="HP205" i="9"/>
  <c r="HP204" i="9"/>
  <c r="HP203" i="9"/>
  <c r="HP201" i="9"/>
  <c r="HP200" i="9"/>
  <c r="HP197" i="9"/>
  <c r="HP199" i="9"/>
  <c r="HP196" i="9"/>
  <c r="HP195" i="9"/>
  <c r="HP190" i="9"/>
  <c r="HP194" i="9"/>
  <c r="HP193" i="9"/>
  <c r="HP186" i="9"/>
  <c r="HP182" i="9"/>
  <c r="HP198" i="9"/>
  <c r="HP189" i="9"/>
  <c r="HP185" i="9"/>
  <c r="HP181" i="9"/>
  <c r="HP184" i="9"/>
  <c r="HP178" i="9"/>
  <c r="HP174" i="9"/>
  <c r="HP191" i="9"/>
  <c r="HP183" i="9"/>
  <c r="HP179" i="9"/>
  <c r="HP177" i="9"/>
  <c r="HP173" i="9"/>
  <c r="HP180" i="9"/>
  <c r="HP176" i="9"/>
  <c r="HP170" i="9"/>
  <c r="HP166" i="9"/>
  <c r="HP162" i="9"/>
  <c r="HP158" i="9"/>
  <c r="HP154" i="9"/>
  <c r="HP187" i="9"/>
  <c r="HP175" i="9"/>
  <c r="HP169" i="9"/>
  <c r="HP165" i="9"/>
  <c r="HP161" i="9"/>
  <c r="HP157" i="9"/>
  <c r="HP153" i="9"/>
  <c r="HP192" i="9"/>
  <c r="HP171" i="9"/>
  <c r="HP188" i="9"/>
  <c r="HP172" i="9"/>
  <c r="HP167" i="9"/>
  <c r="HP159" i="9"/>
  <c r="HP164" i="9"/>
  <c r="HP156" i="9"/>
  <c r="HP163" i="9"/>
  <c r="HP168" i="9"/>
  <c r="HP160" i="9"/>
  <c r="HP150" i="9"/>
  <c r="HP149" i="9"/>
  <c r="HP152" i="9"/>
  <c r="HP148" i="9"/>
  <c r="HP155" i="9"/>
  <c r="HP151" i="9"/>
  <c r="HP147" i="9"/>
  <c r="HP146" i="9"/>
  <c r="HP144" i="9"/>
  <c r="HP140" i="9"/>
  <c r="HP136" i="9"/>
  <c r="HP145" i="9"/>
  <c r="HP143" i="9"/>
  <c r="HP139" i="9"/>
  <c r="HP135" i="9"/>
  <c r="HP131" i="9"/>
  <c r="HP142" i="9"/>
  <c r="HP138" i="9"/>
  <c r="HP134" i="9"/>
  <c r="HP141" i="9"/>
  <c r="HP137" i="9"/>
  <c r="HP133" i="9"/>
  <c r="HP130" i="9"/>
  <c r="HP126" i="9"/>
  <c r="HP122" i="9"/>
  <c r="HP118" i="9"/>
  <c r="HP132" i="9"/>
  <c r="HP129" i="9"/>
  <c r="HP125" i="9"/>
  <c r="HP121" i="9"/>
  <c r="HP117" i="9"/>
  <c r="HP128" i="9"/>
  <c r="HP124" i="9"/>
  <c r="HP120" i="9"/>
  <c r="HP127" i="9"/>
  <c r="HP123" i="9"/>
  <c r="HP119" i="9"/>
  <c r="HP116" i="9"/>
  <c r="HP115" i="9"/>
  <c r="HP111" i="9"/>
  <c r="HP107" i="9"/>
  <c r="HP103" i="9"/>
  <c r="HP99" i="9"/>
  <c r="HP95" i="9"/>
  <c r="HP114" i="9"/>
  <c r="HP110" i="9"/>
  <c r="HP106" i="9"/>
  <c r="HP102" i="9"/>
  <c r="HP98" i="9"/>
  <c r="HP94" i="9"/>
  <c r="HP90" i="9"/>
  <c r="HP113" i="9"/>
  <c r="HP109" i="9"/>
  <c r="HP112" i="9"/>
  <c r="HP108" i="9"/>
  <c r="HP104" i="9"/>
  <c r="HP100" i="9"/>
  <c r="HP96" i="9"/>
  <c r="HP92" i="9"/>
  <c r="HP88" i="9"/>
  <c r="HP101" i="9"/>
  <c r="HP87" i="9"/>
  <c r="HP86" i="9"/>
  <c r="HP82" i="9"/>
  <c r="HP78" i="9"/>
  <c r="HP74" i="9"/>
  <c r="HP70" i="9"/>
  <c r="HP66" i="9"/>
  <c r="HP97" i="9"/>
  <c r="HP85" i="9"/>
  <c r="HP81" i="9"/>
  <c r="HP77" i="9"/>
  <c r="HP73" i="9"/>
  <c r="HP69" i="9"/>
  <c r="HP65" i="9"/>
  <c r="HP93" i="9"/>
  <c r="HP91" i="9"/>
  <c r="HP84" i="9"/>
  <c r="HP80" i="9"/>
  <c r="HP76" i="9"/>
  <c r="HP72" i="9"/>
  <c r="HP68" i="9"/>
  <c r="HP64" i="9"/>
  <c r="HP105" i="9"/>
  <c r="HP89" i="9"/>
  <c r="HP83" i="9"/>
  <c r="HP79" i="9"/>
  <c r="HP75" i="9"/>
  <c r="HP71" i="9"/>
  <c r="HP67" i="9"/>
  <c r="HP63" i="9"/>
  <c r="HP62" i="9"/>
  <c r="HP8" i="9"/>
  <c r="HP15" i="9"/>
  <c r="HP13" i="9"/>
  <c r="HP11" i="9"/>
  <c r="HP9" i="9"/>
  <c r="HQ6" i="9"/>
  <c r="HP16" i="9"/>
  <c r="HP14" i="9"/>
  <c r="HP12" i="9"/>
  <c r="HP10" i="9"/>
  <c r="HQ213" i="9" l="1"/>
  <c r="HQ212" i="9"/>
  <c r="HQ211" i="9"/>
  <c r="HQ210" i="9"/>
  <c r="HQ209" i="9"/>
  <c r="HQ208" i="9"/>
  <c r="HQ207" i="9"/>
  <c r="HQ206" i="9"/>
  <c r="HQ205" i="9"/>
  <c r="HQ204" i="9"/>
  <c r="HQ203" i="9"/>
  <c r="HQ201" i="9"/>
  <c r="HQ202" i="9"/>
  <c r="HQ200" i="9"/>
  <c r="HQ199" i="9"/>
  <c r="HQ196" i="9"/>
  <c r="HQ195" i="9"/>
  <c r="HQ194" i="9"/>
  <c r="HQ193" i="9"/>
  <c r="HQ192" i="9"/>
  <c r="HQ198" i="9"/>
  <c r="HQ189" i="9"/>
  <c r="HQ185" i="9"/>
  <c r="HQ181" i="9"/>
  <c r="HQ188" i="9"/>
  <c r="HQ184" i="9"/>
  <c r="HQ180" i="9"/>
  <c r="HQ191" i="9"/>
  <c r="HQ183" i="9"/>
  <c r="HQ179" i="9"/>
  <c r="HQ177" i="9"/>
  <c r="HQ173" i="9"/>
  <c r="HQ197" i="9"/>
  <c r="HQ182" i="9"/>
  <c r="HQ176" i="9"/>
  <c r="HQ187" i="9"/>
  <c r="HQ175" i="9"/>
  <c r="HQ169" i="9"/>
  <c r="HQ165" i="9"/>
  <c r="HQ161" i="9"/>
  <c r="HQ157" i="9"/>
  <c r="HQ153" i="9"/>
  <c r="HQ190" i="9"/>
  <c r="HQ174" i="9"/>
  <c r="HQ172" i="9"/>
  <c r="HQ168" i="9"/>
  <c r="HQ164" i="9"/>
  <c r="HQ160" i="9"/>
  <c r="HQ156" i="9"/>
  <c r="HQ152" i="9"/>
  <c r="HQ186" i="9"/>
  <c r="HQ171" i="9"/>
  <c r="HQ170" i="9"/>
  <c r="HQ178" i="9"/>
  <c r="HQ166" i="9"/>
  <c r="HQ163" i="9"/>
  <c r="HQ155" i="9"/>
  <c r="HQ162" i="9"/>
  <c r="HQ167" i="9"/>
  <c r="HQ159" i="9"/>
  <c r="HQ154" i="9"/>
  <c r="HQ148" i="9"/>
  <c r="HQ151" i="9"/>
  <c r="HQ147" i="9"/>
  <c r="HQ146" i="9"/>
  <c r="HQ158" i="9"/>
  <c r="HQ150" i="9"/>
  <c r="HQ149" i="9"/>
  <c r="HQ145" i="9"/>
  <c r="HQ143" i="9"/>
  <c r="HQ139" i="9"/>
  <c r="HQ135" i="9"/>
  <c r="HQ142" i="9"/>
  <c r="HQ138" i="9"/>
  <c r="HQ134" i="9"/>
  <c r="HQ141" i="9"/>
  <c r="HQ137" i="9"/>
  <c r="HQ133" i="9"/>
  <c r="HQ144" i="9"/>
  <c r="HQ140" i="9"/>
  <c r="HQ136" i="9"/>
  <c r="HQ132" i="9"/>
  <c r="HQ129" i="9"/>
  <c r="HQ125" i="9"/>
  <c r="HQ121" i="9"/>
  <c r="HQ117" i="9"/>
  <c r="HQ131" i="9"/>
  <c r="HQ128" i="9"/>
  <c r="HQ124" i="9"/>
  <c r="HQ120" i="9"/>
  <c r="HQ116" i="9"/>
  <c r="HQ127" i="9"/>
  <c r="HQ123" i="9"/>
  <c r="HQ119" i="9"/>
  <c r="HQ130" i="9"/>
  <c r="HQ126" i="9"/>
  <c r="HQ122" i="9"/>
  <c r="HQ118" i="9"/>
  <c r="HQ114" i="9"/>
  <c r="HQ110" i="9"/>
  <c r="HQ106" i="9"/>
  <c r="HQ102" i="9"/>
  <c r="HQ98" i="9"/>
  <c r="HQ94" i="9"/>
  <c r="HQ113" i="9"/>
  <c r="HQ109" i="9"/>
  <c r="HQ105" i="9"/>
  <c r="HQ101" i="9"/>
  <c r="HQ97" i="9"/>
  <c r="HQ93" i="9"/>
  <c r="HQ89" i="9"/>
  <c r="HQ112" i="9"/>
  <c r="HQ108" i="9"/>
  <c r="HQ115" i="9"/>
  <c r="HQ111" i="9"/>
  <c r="HQ107" i="9"/>
  <c r="HQ103" i="9"/>
  <c r="HQ99" i="9"/>
  <c r="HQ95" i="9"/>
  <c r="HQ91" i="9"/>
  <c r="HQ87" i="9"/>
  <c r="HQ92" i="9"/>
  <c r="HQ85" i="9"/>
  <c r="HQ81" i="9"/>
  <c r="HQ77" i="9"/>
  <c r="HQ73" i="9"/>
  <c r="HQ69" i="9"/>
  <c r="HQ65" i="9"/>
  <c r="HQ104" i="9"/>
  <c r="HQ84" i="9"/>
  <c r="HQ80" i="9"/>
  <c r="HQ76" i="9"/>
  <c r="HQ72" i="9"/>
  <c r="HQ68" i="9"/>
  <c r="HQ64" i="9"/>
  <c r="HQ100" i="9"/>
  <c r="HQ90" i="9"/>
  <c r="HQ83" i="9"/>
  <c r="HQ79" i="9"/>
  <c r="HQ75" i="9"/>
  <c r="HQ71" i="9"/>
  <c r="HQ67" i="9"/>
  <c r="HQ96" i="9"/>
  <c r="HQ88" i="9"/>
  <c r="HQ86" i="9"/>
  <c r="HQ82" i="9"/>
  <c r="HQ78" i="9"/>
  <c r="HQ74" i="9"/>
  <c r="HQ70" i="9"/>
  <c r="HQ66" i="9"/>
  <c r="HQ62" i="9"/>
  <c r="HQ63" i="9"/>
  <c r="HQ15" i="9"/>
  <c r="HQ13" i="9"/>
  <c r="HQ11" i="9"/>
  <c r="HQ9" i="9"/>
  <c r="HR6" i="9"/>
  <c r="HQ16" i="9"/>
  <c r="HQ14" i="9"/>
  <c r="HQ12" i="9"/>
  <c r="HQ10" i="9"/>
  <c r="HQ8" i="9"/>
  <c r="HR212" i="9" l="1"/>
  <c r="HR211" i="9"/>
  <c r="HR213" i="9"/>
  <c r="HR207" i="9"/>
  <c r="HR206" i="9"/>
  <c r="HR210" i="9"/>
  <c r="HR209" i="9"/>
  <c r="HR208" i="9"/>
  <c r="HR205" i="9"/>
  <c r="HR204" i="9"/>
  <c r="HR203" i="9"/>
  <c r="HR202" i="9"/>
  <c r="HR199" i="9"/>
  <c r="HR195" i="9"/>
  <c r="HR198" i="9"/>
  <c r="HR194" i="9"/>
  <c r="HR200" i="9"/>
  <c r="HR192" i="9"/>
  <c r="HR201" i="9"/>
  <c r="HR191" i="9"/>
  <c r="HR188" i="9"/>
  <c r="HR184" i="9"/>
  <c r="HR180" i="9"/>
  <c r="HR196" i="9"/>
  <c r="HR193" i="9"/>
  <c r="HR187" i="9"/>
  <c r="HR183" i="9"/>
  <c r="HR179" i="9"/>
  <c r="HR197" i="9"/>
  <c r="HR182" i="9"/>
  <c r="HR176" i="9"/>
  <c r="HR172" i="9"/>
  <c r="HR189" i="9"/>
  <c r="HR181" i="9"/>
  <c r="HR175" i="9"/>
  <c r="HR190" i="9"/>
  <c r="HR174" i="9"/>
  <c r="HR168" i="9"/>
  <c r="HR164" i="9"/>
  <c r="HR160" i="9"/>
  <c r="HR156" i="9"/>
  <c r="HR152" i="9"/>
  <c r="HR185" i="9"/>
  <c r="HR173" i="9"/>
  <c r="HR171" i="9"/>
  <c r="HR167" i="9"/>
  <c r="HR163" i="9"/>
  <c r="HR159" i="9"/>
  <c r="HR155" i="9"/>
  <c r="HR151" i="9"/>
  <c r="HR186" i="9"/>
  <c r="HR170" i="9"/>
  <c r="HR177" i="9"/>
  <c r="HR178" i="9"/>
  <c r="HR165" i="9"/>
  <c r="HR162" i="9"/>
  <c r="HR169" i="9"/>
  <c r="HR161" i="9"/>
  <c r="HR166" i="9"/>
  <c r="HR158" i="9"/>
  <c r="HR153" i="9"/>
  <c r="HR147" i="9"/>
  <c r="HR157" i="9"/>
  <c r="HR146" i="9"/>
  <c r="HR150" i="9"/>
  <c r="HR149" i="9"/>
  <c r="HR154" i="9"/>
  <c r="HR148" i="9"/>
  <c r="HR145" i="9"/>
  <c r="HR142" i="9"/>
  <c r="HR138" i="9"/>
  <c r="HR134" i="9"/>
  <c r="HR141" i="9"/>
  <c r="HR137" i="9"/>
  <c r="HR133" i="9"/>
  <c r="HR144" i="9"/>
  <c r="HR140" i="9"/>
  <c r="HR136" i="9"/>
  <c r="HR143" i="9"/>
  <c r="HR139" i="9"/>
  <c r="HR135" i="9"/>
  <c r="HR131" i="9"/>
  <c r="HR132" i="9"/>
  <c r="HR128" i="9"/>
  <c r="HR124" i="9"/>
  <c r="HR120" i="9"/>
  <c r="HR127" i="9"/>
  <c r="HR123" i="9"/>
  <c r="HR119" i="9"/>
  <c r="HR130" i="9"/>
  <c r="HR126" i="9"/>
  <c r="HR122" i="9"/>
  <c r="HR118" i="9"/>
  <c r="HR129" i="9"/>
  <c r="HR125" i="9"/>
  <c r="HR121" i="9"/>
  <c r="HR117" i="9"/>
  <c r="HR113" i="9"/>
  <c r="HR109" i="9"/>
  <c r="HR105" i="9"/>
  <c r="HR101" i="9"/>
  <c r="HR97" i="9"/>
  <c r="HR93" i="9"/>
  <c r="HR112" i="9"/>
  <c r="HR108" i="9"/>
  <c r="HR104" i="9"/>
  <c r="HR100" i="9"/>
  <c r="HR96" i="9"/>
  <c r="HR92" i="9"/>
  <c r="HR88" i="9"/>
  <c r="HR115" i="9"/>
  <c r="HR111" i="9"/>
  <c r="HR107" i="9"/>
  <c r="HR116" i="9"/>
  <c r="HR114" i="9"/>
  <c r="HR110" i="9"/>
  <c r="HR106" i="9"/>
  <c r="HR102" i="9"/>
  <c r="HR98" i="9"/>
  <c r="HR94" i="9"/>
  <c r="HR90" i="9"/>
  <c r="HR99" i="9"/>
  <c r="HR84" i="9"/>
  <c r="HR80" i="9"/>
  <c r="HR76" i="9"/>
  <c r="HR72" i="9"/>
  <c r="HR68" i="9"/>
  <c r="HR64" i="9"/>
  <c r="HR95" i="9"/>
  <c r="HR91" i="9"/>
  <c r="HR83" i="9"/>
  <c r="HR79" i="9"/>
  <c r="HR75" i="9"/>
  <c r="HR71" i="9"/>
  <c r="HR67" i="9"/>
  <c r="HR63" i="9"/>
  <c r="HR89" i="9"/>
  <c r="HR86" i="9"/>
  <c r="HR82" i="9"/>
  <c r="HR78" i="9"/>
  <c r="HR74" i="9"/>
  <c r="HR70" i="9"/>
  <c r="HR66" i="9"/>
  <c r="HR103" i="9"/>
  <c r="HR87" i="9"/>
  <c r="HR85" i="9"/>
  <c r="HR81" i="9"/>
  <c r="HR77" i="9"/>
  <c r="HR73" i="9"/>
  <c r="HR69" i="9"/>
  <c r="HR65" i="9"/>
  <c r="HR62" i="9"/>
  <c r="HS6" i="9"/>
  <c r="HR16" i="9"/>
  <c r="HR14" i="9"/>
  <c r="HR12" i="9"/>
  <c r="HR10" i="9"/>
  <c r="HR8" i="9"/>
  <c r="HR15" i="9"/>
  <c r="HR13" i="9"/>
  <c r="HR11" i="9"/>
  <c r="HR9" i="9"/>
  <c r="HS213" i="9" l="1"/>
  <c r="HS211" i="9"/>
  <c r="HS212" i="9"/>
  <c r="HS210" i="9"/>
  <c r="HS209" i="9"/>
  <c r="HS208" i="9"/>
  <c r="HS204" i="9"/>
  <c r="HS203" i="9"/>
  <c r="HS207" i="9"/>
  <c r="HS206" i="9"/>
  <c r="HS205" i="9"/>
  <c r="HS201" i="9"/>
  <c r="HS198" i="9"/>
  <c r="HS194" i="9"/>
  <c r="HS200" i="9"/>
  <c r="HS197" i="9"/>
  <c r="HS191" i="9"/>
  <c r="HS190" i="9"/>
  <c r="HS196" i="9"/>
  <c r="HS193" i="9"/>
  <c r="HS187" i="9"/>
  <c r="HS183" i="9"/>
  <c r="HS192" i="9"/>
  <c r="HS186" i="9"/>
  <c r="HS182" i="9"/>
  <c r="HS189" i="9"/>
  <c r="HS181" i="9"/>
  <c r="HS175" i="9"/>
  <c r="HS202" i="9"/>
  <c r="HS199" i="9"/>
  <c r="HS188" i="9"/>
  <c r="HS180" i="9"/>
  <c r="HS178" i="9"/>
  <c r="HS174" i="9"/>
  <c r="HS185" i="9"/>
  <c r="HS173" i="9"/>
  <c r="HS172" i="9"/>
  <c r="HS171" i="9"/>
  <c r="HS167" i="9"/>
  <c r="HS163" i="9"/>
  <c r="HS159" i="9"/>
  <c r="HS155" i="9"/>
  <c r="HS151" i="9"/>
  <c r="HS179" i="9"/>
  <c r="HS170" i="9"/>
  <c r="HS166" i="9"/>
  <c r="HS162" i="9"/>
  <c r="HS158" i="9"/>
  <c r="HS154" i="9"/>
  <c r="HS150" i="9"/>
  <c r="HS195" i="9"/>
  <c r="HS177" i="9"/>
  <c r="HS184" i="9"/>
  <c r="HS176" i="9"/>
  <c r="HS164" i="9"/>
  <c r="HS169" i="9"/>
  <c r="HS161" i="9"/>
  <c r="HS168" i="9"/>
  <c r="HS160" i="9"/>
  <c r="HS165" i="9"/>
  <c r="HS157" i="9"/>
  <c r="HS152" i="9"/>
  <c r="HS146" i="9"/>
  <c r="HS149" i="9"/>
  <c r="HS145" i="9"/>
  <c r="HS148" i="9"/>
  <c r="HS156" i="9"/>
  <c r="HS153" i="9"/>
  <c r="HS147" i="9"/>
  <c r="HS141" i="9"/>
  <c r="HS137" i="9"/>
  <c r="HS133" i="9"/>
  <c r="HS144" i="9"/>
  <c r="HS140" i="9"/>
  <c r="HS136" i="9"/>
  <c r="HS132" i="9"/>
  <c r="HS143" i="9"/>
  <c r="HS139" i="9"/>
  <c r="HS135" i="9"/>
  <c r="HS142" i="9"/>
  <c r="HS138" i="9"/>
  <c r="HS134" i="9"/>
  <c r="HS131" i="9"/>
  <c r="HS127" i="9"/>
  <c r="HS123" i="9"/>
  <c r="HS119" i="9"/>
  <c r="HS130" i="9"/>
  <c r="HS126" i="9"/>
  <c r="HS122" i="9"/>
  <c r="HS118" i="9"/>
  <c r="HS129" i="9"/>
  <c r="HS125" i="9"/>
  <c r="HS121" i="9"/>
  <c r="HS117" i="9"/>
  <c r="HS128" i="9"/>
  <c r="HS124" i="9"/>
  <c r="HS120" i="9"/>
  <c r="HS116" i="9"/>
  <c r="HS112" i="9"/>
  <c r="HS108" i="9"/>
  <c r="HS104" i="9"/>
  <c r="HS100" i="9"/>
  <c r="HS96" i="9"/>
  <c r="HS92" i="9"/>
  <c r="HS115" i="9"/>
  <c r="HS111" i="9"/>
  <c r="HS107" i="9"/>
  <c r="HS103" i="9"/>
  <c r="HS99" i="9"/>
  <c r="HS95" i="9"/>
  <c r="HS91" i="9"/>
  <c r="HS87" i="9"/>
  <c r="HS114" i="9"/>
  <c r="HS110" i="9"/>
  <c r="HS106" i="9"/>
  <c r="HS113" i="9"/>
  <c r="HS109" i="9"/>
  <c r="HS105" i="9"/>
  <c r="HS101" i="9"/>
  <c r="HS97" i="9"/>
  <c r="HS93" i="9"/>
  <c r="HS89" i="9"/>
  <c r="HS83" i="9"/>
  <c r="HS79" i="9"/>
  <c r="HS75" i="9"/>
  <c r="HS71" i="9"/>
  <c r="HS67" i="9"/>
  <c r="HS63" i="9"/>
  <c r="HS102" i="9"/>
  <c r="HS90" i="9"/>
  <c r="HS86" i="9"/>
  <c r="HS82" i="9"/>
  <c r="HS78" i="9"/>
  <c r="HS74" i="9"/>
  <c r="HS70" i="9"/>
  <c r="HS66" i="9"/>
  <c r="HS62" i="9"/>
  <c r="HS98" i="9"/>
  <c r="HS88" i="9"/>
  <c r="HS85" i="9"/>
  <c r="HS81" i="9"/>
  <c r="HS77" i="9"/>
  <c r="HS73" i="9"/>
  <c r="HS69" i="9"/>
  <c r="HS65" i="9"/>
  <c r="HS94" i="9"/>
  <c r="HS84" i="9"/>
  <c r="HS80" i="9"/>
  <c r="HS76" i="9"/>
  <c r="HS72" i="9"/>
  <c r="HS68" i="9"/>
  <c r="HS64" i="9"/>
  <c r="HS16" i="9"/>
  <c r="HS14" i="9"/>
  <c r="HS12" i="9"/>
  <c r="HS10" i="9"/>
  <c r="HS8" i="9"/>
  <c r="HS15" i="9"/>
  <c r="HS13" i="9"/>
  <c r="HS11" i="9"/>
  <c r="HS9" i="9"/>
  <c r="HT6" i="9"/>
  <c r="HT8" i="9" l="1"/>
  <c r="HU6" i="9"/>
  <c r="HV6" i="9" l="1"/>
  <c r="HU8" i="9"/>
  <c r="HV213" i="9" l="1"/>
  <c r="HV212" i="9"/>
  <c r="HV209" i="9"/>
  <c r="HV211" i="9"/>
  <c r="HV210" i="9"/>
  <c r="HV208" i="9"/>
  <c r="HV207" i="9"/>
  <c r="HV202" i="9"/>
  <c r="HV206" i="9"/>
  <c r="HV205" i="9"/>
  <c r="HV204" i="9"/>
  <c r="HV201" i="9"/>
  <c r="HV200" i="9"/>
  <c r="HV197" i="9"/>
  <c r="HV203" i="9"/>
  <c r="HV196" i="9"/>
  <c r="HV190" i="9"/>
  <c r="HV198" i="9"/>
  <c r="HV193" i="9"/>
  <c r="HV192" i="9"/>
  <c r="HV186" i="9"/>
  <c r="HV182" i="9"/>
  <c r="HV194" i="9"/>
  <c r="HV191" i="9"/>
  <c r="HV189" i="9"/>
  <c r="HV185" i="9"/>
  <c r="HV181" i="9"/>
  <c r="HV199" i="9"/>
  <c r="HV188" i="9"/>
  <c r="HV180" i="9"/>
  <c r="HV178" i="9"/>
  <c r="HV174" i="9"/>
  <c r="HV187" i="9"/>
  <c r="HV177" i="9"/>
  <c r="HV173" i="9"/>
  <c r="HV179" i="9"/>
  <c r="HV170" i="9"/>
  <c r="HV166" i="9"/>
  <c r="HV162" i="9"/>
  <c r="HV158" i="9"/>
  <c r="HV154" i="9"/>
  <c r="HV183" i="9"/>
  <c r="HV169" i="9"/>
  <c r="HV165" i="9"/>
  <c r="HV161" i="9"/>
  <c r="HV157" i="9"/>
  <c r="HV153" i="9"/>
  <c r="HV195" i="9"/>
  <c r="HV184" i="9"/>
  <c r="HV175" i="9"/>
  <c r="HV172" i="9"/>
  <c r="HV176" i="9"/>
  <c r="HV171" i="9"/>
  <c r="HV163" i="9"/>
  <c r="HV168" i="9"/>
  <c r="HV160" i="9"/>
  <c r="HV167" i="9"/>
  <c r="HV159" i="9"/>
  <c r="HV164" i="9"/>
  <c r="HV156" i="9"/>
  <c r="HV151" i="9"/>
  <c r="HV149" i="9"/>
  <c r="HV155" i="9"/>
  <c r="HV150" i="9"/>
  <c r="HV148" i="9"/>
  <c r="HV147" i="9"/>
  <c r="HV152" i="9"/>
  <c r="HV146" i="9"/>
  <c r="HV144" i="9"/>
  <c r="HV140" i="9"/>
  <c r="HV136" i="9"/>
  <c r="HV143" i="9"/>
  <c r="HV139" i="9"/>
  <c r="HV135" i="9"/>
  <c r="HV131" i="9"/>
  <c r="HV142" i="9"/>
  <c r="HV138" i="9"/>
  <c r="HV134" i="9"/>
  <c r="HV145" i="9"/>
  <c r="HV141" i="9"/>
  <c r="HV137" i="9"/>
  <c r="HV133" i="9"/>
  <c r="HV130" i="9"/>
  <c r="HV126" i="9"/>
  <c r="HV122" i="9"/>
  <c r="HV118" i="9"/>
  <c r="HV129" i="9"/>
  <c r="HV125" i="9"/>
  <c r="HV121" i="9"/>
  <c r="HV117" i="9"/>
  <c r="HV128" i="9"/>
  <c r="HV124" i="9"/>
  <c r="HV120" i="9"/>
  <c r="HV132" i="9"/>
  <c r="HV127" i="9"/>
  <c r="HV123" i="9"/>
  <c r="HV119" i="9"/>
  <c r="HV115" i="9"/>
  <c r="HV111" i="9"/>
  <c r="HV107" i="9"/>
  <c r="HV103" i="9"/>
  <c r="HV99" i="9"/>
  <c r="HV95" i="9"/>
  <c r="HV114" i="9"/>
  <c r="HV110" i="9"/>
  <c r="HV106" i="9"/>
  <c r="HV102" i="9"/>
  <c r="HV98" i="9"/>
  <c r="HV94" i="9"/>
  <c r="HV90" i="9"/>
  <c r="HV116" i="9"/>
  <c r="HV113" i="9"/>
  <c r="HV109" i="9"/>
  <c r="HV112" i="9"/>
  <c r="HV108" i="9"/>
  <c r="HV104" i="9"/>
  <c r="HV100" i="9"/>
  <c r="HV96" i="9"/>
  <c r="HV92" i="9"/>
  <c r="HV88" i="9"/>
  <c r="HV97" i="9"/>
  <c r="HV91" i="9"/>
  <c r="HV86" i="9"/>
  <c r="HV82" i="9"/>
  <c r="HV78" i="9"/>
  <c r="HV74" i="9"/>
  <c r="HV70" i="9"/>
  <c r="HV66" i="9"/>
  <c r="HV93" i="9"/>
  <c r="HV89" i="9"/>
  <c r="HV85" i="9"/>
  <c r="HV81" i="9"/>
  <c r="HV77" i="9"/>
  <c r="HV73" i="9"/>
  <c r="HV69" i="9"/>
  <c r="HV65" i="9"/>
  <c r="HV105" i="9"/>
  <c r="HV87" i="9"/>
  <c r="HV84" i="9"/>
  <c r="HV80" i="9"/>
  <c r="HV76" i="9"/>
  <c r="HV72" i="9"/>
  <c r="HV68" i="9"/>
  <c r="HV64" i="9"/>
  <c r="HV101" i="9"/>
  <c r="HV83" i="9"/>
  <c r="HV79" i="9"/>
  <c r="HV75" i="9"/>
  <c r="HV71" i="9"/>
  <c r="HV67" i="9"/>
  <c r="HV63" i="9"/>
  <c r="HV62" i="9"/>
  <c r="HW6" i="9"/>
  <c r="HV15" i="9"/>
  <c r="HV13" i="9"/>
  <c r="HV11" i="9"/>
  <c r="HV9" i="9"/>
  <c r="HV8" i="9"/>
  <c r="HV16" i="9"/>
  <c r="HV14" i="9"/>
  <c r="HV12" i="9"/>
  <c r="HV10" i="9"/>
  <c r="HW213" i="9" l="1"/>
  <c r="HW212" i="9"/>
  <c r="HW211" i="9"/>
  <c r="HW209" i="9"/>
  <c r="HW210" i="9"/>
  <c r="HW208" i="9"/>
  <c r="HW207" i="9"/>
  <c r="HW206" i="9"/>
  <c r="HW205" i="9"/>
  <c r="HW204" i="9"/>
  <c r="HW201" i="9"/>
  <c r="HW200" i="9"/>
  <c r="HW203" i="9"/>
  <c r="HW202" i="9"/>
  <c r="HW196" i="9"/>
  <c r="HW199" i="9"/>
  <c r="HW195" i="9"/>
  <c r="HW198" i="9"/>
  <c r="HW193" i="9"/>
  <c r="HW197" i="9"/>
  <c r="HW192" i="9"/>
  <c r="HW194" i="9"/>
  <c r="HW191" i="9"/>
  <c r="HW189" i="9"/>
  <c r="HW185" i="9"/>
  <c r="HW181" i="9"/>
  <c r="HW190" i="9"/>
  <c r="HW188" i="9"/>
  <c r="HW184" i="9"/>
  <c r="HW180" i="9"/>
  <c r="HW187" i="9"/>
  <c r="HW177" i="9"/>
  <c r="HW173" i="9"/>
  <c r="HW186" i="9"/>
  <c r="HW179" i="9"/>
  <c r="HW176" i="9"/>
  <c r="HW183" i="9"/>
  <c r="HW169" i="9"/>
  <c r="HW165" i="9"/>
  <c r="HW161" i="9"/>
  <c r="HW157" i="9"/>
  <c r="HW153" i="9"/>
  <c r="HW178" i="9"/>
  <c r="HW168" i="9"/>
  <c r="HW164" i="9"/>
  <c r="HW160" i="9"/>
  <c r="HW156" i="9"/>
  <c r="HW152" i="9"/>
  <c r="HW182" i="9"/>
  <c r="HW175" i="9"/>
  <c r="HW172" i="9"/>
  <c r="HW171" i="9"/>
  <c r="HW174" i="9"/>
  <c r="HW170" i="9"/>
  <c r="HW162" i="9"/>
  <c r="HW167" i="9"/>
  <c r="HW159" i="9"/>
  <c r="HW166" i="9"/>
  <c r="HW163" i="9"/>
  <c r="HW155" i="9"/>
  <c r="HW150" i="9"/>
  <c r="HW148" i="9"/>
  <c r="HW147" i="9"/>
  <c r="HW158" i="9"/>
  <c r="HW154" i="9"/>
  <c r="HW146" i="9"/>
  <c r="HW151" i="9"/>
  <c r="HW149" i="9"/>
  <c r="HW145" i="9"/>
  <c r="HW143" i="9"/>
  <c r="HW139" i="9"/>
  <c r="HW135" i="9"/>
  <c r="HW142" i="9"/>
  <c r="HW138" i="9"/>
  <c r="HW134" i="9"/>
  <c r="HW141" i="9"/>
  <c r="HW137" i="9"/>
  <c r="HW133" i="9"/>
  <c r="HW144" i="9"/>
  <c r="HW140" i="9"/>
  <c r="HW136" i="9"/>
  <c r="HW132" i="9"/>
  <c r="HW129" i="9"/>
  <c r="HW125" i="9"/>
  <c r="HW121" i="9"/>
  <c r="HW117" i="9"/>
  <c r="HW128" i="9"/>
  <c r="HW124" i="9"/>
  <c r="HW120" i="9"/>
  <c r="HW116" i="9"/>
  <c r="HW127" i="9"/>
  <c r="HW123" i="9"/>
  <c r="HW119" i="9"/>
  <c r="HW131" i="9"/>
  <c r="HW130" i="9"/>
  <c r="HW126" i="9"/>
  <c r="HW122" i="9"/>
  <c r="HW118" i="9"/>
  <c r="HW114" i="9"/>
  <c r="HW110" i="9"/>
  <c r="HW106" i="9"/>
  <c r="HW102" i="9"/>
  <c r="HW98" i="9"/>
  <c r="HW94" i="9"/>
  <c r="HW113" i="9"/>
  <c r="HW109" i="9"/>
  <c r="HW105" i="9"/>
  <c r="HW101" i="9"/>
  <c r="HW97" i="9"/>
  <c r="HW93" i="9"/>
  <c r="HW89" i="9"/>
  <c r="HW112" i="9"/>
  <c r="HW108" i="9"/>
  <c r="HW115" i="9"/>
  <c r="HW111" i="9"/>
  <c r="HW107" i="9"/>
  <c r="HW103" i="9"/>
  <c r="HW99" i="9"/>
  <c r="HW95" i="9"/>
  <c r="HW91" i="9"/>
  <c r="HW87" i="9"/>
  <c r="HW104" i="9"/>
  <c r="HW90" i="9"/>
  <c r="HW85" i="9"/>
  <c r="HW81" i="9"/>
  <c r="HW77" i="9"/>
  <c r="HW73" i="9"/>
  <c r="HW69" i="9"/>
  <c r="HW65" i="9"/>
  <c r="HW100" i="9"/>
  <c r="HW88" i="9"/>
  <c r="HW84" i="9"/>
  <c r="HW80" i="9"/>
  <c r="HW76" i="9"/>
  <c r="HW72" i="9"/>
  <c r="HW68" i="9"/>
  <c r="HW64" i="9"/>
  <c r="HW96" i="9"/>
  <c r="HW83" i="9"/>
  <c r="HW79" i="9"/>
  <c r="HW75" i="9"/>
  <c r="HW71" i="9"/>
  <c r="HW67" i="9"/>
  <c r="HW92" i="9"/>
  <c r="HW86" i="9"/>
  <c r="HW82" i="9"/>
  <c r="HW78" i="9"/>
  <c r="HW74" i="9"/>
  <c r="HW70" i="9"/>
  <c r="HW66" i="9"/>
  <c r="HW62" i="9"/>
  <c r="HW63" i="9"/>
  <c r="HW15" i="9"/>
  <c r="HW13" i="9"/>
  <c r="HW11" i="9"/>
  <c r="HW9" i="9"/>
  <c r="HW8" i="9"/>
  <c r="HW16" i="9"/>
  <c r="HW14" i="9"/>
  <c r="HW12" i="9"/>
  <c r="HW10" i="9"/>
  <c r="HX6" i="9"/>
  <c r="HX212" i="9" l="1"/>
  <c r="HX211" i="9"/>
  <c r="HX213" i="9"/>
  <c r="HX210" i="9"/>
  <c r="HX208" i="9"/>
  <c r="HX207" i="9"/>
  <c r="HX206" i="9"/>
  <c r="HX209" i="9"/>
  <c r="HX205" i="9"/>
  <c r="HX204" i="9"/>
  <c r="HX203" i="9"/>
  <c r="HX200" i="9"/>
  <c r="HX202" i="9"/>
  <c r="HX199" i="9"/>
  <c r="HX195" i="9"/>
  <c r="HX198" i="9"/>
  <c r="HX194" i="9"/>
  <c r="HX201" i="9"/>
  <c r="HX197" i="9"/>
  <c r="HX192" i="9"/>
  <c r="HX196" i="9"/>
  <c r="HX191" i="9"/>
  <c r="HX190" i="9"/>
  <c r="HX188" i="9"/>
  <c r="HX184" i="9"/>
  <c r="HX180" i="9"/>
  <c r="HX187" i="9"/>
  <c r="HX183" i="9"/>
  <c r="HX179" i="9"/>
  <c r="HX186" i="9"/>
  <c r="HX176" i="9"/>
  <c r="HX172" i="9"/>
  <c r="HX185" i="9"/>
  <c r="HX175" i="9"/>
  <c r="HX178" i="9"/>
  <c r="HX168" i="9"/>
  <c r="HX164" i="9"/>
  <c r="HX160" i="9"/>
  <c r="HX156" i="9"/>
  <c r="HX152" i="9"/>
  <c r="HX181" i="9"/>
  <c r="HX177" i="9"/>
  <c r="HX171" i="9"/>
  <c r="HX167" i="9"/>
  <c r="HX163" i="9"/>
  <c r="HX159" i="9"/>
  <c r="HX155" i="9"/>
  <c r="HX151" i="9"/>
  <c r="HX193" i="9"/>
  <c r="HX182" i="9"/>
  <c r="HX173" i="9"/>
  <c r="HX174" i="9"/>
  <c r="HX170" i="9"/>
  <c r="HX189" i="9"/>
  <c r="HX169" i="9"/>
  <c r="HX161" i="9"/>
  <c r="HX166" i="9"/>
  <c r="HX158" i="9"/>
  <c r="HX165" i="9"/>
  <c r="HX162" i="9"/>
  <c r="HX157" i="9"/>
  <c r="HX147" i="9"/>
  <c r="HX154" i="9"/>
  <c r="HX146" i="9"/>
  <c r="HX153" i="9"/>
  <c r="HX149" i="9"/>
  <c r="HX150" i="9"/>
  <c r="HX148" i="9"/>
  <c r="HX144" i="9"/>
  <c r="HX142" i="9"/>
  <c r="HX138" i="9"/>
  <c r="HX134" i="9"/>
  <c r="HX141" i="9"/>
  <c r="HX137" i="9"/>
  <c r="HX133" i="9"/>
  <c r="HX145" i="9"/>
  <c r="HX140" i="9"/>
  <c r="HX136" i="9"/>
  <c r="HX143" i="9"/>
  <c r="HX139" i="9"/>
  <c r="HX135" i="9"/>
  <c r="HX131" i="9"/>
  <c r="HX128" i="9"/>
  <c r="HX124" i="9"/>
  <c r="HX120" i="9"/>
  <c r="HX127" i="9"/>
  <c r="HX123" i="9"/>
  <c r="HX119" i="9"/>
  <c r="HX132" i="9"/>
  <c r="HX130" i="9"/>
  <c r="HX126" i="9"/>
  <c r="HX122" i="9"/>
  <c r="HX118" i="9"/>
  <c r="HX129" i="9"/>
  <c r="HX125" i="9"/>
  <c r="HX121" i="9"/>
  <c r="HX117" i="9"/>
  <c r="HX113" i="9"/>
  <c r="HX109" i="9"/>
  <c r="HX105" i="9"/>
  <c r="HX101" i="9"/>
  <c r="HX97" i="9"/>
  <c r="HX93" i="9"/>
  <c r="HX116" i="9"/>
  <c r="HX112" i="9"/>
  <c r="HX108" i="9"/>
  <c r="HX104" i="9"/>
  <c r="HX100" i="9"/>
  <c r="HX96" i="9"/>
  <c r="HX92" i="9"/>
  <c r="HX88" i="9"/>
  <c r="HX115" i="9"/>
  <c r="HX111" i="9"/>
  <c r="HX107" i="9"/>
  <c r="HX114" i="9"/>
  <c r="HX110" i="9"/>
  <c r="HX106" i="9"/>
  <c r="HX102" i="9"/>
  <c r="HX98" i="9"/>
  <c r="HX94" i="9"/>
  <c r="HX90" i="9"/>
  <c r="HX95" i="9"/>
  <c r="HX89" i="9"/>
  <c r="HX84" i="9"/>
  <c r="HX80" i="9"/>
  <c r="HX76" i="9"/>
  <c r="HX72" i="9"/>
  <c r="HX68" i="9"/>
  <c r="HX64" i="9"/>
  <c r="HX87" i="9"/>
  <c r="HX83" i="9"/>
  <c r="HX79" i="9"/>
  <c r="HX75" i="9"/>
  <c r="HX71" i="9"/>
  <c r="HX67" i="9"/>
  <c r="HX63" i="9"/>
  <c r="HX103" i="9"/>
  <c r="HX86" i="9"/>
  <c r="HX82" i="9"/>
  <c r="HX78" i="9"/>
  <c r="HX74" i="9"/>
  <c r="HX70" i="9"/>
  <c r="HX66" i="9"/>
  <c r="HX99" i="9"/>
  <c r="HX91" i="9"/>
  <c r="HX85" i="9"/>
  <c r="HX81" i="9"/>
  <c r="HX77" i="9"/>
  <c r="HX73" i="9"/>
  <c r="HX69" i="9"/>
  <c r="HX65" i="9"/>
  <c r="HX62" i="9"/>
  <c r="HX8" i="9"/>
  <c r="HX16" i="9"/>
  <c r="HX14" i="9"/>
  <c r="HX12" i="9"/>
  <c r="HX10" i="9"/>
  <c r="HY6" i="9"/>
  <c r="HX15" i="9"/>
  <c r="HX13" i="9"/>
  <c r="HX11" i="9"/>
  <c r="HX9" i="9"/>
  <c r="HY213" i="9" l="1"/>
  <c r="HY212" i="9"/>
  <c r="HY211" i="9"/>
  <c r="HY210" i="9"/>
  <c r="HY209" i="9"/>
  <c r="HY204" i="9"/>
  <c r="HY206" i="9"/>
  <c r="HY203" i="9"/>
  <c r="HY207" i="9"/>
  <c r="HY202" i="9"/>
  <c r="HY208" i="9"/>
  <c r="HY205" i="9"/>
  <c r="HY201" i="9"/>
  <c r="HY200" i="9"/>
  <c r="HY199" i="9"/>
  <c r="HY198" i="9"/>
  <c r="HY194" i="9"/>
  <c r="HY197" i="9"/>
  <c r="HY196" i="9"/>
  <c r="HY191" i="9"/>
  <c r="HY195" i="9"/>
  <c r="HY190" i="9"/>
  <c r="HY187" i="9"/>
  <c r="HY183" i="9"/>
  <c r="HY186" i="9"/>
  <c r="HY182" i="9"/>
  <c r="HY185" i="9"/>
  <c r="HY179" i="9"/>
  <c r="HY175" i="9"/>
  <c r="HY192" i="9"/>
  <c r="HY184" i="9"/>
  <c r="HY178" i="9"/>
  <c r="HY174" i="9"/>
  <c r="HY181" i="9"/>
  <c r="HY177" i="9"/>
  <c r="HY171" i="9"/>
  <c r="HY167" i="9"/>
  <c r="HY163" i="9"/>
  <c r="HY159" i="9"/>
  <c r="HY155" i="9"/>
  <c r="HY151" i="9"/>
  <c r="HY188" i="9"/>
  <c r="HY176" i="9"/>
  <c r="HY172" i="9"/>
  <c r="HY170" i="9"/>
  <c r="HY166" i="9"/>
  <c r="HY162" i="9"/>
  <c r="HY158" i="9"/>
  <c r="HY154" i="9"/>
  <c r="HY150" i="9"/>
  <c r="HY193" i="9"/>
  <c r="HY173" i="9"/>
  <c r="HY189" i="9"/>
  <c r="HY180" i="9"/>
  <c r="HY168" i="9"/>
  <c r="HY160" i="9"/>
  <c r="HY165" i="9"/>
  <c r="HY157" i="9"/>
  <c r="HY164" i="9"/>
  <c r="HY169" i="9"/>
  <c r="HY161" i="9"/>
  <c r="HY146" i="9"/>
  <c r="HY153" i="9"/>
  <c r="HY149" i="9"/>
  <c r="HY145" i="9"/>
  <c r="HY156" i="9"/>
  <c r="HY152" i="9"/>
  <c r="HY148" i="9"/>
  <c r="HY147" i="9"/>
  <c r="HY141" i="9"/>
  <c r="HY137" i="9"/>
  <c r="HY133" i="9"/>
  <c r="HY140" i="9"/>
  <c r="HY136" i="9"/>
  <c r="HY132" i="9"/>
  <c r="HY144" i="9"/>
  <c r="HY143" i="9"/>
  <c r="HY139" i="9"/>
  <c r="HY135" i="9"/>
  <c r="HY142" i="9"/>
  <c r="HY138" i="9"/>
  <c r="HY134" i="9"/>
  <c r="HY127" i="9"/>
  <c r="HY123" i="9"/>
  <c r="HY119" i="9"/>
  <c r="HY130" i="9"/>
  <c r="HY126" i="9"/>
  <c r="HY122" i="9"/>
  <c r="HY118" i="9"/>
  <c r="HY131" i="9"/>
  <c r="HY129" i="9"/>
  <c r="HY125" i="9"/>
  <c r="HY121" i="9"/>
  <c r="HY117" i="9"/>
  <c r="HY128" i="9"/>
  <c r="HY124" i="9"/>
  <c r="HY120" i="9"/>
  <c r="HY116" i="9"/>
  <c r="HY112" i="9"/>
  <c r="HY108" i="9"/>
  <c r="HY104" i="9"/>
  <c r="HY100" i="9"/>
  <c r="HY96" i="9"/>
  <c r="HY92" i="9"/>
  <c r="HY115" i="9"/>
  <c r="HY111" i="9"/>
  <c r="HY107" i="9"/>
  <c r="HY103" i="9"/>
  <c r="HY99" i="9"/>
  <c r="HY95" i="9"/>
  <c r="HY91" i="9"/>
  <c r="HY87" i="9"/>
  <c r="HY114" i="9"/>
  <c r="HY110" i="9"/>
  <c r="HY106" i="9"/>
  <c r="HY113" i="9"/>
  <c r="HY109" i="9"/>
  <c r="HY105" i="9"/>
  <c r="HY101" i="9"/>
  <c r="HY97" i="9"/>
  <c r="HY93" i="9"/>
  <c r="HY89" i="9"/>
  <c r="HY102" i="9"/>
  <c r="HY88" i="9"/>
  <c r="HY83" i="9"/>
  <c r="HY79" i="9"/>
  <c r="HY75" i="9"/>
  <c r="HY71" i="9"/>
  <c r="HY67" i="9"/>
  <c r="HY63" i="9"/>
  <c r="HY98" i="9"/>
  <c r="HY86" i="9"/>
  <c r="HY82" i="9"/>
  <c r="HY78" i="9"/>
  <c r="HY74" i="9"/>
  <c r="HY70" i="9"/>
  <c r="HY66" i="9"/>
  <c r="HY62" i="9"/>
  <c r="HY94" i="9"/>
  <c r="HY85" i="9"/>
  <c r="HY81" i="9"/>
  <c r="HY77" i="9"/>
  <c r="HY73" i="9"/>
  <c r="HY69" i="9"/>
  <c r="HY65" i="9"/>
  <c r="HY90" i="9"/>
  <c r="HY84" i="9"/>
  <c r="HY80" i="9"/>
  <c r="HY76" i="9"/>
  <c r="HY72" i="9"/>
  <c r="HY68" i="9"/>
  <c r="HY64" i="9"/>
  <c r="HY16" i="9"/>
  <c r="HY14" i="9"/>
  <c r="HY12" i="9"/>
  <c r="HY10" i="9"/>
  <c r="HZ6" i="9"/>
  <c r="HY15" i="9"/>
  <c r="HY13" i="9"/>
  <c r="HY11" i="9"/>
  <c r="HY9" i="9"/>
  <c r="HY8" i="9"/>
  <c r="HZ213" i="9" l="1"/>
  <c r="HZ212" i="9"/>
  <c r="HZ211" i="9"/>
  <c r="HZ209" i="9"/>
  <c r="HZ210" i="9"/>
  <c r="HZ208" i="9"/>
  <c r="HZ207" i="9"/>
  <c r="HZ206" i="9"/>
  <c r="HZ202" i="9"/>
  <c r="HZ205" i="9"/>
  <c r="HZ203" i="9"/>
  <c r="HZ201" i="9"/>
  <c r="HZ200" i="9"/>
  <c r="HZ197" i="9"/>
  <c r="HZ204" i="9"/>
  <c r="HZ196" i="9"/>
  <c r="HZ195" i="9"/>
  <c r="HZ190" i="9"/>
  <c r="HZ199" i="9"/>
  <c r="HZ194" i="9"/>
  <c r="HZ193" i="9"/>
  <c r="HZ186" i="9"/>
  <c r="HZ182" i="9"/>
  <c r="HZ189" i="9"/>
  <c r="HZ185" i="9"/>
  <c r="HZ181" i="9"/>
  <c r="HZ192" i="9"/>
  <c r="HZ184" i="9"/>
  <c r="HZ178" i="9"/>
  <c r="HZ174" i="9"/>
  <c r="HZ198" i="9"/>
  <c r="HZ183" i="9"/>
  <c r="HZ177" i="9"/>
  <c r="HZ173" i="9"/>
  <c r="HZ188" i="9"/>
  <c r="HZ176" i="9"/>
  <c r="HZ172" i="9"/>
  <c r="HZ170" i="9"/>
  <c r="HZ166" i="9"/>
  <c r="HZ162" i="9"/>
  <c r="HZ158" i="9"/>
  <c r="HZ154" i="9"/>
  <c r="HZ191" i="9"/>
  <c r="HZ175" i="9"/>
  <c r="HZ169" i="9"/>
  <c r="HZ165" i="9"/>
  <c r="HZ161" i="9"/>
  <c r="HZ157" i="9"/>
  <c r="HZ153" i="9"/>
  <c r="HZ187" i="9"/>
  <c r="HZ171" i="9"/>
  <c r="HZ180" i="9"/>
  <c r="HZ179" i="9"/>
  <c r="HZ167" i="9"/>
  <c r="HZ159" i="9"/>
  <c r="HZ164" i="9"/>
  <c r="HZ156" i="9"/>
  <c r="HZ163" i="9"/>
  <c r="HZ168" i="9"/>
  <c r="HZ160" i="9"/>
  <c r="HZ155" i="9"/>
  <c r="HZ149" i="9"/>
  <c r="HZ152" i="9"/>
  <c r="HZ148" i="9"/>
  <c r="HZ144" i="9"/>
  <c r="HZ151" i="9"/>
  <c r="HZ150" i="9"/>
  <c r="HZ147" i="9"/>
  <c r="HZ146" i="9"/>
  <c r="HZ140" i="9"/>
  <c r="HZ136" i="9"/>
  <c r="HZ145" i="9"/>
  <c r="HZ143" i="9"/>
  <c r="HZ139" i="9"/>
  <c r="HZ135" i="9"/>
  <c r="HZ131" i="9"/>
  <c r="HZ142" i="9"/>
  <c r="HZ138" i="9"/>
  <c r="HZ134" i="9"/>
  <c r="HZ141" i="9"/>
  <c r="HZ137" i="9"/>
  <c r="HZ133" i="9"/>
  <c r="HZ130" i="9"/>
  <c r="HZ126" i="9"/>
  <c r="HZ122" i="9"/>
  <c r="HZ118" i="9"/>
  <c r="HZ132" i="9"/>
  <c r="HZ129" i="9"/>
  <c r="HZ125" i="9"/>
  <c r="HZ121" i="9"/>
  <c r="HZ117" i="9"/>
  <c r="HZ128" i="9"/>
  <c r="HZ124" i="9"/>
  <c r="HZ120" i="9"/>
  <c r="HZ127" i="9"/>
  <c r="HZ123" i="9"/>
  <c r="HZ119" i="9"/>
  <c r="HZ116" i="9"/>
  <c r="HZ115" i="9"/>
  <c r="HZ111" i="9"/>
  <c r="HZ107" i="9"/>
  <c r="HZ103" i="9"/>
  <c r="HZ99" i="9"/>
  <c r="HZ95" i="9"/>
  <c r="HZ114" i="9"/>
  <c r="HZ110" i="9"/>
  <c r="HZ106" i="9"/>
  <c r="HZ102" i="9"/>
  <c r="HZ98" i="9"/>
  <c r="HZ94" i="9"/>
  <c r="HZ90" i="9"/>
  <c r="HZ113" i="9"/>
  <c r="HZ109" i="9"/>
  <c r="HZ112" i="9"/>
  <c r="HZ108" i="9"/>
  <c r="HZ104" i="9"/>
  <c r="HZ100" i="9"/>
  <c r="HZ96" i="9"/>
  <c r="HZ92" i="9"/>
  <c r="HZ88" i="9"/>
  <c r="HZ93" i="9"/>
  <c r="HZ87" i="9"/>
  <c r="HZ86" i="9"/>
  <c r="HZ82" i="9"/>
  <c r="HZ78" i="9"/>
  <c r="HZ74" i="9"/>
  <c r="HZ70" i="9"/>
  <c r="HZ66" i="9"/>
  <c r="HZ105" i="9"/>
  <c r="HZ85" i="9"/>
  <c r="HZ81" i="9"/>
  <c r="HZ77" i="9"/>
  <c r="HZ73" i="9"/>
  <c r="HZ69" i="9"/>
  <c r="HZ65" i="9"/>
  <c r="HZ101" i="9"/>
  <c r="HZ91" i="9"/>
  <c r="HZ84" i="9"/>
  <c r="HZ80" i="9"/>
  <c r="HZ76" i="9"/>
  <c r="HZ72" i="9"/>
  <c r="HZ68" i="9"/>
  <c r="HZ64" i="9"/>
  <c r="HZ97" i="9"/>
  <c r="HZ89" i="9"/>
  <c r="HZ83" i="9"/>
  <c r="HZ79" i="9"/>
  <c r="HZ75" i="9"/>
  <c r="HZ71" i="9"/>
  <c r="HZ67" i="9"/>
  <c r="HZ63" i="9"/>
  <c r="HZ62" i="9"/>
  <c r="IA6" i="9"/>
  <c r="HZ15" i="9"/>
  <c r="HZ13" i="9"/>
  <c r="HZ11" i="9"/>
  <c r="HZ9" i="9"/>
  <c r="HZ8" i="9"/>
  <c r="HZ16" i="9"/>
  <c r="HZ14" i="9"/>
  <c r="HZ12" i="9"/>
  <c r="HZ10" i="9"/>
  <c r="IA8" i="9" l="1"/>
  <c r="IB6" i="9"/>
  <c r="IB8" i="9" l="1"/>
  <c r="IC6" i="9"/>
  <c r="IC213" i="9" l="1"/>
  <c r="IC212" i="9"/>
  <c r="IC211" i="9"/>
  <c r="IC209" i="9"/>
  <c r="IC208" i="9"/>
  <c r="IC210" i="9"/>
  <c r="IC207" i="9"/>
  <c r="IC206" i="9"/>
  <c r="IC205" i="9"/>
  <c r="IC204" i="9"/>
  <c r="IC203" i="9"/>
  <c r="IC201" i="9"/>
  <c r="IC200" i="9"/>
  <c r="IC196" i="9"/>
  <c r="IC195" i="9"/>
  <c r="IC199" i="9"/>
  <c r="IC194" i="9"/>
  <c r="IC193" i="9"/>
  <c r="IC192" i="9"/>
  <c r="IC189" i="9"/>
  <c r="IC185" i="9"/>
  <c r="IC181" i="9"/>
  <c r="IC197" i="9"/>
  <c r="IC188" i="9"/>
  <c r="IC184" i="9"/>
  <c r="IC180" i="9"/>
  <c r="IC202" i="9"/>
  <c r="IC198" i="9"/>
  <c r="IC183" i="9"/>
  <c r="IC177" i="9"/>
  <c r="IC173" i="9"/>
  <c r="IC190" i="9"/>
  <c r="IC182" i="9"/>
  <c r="IC176" i="9"/>
  <c r="IC191" i="9"/>
  <c r="IC175" i="9"/>
  <c r="IC169" i="9"/>
  <c r="IC165" i="9"/>
  <c r="IC161" i="9"/>
  <c r="IC157" i="9"/>
  <c r="IC153" i="9"/>
  <c r="IC186" i="9"/>
  <c r="IC174" i="9"/>
  <c r="IC168" i="9"/>
  <c r="IC164" i="9"/>
  <c r="IC160" i="9"/>
  <c r="IC156" i="9"/>
  <c r="IC152" i="9"/>
  <c r="IC187" i="9"/>
  <c r="IC171" i="9"/>
  <c r="IC178" i="9"/>
  <c r="IC170" i="9"/>
  <c r="IC179" i="9"/>
  <c r="IC172" i="9"/>
  <c r="IC166" i="9"/>
  <c r="IC163" i="9"/>
  <c r="IC155" i="9"/>
  <c r="IC162" i="9"/>
  <c r="IC167" i="9"/>
  <c r="IC159" i="9"/>
  <c r="IC154" i="9"/>
  <c r="IC148" i="9"/>
  <c r="IC158" i="9"/>
  <c r="IC151" i="9"/>
  <c r="IC150" i="9"/>
  <c r="IC147" i="9"/>
  <c r="IC146" i="9"/>
  <c r="IC149" i="9"/>
  <c r="IC145" i="9"/>
  <c r="IC143" i="9"/>
  <c r="IC139" i="9"/>
  <c r="IC135" i="9"/>
  <c r="IC144" i="9"/>
  <c r="IC142" i="9"/>
  <c r="IC138" i="9"/>
  <c r="IC134" i="9"/>
  <c r="IC141" i="9"/>
  <c r="IC137" i="9"/>
  <c r="IC133" i="9"/>
  <c r="IC140" i="9"/>
  <c r="IC136" i="9"/>
  <c r="IC132" i="9"/>
  <c r="IC129" i="9"/>
  <c r="IC125" i="9"/>
  <c r="IC121" i="9"/>
  <c r="IC117" i="9"/>
  <c r="IC131" i="9"/>
  <c r="IC128" i="9"/>
  <c r="IC124" i="9"/>
  <c r="IC120" i="9"/>
  <c r="IC116" i="9"/>
  <c r="IC127" i="9"/>
  <c r="IC123" i="9"/>
  <c r="IC119" i="9"/>
  <c r="IC130" i="9"/>
  <c r="IC126" i="9"/>
  <c r="IC122" i="9"/>
  <c r="IC118" i="9"/>
  <c r="IC114" i="9"/>
  <c r="IC110" i="9"/>
  <c r="IC106" i="9"/>
  <c r="IC102" i="9"/>
  <c r="IC98" i="9"/>
  <c r="IC94" i="9"/>
  <c r="IC113" i="9"/>
  <c r="IC109" i="9"/>
  <c r="IC105" i="9"/>
  <c r="IC101" i="9"/>
  <c r="IC97" i="9"/>
  <c r="IC93" i="9"/>
  <c r="IC89" i="9"/>
  <c r="IC112" i="9"/>
  <c r="IC108" i="9"/>
  <c r="IC115" i="9"/>
  <c r="IC111" i="9"/>
  <c r="IC107" i="9"/>
  <c r="IC103" i="9"/>
  <c r="IC99" i="9"/>
  <c r="IC95" i="9"/>
  <c r="IC91" i="9"/>
  <c r="IC87" i="9"/>
  <c r="IC100" i="9"/>
  <c r="IC85" i="9"/>
  <c r="IC81" i="9"/>
  <c r="IC77" i="9"/>
  <c r="IC73" i="9"/>
  <c r="IC69" i="9"/>
  <c r="IC65" i="9"/>
  <c r="IC96" i="9"/>
  <c r="IC84" i="9"/>
  <c r="IC80" i="9"/>
  <c r="IC76" i="9"/>
  <c r="IC72" i="9"/>
  <c r="IC68" i="9"/>
  <c r="IC64" i="9"/>
  <c r="IC92" i="9"/>
  <c r="IC90" i="9"/>
  <c r="IC83" i="9"/>
  <c r="IC79" i="9"/>
  <c r="IC75" i="9"/>
  <c r="IC71" i="9"/>
  <c r="IC67" i="9"/>
  <c r="IC104" i="9"/>
  <c r="IC88" i="9"/>
  <c r="IC86" i="9"/>
  <c r="IC82" i="9"/>
  <c r="IC78" i="9"/>
  <c r="IC74" i="9"/>
  <c r="IC70" i="9"/>
  <c r="IC66" i="9"/>
  <c r="IC62" i="9"/>
  <c r="IC63" i="9"/>
  <c r="IC15" i="9"/>
  <c r="IC13" i="9"/>
  <c r="IC11" i="9"/>
  <c r="IC9" i="9"/>
  <c r="ID6" i="9"/>
  <c r="IC16" i="9"/>
  <c r="IC14" i="9"/>
  <c r="IC12" i="9"/>
  <c r="IC10" i="9"/>
  <c r="IC8" i="9"/>
  <c r="ID212" i="9" l="1"/>
  <c r="ID213" i="9"/>
  <c r="ID211" i="9"/>
  <c r="ID210" i="9"/>
  <c r="ID207" i="9"/>
  <c r="ID209" i="9"/>
  <c r="ID208" i="9"/>
  <c r="ID206" i="9"/>
  <c r="ID205" i="9"/>
  <c r="ID204" i="9"/>
  <c r="ID203" i="9"/>
  <c r="ID200" i="9"/>
  <c r="ID199" i="9"/>
  <c r="ID202" i="9"/>
  <c r="ID195" i="9"/>
  <c r="ID201" i="9"/>
  <c r="ID198" i="9"/>
  <c r="ID194" i="9"/>
  <c r="ID192" i="9"/>
  <c r="ID191" i="9"/>
  <c r="ID197" i="9"/>
  <c r="ID188" i="9"/>
  <c r="ID184" i="9"/>
  <c r="ID180" i="9"/>
  <c r="ID193" i="9"/>
  <c r="ID187" i="9"/>
  <c r="ID183" i="9"/>
  <c r="ID179" i="9"/>
  <c r="ID190" i="9"/>
  <c r="ID182" i="9"/>
  <c r="ID176" i="9"/>
  <c r="ID172" i="9"/>
  <c r="ID189" i="9"/>
  <c r="ID181" i="9"/>
  <c r="ID175" i="9"/>
  <c r="ID186" i="9"/>
  <c r="ID174" i="9"/>
  <c r="ID168" i="9"/>
  <c r="ID164" i="9"/>
  <c r="ID160" i="9"/>
  <c r="ID156" i="9"/>
  <c r="ID152" i="9"/>
  <c r="ID173" i="9"/>
  <c r="ID171" i="9"/>
  <c r="ID167" i="9"/>
  <c r="ID163" i="9"/>
  <c r="ID159" i="9"/>
  <c r="ID155" i="9"/>
  <c r="ID151" i="9"/>
  <c r="ID196" i="9"/>
  <c r="ID178" i="9"/>
  <c r="ID170" i="9"/>
  <c r="ID185" i="9"/>
  <c r="ID177" i="9"/>
  <c r="ID165" i="9"/>
  <c r="ID162" i="9"/>
  <c r="ID169" i="9"/>
  <c r="ID161" i="9"/>
  <c r="ID166" i="9"/>
  <c r="ID158" i="9"/>
  <c r="ID153" i="9"/>
  <c r="ID150" i="9"/>
  <c r="ID147" i="9"/>
  <c r="ID146" i="9"/>
  <c r="ID149" i="9"/>
  <c r="ID157" i="9"/>
  <c r="ID154" i="9"/>
  <c r="ID148" i="9"/>
  <c r="ID144" i="9"/>
  <c r="ID145" i="9"/>
  <c r="ID142" i="9"/>
  <c r="ID138" i="9"/>
  <c r="ID134" i="9"/>
  <c r="ID141" i="9"/>
  <c r="ID137" i="9"/>
  <c r="ID133" i="9"/>
  <c r="ID140" i="9"/>
  <c r="ID136" i="9"/>
  <c r="ID143" i="9"/>
  <c r="ID139" i="9"/>
  <c r="ID135" i="9"/>
  <c r="ID131" i="9"/>
  <c r="ID132" i="9"/>
  <c r="ID128" i="9"/>
  <c r="ID124" i="9"/>
  <c r="ID120" i="9"/>
  <c r="ID127" i="9"/>
  <c r="ID123" i="9"/>
  <c r="ID119" i="9"/>
  <c r="ID130" i="9"/>
  <c r="ID126" i="9"/>
  <c r="ID122" i="9"/>
  <c r="ID118" i="9"/>
  <c r="ID129" i="9"/>
  <c r="ID125" i="9"/>
  <c r="ID121" i="9"/>
  <c r="ID117" i="9"/>
  <c r="ID113" i="9"/>
  <c r="ID109" i="9"/>
  <c r="ID105" i="9"/>
  <c r="ID101" i="9"/>
  <c r="ID97" i="9"/>
  <c r="ID93" i="9"/>
  <c r="ID112" i="9"/>
  <c r="ID108" i="9"/>
  <c r="ID104" i="9"/>
  <c r="ID100" i="9"/>
  <c r="ID96" i="9"/>
  <c r="ID92" i="9"/>
  <c r="ID88" i="9"/>
  <c r="ID115" i="9"/>
  <c r="ID111" i="9"/>
  <c r="ID107" i="9"/>
  <c r="ID116" i="9"/>
  <c r="ID114" i="9"/>
  <c r="ID110" i="9"/>
  <c r="ID106" i="9"/>
  <c r="ID102" i="9"/>
  <c r="ID98" i="9"/>
  <c r="ID94" i="9"/>
  <c r="ID90" i="9"/>
  <c r="ID84" i="9"/>
  <c r="ID80" i="9"/>
  <c r="ID76" i="9"/>
  <c r="ID72" i="9"/>
  <c r="ID68" i="9"/>
  <c r="ID64" i="9"/>
  <c r="ID103" i="9"/>
  <c r="ID91" i="9"/>
  <c r="ID83" i="9"/>
  <c r="ID79" i="9"/>
  <c r="ID75" i="9"/>
  <c r="ID71" i="9"/>
  <c r="ID67" i="9"/>
  <c r="ID63" i="9"/>
  <c r="ID99" i="9"/>
  <c r="ID89" i="9"/>
  <c r="ID86" i="9"/>
  <c r="ID82" i="9"/>
  <c r="ID78" i="9"/>
  <c r="ID74" i="9"/>
  <c r="ID70" i="9"/>
  <c r="ID66" i="9"/>
  <c r="ID95" i="9"/>
  <c r="ID87" i="9"/>
  <c r="ID85" i="9"/>
  <c r="ID81" i="9"/>
  <c r="ID77" i="9"/>
  <c r="ID73" i="9"/>
  <c r="ID69" i="9"/>
  <c r="ID65" i="9"/>
  <c r="ID62" i="9"/>
  <c r="IE6" i="9"/>
  <c r="ID16" i="9"/>
  <c r="ID14" i="9"/>
  <c r="ID12" i="9"/>
  <c r="ID10" i="9"/>
  <c r="ID8" i="9"/>
  <c r="ID15" i="9"/>
  <c r="ID13" i="9"/>
  <c r="ID11" i="9"/>
  <c r="ID9" i="9"/>
  <c r="IE213" i="9" l="1"/>
  <c r="IE211" i="9"/>
  <c r="IE210" i="9"/>
  <c r="IE212" i="9"/>
  <c r="IE209" i="9"/>
  <c r="IE208" i="9"/>
  <c r="IE204" i="9"/>
  <c r="IE207" i="9"/>
  <c r="IE203" i="9"/>
  <c r="IE205" i="9"/>
  <c r="IE202" i="9"/>
  <c r="IE201" i="9"/>
  <c r="IE198" i="9"/>
  <c r="IE194" i="9"/>
  <c r="IE206" i="9"/>
  <c r="IE199" i="9"/>
  <c r="IE197" i="9"/>
  <c r="IE191" i="9"/>
  <c r="IE190" i="9"/>
  <c r="IE193" i="9"/>
  <c r="IE187" i="9"/>
  <c r="IE183" i="9"/>
  <c r="IE200" i="9"/>
  <c r="IE195" i="9"/>
  <c r="IE192" i="9"/>
  <c r="IE186" i="9"/>
  <c r="IE182" i="9"/>
  <c r="IE189" i="9"/>
  <c r="IE181" i="9"/>
  <c r="IE175" i="9"/>
  <c r="IE188" i="9"/>
  <c r="IE180" i="9"/>
  <c r="IE179" i="9"/>
  <c r="IE178" i="9"/>
  <c r="IE174" i="9"/>
  <c r="IE173" i="9"/>
  <c r="IE171" i="9"/>
  <c r="IE167" i="9"/>
  <c r="IE163" i="9"/>
  <c r="IE159" i="9"/>
  <c r="IE155" i="9"/>
  <c r="IE151" i="9"/>
  <c r="IE184" i="9"/>
  <c r="IE170" i="9"/>
  <c r="IE166" i="9"/>
  <c r="IE162" i="9"/>
  <c r="IE158" i="9"/>
  <c r="IE154" i="9"/>
  <c r="IE150" i="9"/>
  <c r="IE196" i="9"/>
  <c r="IE185" i="9"/>
  <c r="IE176" i="9"/>
  <c r="IE177" i="9"/>
  <c r="IE172" i="9"/>
  <c r="IE164" i="9"/>
  <c r="IE169" i="9"/>
  <c r="IE161" i="9"/>
  <c r="IE168" i="9"/>
  <c r="IE160" i="9"/>
  <c r="IE165" i="9"/>
  <c r="IE157" i="9"/>
  <c r="IE152" i="9"/>
  <c r="IE146" i="9"/>
  <c r="IE156" i="9"/>
  <c r="IE149" i="9"/>
  <c r="IE145" i="9"/>
  <c r="IE148" i="9"/>
  <c r="IE153" i="9"/>
  <c r="IE147" i="9"/>
  <c r="IE144" i="9"/>
  <c r="IE141" i="9"/>
  <c r="IE137" i="9"/>
  <c r="IE133" i="9"/>
  <c r="IE140" i="9"/>
  <c r="IE136" i="9"/>
  <c r="IE132" i="9"/>
  <c r="IE143" i="9"/>
  <c r="IE139" i="9"/>
  <c r="IE135" i="9"/>
  <c r="IE142" i="9"/>
  <c r="IE138" i="9"/>
  <c r="IE134" i="9"/>
  <c r="IE131" i="9"/>
  <c r="IE127" i="9"/>
  <c r="IE123" i="9"/>
  <c r="IE119" i="9"/>
  <c r="IE130" i="9"/>
  <c r="IE126" i="9"/>
  <c r="IE122" i="9"/>
  <c r="IE118" i="9"/>
  <c r="IE129" i="9"/>
  <c r="IE125" i="9"/>
  <c r="IE121" i="9"/>
  <c r="IE117" i="9"/>
  <c r="IE128" i="9"/>
  <c r="IE124" i="9"/>
  <c r="IE120" i="9"/>
  <c r="IE116" i="9"/>
  <c r="IE112" i="9"/>
  <c r="IE108" i="9"/>
  <c r="IE104" i="9"/>
  <c r="IE100" i="9"/>
  <c r="IE96" i="9"/>
  <c r="IE92" i="9"/>
  <c r="IE115" i="9"/>
  <c r="IE111" i="9"/>
  <c r="IE107" i="9"/>
  <c r="IE103" i="9"/>
  <c r="IE99" i="9"/>
  <c r="IE95" i="9"/>
  <c r="IE91" i="9"/>
  <c r="IE87" i="9"/>
  <c r="IE114" i="9"/>
  <c r="IE110" i="9"/>
  <c r="IE106" i="9"/>
  <c r="IE113" i="9"/>
  <c r="IE109" i="9"/>
  <c r="IE105" i="9"/>
  <c r="IE101" i="9"/>
  <c r="IE97" i="9"/>
  <c r="IE93" i="9"/>
  <c r="IE89" i="9"/>
  <c r="IE98" i="9"/>
  <c r="IE83" i="9"/>
  <c r="IE79" i="9"/>
  <c r="IE75" i="9"/>
  <c r="IE71" i="9"/>
  <c r="IE67" i="9"/>
  <c r="IE63" i="9"/>
  <c r="IE94" i="9"/>
  <c r="IE90" i="9"/>
  <c r="IE86" i="9"/>
  <c r="IE82" i="9"/>
  <c r="IE78" i="9"/>
  <c r="IE74" i="9"/>
  <c r="IE70" i="9"/>
  <c r="IE66" i="9"/>
  <c r="IE62" i="9"/>
  <c r="IE88" i="9"/>
  <c r="IE85" i="9"/>
  <c r="IE81" i="9"/>
  <c r="IE77" i="9"/>
  <c r="IE73" i="9"/>
  <c r="IE69" i="9"/>
  <c r="IE65" i="9"/>
  <c r="IE102" i="9"/>
  <c r="IE84" i="9"/>
  <c r="IE80" i="9"/>
  <c r="IE76" i="9"/>
  <c r="IE72" i="9"/>
  <c r="IE68" i="9"/>
  <c r="IE64" i="9"/>
  <c r="IE16" i="9"/>
  <c r="IE14" i="9"/>
  <c r="IE12" i="9"/>
  <c r="IE10" i="9"/>
  <c r="IE8" i="9"/>
  <c r="IE15" i="9"/>
  <c r="IE13" i="9"/>
  <c r="IE11" i="9"/>
  <c r="IE9" i="9"/>
  <c r="IF6" i="9"/>
  <c r="IF213" i="9" l="1"/>
  <c r="IF212" i="9"/>
  <c r="IF211" i="9"/>
  <c r="IF210" i="9"/>
  <c r="IF209" i="9"/>
  <c r="IF207" i="9"/>
  <c r="IF202" i="9"/>
  <c r="IF208" i="9"/>
  <c r="IF206" i="9"/>
  <c r="IF205" i="9"/>
  <c r="IF201" i="9"/>
  <c r="IF204" i="9"/>
  <c r="IF200" i="9"/>
  <c r="IF203" i="9"/>
  <c r="IF199" i="9"/>
  <c r="IF197" i="9"/>
  <c r="IF196" i="9"/>
  <c r="IF190" i="9"/>
  <c r="IF198" i="9"/>
  <c r="IF193" i="9"/>
  <c r="IF195" i="9"/>
  <c r="IF192" i="9"/>
  <c r="IF186" i="9"/>
  <c r="IF182" i="9"/>
  <c r="IF191" i="9"/>
  <c r="IF189" i="9"/>
  <c r="IF185" i="9"/>
  <c r="IF181" i="9"/>
  <c r="IF188" i="9"/>
  <c r="IF180" i="9"/>
  <c r="IF179" i="9"/>
  <c r="IF178" i="9"/>
  <c r="IF174" i="9"/>
  <c r="IF194" i="9"/>
  <c r="IF187" i="9"/>
  <c r="IF177" i="9"/>
  <c r="IF173" i="9"/>
  <c r="IF184" i="9"/>
  <c r="IF170" i="9"/>
  <c r="IF166" i="9"/>
  <c r="IF162" i="9"/>
  <c r="IF158" i="9"/>
  <c r="IF154" i="9"/>
  <c r="IF172" i="9"/>
  <c r="IF169" i="9"/>
  <c r="IF165" i="9"/>
  <c r="IF161" i="9"/>
  <c r="IF157" i="9"/>
  <c r="IF153" i="9"/>
  <c r="IF183" i="9"/>
  <c r="IF176" i="9"/>
  <c r="IF175" i="9"/>
  <c r="IF171" i="9"/>
  <c r="IF163" i="9"/>
  <c r="IF168" i="9"/>
  <c r="IF160" i="9"/>
  <c r="IF167" i="9"/>
  <c r="IF159" i="9"/>
  <c r="IF164" i="9"/>
  <c r="IF156" i="9"/>
  <c r="IF151" i="9"/>
  <c r="IF149" i="9"/>
  <c r="IF148" i="9"/>
  <c r="IF144" i="9"/>
  <c r="IF147" i="9"/>
  <c r="IF155" i="9"/>
  <c r="IF152" i="9"/>
  <c r="IF150" i="9"/>
  <c r="IF146" i="9"/>
  <c r="IF140" i="9"/>
  <c r="IF136" i="9"/>
  <c r="IF143" i="9"/>
  <c r="IF139" i="9"/>
  <c r="IF135" i="9"/>
  <c r="IF131" i="9"/>
  <c r="IF142" i="9"/>
  <c r="IF138" i="9"/>
  <c r="IF134" i="9"/>
  <c r="IF145" i="9"/>
  <c r="IF141" i="9"/>
  <c r="IF137" i="9"/>
  <c r="IF133" i="9"/>
  <c r="IF130" i="9"/>
  <c r="IF126" i="9"/>
  <c r="IF122" i="9"/>
  <c r="IF118" i="9"/>
  <c r="IF129" i="9"/>
  <c r="IF125" i="9"/>
  <c r="IF121" i="9"/>
  <c r="IF117" i="9"/>
  <c r="IF128" i="9"/>
  <c r="IF124" i="9"/>
  <c r="IF120" i="9"/>
  <c r="IF132" i="9"/>
  <c r="IF127" i="9"/>
  <c r="IF123" i="9"/>
  <c r="IF119" i="9"/>
  <c r="IF115" i="9"/>
  <c r="IF111" i="9"/>
  <c r="IF107" i="9"/>
  <c r="IF103" i="9"/>
  <c r="IF99" i="9"/>
  <c r="IF95" i="9"/>
  <c r="IF114" i="9"/>
  <c r="IF110" i="9"/>
  <c r="IF106" i="9"/>
  <c r="IF102" i="9"/>
  <c r="IF98" i="9"/>
  <c r="IF94" i="9"/>
  <c r="IF90" i="9"/>
  <c r="IF116" i="9"/>
  <c r="IF113" i="9"/>
  <c r="IF109" i="9"/>
  <c r="IF112" i="9"/>
  <c r="IF108" i="9"/>
  <c r="IF104" i="9"/>
  <c r="IF100" i="9"/>
  <c r="IF96" i="9"/>
  <c r="IF92" i="9"/>
  <c r="IF88" i="9"/>
  <c r="IF105" i="9"/>
  <c r="IF91" i="9"/>
  <c r="IF86" i="9"/>
  <c r="IF82" i="9"/>
  <c r="IF78" i="9"/>
  <c r="IF74" i="9"/>
  <c r="IF70" i="9"/>
  <c r="IF66" i="9"/>
  <c r="IF101" i="9"/>
  <c r="IF89" i="9"/>
  <c r="IF85" i="9"/>
  <c r="IF81" i="9"/>
  <c r="IF77" i="9"/>
  <c r="IF73" i="9"/>
  <c r="IF69" i="9"/>
  <c r="IF65" i="9"/>
  <c r="IF97" i="9"/>
  <c r="IF87" i="9"/>
  <c r="IF84" i="9"/>
  <c r="IF80" i="9"/>
  <c r="IF76" i="9"/>
  <c r="IF72" i="9"/>
  <c r="IF68" i="9"/>
  <c r="IF64" i="9"/>
  <c r="IF93" i="9"/>
  <c r="IF83" i="9"/>
  <c r="IF79" i="9"/>
  <c r="IF75" i="9"/>
  <c r="IF71" i="9"/>
  <c r="IF67" i="9"/>
  <c r="IF63" i="9"/>
  <c r="IF62" i="9"/>
  <c r="IF8" i="9"/>
  <c r="IF15" i="9"/>
  <c r="IF13" i="9"/>
  <c r="IF11" i="9"/>
  <c r="IF9" i="9"/>
  <c r="IG6" i="9"/>
  <c r="IF16" i="9"/>
  <c r="IF14" i="9"/>
  <c r="IF12" i="9"/>
  <c r="IF10" i="9"/>
  <c r="IG213" i="9" l="1"/>
  <c r="IG212" i="9"/>
  <c r="IG211" i="9"/>
  <c r="IG209" i="9"/>
  <c r="IG208" i="9"/>
  <c r="IG210" i="9"/>
  <c r="IG207" i="9"/>
  <c r="IG206" i="9"/>
  <c r="IG205" i="9"/>
  <c r="IG204" i="9"/>
  <c r="IG202" i="9"/>
  <c r="IG201" i="9"/>
  <c r="IG200" i="9"/>
  <c r="IG203" i="9"/>
  <c r="IG196" i="9"/>
  <c r="IG195" i="9"/>
  <c r="IG198" i="9"/>
  <c r="IG193" i="9"/>
  <c r="IG197" i="9"/>
  <c r="IG192" i="9"/>
  <c r="IG191" i="9"/>
  <c r="IG189" i="9"/>
  <c r="IG185" i="9"/>
  <c r="IG181" i="9"/>
  <c r="IG199" i="9"/>
  <c r="IG190" i="9"/>
  <c r="IG188" i="9"/>
  <c r="IG184" i="9"/>
  <c r="IG180" i="9"/>
  <c r="IG194" i="9"/>
  <c r="IG187" i="9"/>
  <c r="IG177" i="9"/>
  <c r="IG173" i="9"/>
  <c r="IG186" i="9"/>
  <c r="IG176" i="9"/>
  <c r="IG172" i="9"/>
  <c r="IG169" i="9"/>
  <c r="IG165" i="9"/>
  <c r="IG161" i="9"/>
  <c r="IG157" i="9"/>
  <c r="IG153" i="9"/>
  <c r="IG182" i="9"/>
  <c r="IG179" i="9"/>
  <c r="IG178" i="9"/>
  <c r="IG168" i="9"/>
  <c r="IG164" i="9"/>
  <c r="IG160" i="9"/>
  <c r="IG156" i="9"/>
  <c r="IG152" i="9"/>
  <c r="IG183" i="9"/>
  <c r="IG174" i="9"/>
  <c r="IG175" i="9"/>
  <c r="IG171" i="9"/>
  <c r="IG170" i="9"/>
  <c r="IG162" i="9"/>
  <c r="IG167" i="9"/>
  <c r="IG159" i="9"/>
  <c r="IG166" i="9"/>
  <c r="IG163" i="9"/>
  <c r="IG155" i="9"/>
  <c r="IG158" i="9"/>
  <c r="IG148" i="9"/>
  <c r="IG147" i="9"/>
  <c r="IG154" i="9"/>
  <c r="IG150" i="9"/>
  <c r="IG146" i="9"/>
  <c r="IG151" i="9"/>
  <c r="IG149" i="9"/>
  <c r="IG145" i="9"/>
  <c r="IG143" i="9"/>
  <c r="IG139" i="9"/>
  <c r="IG135" i="9"/>
  <c r="IG142" i="9"/>
  <c r="IG138" i="9"/>
  <c r="IG134" i="9"/>
  <c r="IG141" i="9"/>
  <c r="IG137" i="9"/>
  <c r="IG133" i="9"/>
  <c r="IG144" i="9"/>
  <c r="IG140" i="9"/>
  <c r="IG136" i="9"/>
  <c r="IG132" i="9"/>
  <c r="IG129" i="9"/>
  <c r="IG125" i="9"/>
  <c r="IG121" i="9"/>
  <c r="IG117" i="9"/>
  <c r="IG128" i="9"/>
  <c r="IG124" i="9"/>
  <c r="IG120" i="9"/>
  <c r="IG116" i="9"/>
  <c r="IG127" i="9"/>
  <c r="IG123" i="9"/>
  <c r="IG119" i="9"/>
  <c r="IG131" i="9"/>
  <c r="IG130" i="9"/>
  <c r="IG126" i="9"/>
  <c r="IG122" i="9"/>
  <c r="IG118" i="9"/>
  <c r="IG114" i="9"/>
  <c r="IG110" i="9"/>
  <c r="IG106" i="9"/>
  <c r="IG102" i="9"/>
  <c r="IG98" i="9"/>
  <c r="IG94" i="9"/>
  <c r="IG113" i="9"/>
  <c r="IG109" i="9"/>
  <c r="IG105" i="9"/>
  <c r="IG101" i="9"/>
  <c r="IG97" i="9"/>
  <c r="IG93" i="9"/>
  <c r="IG89" i="9"/>
  <c r="IG112" i="9"/>
  <c r="IG108" i="9"/>
  <c r="IG115" i="9"/>
  <c r="IG111" i="9"/>
  <c r="IG107" i="9"/>
  <c r="IG103" i="9"/>
  <c r="IG99" i="9"/>
  <c r="IG95" i="9"/>
  <c r="IG91" i="9"/>
  <c r="IG87" i="9"/>
  <c r="IG96" i="9"/>
  <c r="IG90" i="9"/>
  <c r="IG85" i="9"/>
  <c r="IG81" i="9"/>
  <c r="IG77" i="9"/>
  <c r="IG73" i="9"/>
  <c r="IG69" i="9"/>
  <c r="IG65" i="9"/>
  <c r="IG92" i="9"/>
  <c r="IG88" i="9"/>
  <c r="IG84" i="9"/>
  <c r="IG80" i="9"/>
  <c r="IG76" i="9"/>
  <c r="IG72" i="9"/>
  <c r="IG68" i="9"/>
  <c r="IG64" i="9"/>
  <c r="IG104" i="9"/>
  <c r="IG83" i="9"/>
  <c r="IG79" i="9"/>
  <c r="IG75" i="9"/>
  <c r="IG71" i="9"/>
  <c r="IG67" i="9"/>
  <c r="IG100" i="9"/>
  <c r="IG86" i="9"/>
  <c r="IG82" i="9"/>
  <c r="IG78" i="9"/>
  <c r="IG74" i="9"/>
  <c r="IG70" i="9"/>
  <c r="IG66" i="9"/>
  <c r="IG62" i="9"/>
  <c r="IG63" i="9"/>
  <c r="IG15" i="9"/>
  <c r="IG13" i="9"/>
  <c r="IG11" i="9"/>
  <c r="IG9" i="9"/>
  <c r="IH6" i="9"/>
  <c r="IG16" i="9"/>
  <c r="IG14" i="9"/>
  <c r="IG12" i="9"/>
  <c r="IG10" i="9"/>
  <c r="IG8" i="9"/>
  <c r="II6" i="9" l="1"/>
  <c r="IH8" i="9"/>
  <c r="II8" i="9" l="1"/>
  <c r="IJ6" i="9"/>
  <c r="IJ212" i="9" l="1"/>
  <c r="IJ213" i="9"/>
  <c r="IJ211" i="9"/>
  <c r="IJ210" i="9"/>
  <c r="IJ209" i="9"/>
  <c r="IJ207" i="9"/>
  <c r="IJ206" i="9"/>
  <c r="IJ208" i="9"/>
  <c r="IJ205" i="9"/>
  <c r="IJ204" i="9"/>
  <c r="IJ203" i="9"/>
  <c r="IJ200" i="9"/>
  <c r="IJ199" i="9"/>
  <c r="IJ201" i="9"/>
  <c r="IJ195" i="9"/>
  <c r="IJ202" i="9"/>
  <c r="IJ198" i="9"/>
  <c r="IJ194" i="9"/>
  <c r="IJ197" i="9"/>
  <c r="IJ192" i="9"/>
  <c r="IJ196" i="9"/>
  <c r="IJ191" i="9"/>
  <c r="IJ190" i="9"/>
  <c r="IJ188" i="9"/>
  <c r="IJ184" i="9"/>
  <c r="IJ180" i="9"/>
  <c r="IJ187" i="9"/>
  <c r="IJ183" i="9"/>
  <c r="IJ179" i="9"/>
  <c r="IJ186" i="9"/>
  <c r="IJ176" i="9"/>
  <c r="IJ172" i="9"/>
  <c r="IJ193" i="9"/>
  <c r="IJ185" i="9"/>
  <c r="IJ175" i="9"/>
  <c r="IJ182" i="9"/>
  <c r="IJ178" i="9"/>
  <c r="IJ168" i="9"/>
  <c r="IJ164" i="9"/>
  <c r="IJ160" i="9"/>
  <c r="IJ156" i="9"/>
  <c r="IJ152" i="9"/>
  <c r="IJ189" i="9"/>
  <c r="IJ177" i="9"/>
  <c r="IJ171" i="9"/>
  <c r="IJ167" i="9"/>
  <c r="IJ163" i="9"/>
  <c r="IJ159" i="9"/>
  <c r="IJ155" i="9"/>
  <c r="IJ151" i="9"/>
  <c r="IJ174" i="9"/>
  <c r="IJ170" i="9"/>
  <c r="IJ181" i="9"/>
  <c r="IJ173" i="9"/>
  <c r="IJ169" i="9"/>
  <c r="IJ161" i="9"/>
  <c r="IJ166" i="9"/>
  <c r="IJ158" i="9"/>
  <c r="IJ165" i="9"/>
  <c r="IJ162" i="9"/>
  <c r="IJ147" i="9"/>
  <c r="IJ154" i="9"/>
  <c r="IJ150" i="9"/>
  <c r="IJ146" i="9"/>
  <c r="IJ157" i="9"/>
  <c r="IJ153" i="9"/>
  <c r="IJ149" i="9"/>
  <c r="IJ148" i="9"/>
  <c r="IJ144" i="9"/>
  <c r="IJ142" i="9"/>
  <c r="IJ138" i="9"/>
  <c r="IJ134" i="9"/>
  <c r="IJ141" i="9"/>
  <c r="IJ137" i="9"/>
  <c r="IJ133" i="9"/>
  <c r="IJ145" i="9"/>
  <c r="IJ140" i="9"/>
  <c r="IJ136" i="9"/>
  <c r="IJ143" i="9"/>
  <c r="IJ139" i="9"/>
  <c r="IJ135" i="9"/>
  <c r="IJ131" i="9"/>
  <c r="IJ128" i="9"/>
  <c r="IJ124" i="9"/>
  <c r="IJ120" i="9"/>
  <c r="IJ127" i="9"/>
  <c r="IJ123" i="9"/>
  <c r="IJ119" i="9"/>
  <c r="IJ132" i="9"/>
  <c r="IJ130" i="9"/>
  <c r="IJ126" i="9"/>
  <c r="IJ122" i="9"/>
  <c r="IJ118" i="9"/>
  <c r="IJ129" i="9"/>
  <c r="IJ125" i="9"/>
  <c r="IJ121" i="9"/>
  <c r="IJ117" i="9"/>
  <c r="IJ113" i="9"/>
  <c r="IJ109" i="9"/>
  <c r="IJ105" i="9"/>
  <c r="IJ101" i="9"/>
  <c r="IJ97" i="9"/>
  <c r="IJ93" i="9"/>
  <c r="IJ116" i="9"/>
  <c r="IJ112" i="9"/>
  <c r="IJ108" i="9"/>
  <c r="IJ104" i="9"/>
  <c r="IJ100" i="9"/>
  <c r="IJ96" i="9"/>
  <c r="IJ92" i="9"/>
  <c r="IJ88" i="9"/>
  <c r="IJ115" i="9"/>
  <c r="IJ111" i="9"/>
  <c r="IJ107" i="9"/>
  <c r="IJ114" i="9"/>
  <c r="IJ110" i="9"/>
  <c r="IJ106" i="9"/>
  <c r="IJ102" i="9"/>
  <c r="IJ98" i="9"/>
  <c r="IJ94" i="9"/>
  <c r="IJ90" i="9"/>
  <c r="IJ103" i="9"/>
  <c r="IJ89" i="9"/>
  <c r="IJ84" i="9"/>
  <c r="IJ80" i="9"/>
  <c r="IJ76" i="9"/>
  <c r="IJ72" i="9"/>
  <c r="IJ68" i="9"/>
  <c r="IJ64" i="9"/>
  <c r="IJ99" i="9"/>
  <c r="IJ87" i="9"/>
  <c r="IJ83" i="9"/>
  <c r="IJ79" i="9"/>
  <c r="IJ75" i="9"/>
  <c r="IJ71" i="9"/>
  <c r="IJ67" i="9"/>
  <c r="IJ63" i="9"/>
  <c r="IJ95" i="9"/>
  <c r="IJ86" i="9"/>
  <c r="IJ82" i="9"/>
  <c r="IJ78" i="9"/>
  <c r="IJ74" i="9"/>
  <c r="IJ70" i="9"/>
  <c r="IJ66" i="9"/>
  <c r="IJ91" i="9"/>
  <c r="IJ85" i="9"/>
  <c r="IJ81" i="9"/>
  <c r="IJ77" i="9"/>
  <c r="IJ73" i="9"/>
  <c r="IJ69" i="9"/>
  <c r="IJ65" i="9"/>
  <c r="IJ62" i="9"/>
  <c r="IJ8" i="9"/>
  <c r="IJ16" i="9"/>
  <c r="IJ14" i="9"/>
  <c r="IJ12" i="9"/>
  <c r="IJ10" i="9"/>
  <c r="IK6" i="9"/>
  <c r="IJ15" i="9"/>
  <c r="IJ13" i="9"/>
  <c r="IJ11" i="9"/>
  <c r="IJ9" i="9"/>
  <c r="IK213" i="9" l="1"/>
  <c r="IK211" i="9"/>
  <c r="IK210" i="9"/>
  <c r="IK212" i="9"/>
  <c r="IK209" i="9"/>
  <c r="IK208" i="9"/>
  <c r="IK207" i="9"/>
  <c r="IK204" i="9"/>
  <c r="IK206" i="9"/>
  <c r="IK203" i="9"/>
  <c r="IK202" i="9"/>
  <c r="IK201" i="9"/>
  <c r="IK198" i="9"/>
  <c r="IK194" i="9"/>
  <c r="IK205" i="9"/>
  <c r="IK197" i="9"/>
  <c r="IK196" i="9"/>
  <c r="IK191" i="9"/>
  <c r="IK195" i="9"/>
  <c r="IK190" i="9"/>
  <c r="IK200" i="9"/>
  <c r="IK199" i="9"/>
  <c r="IK187" i="9"/>
  <c r="IK183" i="9"/>
  <c r="IK186" i="9"/>
  <c r="IK182" i="9"/>
  <c r="IK193" i="9"/>
  <c r="IK185" i="9"/>
  <c r="IK175" i="9"/>
  <c r="IK184" i="9"/>
  <c r="IK178" i="9"/>
  <c r="IK174" i="9"/>
  <c r="IK189" i="9"/>
  <c r="IK179" i="9"/>
  <c r="IK177" i="9"/>
  <c r="IK171" i="9"/>
  <c r="IK167" i="9"/>
  <c r="IK163" i="9"/>
  <c r="IK159" i="9"/>
  <c r="IK155" i="9"/>
  <c r="IK151" i="9"/>
  <c r="IK192" i="9"/>
  <c r="IK180" i="9"/>
  <c r="IK176" i="9"/>
  <c r="IK170" i="9"/>
  <c r="IK166" i="9"/>
  <c r="IK162" i="9"/>
  <c r="IK158" i="9"/>
  <c r="IK154" i="9"/>
  <c r="IK150" i="9"/>
  <c r="IK188" i="9"/>
  <c r="IK172" i="9"/>
  <c r="IK181" i="9"/>
  <c r="IK173" i="9"/>
  <c r="IK168" i="9"/>
  <c r="IK160" i="9"/>
  <c r="IK165" i="9"/>
  <c r="IK157" i="9"/>
  <c r="IK164" i="9"/>
  <c r="IK169" i="9"/>
  <c r="IK161" i="9"/>
  <c r="IK156" i="9"/>
  <c r="IK146" i="9"/>
  <c r="IK153" i="9"/>
  <c r="IK149" i="9"/>
  <c r="IK145" i="9"/>
  <c r="IK152" i="9"/>
  <c r="IK148" i="9"/>
  <c r="IK147" i="9"/>
  <c r="IK141" i="9"/>
  <c r="IK137" i="9"/>
  <c r="IK133" i="9"/>
  <c r="IK140" i="9"/>
  <c r="IK136" i="9"/>
  <c r="IK132" i="9"/>
  <c r="IK144" i="9"/>
  <c r="IK143" i="9"/>
  <c r="IK139" i="9"/>
  <c r="IK135" i="9"/>
  <c r="IK142" i="9"/>
  <c r="IK138" i="9"/>
  <c r="IK134" i="9"/>
  <c r="IK127" i="9"/>
  <c r="IK123" i="9"/>
  <c r="IK119" i="9"/>
  <c r="IK130" i="9"/>
  <c r="IK126" i="9"/>
  <c r="IK122" i="9"/>
  <c r="IK118" i="9"/>
  <c r="IK131" i="9"/>
  <c r="IK129" i="9"/>
  <c r="IK125" i="9"/>
  <c r="IK121" i="9"/>
  <c r="IK117" i="9"/>
  <c r="IK128" i="9"/>
  <c r="IK124" i="9"/>
  <c r="IK120" i="9"/>
  <c r="IK116" i="9"/>
  <c r="IK112" i="9"/>
  <c r="IK108" i="9"/>
  <c r="IK104" i="9"/>
  <c r="IK100" i="9"/>
  <c r="IK96" i="9"/>
  <c r="IK92" i="9"/>
  <c r="IK115" i="9"/>
  <c r="IK111" i="9"/>
  <c r="IK107" i="9"/>
  <c r="IK103" i="9"/>
  <c r="IK99" i="9"/>
  <c r="IK95" i="9"/>
  <c r="IK91" i="9"/>
  <c r="IK87" i="9"/>
  <c r="IK114" i="9"/>
  <c r="IK110" i="9"/>
  <c r="IK106" i="9"/>
  <c r="IK113" i="9"/>
  <c r="IK109" i="9"/>
  <c r="IK105" i="9"/>
  <c r="IK101" i="9"/>
  <c r="IK97" i="9"/>
  <c r="IK93" i="9"/>
  <c r="IK89" i="9"/>
  <c r="IK94" i="9"/>
  <c r="IK88" i="9"/>
  <c r="IK83" i="9"/>
  <c r="IK79" i="9"/>
  <c r="IK75" i="9"/>
  <c r="IK71" i="9"/>
  <c r="IK67" i="9"/>
  <c r="IK63" i="9"/>
  <c r="IK86" i="9"/>
  <c r="IK82" i="9"/>
  <c r="IK78" i="9"/>
  <c r="IK74" i="9"/>
  <c r="IK70" i="9"/>
  <c r="IK66" i="9"/>
  <c r="IK62" i="9"/>
  <c r="IK102" i="9"/>
  <c r="IK85" i="9"/>
  <c r="IK81" i="9"/>
  <c r="IK77" i="9"/>
  <c r="IK73" i="9"/>
  <c r="IK69" i="9"/>
  <c r="IK65" i="9"/>
  <c r="IK98" i="9"/>
  <c r="IK90" i="9"/>
  <c r="IK84" i="9"/>
  <c r="IK80" i="9"/>
  <c r="IK76" i="9"/>
  <c r="IK72" i="9"/>
  <c r="IK68" i="9"/>
  <c r="IK64" i="9"/>
  <c r="IK16" i="9"/>
  <c r="IK14" i="9"/>
  <c r="IK12" i="9"/>
  <c r="IK10" i="9"/>
  <c r="IL6" i="9"/>
  <c r="IK15" i="9"/>
  <c r="IK13" i="9"/>
  <c r="IK11" i="9"/>
  <c r="IK9" i="9"/>
  <c r="IK8" i="9"/>
  <c r="IL213" i="9" l="1"/>
  <c r="IL212" i="9"/>
  <c r="IL210" i="9"/>
  <c r="IL209" i="9"/>
  <c r="IL208" i="9"/>
  <c r="IL211" i="9"/>
  <c r="IL207" i="9"/>
  <c r="IL206" i="9"/>
  <c r="IL202" i="9"/>
  <c r="IL205" i="9"/>
  <c r="IL204" i="9"/>
  <c r="IL203" i="9"/>
  <c r="IL201" i="9"/>
  <c r="IL200" i="9"/>
  <c r="IL197" i="9"/>
  <c r="IL199" i="9"/>
  <c r="IL196" i="9"/>
  <c r="IL195" i="9"/>
  <c r="IL190" i="9"/>
  <c r="IL194" i="9"/>
  <c r="IL193" i="9"/>
  <c r="IL186" i="9"/>
  <c r="IL182" i="9"/>
  <c r="IL198" i="9"/>
  <c r="IL189" i="9"/>
  <c r="IL185" i="9"/>
  <c r="IL181" i="9"/>
  <c r="IL184" i="9"/>
  <c r="IL178" i="9"/>
  <c r="IL174" i="9"/>
  <c r="IL191" i="9"/>
  <c r="IL183" i="9"/>
  <c r="IL179" i="9"/>
  <c r="IL177" i="9"/>
  <c r="IL173" i="9"/>
  <c r="IL192" i="9"/>
  <c r="IL180" i="9"/>
  <c r="IL176" i="9"/>
  <c r="IL170" i="9"/>
  <c r="IL166" i="9"/>
  <c r="IL162" i="9"/>
  <c r="IL158" i="9"/>
  <c r="IL154" i="9"/>
  <c r="IL187" i="9"/>
  <c r="IL175" i="9"/>
  <c r="IL169" i="9"/>
  <c r="IL165" i="9"/>
  <c r="IL161" i="9"/>
  <c r="IL157" i="9"/>
  <c r="IL153" i="9"/>
  <c r="IL188" i="9"/>
  <c r="IL172" i="9"/>
  <c r="IL171" i="9"/>
  <c r="IL167" i="9"/>
  <c r="IL159" i="9"/>
  <c r="IL164" i="9"/>
  <c r="IL156" i="9"/>
  <c r="IL163" i="9"/>
  <c r="IL168" i="9"/>
  <c r="IL160" i="9"/>
  <c r="IL150" i="9"/>
  <c r="IL149" i="9"/>
  <c r="IL152" i="9"/>
  <c r="IL148" i="9"/>
  <c r="IL144" i="9"/>
  <c r="IL155" i="9"/>
  <c r="IL151" i="9"/>
  <c r="IL147" i="9"/>
  <c r="IL146" i="9"/>
  <c r="IL140" i="9"/>
  <c r="IL136" i="9"/>
  <c r="IL145" i="9"/>
  <c r="IL143" i="9"/>
  <c r="IL139" i="9"/>
  <c r="IL135" i="9"/>
  <c r="IL131" i="9"/>
  <c r="IL142" i="9"/>
  <c r="IL138" i="9"/>
  <c r="IL134" i="9"/>
  <c r="IL141" i="9"/>
  <c r="IL137" i="9"/>
  <c r="IL133" i="9"/>
  <c r="IL130" i="9"/>
  <c r="IL126" i="9"/>
  <c r="IL122" i="9"/>
  <c r="IL118" i="9"/>
  <c r="IL132" i="9"/>
  <c r="IL129" i="9"/>
  <c r="IL125" i="9"/>
  <c r="IL121" i="9"/>
  <c r="IL117" i="9"/>
  <c r="IL128" i="9"/>
  <c r="IL124" i="9"/>
  <c r="IL120" i="9"/>
  <c r="IL127" i="9"/>
  <c r="IL123" i="9"/>
  <c r="IL119" i="9"/>
  <c r="IL116" i="9"/>
  <c r="IL115" i="9"/>
  <c r="IL111" i="9"/>
  <c r="IL107" i="9"/>
  <c r="IL103" i="9"/>
  <c r="IL99" i="9"/>
  <c r="IL95" i="9"/>
  <c r="IL114" i="9"/>
  <c r="IL110" i="9"/>
  <c r="IL106" i="9"/>
  <c r="IL102" i="9"/>
  <c r="IL98" i="9"/>
  <c r="IL94" i="9"/>
  <c r="IL90" i="9"/>
  <c r="IL113" i="9"/>
  <c r="IL109" i="9"/>
  <c r="IL112" i="9"/>
  <c r="IL108" i="9"/>
  <c r="IL104" i="9"/>
  <c r="IL100" i="9"/>
  <c r="IL96" i="9"/>
  <c r="IL92" i="9"/>
  <c r="IL88" i="9"/>
  <c r="IL101" i="9"/>
  <c r="IL87" i="9"/>
  <c r="IL86" i="9"/>
  <c r="IL82" i="9"/>
  <c r="IL78" i="9"/>
  <c r="IL74" i="9"/>
  <c r="IL70" i="9"/>
  <c r="IL66" i="9"/>
  <c r="IL97" i="9"/>
  <c r="IL85" i="9"/>
  <c r="IL81" i="9"/>
  <c r="IL77" i="9"/>
  <c r="IL73" i="9"/>
  <c r="IL69" i="9"/>
  <c r="IL65" i="9"/>
  <c r="IL93" i="9"/>
  <c r="IL91" i="9"/>
  <c r="IL84" i="9"/>
  <c r="IL80" i="9"/>
  <c r="IL76" i="9"/>
  <c r="IL72" i="9"/>
  <c r="IL68" i="9"/>
  <c r="IL64" i="9"/>
  <c r="IL105" i="9"/>
  <c r="IL89" i="9"/>
  <c r="IL83" i="9"/>
  <c r="IL79" i="9"/>
  <c r="IL75" i="9"/>
  <c r="IL71" i="9"/>
  <c r="IL67" i="9"/>
  <c r="IL63" i="9"/>
  <c r="IL62" i="9"/>
  <c r="IM6" i="9"/>
  <c r="IL15" i="9"/>
  <c r="IL13" i="9"/>
  <c r="IL11" i="9"/>
  <c r="IL9" i="9"/>
  <c r="IL8" i="9"/>
  <c r="IL16" i="9"/>
  <c r="IL14" i="9"/>
  <c r="IL12" i="9"/>
  <c r="IL10" i="9"/>
  <c r="IM213" i="9" l="1"/>
  <c r="IM212" i="9"/>
  <c r="IM211" i="9"/>
  <c r="IM210" i="9"/>
  <c r="IM209" i="9"/>
  <c r="IM208" i="9"/>
  <c r="IM207" i="9"/>
  <c r="IM206" i="9"/>
  <c r="IM205" i="9"/>
  <c r="IM204" i="9"/>
  <c r="IM203" i="9"/>
  <c r="IM201" i="9"/>
  <c r="IM202" i="9"/>
  <c r="IM200" i="9"/>
  <c r="IM199" i="9"/>
  <c r="IM196" i="9"/>
  <c r="IM195" i="9"/>
  <c r="IM194" i="9"/>
  <c r="IM193" i="9"/>
  <c r="IM192" i="9"/>
  <c r="IM198" i="9"/>
  <c r="IM189" i="9"/>
  <c r="IM185" i="9"/>
  <c r="IM181" i="9"/>
  <c r="IM188" i="9"/>
  <c r="IM184" i="9"/>
  <c r="IM180" i="9"/>
  <c r="IM191" i="9"/>
  <c r="IM183" i="9"/>
  <c r="IM179" i="9"/>
  <c r="IM177" i="9"/>
  <c r="IM173" i="9"/>
  <c r="IM182" i="9"/>
  <c r="IM176" i="9"/>
  <c r="IM187" i="9"/>
  <c r="IM175" i="9"/>
  <c r="IM169" i="9"/>
  <c r="IM165" i="9"/>
  <c r="IM161" i="9"/>
  <c r="IM157" i="9"/>
  <c r="IM153" i="9"/>
  <c r="IM174" i="9"/>
  <c r="IM172" i="9"/>
  <c r="IM168" i="9"/>
  <c r="IM164" i="9"/>
  <c r="IM160" i="9"/>
  <c r="IM156" i="9"/>
  <c r="IM152" i="9"/>
  <c r="IM197" i="9"/>
  <c r="IM190" i="9"/>
  <c r="IM171" i="9"/>
  <c r="IM186" i="9"/>
  <c r="IM170" i="9"/>
  <c r="IM178" i="9"/>
  <c r="IM166" i="9"/>
  <c r="IM163" i="9"/>
  <c r="IM155" i="9"/>
  <c r="IM162" i="9"/>
  <c r="IM167" i="9"/>
  <c r="IM159" i="9"/>
  <c r="IM154" i="9"/>
  <c r="IM148" i="9"/>
  <c r="IM151" i="9"/>
  <c r="IM147" i="9"/>
  <c r="IM146" i="9"/>
  <c r="IM158" i="9"/>
  <c r="IM150" i="9"/>
  <c r="IM149" i="9"/>
  <c r="IM145" i="9"/>
  <c r="IM143" i="9"/>
  <c r="IM139" i="9"/>
  <c r="IM135" i="9"/>
  <c r="IM144" i="9"/>
  <c r="IM142" i="9"/>
  <c r="IM138" i="9"/>
  <c r="IM134" i="9"/>
  <c r="IM141" i="9"/>
  <c r="IM137" i="9"/>
  <c r="IM133" i="9"/>
  <c r="IM140" i="9"/>
  <c r="IM136" i="9"/>
  <c r="IM132" i="9"/>
  <c r="IM129" i="9"/>
  <c r="IM125" i="9"/>
  <c r="IM121" i="9"/>
  <c r="IM117" i="9"/>
  <c r="IM131" i="9"/>
  <c r="IM128" i="9"/>
  <c r="IM124" i="9"/>
  <c r="IM120" i="9"/>
  <c r="IM116" i="9"/>
  <c r="IM127" i="9"/>
  <c r="IM123" i="9"/>
  <c r="IM119" i="9"/>
  <c r="IM130" i="9"/>
  <c r="IM126" i="9"/>
  <c r="IM122" i="9"/>
  <c r="IM118" i="9"/>
  <c r="IM114" i="9"/>
  <c r="IM110" i="9"/>
  <c r="IM106" i="9"/>
  <c r="IM102" i="9"/>
  <c r="IM98" i="9"/>
  <c r="IM94" i="9"/>
  <c r="IM113" i="9"/>
  <c r="IM109" i="9"/>
  <c r="IM105" i="9"/>
  <c r="IM101" i="9"/>
  <c r="IM97" i="9"/>
  <c r="IM93" i="9"/>
  <c r="IM89" i="9"/>
  <c r="IM112" i="9"/>
  <c r="IM108" i="9"/>
  <c r="IM115" i="9"/>
  <c r="IM111" i="9"/>
  <c r="IM107" i="9"/>
  <c r="IM103" i="9"/>
  <c r="IM99" i="9"/>
  <c r="IM95" i="9"/>
  <c r="IM91" i="9"/>
  <c r="IM87" i="9"/>
  <c r="IM92" i="9"/>
  <c r="IM85" i="9"/>
  <c r="IM81" i="9"/>
  <c r="IM77" i="9"/>
  <c r="IM73" i="9"/>
  <c r="IM69" i="9"/>
  <c r="IM65" i="9"/>
  <c r="IM104" i="9"/>
  <c r="IM84" i="9"/>
  <c r="IM80" i="9"/>
  <c r="IM76" i="9"/>
  <c r="IM72" i="9"/>
  <c r="IM68" i="9"/>
  <c r="IM64" i="9"/>
  <c r="IM100" i="9"/>
  <c r="IM90" i="9"/>
  <c r="IM83" i="9"/>
  <c r="IM79" i="9"/>
  <c r="IM75" i="9"/>
  <c r="IM71" i="9"/>
  <c r="IM67" i="9"/>
  <c r="IM96" i="9"/>
  <c r="IM88" i="9"/>
  <c r="IM86" i="9"/>
  <c r="IM82" i="9"/>
  <c r="IM78" i="9"/>
  <c r="IM74" i="9"/>
  <c r="IM70" i="9"/>
  <c r="IM66" i="9"/>
  <c r="IM62" i="9"/>
  <c r="IM63" i="9"/>
  <c r="IM15" i="9"/>
  <c r="IM13" i="9"/>
  <c r="IM11" i="9"/>
  <c r="IM9" i="9"/>
  <c r="IM8" i="9"/>
  <c r="IM16" i="9"/>
  <c r="IM14" i="9"/>
  <c r="IM12" i="9"/>
  <c r="IM10" i="9"/>
  <c r="IN6" i="9"/>
  <c r="IN212" i="9" l="1"/>
  <c r="IN211" i="9"/>
  <c r="IN213" i="9"/>
  <c r="IN207" i="9"/>
  <c r="IN206" i="9"/>
  <c r="IN205" i="9"/>
  <c r="IN210" i="9"/>
  <c r="IN208" i="9"/>
  <c r="IN204" i="9"/>
  <c r="IN203" i="9"/>
  <c r="IN202" i="9"/>
  <c r="IN200" i="9"/>
  <c r="IN199" i="9"/>
  <c r="IN209" i="9"/>
  <c r="IN195" i="9"/>
  <c r="IN198" i="9"/>
  <c r="IN194" i="9"/>
  <c r="IN192" i="9"/>
  <c r="IN191" i="9"/>
  <c r="IN188" i="9"/>
  <c r="IN184" i="9"/>
  <c r="IN180" i="9"/>
  <c r="IN201" i="9"/>
  <c r="IN196" i="9"/>
  <c r="IN193" i="9"/>
  <c r="IN187" i="9"/>
  <c r="IN183" i="9"/>
  <c r="IN179" i="9"/>
  <c r="IN182" i="9"/>
  <c r="IN176" i="9"/>
  <c r="IN172" i="9"/>
  <c r="IN189" i="9"/>
  <c r="IN181" i="9"/>
  <c r="IN175" i="9"/>
  <c r="IN174" i="9"/>
  <c r="IN168" i="9"/>
  <c r="IN164" i="9"/>
  <c r="IN160" i="9"/>
  <c r="IN156" i="9"/>
  <c r="IN152" i="9"/>
  <c r="IN185" i="9"/>
  <c r="IN173" i="9"/>
  <c r="IN171" i="9"/>
  <c r="IN167" i="9"/>
  <c r="IN163" i="9"/>
  <c r="IN159" i="9"/>
  <c r="IN155" i="9"/>
  <c r="IN151" i="9"/>
  <c r="IN197" i="9"/>
  <c r="IN190" i="9"/>
  <c r="IN186" i="9"/>
  <c r="IN170" i="9"/>
  <c r="IN177" i="9"/>
  <c r="IN178" i="9"/>
  <c r="IN165" i="9"/>
  <c r="IN162" i="9"/>
  <c r="IN169" i="9"/>
  <c r="IN161" i="9"/>
  <c r="IN166" i="9"/>
  <c r="IN158" i="9"/>
  <c r="IN153" i="9"/>
  <c r="IN147" i="9"/>
  <c r="IN157" i="9"/>
  <c r="IN146" i="9"/>
  <c r="IN150" i="9"/>
  <c r="IN149" i="9"/>
  <c r="IN154" i="9"/>
  <c r="IN148" i="9"/>
  <c r="IN144" i="9"/>
  <c r="IN145" i="9"/>
  <c r="IN142" i="9"/>
  <c r="IN138" i="9"/>
  <c r="IN134" i="9"/>
  <c r="IN141" i="9"/>
  <c r="IN137" i="9"/>
  <c r="IN133" i="9"/>
  <c r="IN140" i="9"/>
  <c r="IN136" i="9"/>
  <c r="IN143" i="9"/>
  <c r="IN139" i="9"/>
  <c r="IN135" i="9"/>
  <c r="IN131" i="9"/>
  <c r="IN132" i="9"/>
  <c r="IN128" i="9"/>
  <c r="IN124" i="9"/>
  <c r="IN120" i="9"/>
  <c r="IN127" i="9"/>
  <c r="IN123" i="9"/>
  <c r="IN119" i="9"/>
  <c r="IN130" i="9"/>
  <c r="IN126" i="9"/>
  <c r="IN122" i="9"/>
  <c r="IN118" i="9"/>
  <c r="IN129" i="9"/>
  <c r="IN125" i="9"/>
  <c r="IN121" i="9"/>
  <c r="IN117" i="9"/>
  <c r="IN113" i="9"/>
  <c r="IN109" i="9"/>
  <c r="IN105" i="9"/>
  <c r="IN101" i="9"/>
  <c r="IN97" i="9"/>
  <c r="IN93" i="9"/>
  <c r="IN112" i="9"/>
  <c r="IN108" i="9"/>
  <c r="IN104" i="9"/>
  <c r="IN100" i="9"/>
  <c r="IN96" i="9"/>
  <c r="IN92" i="9"/>
  <c r="IN88" i="9"/>
  <c r="IN115" i="9"/>
  <c r="IN111" i="9"/>
  <c r="IN107" i="9"/>
  <c r="IN116" i="9"/>
  <c r="IN114" i="9"/>
  <c r="IN110" i="9"/>
  <c r="IN106" i="9"/>
  <c r="IN102" i="9"/>
  <c r="IN98" i="9"/>
  <c r="IN94" i="9"/>
  <c r="IN90" i="9"/>
  <c r="IN99" i="9"/>
  <c r="IN84" i="9"/>
  <c r="IN80" i="9"/>
  <c r="IN76" i="9"/>
  <c r="IN72" i="9"/>
  <c r="IN68" i="9"/>
  <c r="IN64" i="9"/>
  <c r="IN95" i="9"/>
  <c r="IN91" i="9"/>
  <c r="IN83" i="9"/>
  <c r="IN79" i="9"/>
  <c r="IN75" i="9"/>
  <c r="IN71" i="9"/>
  <c r="IN67" i="9"/>
  <c r="IN63" i="9"/>
  <c r="IN89" i="9"/>
  <c r="IN86" i="9"/>
  <c r="IN82" i="9"/>
  <c r="IN78" i="9"/>
  <c r="IN74" i="9"/>
  <c r="IN70" i="9"/>
  <c r="IN66" i="9"/>
  <c r="IN103" i="9"/>
  <c r="IN87" i="9"/>
  <c r="IN85" i="9"/>
  <c r="IN81" i="9"/>
  <c r="IN77" i="9"/>
  <c r="IN73" i="9"/>
  <c r="IN69" i="9"/>
  <c r="IN65" i="9"/>
  <c r="IN62" i="9"/>
  <c r="IN8" i="9"/>
  <c r="IN16" i="9"/>
  <c r="IN14" i="9"/>
  <c r="IN12" i="9"/>
  <c r="IN10" i="9"/>
  <c r="IO6" i="9"/>
  <c r="IN15" i="9"/>
  <c r="IN13" i="9"/>
  <c r="IN11" i="9"/>
  <c r="IN9" i="9"/>
  <c r="IP6" i="9" l="1"/>
  <c r="IO8" i="9"/>
  <c r="IQ6" i="9" l="1"/>
  <c r="IP8" i="9"/>
  <c r="IQ213" i="9" l="1"/>
  <c r="IQ211" i="9"/>
  <c r="IQ212" i="9"/>
  <c r="IQ210" i="9"/>
  <c r="IQ209" i="9"/>
  <c r="IQ208" i="9"/>
  <c r="IQ204" i="9"/>
  <c r="IQ203" i="9"/>
  <c r="IQ206" i="9"/>
  <c r="IQ205" i="9"/>
  <c r="IQ201" i="9"/>
  <c r="IQ207" i="9"/>
  <c r="IQ202" i="9"/>
  <c r="IQ198" i="9"/>
  <c r="IQ194" i="9"/>
  <c r="IQ200" i="9"/>
  <c r="IQ197" i="9"/>
  <c r="IQ191" i="9"/>
  <c r="IQ199" i="9"/>
  <c r="IQ190" i="9"/>
  <c r="IQ196" i="9"/>
  <c r="IQ193" i="9"/>
  <c r="IQ187" i="9"/>
  <c r="IQ183" i="9"/>
  <c r="IQ192" i="9"/>
  <c r="IQ186" i="9"/>
  <c r="IQ182" i="9"/>
  <c r="IQ189" i="9"/>
  <c r="IQ181" i="9"/>
  <c r="IQ175" i="9"/>
  <c r="IQ195" i="9"/>
  <c r="IQ188" i="9"/>
  <c r="IQ180" i="9"/>
  <c r="IQ178" i="9"/>
  <c r="IQ174" i="9"/>
  <c r="IQ185" i="9"/>
  <c r="IQ173" i="9"/>
  <c r="IQ172" i="9"/>
  <c r="IQ171" i="9"/>
  <c r="IQ167" i="9"/>
  <c r="IQ163" i="9"/>
  <c r="IQ159" i="9"/>
  <c r="IQ155" i="9"/>
  <c r="IQ151" i="9"/>
  <c r="IQ170" i="9"/>
  <c r="IQ166" i="9"/>
  <c r="IQ162" i="9"/>
  <c r="IQ158" i="9"/>
  <c r="IQ154" i="9"/>
  <c r="IQ150" i="9"/>
  <c r="IQ184" i="9"/>
  <c r="IQ179" i="9"/>
  <c r="IQ177" i="9"/>
  <c r="IQ176" i="9"/>
  <c r="IQ164" i="9"/>
  <c r="IQ169" i="9"/>
  <c r="IQ161" i="9"/>
  <c r="IQ168" i="9"/>
  <c r="IQ160" i="9"/>
  <c r="IQ165" i="9"/>
  <c r="IQ157" i="9"/>
  <c r="IQ152" i="9"/>
  <c r="IQ146" i="9"/>
  <c r="IQ149" i="9"/>
  <c r="IQ145" i="9"/>
  <c r="IQ148" i="9"/>
  <c r="IQ156" i="9"/>
  <c r="IQ153" i="9"/>
  <c r="IQ147" i="9"/>
  <c r="IQ144" i="9"/>
  <c r="IQ141" i="9"/>
  <c r="IQ137" i="9"/>
  <c r="IQ133" i="9"/>
  <c r="IQ140" i="9"/>
  <c r="IQ136" i="9"/>
  <c r="IQ132" i="9"/>
  <c r="IQ143" i="9"/>
  <c r="IQ139" i="9"/>
  <c r="IQ135" i="9"/>
  <c r="IQ142" i="9"/>
  <c r="IQ138" i="9"/>
  <c r="IQ134" i="9"/>
  <c r="IQ131" i="9"/>
  <c r="IQ127" i="9"/>
  <c r="IQ123" i="9"/>
  <c r="IQ119" i="9"/>
  <c r="IQ130" i="9"/>
  <c r="IQ126" i="9"/>
  <c r="IQ122" i="9"/>
  <c r="IQ118" i="9"/>
  <c r="IQ129" i="9"/>
  <c r="IQ125" i="9"/>
  <c r="IQ121" i="9"/>
  <c r="IQ117" i="9"/>
  <c r="IQ128" i="9"/>
  <c r="IQ124" i="9"/>
  <c r="IQ120" i="9"/>
  <c r="IQ116" i="9"/>
  <c r="IQ112" i="9"/>
  <c r="IQ108" i="9"/>
  <c r="IQ104" i="9"/>
  <c r="IQ100" i="9"/>
  <c r="IQ96" i="9"/>
  <c r="IQ92" i="9"/>
  <c r="IQ115" i="9"/>
  <c r="IQ111" i="9"/>
  <c r="IQ107" i="9"/>
  <c r="IQ103" i="9"/>
  <c r="IQ99" i="9"/>
  <c r="IQ95" i="9"/>
  <c r="IQ91" i="9"/>
  <c r="IQ87" i="9"/>
  <c r="IQ114" i="9"/>
  <c r="IQ110" i="9"/>
  <c r="IQ106" i="9"/>
  <c r="IQ113" i="9"/>
  <c r="IQ109" i="9"/>
  <c r="IQ105" i="9"/>
  <c r="IQ101" i="9"/>
  <c r="IQ97" i="9"/>
  <c r="IQ93" i="9"/>
  <c r="IQ89" i="9"/>
  <c r="IQ83" i="9"/>
  <c r="IQ79" i="9"/>
  <c r="IQ75" i="9"/>
  <c r="IQ71" i="9"/>
  <c r="IQ67" i="9"/>
  <c r="IQ63" i="9"/>
  <c r="IQ102" i="9"/>
  <c r="IQ90" i="9"/>
  <c r="IQ86" i="9"/>
  <c r="IQ82" i="9"/>
  <c r="IQ78" i="9"/>
  <c r="IQ74" i="9"/>
  <c r="IQ70" i="9"/>
  <c r="IQ66" i="9"/>
  <c r="IQ62" i="9"/>
  <c r="IQ98" i="9"/>
  <c r="IQ88" i="9"/>
  <c r="IQ85" i="9"/>
  <c r="IQ81" i="9"/>
  <c r="IQ77" i="9"/>
  <c r="IQ73" i="9"/>
  <c r="IQ69" i="9"/>
  <c r="IQ65" i="9"/>
  <c r="IQ94" i="9"/>
  <c r="IQ84" i="9"/>
  <c r="IQ80" i="9"/>
  <c r="IQ76" i="9"/>
  <c r="IQ72" i="9"/>
  <c r="IQ68" i="9"/>
  <c r="IQ64" i="9"/>
  <c r="IQ16" i="9"/>
  <c r="IQ14" i="9"/>
  <c r="IQ12" i="9"/>
  <c r="IQ10" i="9"/>
  <c r="IQ8" i="9"/>
  <c r="IQ15" i="9"/>
  <c r="IQ13" i="9"/>
  <c r="IQ11" i="9"/>
  <c r="IQ9" i="9"/>
  <c r="IR6" i="9"/>
  <c r="IR213" i="9" l="1"/>
  <c r="IR212" i="9"/>
  <c r="IR209" i="9"/>
  <c r="IR211" i="9"/>
  <c r="IR210" i="9"/>
  <c r="IR208" i="9"/>
  <c r="IR207" i="9"/>
  <c r="IR202" i="9"/>
  <c r="IR206" i="9"/>
  <c r="IR205" i="9"/>
  <c r="IR204" i="9"/>
  <c r="IR201" i="9"/>
  <c r="IR200" i="9"/>
  <c r="IR197" i="9"/>
  <c r="IR196" i="9"/>
  <c r="IR199" i="9"/>
  <c r="IR190" i="9"/>
  <c r="IR203" i="9"/>
  <c r="IR198" i="9"/>
  <c r="IR193" i="9"/>
  <c r="IR192" i="9"/>
  <c r="IR186" i="9"/>
  <c r="IR182" i="9"/>
  <c r="IR194" i="9"/>
  <c r="IR191" i="9"/>
  <c r="IR189" i="9"/>
  <c r="IR185" i="9"/>
  <c r="IR181" i="9"/>
  <c r="IR195" i="9"/>
  <c r="IR188" i="9"/>
  <c r="IR180" i="9"/>
  <c r="IR178" i="9"/>
  <c r="IR174" i="9"/>
  <c r="IR187" i="9"/>
  <c r="IR177" i="9"/>
  <c r="IR173" i="9"/>
  <c r="IR170" i="9"/>
  <c r="IR166" i="9"/>
  <c r="IR162" i="9"/>
  <c r="IR158" i="9"/>
  <c r="IR154" i="9"/>
  <c r="IR183" i="9"/>
  <c r="IR169" i="9"/>
  <c r="IR165" i="9"/>
  <c r="IR161" i="9"/>
  <c r="IR157" i="9"/>
  <c r="IR153" i="9"/>
  <c r="IR184" i="9"/>
  <c r="IR179" i="9"/>
  <c r="IR175" i="9"/>
  <c r="IR176" i="9"/>
  <c r="IR172" i="9"/>
  <c r="IR171" i="9"/>
  <c r="IR163" i="9"/>
  <c r="IR168" i="9"/>
  <c r="IR160" i="9"/>
  <c r="IR167" i="9"/>
  <c r="IR159" i="9"/>
  <c r="IR164" i="9"/>
  <c r="IR156" i="9"/>
  <c r="IR151" i="9"/>
  <c r="IR149" i="9"/>
  <c r="IR155" i="9"/>
  <c r="IR150" i="9"/>
  <c r="IR148" i="9"/>
  <c r="IR144" i="9"/>
  <c r="IR147" i="9"/>
  <c r="IR152" i="9"/>
  <c r="IR146" i="9"/>
  <c r="IR140" i="9"/>
  <c r="IR136" i="9"/>
  <c r="IR143" i="9"/>
  <c r="IR139" i="9"/>
  <c r="IR135" i="9"/>
  <c r="IR131" i="9"/>
  <c r="IR142" i="9"/>
  <c r="IR138" i="9"/>
  <c r="IR134" i="9"/>
  <c r="IR145" i="9"/>
  <c r="IR141" i="9"/>
  <c r="IR137" i="9"/>
  <c r="IR133" i="9"/>
  <c r="IR130" i="9"/>
  <c r="IR126" i="9"/>
  <c r="IR122" i="9"/>
  <c r="IR118" i="9"/>
  <c r="IR129" i="9"/>
  <c r="IR125" i="9"/>
  <c r="IR121" i="9"/>
  <c r="IR117" i="9"/>
  <c r="IR128" i="9"/>
  <c r="IR124" i="9"/>
  <c r="IR120" i="9"/>
  <c r="IR132" i="9"/>
  <c r="IR127" i="9"/>
  <c r="IR123" i="9"/>
  <c r="IR119" i="9"/>
  <c r="IR115" i="9"/>
  <c r="IR111" i="9"/>
  <c r="IR107" i="9"/>
  <c r="IR103" i="9"/>
  <c r="IR99" i="9"/>
  <c r="IR95" i="9"/>
  <c r="IR114" i="9"/>
  <c r="IR110" i="9"/>
  <c r="IR106" i="9"/>
  <c r="IR102" i="9"/>
  <c r="IR98" i="9"/>
  <c r="IR94" i="9"/>
  <c r="IR90" i="9"/>
  <c r="IR116" i="9"/>
  <c r="IR113" i="9"/>
  <c r="IR109" i="9"/>
  <c r="IR112" i="9"/>
  <c r="IR108" i="9"/>
  <c r="IR104" i="9"/>
  <c r="IR100" i="9"/>
  <c r="IR96" i="9"/>
  <c r="IR92" i="9"/>
  <c r="IR88" i="9"/>
  <c r="IR97" i="9"/>
  <c r="IR91" i="9"/>
  <c r="IR86" i="9"/>
  <c r="IR82" i="9"/>
  <c r="IR78" i="9"/>
  <c r="IR74" i="9"/>
  <c r="IR70" i="9"/>
  <c r="IR66" i="9"/>
  <c r="IR93" i="9"/>
  <c r="IR89" i="9"/>
  <c r="IR85" i="9"/>
  <c r="IR81" i="9"/>
  <c r="IR77" i="9"/>
  <c r="IR73" i="9"/>
  <c r="IR69" i="9"/>
  <c r="IR65" i="9"/>
  <c r="IR105" i="9"/>
  <c r="IR87" i="9"/>
  <c r="IR84" i="9"/>
  <c r="IR80" i="9"/>
  <c r="IR76" i="9"/>
  <c r="IR72" i="9"/>
  <c r="IR68" i="9"/>
  <c r="IR64" i="9"/>
  <c r="IR101" i="9"/>
  <c r="IR83" i="9"/>
  <c r="IR79" i="9"/>
  <c r="IR75" i="9"/>
  <c r="IR71" i="9"/>
  <c r="IR67" i="9"/>
  <c r="IR63" i="9"/>
  <c r="IR62" i="9"/>
  <c r="IR8" i="9"/>
  <c r="IR15" i="9"/>
  <c r="IR13" i="9"/>
  <c r="IR11" i="9"/>
  <c r="IR9" i="9"/>
  <c r="IS6" i="9"/>
  <c r="IR16" i="9"/>
  <c r="IR14" i="9"/>
  <c r="IR12" i="9"/>
  <c r="IR10" i="9"/>
  <c r="IS213" i="9" l="1"/>
  <c r="IS212" i="9"/>
  <c r="IS211" i="9"/>
  <c r="IS209" i="9"/>
  <c r="IS210" i="9"/>
  <c r="IS208" i="9"/>
  <c r="IS207" i="9"/>
  <c r="IS206" i="9"/>
  <c r="IS205" i="9"/>
  <c r="IS204" i="9"/>
  <c r="IS201" i="9"/>
  <c r="IS200" i="9"/>
  <c r="IS203" i="9"/>
  <c r="IS202" i="9"/>
  <c r="IS196" i="9"/>
  <c r="IS199" i="9"/>
  <c r="IS195" i="9"/>
  <c r="IS198" i="9"/>
  <c r="IS193" i="9"/>
  <c r="IS197" i="9"/>
  <c r="IS192" i="9"/>
  <c r="IS194" i="9"/>
  <c r="IS191" i="9"/>
  <c r="IS189" i="9"/>
  <c r="IS185" i="9"/>
  <c r="IS181" i="9"/>
  <c r="IS190" i="9"/>
  <c r="IS188" i="9"/>
  <c r="IS184" i="9"/>
  <c r="IS180" i="9"/>
  <c r="IS187" i="9"/>
  <c r="IS177" i="9"/>
  <c r="IS173" i="9"/>
  <c r="IS186" i="9"/>
  <c r="IS179" i="9"/>
  <c r="IS176" i="9"/>
  <c r="IS183" i="9"/>
  <c r="IS169" i="9"/>
  <c r="IS165" i="9"/>
  <c r="IS161" i="9"/>
  <c r="IS157" i="9"/>
  <c r="IS153" i="9"/>
  <c r="IS178" i="9"/>
  <c r="IS168" i="9"/>
  <c r="IS164" i="9"/>
  <c r="IS160" i="9"/>
  <c r="IS156" i="9"/>
  <c r="IS152" i="9"/>
  <c r="IS175" i="9"/>
  <c r="IS172" i="9"/>
  <c r="IS171" i="9"/>
  <c r="IS182" i="9"/>
  <c r="IS174" i="9"/>
  <c r="IS170" i="9"/>
  <c r="IS162" i="9"/>
  <c r="IS167" i="9"/>
  <c r="IS159" i="9"/>
  <c r="IS166" i="9"/>
  <c r="IS163" i="9"/>
  <c r="IS155" i="9"/>
  <c r="IS150" i="9"/>
  <c r="IS148" i="9"/>
  <c r="IS147" i="9"/>
  <c r="IS158" i="9"/>
  <c r="IS154" i="9"/>
  <c r="IS146" i="9"/>
  <c r="IS151" i="9"/>
  <c r="IS149" i="9"/>
  <c r="IS145" i="9"/>
  <c r="IS143" i="9"/>
  <c r="IS139" i="9"/>
  <c r="IS135" i="9"/>
  <c r="IS142" i="9"/>
  <c r="IS138" i="9"/>
  <c r="IS134" i="9"/>
  <c r="IS141" i="9"/>
  <c r="IS137" i="9"/>
  <c r="IS133" i="9"/>
  <c r="IS144" i="9"/>
  <c r="IS140" i="9"/>
  <c r="IS136" i="9"/>
  <c r="IS132" i="9"/>
  <c r="IS129" i="9"/>
  <c r="IS125" i="9"/>
  <c r="IS121" i="9"/>
  <c r="IS117" i="9"/>
  <c r="IS128" i="9"/>
  <c r="IS124" i="9"/>
  <c r="IS120" i="9"/>
  <c r="IS116" i="9"/>
  <c r="IS127" i="9"/>
  <c r="IS123" i="9"/>
  <c r="IS119" i="9"/>
  <c r="IS131" i="9"/>
  <c r="IS130" i="9"/>
  <c r="IS126" i="9"/>
  <c r="IS122" i="9"/>
  <c r="IS118" i="9"/>
  <c r="IS114" i="9"/>
  <c r="IS110" i="9"/>
  <c r="IS106" i="9"/>
  <c r="IS102" i="9"/>
  <c r="IS98" i="9"/>
  <c r="IS94" i="9"/>
  <c r="IS113" i="9"/>
  <c r="IS109" i="9"/>
  <c r="IS105" i="9"/>
  <c r="IS101" i="9"/>
  <c r="IS97" i="9"/>
  <c r="IS93" i="9"/>
  <c r="IS89" i="9"/>
  <c r="IS112" i="9"/>
  <c r="IS108" i="9"/>
  <c r="IS115" i="9"/>
  <c r="IS111" i="9"/>
  <c r="IS107" i="9"/>
  <c r="IS103" i="9"/>
  <c r="IS99" i="9"/>
  <c r="IS95" i="9"/>
  <c r="IS91" i="9"/>
  <c r="IS87" i="9"/>
  <c r="IS104" i="9"/>
  <c r="IS90" i="9"/>
  <c r="IS85" i="9"/>
  <c r="IS81" i="9"/>
  <c r="IS77" i="9"/>
  <c r="IS73" i="9"/>
  <c r="IS69" i="9"/>
  <c r="IS65" i="9"/>
  <c r="IS100" i="9"/>
  <c r="IS88" i="9"/>
  <c r="IS84" i="9"/>
  <c r="IS80" i="9"/>
  <c r="IS76" i="9"/>
  <c r="IS72" i="9"/>
  <c r="IS68" i="9"/>
  <c r="IS64" i="9"/>
  <c r="IS96" i="9"/>
  <c r="IS83" i="9"/>
  <c r="IS79" i="9"/>
  <c r="IS75" i="9"/>
  <c r="IS71" i="9"/>
  <c r="IS67" i="9"/>
  <c r="IS92" i="9"/>
  <c r="IS86" i="9"/>
  <c r="IS82" i="9"/>
  <c r="IS78" i="9"/>
  <c r="IS74" i="9"/>
  <c r="IS70" i="9"/>
  <c r="IS66" i="9"/>
  <c r="IS62" i="9"/>
  <c r="IS63" i="9"/>
  <c r="IS15" i="9"/>
  <c r="IS13" i="9"/>
  <c r="IS11" i="9"/>
  <c r="IS9" i="9"/>
  <c r="IT6" i="9"/>
  <c r="IS16" i="9"/>
  <c r="IS14" i="9"/>
  <c r="IS12" i="9"/>
  <c r="IS10" i="9"/>
  <c r="IS8" i="9"/>
  <c r="IT212" i="9" l="1"/>
  <c r="IT211" i="9"/>
  <c r="IT213" i="9"/>
  <c r="IT210" i="9"/>
  <c r="IT208" i="9"/>
  <c r="IT207" i="9"/>
  <c r="IT206" i="9"/>
  <c r="IT209" i="9"/>
  <c r="IT205" i="9"/>
  <c r="IT204" i="9"/>
  <c r="IT203" i="9"/>
  <c r="IT200" i="9"/>
  <c r="IT202" i="9"/>
  <c r="IT199" i="9"/>
  <c r="IT195" i="9"/>
  <c r="IT198" i="9"/>
  <c r="IT194" i="9"/>
  <c r="IT197" i="9"/>
  <c r="IT192" i="9"/>
  <c r="IT196" i="9"/>
  <c r="IT191" i="9"/>
  <c r="IT201" i="9"/>
  <c r="IT190" i="9"/>
  <c r="IT188" i="9"/>
  <c r="IT184" i="9"/>
  <c r="IT180" i="9"/>
  <c r="IT187" i="9"/>
  <c r="IT183" i="9"/>
  <c r="IT179" i="9"/>
  <c r="IT186" i="9"/>
  <c r="IT176" i="9"/>
  <c r="IT172" i="9"/>
  <c r="IT185" i="9"/>
  <c r="IT175" i="9"/>
  <c r="IT178" i="9"/>
  <c r="IT168" i="9"/>
  <c r="IT164" i="9"/>
  <c r="IT160" i="9"/>
  <c r="IT156" i="9"/>
  <c r="IT152" i="9"/>
  <c r="IT193" i="9"/>
  <c r="IT181" i="9"/>
  <c r="IT177" i="9"/>
  <c r="IT171" i="9"/>
  <c r="IT167" i="9"/>
  <c r="IT163" i="9"/>
  <c r="IT159" i="9"/>
  <c r="IT155" i="9"/>
  <c r="IT151" i="9"/>
  <c r="IT189" i="9"/>
  <c r="IT173" i="9"/>
  <c r="IT182" i="9"/>
  <c r="IT174" i="9"/>
  <c r="IT170" i="9"/>
  <c r="IT169" i="9"/>
  <c r="IT161" i="9"/>
  <c r="IT166" i="9"/>
  <c r="IT158" i="9"/>
  <c r="IT165" i="9"/>
  <c r="IT162" i="9"/>
  <c r="IT157" i="9"/>
  <c r="IT147" i="9"/>
  <c r="IT154" i="9"/>
  <c r="IT146" i="9"/>
  <c r="IT153" i="9"/>
  <c r="IT149" i="9"/>
  <c r="IT150" i="9"/>
  <c r="IT148" i="9"/>
  <c r="IT144" i="9"/>
  <c r="IT142" i="9"/>
  <c r="IT138" i="9"/>
  <c r="IT134" i="9"/>
  <c r="IT141" i="9"/>
  <c r="IT137" i="9"/>
  <c r="IT133" i="9"/>
  <c r="IT145" i="9"/>
  <c r="IT140" i="9"/>
  <c r="IT136" i="9"/>
  <c r="IT143" i="9"/>
  <c r="IT139" i="9"/>
  <c r="IT135" i="9"/>
  <c r="IT131" i="9"/>
  <c r="IT128" i="9"/>
  <c r="IT124" i="9"/>
  <c r="IT120" i="9"/>
  <c r="IT127" i="9"/>
  <c r="IT123" i="9"/>
  <c r="IT119" i="9"/>
  <c r="IT132" i="9"/>
  <c r="IT130" i="9"/>
  <c r="IT126" i="9"/>
  <c r="IT122" i="9"/>
  <c r="IT118" i="9"/>
  <c r="IT129" i="9"/>
  <c r="IT125" i="9"/>
  <c r="IT121" i="9"/>
  <c r="IT117" i="9"/>
  <c r="IT113" i="9"/>
  <c r="IT109" i="9"/>
  <c r="IT105" i="9"/>
  <c r="IT101" i="9"/>
  <c r="IT97" i="9"/>
  <c r="IT93" i="9"/>
  <c r="IT116" i="9"/>
  <c r="IT112" i="9"/>
  <c r="IT108" i="9"/>
  <c r="IT104" i="9"/>
  <c r="IT100" i="9"/>
  <c r="IT96" i="9"/>
  <c r="IT92" i="9"/>
  <c r="IT88" i="9"/>
  <c r="IT115" i="9"/>
  <c r="IT111" i="9"/>
  <c r="IT107" i="9"/>
  <c r="IT114" i="9"/>
  <c r="IT110" i="9"/>
  <c r="IT106" i="9"/>
  <c r="IT102" i="9"/>
  <c r="IT98" i="9"/>
  <c r="IT94" i="9"/>
  <c r="IT90" i="9"/>
  <c r="IT95" i="9"/>
  <c r="IT89" i="9"/>
  <c r="IT84" i="9"/>
  <c r="IT80" i="9"/>
  <c r="IT76" i="9"/>
  <c r="IT72" i="9"/>
  <c r="IT68" i="9"/>
  <c r="IT64" i="9"/>
  <c r="IT87" i="9"/>
  <c r="IT83" i="9"/>
  <c r="IT79" i="9"/>
  <c r="IT75" i="9"/>
  <c r="IT71" i="9"/>
  <c r="IT67" i="9"/>
  <c r="IT63" i="9"/>
  <c r="IT103" i="9"/>
  <c r="IT86" i="9"/>
  <c r="IT82" i="9"/>
  <c r="IT78" i="9"/>
  <c r="IT74" i="9"/>
  <c r="IT70" i="9"/>
  <c r="IT66" i="9"/>
  <c r="IT99" i="9"/>
  <c r="IT91" i="9"/>
  <c r="IT85" i="9"/>
  <c r="IT81" i="9"/>
  <c r="IT77" i="9"/>
  <c r="IT73" i="9"/>
  <c r="IT69" i="9"/>
  <c r="IT65" i="9"/>
  <c r="IT62" i="9"/>
  <c r="IU6" i="9"/>
  <c r="IT16" i="9"/>
  <c r="IT14" i="9"/>
  <c r="IT12" i="9"/>
  <c r="IT10" i="9"/>
  <c r="IT8" i="9"/>
  <c r="IT15" i="9"/>
  <c r="IT13" i="9"/>
  <c r="IT11" i="9"/>
  <c r="IT9" i="9"/>
  <c r="IU213" i="9" l="1"/>
  <c r="IU212" i="9"/>
  <c r="IU211" i="9"/>
  <c r="IU210" i="9"/>
  <c r="IU209" i="9"/>
  <c r="IU208" i="9"/>
  <c r="IU204" i="9"/>
  <c r="IU206" i="9"/>
  <c r="IU203" i="9"/>
  <c r="IU207" i="9"/>
  <c r="IU202" i="9"/>
  <c r="IU205" i="9"/>
  <c r="IU201" i="9"/>
  <c r="IU200" i="9"/>
  <c r="IU199" i="9"/>
  <c r="IU198" i="9"/>
  <c r="IU194" i="9"/>
  <c r="IU197" i="9"/>
  <c r="IU196" i="9"/>
  <c r="IU191" i="9"/>
  <c r="IU195" i="9"/>
  <c r="IU190" i="9"/>
  <c r="IU187" i="9"/>
  <c r="IU183" i="9"/>
  <c r="IU186" i="9"/>
  <c r="IU182" i="9"/>
  <c r="IU185" i="9"/>
  <c r="IU179" i="9"/>
  <c r="IU175" i="9"/>
  <c r="IU192" i="9"/>
  <c r="IU184" i="9"/>
  <c r="IU178" i="9"/>
  <c r="IU174" i="9"/>
  <c r="IU193" i="9"/>
  <c r="IU181" i="9"/>
  <c r="IU177" i="9"/>
  <c r="IU171" i="9"/>
  <c r="IU167" i="9"/>
  <c r="IU163" i="9"/>
  <c r="IU159" i="9"/>
  <c r="IU155" i="9"/>
  <c r="IU151" i="9"/>
  <c r="IU188" i="9"/>
  <c r="IU176" i="9"/>
  <c r="IU172" i="9"/>
  <c r="IU170" i="9"/>
  <c r="IU166" i="9"/>
  <c r="IU162" i="9"/>
  <c r="IU158" i="9"/>
  <c r="IU154" i="9"/>
  <c r="IU150" i="9"/>
  <c r="IU189" i="9"/>
  <c r="IU180" i="9"/>
  <c r="IU173" i="9"/>
  <c r="IU168" i="9"/>
  <c r="IU160" i="9"/>
  <c r="IU165" i="9"/>
  <c r="IU157" i="9"/>
  <c r="IU164" i="9"/>
  <c r="IU169" i="9"/>
  <c r="IU161" i="9"/>
  <c r="IU146" i="9"/>
  <c r="IU153" i="9"/>
  <c r="IU149" i="9"/>
  <c r="IU145" i="9"/>
  <c r="IU156" i="9"/>
  <c r="IU152" i="9"/>
  <c r="IU148" i="9"/>
  <c r="IU147" i="9"/>
  <c r="IU141" i="9"/>
  <c r="IU137" i="9"/>
  <c r="IU133" i="9"/>
  <c r="IU140" i="9"/>
  <c r="IU136" i="9"/>
  <c r="IU132" i="9"/>
  <c r="IU144" i="9"/>
  <c r="IU143" i="9"/>
  <c r="IU139" i="9"/>
  <c r="IU135" i="9"/>
  <c r="IU142" i="9"/>
  <c r="IU138" i="9"/>
  <c r="IU134" i="9"/>
  <c r="IU127" i="9"/>
  <c r="IU123" i="9"/>
  <c r="IU119" i="9"/>
  <c r="IU130" i="9"/>
  <c r="IU126" i="9"/>
  <c r="IU122" i="9"/>
  <c r="IU118" i="9"/>
  <c r="IU131" i="9"/>
  <c r="IU129" i="9"/>
  <c r="IU125" i="9"/>
  <c r="IU121" i="9"/>
  <c r="IU117" i="9"/>
  <c r="IU128" i="9"/>
  <c r="IU124" i="9"/>
  <c r="IU120" i="9"/>
  <c r="IU116" i="9"/>
  <c r="IU112" i="9"/>
  <c r="IU108" i="9"/>
  <c r="IU104" i="9"/>
  <c r="IU100" i="9"/>
  <c r="IU96" i="9"/>
  <c r="IU92" i="9"/>
  <c r="IU115" i="9"/>
  <c r="IU111" i="9"/>
  <c r="IU107" i="9"/>
  <c r="IU103" i="9"/>
  <c r="IU99" i="9"/>
  <c r="IU95" i="9"/>
  <c r="IU91" i="9"/>
  <c r="IU87" i="9"/>
  <c r="IU114" i="9"/>
  <c r="IU110" i="9"/>
  <c r="IU106" i="9"/>
  <c r="IU113" i="9"/>
  <c r="IU109" i="9"/>
  <c r="IU105" i="9"/>
  <c r="IU101" i="9"/>
  <c r="IU97" i="9"/>
  <c r="IU93" i="9"/>
  <c r="IU89" i="9"/>
  <c r="IU102" i="9"/>
  <c r="IU88" i="9"/>
  <c r="IU83" i="9"/>
  <c r="IU79" i="9"/>
  <c r="IU75" i="9"/>
  <c r="IU71" i="9"/>
  <c r="IU67" i="9"/>
  <c r="IU63" i="9"/>
  <c r="IU98" i="9"/>
  <c r="IU86" i="9"/>
  <c r="IU82" i="9"/>
  <c r="IU78" i="9"/>
  <c r="IU74" i="9"/>
  <c r="IU70" i="9"/>
  <c r="IU66" i="9"/>
  <c r="IU62" i="9"/>
  <c r="IU94" i="9"/>
  <c r="IU85" i="9"/>
  <c r="IU81" i="9"/>
  <c r="IU77" i="9"/>
  <c r="IU73" i="9"/>
  <c r="IU69" i="9"/>
  <c r="IU65" i="9"/>
  <c r="IU90" i="9"/>
  <c r="IU84" i="9"/>
  <c r="IU80" i="9"/>
  <c r="IU76" i="9"/>
  <c r="IU72" i="9"/>
  <c r="IU68" i="9"/>
  <c r="IU64" i="9"/>
  <c r="IU16" i="9"/>
  <c r="IU14" i="9"/>
  <c r="IU12" i="9"/>
  <c r="IU10" i="9"/>
  <c r="IU8" i="9"/>
  <c r="IU15" i="9"/>
  <c r="IU13" i="9"/>
  <c r="IU11" i="9"/>
  <c r="IU9" i="9"/>
  <c r="IV6" i="9"/>
  <c r="IV8" i="9" l="1"/>
  <c r="IW6" i="9"/>
  <c r="IX6" i="9" l="1"/>
  <c r="IW8" i="9"/>
  <c r="IX213" i="9" l="1"/>
  <c r="IX212" i="9"/>
  <c r="IX210" i="9"/>
  <c r="IX211" i="9"/>
  <c r="IX209" i="9"/>
  <c r="IX208" i="9"/>
  <c r="IX207" i="9"/>
  <c r="IX206" i="9"/>
  <c r="IX202" i="9"/>
  <c r="IX205" i="9"/>
  <c r="IX203" i="9"/>
  <c r="IX201" i="9"/>
  <c r="IX200" i="9"/>
  <c r="IX204" i="9"/>
  <c r="IX197" i="9"/>
  <c r="IX196" i="9"/>
  <c r="IX195" i="9"/>
  <c r="IX190" i="9"/>
  <c r="IX194" i="9"/>
  <c r="IX193" i="9"/>
  <c r="IX186" i="9"/>
  <c r="IX182" i="9"/>
  <c r="IX189" i="9"/>
  <c r="IX185" i="9"/>
  <c r="IX181" i="9"/>
  <c r="IX192" i="9"/>
  <c r="IX184" i="9"/>
  <c r="IX178" i="9"/>
  <c r="IX174" i="9"/>
  <c r="IX183" i="9"/>
  <c r="IX177" i="9"/>
  <c r="IX173" i="9"/>
  <c r="IX188" i="9"/>
  <c r="IX176" i="9"/>
  <c r="IX172" i="9"/>
  <c r="IX170" i="9"/>
  <c r="IX166" i="9"/>
  <c r="IX162" i="9"/>
  <c r="IX158" i="9"/>
  <c r="IX154" i="9"/>
  <c r="IX199" i="9"/>
  <c r="IX179" i="9"/>
  <c r="IX175" i="9"/>
  <c r="IX169" i="9"/>
  <c r="IX165" i="9"/>
  <c r="IX161" i="9"/>
  <c r="IX157" i="9"/>
  <c r="IX153" i="9"/>
  <c r="IX198" i="9"/>
  <c r="IX180" i="9"/>
  <c r="IX191" i="9"/>
  <c r="IX187" i="9"/>
  <c r="IX171" i="9"/>
  <c r="IX167" i="9"/>
  <c r="IX159" i="9"/>
  <c r="IX164" i="9"/>
  <c r="IX156" i="9"/>
  <c r="IX163" i="9"/>
  <c r="IX168" i="9"/>
  <c r="IX160" i="9"/>
  <c r="IX155" i="9"/>
  <c r="IX149" i="9"/>
  <c r="IX152" i="9"/>
  <c r="IX148" i="9"/>
  <c r="IX144" i="9"/>
  <c r="IX151" i="9"/>
  <c r="IX150" i="9"/>
  <c r="IX147" i="9"/>
  <c r="IX146" i="9"/>
  <c r="IX140" i="9"/>
  <c r="IX136" i="9"/>
  <c r="IX145" i="9"/>
  <c r="IX143" i="9"/>
  <c r="IX139" i="9"/>
  <c r="IX135" i="9"/>
  <c r="IX131" i="9"/>
  <c r="IX142" i="9"/>
  <c r="IX138" i="9"/>
  <c r="IX134" i="9"/>
  <c r="IX141" i="9"/>
  <c r="IX137" i="9"/>
  <c r="IX133" i="9"/>
  <c r="IX130" i="9"/>
  <c r="IX126" i="9"/>
  <c r="IX122" i="9"/>
  <c r="IX118" i="9"/>
  <c r="IX132" i="9"/>
  <c r="IX129" i="9"/>
  <c r="IX125" i="9"/>
  <c r="IX121" i="9"/>
  <c r="IX117" i="9"/>
  <c r="IX128" i="9"/>
  <c r="IX124" i="9"/>
  <c r="IX120" i="9"/>
  <c r="IX127" i="9"/>
  <c r="IX123" i="9"/>
  <c r="IX119" i="9"/>
  <c r="IX116" i="9"/>
  <c r="IX115" i="9"/>
  <c r="IX111" i="9"/>
  <c r="IX107" i="9"/>
  <c r="IX103" i="9"/>
  <c r="IX99" i="9"/>
  <c r="IX95" i="9"/>
  <c r="IX114" i="9"/>
  <c r="IX110" i="9"/>
  <c r="IX106" i="9"/>
  <c r="IX102" i="9"/>
  <c r="IX98" i="9"/>
  <c r="IX94" i="9"/>
  <c r="IX90" i="9"/>
  <c r="IX113" i="9"/>
  <c r="IX109" i="9"/>
  <c r="IX112" i="9"/>
  <c r="IX108" i="9"/>
  <c r="IX104" i="9"/>
  <c r="IX100" i="9"/>
  <c r="IX96" i="9"/>
  <c r="IX92" i="9"/>
  <c r="IX88" i="9"/>
  <c r="IX93" i="9"/>
  <c r="IX87" i="9"/>
  <c r="IX86" i="9"/>
  <c r="IX82" i="9"/>
  <c r="IX78" i="9"/>
  <c r="IX74" i="9"/>
  <c r="IX70" i="9"/>
  <c r="IX66" i="9"/>
  <c r="IX105" i="9"/>
  <c r="IX85" i="9"/>
  <c r="IX81" i="9"/>
  <c r="IX77" i="9"/>
  <c r="IX73" i="9"/>
  <c r="IX69" i="9"/>
  <c r="IX65" i="9"/>
  <c r="IX101" i="9"/>
  <c r="IX91" i="9"/>
  <c r="IX84" i="9"/>
  <c r="IX80" i="9"/>
  <c r="IX76" i="9"/>
  <c r="IX72" i="9"/>
  <c r="IX68" i="9"/>
  <c r="IX64" i="9"/>
  <c r="IX97" i="9"/>
  <c r="IX89" i="9"/>
  <c r="IX83" i="9"/>
  <c r="IX79" i="9"/>
  <c r="IX75" i="9"/>
  <c r="IX71" i="9"/>
  <c r="IX67" i="9"/>
  <c r="IX63" i="9"/>
  <c r="IX62" i="9"/>
  <c r="IY6" i="9"/>
  <c r="IX15" i="9"/>
  <c r="IX13" i="9"/>
  <c r="IX11" i="9"/>
  <c r="IX9" i="9"/>
  <c r="IX8" i="9"/>
  <c r="IX16" i="9"/>
  <c r="IX14" i="9"/>
  <c r="IX12" i="9"/>
  <c r="IX10" i="9"/>
  <c r="IY213" i="9" l="1"/>
  <c r="IY212" i="9"/>
  <c r="IY211" i="9"/>
  <c r="IY209" i="9"/>
  <c r="IY208" i="9"/>
  <c r="IY207" i="9"/>
  <c r="IY210" i="9"/>
  <c r="IY206" i="9"/>
  <c r="IY205" i="9"/>
  <c r="IY204" i="9"/>
  <c r="IY203" i="9"/>
  <c r="IY201" i="9"/>
  <c r="IY200" i="9"/>
  <c r="IY196" i="9"/>
  <c r="IY195" i="9"/>
  <c r="IY194" i="9"/>
  <c r="IY193" i="9"/>
  <c r="IY202" i="9"/>
  <c r="IY192" i="9"/>
  <c r="IY189" i="9"/>
  <c r="IY185" i="9"/>
  <c r="IY181" i="9"/>
  <c r="IY197" i="9"/>
  <c r="IY188" i="9"/>
  <c r="IY184" i="9"/>
  <c r="IY180" i="9"/>
  <c r="IY183" i="9"/>
  <c r="IY177" i="9"/>
  <c r="IY173" i="9"/>
  <c r="IY190" i="9"/>
  <c r="IY182" i="9"/>
  <c r="IY176" i="9"/>
  <c r="IY199" i="9"/>
  <c r="IY179" i="9"/>
  <c r="IY175" i="9"/>
  <c r="IY169" i="9"/>
  <c r="IY165" i="9"/>
  <c r="IY161" i="9"/>
  <c r="IY157" i="9"/>
  <c r="IY153" i="9"/>
  <c r="IY186" i="9"/>
  <c r="IY174" i="9"/>
  <c r="IY168" i="9"/>
  <c r="IY164" i="9"/>
  <c r="IY160" i="9"/>
  <c r="IY156" i="9"/>
  <c r="IY152" i="9"/>
  <c r="IY198" i="9"/>
  <c r="IY191" i="9"/>
  <c r="IY187" i="9"/>
  <c r="IY171" i="9"/>
  <c r="IY178" i="9"/>
  <c r="IY172" i="9"/>
  <c r="IY170" i="9"/>
  <c r="IY166" i="9"/>
  <c r="IY163" i="9"/>
  <c r="IY155" i="9"/>
  <c r="IY162" i="9"/>
  <c r="IY167" i="9"/>
  <c r="IY159" i="9"/>
  <c r="IY154" i="9"/>
  <c r="IY148" i="9"/>
  <c r="IY158" i="9"/>
  <c r="IY151" i="9"/>
  <c r="IY150" i="9"/>
  <c r="IY147" i="9"/>
  <c r="IY146" i="9"/>
  <c r="IY149" i="9"/>
  <c r="IY145" i="9"/>
  <c r="IY143" i="9"/>
  <c r="IY139" i="9"/>
  <c r="IY135" i="9"/>
  <c r="IY144" i="9"/>
  <c r="IY142" i="9"/>
  <c r="IY138" i="9"/>
  <c r="IY134" i="9"/>
  <c r="IY141" i="9"/>
  <c r="IY137" i="9"/>
  <c r="IY133" i="9"/>
  <c r="IY140" i="9"/>
  <c r="IY136" i="9"/>
  <c r="IY132" i="9"/>
  <c r="IY129" i="9"/>
  <c r="IY125" i="9"/>
  <c r="IY121" i="9"/>
  <c r="IY117" i="9"/>
  <c r="IY131" i="9"/>
  <c r="IY128" i="9"/>
  <c r="IY124" i="9"/>
  <c r="IY120" i="9"/>
  <c r="IY116" i="9"/>
  <c r="IY127" i="9"/>
  <c r="IY123" i="9"/>
  <c r="IY119" i="9"/>
  <c r="IY130" i="9"/>
  <c r="IY126" i="9"/>
  <c r="IY122" i="9"/>
  <c r="IY118" i="9"/>
  <c r="IY114" i="9"/>
  <c r="IY110" i="9"/>
  <c r="IY106" i="9"/>
  <c r="IY102" i="9"/>
  <c r="IY98" i="9"/>
  <c r="IY94" i="9"/>
  <c r="IY113" i="9"/>
  <c r="IY109" i="9"/>
  <c r="IY105" i="9"/>
  <c r="IY101" i="9"/>
  <c r="IY97" i="9"/>
  <c r="IY93" i="9"/>
  <c r="IY89" i="9"/>
  <c r="IY112" i="9"/>
  <c r="IY108" i="9"/>
  <c r="IY115" i="9"/>
  <c r="IY111" i="9"/>
  <c r="IY107" i="9"/>
  <c r="IY103" i="9"/>
  <c r="IY99" i="9"/>
  <c r="IY95" i="9"/>
  <c r="IY91" i="9"/>
  <c r="IY87" i="9"/>
  <c r="IY100" i="9"/>
  <c r="IY85" i="9"/>
  <c r="IY81" i="9"/>
  <c r="IY77" i="9"/>
  <c r="IY73" i="9"/>
  <c r="IY69" i="9"/>
  <c r="IY65" i="9"/>
  <c r="IY96" i="9"/>
  <c r="IY84" i="9"/>
  <c r="IY80" i="9"/>
  <c r="IY76" i="9"/>
  <c r="IY72" i="9"/>
  <c r="IY68" i="9"/>
  <c r="IY64" i="9"/>
  <c r="IY92" i="9"/>
  <c r="IY90" i="9"/>
  <c r="IY83" i="9"/>
  <c r="IY79" i="9"/>
  <c r="IY75" i="9"/>
  <c r="IY71" i="9"/>
  <c r="IY67" i="9"/>
  <c r="IY104" i="9"/>
  <c r="IY88" i="9"/>
  <c r="IY86" i="9"/>
  <c r="IY82" i="9"/>
  <c r="IY78" i="9"/>
  <c r="IY74" i="9"/>
  <c r="IY70" i="9"/>
  <c r="IY66" i="9"/>
  <c r="IY62" i="9"/>
  <c r="IY63" i="9"/>
  <c r="IY15" i="9"/>
  <c r="IY13" i="9"/>
  <c r="IY11" i="9"/>
  <c r="IY9" i="9"/>
  <c r="IY8" i="9"/>
  <c r="IY16" i="9"/>
  <c r="IY14" i="9"/>
  <c r="IY12" i="9"/>
  <c r="IY10" i="9"/>
  <c r="IZ6" i="9"/>
  <c r="IZ212" i="9" l="1"/>
  <c r="IZ213" i="9"/>
  <c r="IZ211" i="9"/>
  <c r="IZ210" i="9"/>
  <c r="IZ207" i="9"/>
  <c r="IZ209" i="9"/>
  <c r="IZ208" i="9"/>
  <c r="IZ206" i="9"/>
  <c r="IZ205" i="9"/>
  <c r="IZ204" i="9"/>
  <c r="IZ203" i="9"/>
  <c r="IZ200" i="9"/>
  <c r="IZ199" i="9"/>
  <c r="IZ202" i="9"/>
  <c r="IZ195" i="9"/>
  <c r="IZ201" i="9"/>
  <c r="IZ198" i="9"/>
  <c r="IZ194" i="9"/>
  <c r="IZ192" i="9"/>
  <c r="IZ191" i="9"/>
  <c r="IZ197" i="9"/>
  <c r="IZ188" i="9"/>
  <c r="IZ184" i="9"/>
  <c r="IZ180" i="9"/>
  <c r="IZ193" i="9"/>
  <c r="IZ187" i="9"/>
  <c r="IZ183" i="9"/>
  <c r="IZ179" i="9"/>
  <c r="IZ190" i="9"/>
  <c r="IZ182" i="9"/>
  <c r="IZ176" i="9"/>
  <c r="IZ172" i="9"/>
  <c r="IZ196" i="9"/>
  <c r="IZ189" i="9"/>
  <c r="IZ181" i="9"/>
  <c r="IZ175" i="9"/>
  <c r="IZ186" i="9"/>
  <c r="IZ174" i="9"/>
  <c r="IZ168" i="9"/>
  <c r="IZ164" i="9"/>
  <c r="IZ160" i="9"/>
  <c r="IZ156" i="9"/>
  <c r="IZ152" i="9"/>
  <c r="IZ173" i="9"/>
  <c r="IZ171" i="9"/>
  <c r="IZ167" i="9"/>
  <c r="IZ163" i="9"/>
  <c r="IZ159" i="9"/>
  <c r="IZ155" i="9"/>
  <c r="IZ151" i="9"/>
  <c r="IZ185" i="9"/>
  <c r="IZ178" i="9"/>
  <c r="IZ170" i="9"/>
  <c r="IZ177" i="9"/>
  <c r="IZ165" i="9"/>
  <c r="IZ162" i="9"/>
  <c r="IZ169" i="9"/>
  <c r="IZ161" i="9"/>
  <c r="IZ166" i="9"/>
  <c r="IZ158" i="9"/>
  <c r="IZ153" i="9"/>
  <c r="IZ150" i="9"/>
  <c r="IZ147" i="9"/>
  <c r="IZ146" i="9"/>
  <c r="IZ149" i="9"/>
  <c r="IZ157" i="9"/>
  <c r="IZ154" i="9"/>
  <c r="IZ148" i="9"/>
  <c r="IZ144" i="9"/>
  <c r="IZ145" i="9"/>
  <c r="IZ142" i="9"/>
  <c r="IZ138" i="9"/>
  <c r="IZ134" i="9"/>
  <c r="IZ141" i="9"/>
  <c r="IZ137" i="9"/>
  <c r="IZ133" i="9"/>
  <c r="IZ140" i="9"/>
  <c r="IZ136" i="9"/>
  <c r="IZ143" i="9"/>
  <c r="IZ139" i="9"/>
  <c r="IZ135" i="9"/>
  <c r="IZ131" i="9"/>
  <c r="IZ132" i="9"/>
  <c r="IZ128" i="9"/>
  <c r="IZ124" i="9"/>
  <c r="IZ120" i="9"/>
  <c r="IZ127" i="9"/>
  <c r="IZ123" i="9"/>
  <c r="IZ119" i="9"/>
  <c r="IZ130" i="9"/>
  <c r="IZ126" i="9"/>
  <c r="IZ122" i="9"/>
  <c r="IZ118" i="9"/>
  <c r="IZ129" i="9"/>
  <c r="IZ125" i="9"/>
  <c r="IZ121" i="9"/>
  <c r="IZ117" i="9"/>
  <c r="IZ113" i="9"/>
  <c r="IZ109" i="9"/>
  <c r="IZ105" i="9"/>
  <c r="IZ101" i="9"/>
  <c r="IZ97" i="9"/>
  <c r="IZ93" i="9"/>
  <c r="IZ112" i="9"/>
  <c r="IZ108" i="9"/>
  <c r="IZ104" i="9"/>
  <c r="IZ100" i="9"/>
  <c r="IZ96" i="9"/>
  <c r="IZ92" i="9"/>
  <c r="IZ88" i="9"/>
  <c r="IZ115" i="9"/>
  <c r="IZ111" i="9"/>
  <c r="IZ107" i="9"/>
  <c r="IZ116" i="9"/>
  <c r="IZ114" i="9"/>
  <c r="IZ110" i="9"/>
  <c r="IZ106" i="9"/>
  <c r="IZ102" i="9"/>
  <c r="IZ98" i="9"/>
  <c r="IZ94" i="9"/>
  <c r="IZ90" i="9"/>
  <c r="IZ84" i="9"/>
  <c r="IZ80" i="9"/>
  <c r="IZ76" i="9"/>
  <c r="IZ72" i="9"/>
  <c r="IZ68" i="9"/>
  <c r="IZ64" i="9"/>
  <c r="IZ103" i="9"/>
  <c r="IZ91" i="9"/>
  <c r="IZ83" i="9"/>
  <c r="IZ79" i="9"/>
  <c r="IZ75" i="9"/>
  <c r="IZ71" i="9"/>
  <c r="IZ67" i="9"/>
  <c r="IZ63" i="9"/>
  <c r="IZ99" i="9"/>
  <c r="IZ89" i="9"/>
  <c r="IZ86" i="9"/>
  <c r="IZ82" i="9"/>
  <c r="IZ78" i="9"/>
  <c r="IZ74" i="9"/>
  <c r="IZ70" i="9"/>
  <c r="IZ66" i="9"/>
  <c r="IZ95" i="9"/>
  <c r="IZ87" i="9"/>
  <c r="IZ85" i="9"/>
  <c r="IZ81" i="9"/>
  <c r="IZ77" i="9"/>
  <c r="IZ73" i="9"/>
  <c r="IZ69" i="9"/>
  <c r="IZ65" i="9"/>
  <c r="IZ62" i="9"/>
  <c r="IZ8" i="9"/>
  <c r="IZ16" i="9"/>
  <c r="IZ14" i="9"/>
  <c r="IZ12" i="9"/>
  <c r="IZ10" i="9"/>
  <c r="JA6" i="9"/>
  <c r="IZ15" i="9"/>
  <c r="IZ13" i="9"/>
  <c r="IZ11" i="9"/>
  <c r="IZ9" i="9"/>
  <c r="JA213" i="9" l="1"/>
  <c r="JA211" i="9"/>
  <c r="JA210" i="9"/>
  <c r="JA209" i="9"/>
  <c r="JA208" i="9"/>
  <c r="JA212" i="9"/>
  <c r="JA204" i="9"/>
  <c r="JA207" i="9"/>
  <c r="JA203" i="9"/>
  <c r="JA205" i="9"/>
  <c r="JA206" i="9"/>
  <c r="JA202" i="9"/>
  <c r="JA201" i="9"/>
  <c r="JA198" i="9"/>
  <c r="JA194" i="9"/>
  <c r="JA199" i="9"/>
  <c r="JA197" i="9"/>
  <c r="JA191" i="9"/>
  <c r="JA200" i="9"/>
  <c r="JA190" i="9"/>
  <c r="JA193" i="9"/>
  <c r="JA187" i="9"/>
  <c r="JA183" i="9"/>
  <c r="JA195" i="9"/>
  <c r="JA192" i="9"/>
  <c r="JA186" i="9"/>
  <c r="JA182" i="9"/>
  <c r="JA196" i="9"/>
  <c r="JA189" i="9"/>
  <c r="JA181" i="9"/>
  <c r="JA175" i="9"/>
  <c r="JA188" i="9"/>
  <c r="JA180" i="9"/>
  <c r="JA179" i="9"/>
  <c r="JA178" i="9"/>
  <c r="JA174" i="9"/>
  <c r="JA173" i="9"/>
  <c r="JA171" i="9"/>
  <c r="JA167" i="9"/>
  <c r="JA163" i="9"/>
  <c r="JA159" i="9"/>
  <c r="JA155" i="9"/>
  <c r="JA151" i="9"/>
  <c r="JA184" i="9"/>
  <c r="JA170" i="9"/>
  <c r="JA166" i="9"/>
  <c r="JA162" i="9"/>
  <c r="JA158" i="9"/>
  <c r="JA154" i="9"/>
  <c r="JA150" i="9"/>
  <c r="JA185" i="9"/>
  <c r="JA172" i="9"/>
  <c r="JA176" i="9"/>
  <c r="JA177" i="9"/>
  <c r="JA164" i="9"/>
  <c r="JA169" i="9"/>
  <c r="JA161" i="9"/>
  <c r="JA168" i="9"/>
  <c r="JA160" i="9"/>
  <c r="JA165" i="9"/>
  <c r="JA157" i="9"/>
  <c r="JA152" i="9"/>
  <c r="JA146" i="9"/>
  <c r="JA156" i="9"/>
  <c r="JA149" i="9"/>
  <c r="JA145" i="9"/>
  <c r="JA148" i="9"/>
  <c r="JA153" i="9"/>
  <c r="JA147" i="9"/>
  <c r="JA144" i="9"/>
  <c r="JA141" i="9"/>
  <c r="JA137" i="9"/>
  <c r="JA133" i="9"/>
  <c r="JA140" i="9"/>
  <c r="JA136" i="9"/>
  <c r="JA132" i="9"/>
  <c r="JA143" i="9"/>
  <c r="JA139" i="9"/>
  <c r="JA135" i="9"/>
  <c r="JA142" i="9"/>
  <c r="JA138" i="9"/>
  <c r="JA134" i="9"/>
  <c r="JA131" i="9"/>
  <c r="JA127" i="9"/>
  <c r="JA123" i="9"/>
  <c r="JA119" i="9"/>
  <c r="JA130" i="9"/>
  <c r="JA126" i="9"/>
  <c r="JA122" i="9"/>
  <c r="JA118" i="9"/>
  <c r="JA129" i="9"/>
  <c r="JA125" i="9"/>
  <c r="JA121" i="9"/>
  <c r="JA117" i="9"/>
  <c r="JA128" i="9"/>
  <c r="JA124" i="9"/>
  <c r="JA120" i="9"/>
  <c r="JA116" i="9"/>
  <c r="JA112" i="9"/>
  <c r="JA108" i="9"/>
  <c r="JA104" i="9"/>
  <c r="JA100" i="9"/>
  <c r="JA96" i="9"/>
  <c r="JA92" i="9"/>
  <c r="JA115" i="9"/>
  <c r="JA111" i="9"/>
  <c r="JA107" i="9"/>
  <c r="JA103" i="9"/>
  <c r="JA99" i="9"/>
  <c r="JA95" i="9"/>
  <c r="JA91" i="9"/>
  <c r="JA87" i="9"/>
  <c r="JA114" i="9"/>
  <c r="JA110" i="9"/>
  <c r="JA106" i="9"/>
  <c r="JA113" i="9"/>
  <c r="JA109" i="9"/>
  <c r="JA105" i="9"/>
  <c r="JA101" i="9"/>
  <c r="JA97" i="9"/>
  <c r="JA93" i="9"/>
  <c r="JA89" i="9"/>
  <c r="JA98" i="9"/>
  <c r="JA83" i="9"/>
  <c r="JA79" i="9"/>
  <c r="JA75" i="9"/>
  <c r="JA71" i="9"/>
  <c r="JA67" i="9"/>
  <c r="JA63" i="9"/>
  <c r="JA94" i="9"/>
  <c r="JA90" i="9"/>
  <c r="JA86" i="9"/>
  <c r="JA82" i="9"/>
  <c r="JA78" i="9"/>
  <c r="JA74" i="9"/>
  <c r="JA70" i="9"/>
  <c r="JA66" i="9"/>
  <c r="JA62" i="9"/>
  <c r="JA88" i="9"/>
  <c r="JA85" i="9"/>
  <c r="JA81" i="9"/>
  <c r="JA77" i="9"/>
  <c r="JA73" i="9"/>
  <c r="JA69" i="9"/>
  <c r="JA65" i="9"/>
  <c r="JA102" i="9"/>
  <c r="JA84" i="9"/>
  <c r="JA80" i="9"/>
  <c r="JA76" i="9"/>
  <c r="JA72" i="9"/>
  <c r="JA68" i="9"/>
  <c r="JA64" i="9"/>
  <c r="JA16" i="9"/>
  <c r="JA14" i="9"/>
  <c r="JA12" i="9"/>
  <c r="JA10" i="9"/>
  <c r="JB6" i="9"/>
  <c r="JA15" i="9"/>
  <c r="JA13" i="9"/>
  <c r="JA11" i="9"/>
  <c r="JA9" i="9"/>
  <c r="JA8" i="9"/>
  <c r="JB213" i="9" l="1"/>
  <c r="JB212" i="9"/>
  <c r="JB211" i="9"/>
  <c r="JB209" i="9"/>
  <c r="JB210" i="9"/>
  <c r="JB207" i="9"/>
  <c r="JB202" i="9"/>
  <c r="JB206" i="9"/>
  <c r="JB205" i="9"/>
  <c r="JB208" i="9"/>
  <c r="JB201" i="9"/>
  <c r="JB204" i="9"/>
  <c r="JB200" i="9"/>
  <c r="JB199" i="9"/>
  <c r="JB197" i="9"/>
  <c r="JB196" i="9"/>
  <c r="JB203" i="9"/>
  <c r="JB190" i="9"/>
  <c r="JB198" i="9"/>
  <c r="JB193" i="9"/>
  <c r="JB195" i="9"/>
  <c r="JB192" i="9"/>
  <c r="JB186" i="9"/>
  <c r="JB182" i="9"/>
  <c r="JB191" i="9"/>
  <c r="JB189" i="9"/>
  <c r="JB185" i="9"/>
  <c r="JB181" i="9"/>
  <c r="JB188" i="9"/>
  <c r="JB180" i="9"/>
  <c r="JB179" i="9"/>
  <c r="JB178" i="9"/>
  <c r="JB174" i="9"/>
  <c r="JB187" i="9"/>
  <c r="JB177" i="9"/>
  <c r="JB173" i="9"/>
  <c r="JB184" i="9"/>
  <c r="JB170" i="9"/>
  <c r="JB166" i="9"/>
  <c r="JB162" i="9"/>
  <c r="JB158" i="9"/>
  <c r="JB154" i="9"/>
  <c r="JB194" i="9"/>
  <c r="JB172" i="9"/>
  <c r="JB169" i="9"/>
  <c r="JB165" i="9"/>
  <c r="JB161" i="9"/>
  <c r="JB157" i="9"/>
  <c r="JB153" i="9"/>
  <c r="JB176" i="9"/>
  <c r="JB183" i="9"/>
  <c r="JB175" i="9"/>
  <c r="JB171" i="9"/>
  <c r="JB163" i="9"/>
  <c r="JB168" i="9"/>
  <c r="JB160" i="9"/>
  <c r="JB167" i="9"/>
  <c r="JB159" i="9"/>
  <c r="JB164" i="9"/>
  <c r="JB156" i="9"/>
  <c r="JB151" i="9"/>
  <c r="JB149" i="9"/>
  <c r="JB148" i="9"/>
  <c r="JB144" i="9"/>
  <c r="JB147" i="9"/>
  <c r="JB155" i="9"/>
  <c r="JB152" i="9"/>
  <c r="JB150" i="9"/>
  <c r="JB146" i="9"/>
  <c r="JB140" i="9"/>
  <c r="JB136" i="9"/>
  <c r="JB132" i="9"/>
  <c r="JB143" i="9"/>
  <c r="JB139" i="9"/>
  <c r="JB135" i="9"/>
  <c r="JB131" i="9"/>
  <c r="JB142" i="9"/>
  <c r="JB138" i="9"/>
  <c r="JB134" i="9"/>
  <c r="JB145" i="9"/>
  <c r="JB141" i="9"/>
  <c r="JB137" i="9"/>
  <c r="JB133" i="9"/>
  <c r="JB130" i="9"/>
  <c r="JB126" i="9"/>
  <c r="JB122" i="9"/>
  <c r="JB118" i="9"/>
  <c r="JB129" i="9"/>
  <c r="JB125" i="9"/>
  <c r="JB121" i="9"/>
  <c r="JB117" i="9"/>
  <c r="JB128" i="9"/>
  <c r="JB124" i="9"/>
  <c r="JB120" i="9"/>
  <c r="JB127" i="9"/>
  <c r="JB123" i="9"/>
  <c r="JB119" i="9"/>
  <c r="JB115" i="9"/>
  <c r="JB111" i="9"/>
  <c r="JB107" i="9"/>
  <c r="JB103" i="9"/>
  <c r="JB99" i="9"/>
  <c r="JB95" i="9"/>
  <c r="JB114" i="9"/>
  <c r="JB110" i="9"/>
  <c r="JB106" i="9"/>
  <c r="JB102" i="9"/>
  <c r="JB98" i="9"/>
  <c r="JB94" i="9"/>
  <c r="JB90" i="9"/>
  <c r="JB116" i="9"/>
  <c r="JB113" i="9"/>
  <c r="JB109" i="9"/>
  <c r="JB112" i="9"/>
  <c r="JB108" i="9"/>
  <c r="JB104" i="9"/>
  <c r="JB100" i="9"/>
  <c r="JB96" i="9"/>
  <c r="JB92" i="9"/>
  <c r="JB88" i="9"/>
  <c r="JB105" i="9"/>
  <c r="JB91" i="9"/>
  <c r="JB86" i="9"/>
  <c r="JB82" i="9"/>
  <c r="JB78" i="9"/>
  <c r="JB74" i="9"/>
  <c r="JB70" i="9"/>
  <c r="JB66" i="9"/>
  <c r="JB101" i="9"/>
  <c r="JB89" i="9"/>
  <c r="JB85" i="9"/>
  <c r="JB81" i="9"/>
  <c r="JB77" i="9"/>
  <c r="JB73" i="9"/>
  <c r="JB69" i="9"/>
  <c r="JB65" i="9"/>
  <c r="JB97" i="9"/>
  <c r="JB87" i="9"/>
  <c r="JB84" i="9"/>
  <c r="JB80" i="9"/>
  <c r="JB76" i="9"/>
  <c r="JB72" i="9"/>
  <c r="JB68" i="9"/>
  <c r="JB64" i="9"/>
  <c r="JB93" i="9"/>
  <c r="JB83" i="9"/>
  <c r="JB79" i="9"/>
  <c r="JB75" i="9"/>
  <c r="JB71" i="9"/>
  <c r="JB67" i="9"/>
  <c r="JB63" i="9"/>
  <c r="JB62" i="9"/>
  <c r="JC6" i="9"/>
  <c r="JB15" i="9"/>
  <c r="JB13" i="9"/>
  <c r="JB11" i="9"/>
  <c r="JB9" i="9"/>
  <c r="JB8" i="9"/>
  <c r="JB16" i="9"/>
  <c r="JB14" i="9"/>
  <c r="JB12" i="9"/>
  <c r="JB10" i="9"/>
  <c r="JC8" i="9" l="1"/>
  <c r="JD6" i="9"/>
  <c r="JD8" i="9" l="1"/>
  <c r="JE6" i="9"/>
  <c r="JE213" i="9" l="1"/>
  <c r="JE212" i="9"/>
  <c r="JE211" i="9"/>
  <c r="JE209" i="9"/>
  <c r="JE210" i="9"/>
  <c r="JE208" i="9"/>
  <c r="JE207" i="9"/>
  <c r="JE206" i="9"/>
  <c r="JE205" i="9"/>
  <c r="JE204" i="9"/>
  <c r="JE202" i="9"/>
  <c r="JE201" i="9"/>
  <c r="JE200" i="9"/>
  <c r="JE203" i="9"/>
  <c r="JE196" i="9"/>
  <c r="JE195" i="9"/>
  <c r="JE198" i="9"/>
  <c r="JE193" i="9"/>
  <c r="JE199" i="9"/>
  <c r="JE197" i="9"/>
  <c r="JE192" i="9"/>
  <c r="JE191" i="9"/>
  <c r="JE189" i="9"/>
  <c r="JE185" i="9"/>
  <c r="JE181" i="9"/>
  <c r="JE190" i="9"/>
  <c r="JE188" i="9"/>
  <c r="JE184" i="9"/>
  <c r="JE180" i="9"/>
  <c r="JE187" i="9"/>
  <c r="JE177" i="9"/>
  <c r="JE173" i="9"/>
  <c r="JE186" i="9"/>
  <c r="JE176" i="9"/>
  <c r="JE194" i="9"/>
  <c r="JE172" i="9"/>
  <c r="JE169" i="9"/>
  <c r="JE165" i="9"/>
  <c r="JE161" i="9"/>
  <c r="JE157" i="9"/>
  <c r="JE153" i="9"/>
  <c r="JE182" i="9"/>
  <c r="JE178" i="9"/>
  <c r="JE168" i="9"/>
  <c r="JE164" i="9"/>
  <c r="JE160" i="9"/>
  <c r="JE156" i="9"/>
  <c r="JE152" i="9"/>
  <c r="JE179" i="9"/>
  <c r="JE174" i="9"/>
  <c r="JE183" i="9"/>
  <c r="JE175" i="9"/>
  <c r="JE171" i="9"/>
  <c r="JE170" i="9"/>
  <c r="JE162" i="9"/>
  <c r="JE167" i="9"/>
  <c r="JE159" i="9"/>
  <c r="JE166" i="9"/>
  <c r="JE163" i="9"/>
  <c r="JE155" i="9"/>
  <c r="JE158" i="9"/>
  <c r="JE148" i="9"/>
  <c r="JE147" i="9"/>
  <c r="JE154" i="9"/>
  <c r="JE150" i="9"/>
  <c r="JE146" i="9"/>
  <c r="JE151" i="9"/>
  <c r="JE149" i="9"/>
  <c r="JE145" i="9"/>
  <c r="JE143" i="9"/>
  <c r="JE139" i="9"/>
  <c r="JE135" i="9"/>
  <c r="JE142" i="9"/>
  <c r="JE138" i="9"/>
  <c r="JE134" i="9"/>
  <c r="JE141" i="9"/>
  <c r="JE137" i="9"/>
  <c r="JE133" i="9"/>
  <c r="JE144" i="9"/>
  <c r="JE140" i="9"/>
  <c r="JE136" i="9"/>
  <c r="JE132" i="9"/>
  <c r="JE129" i="9"/>
  <c r="JE125" i="9"/>
  <c r="JE121" i="9"/>
  <c r="JE117" i="9"/>
  <c r="JE128" i="9"/>
  <c r="JE124" i="9"/>
  <c r="JE120" i="9"/>
  <c r="JE116" i="9"/>
  <c r="JE127" i="9"/>
  <c r="JE123" i="9"/>
  <c r="JE119" i="9"/>
  <c r="JE131" i="9"/>
  <c r="JE130" i="9"/>
  <c r="JE126" i="9"/>
  <c r="JE122" i="9"/>
  <c r="JE118" i="9"/>
  <c r="JE114" i="9"/>
  <c r="JE110" i="9"/>
  <c r="JE106" i="9"/>
  <c r="JE102" i="9"/>
  <c r="JE98" i="9"/>
  <c r="JE94" i="9"/>
  <c r="JE113" i="9"/>
  <c r="JE109" i="9"/>
  <c r="JE105" i="9"/>
  <c r="JE101" i="9"/>
  <c r="JE97" i="9"/>
  <c r="JE93" i="9"/>
  <c r="JE89" i="9"/>
  <c r="JE112" i="9"/>
  <c r="JE108" i="9"/>
  <c r="JE115" i="9"/>
  <c r="JE111" i="9"/>
  <c r="JE107" i="9"/>
  <c r="JE103" i="9"/>
  <c r="JE99" i="9"/>
  <c r="JE95" i="9"/>
  <c r="JE91" i="9"/>
  <c r="JE87" i="9"/>
  <c r="JE96" i="9"/>
  <c r="JE90" i="9"/>
  <c r="JE85" i="9"/>
  <c r="JE81" i="9"/>
  <c r="JE77" i="9"/>
  <c r="JE73" i="9"/>
  <c r="JE69" i="9"/>
  <c r="JE65" i="9"/>
  <c r="JE92" i="9"/>
  <c r="JE88" i="9"/>
  <c r="JE84" i="9"/>
  <c r="JE80" i="9"/>
  <c r="JE76" i="9"/>
  <c r="JE72" i="9"/>
  <c r="JE68" i="9"/>
  <c r="JE64" i="9"/>
  <c r="JE104" i="9"/>
  <c r="JE83" i="9"/>
  <c r="JE79" i="9"/>
  <c r="JE75" i="9"/>
  <c r="JE71" i="9"/>
  <c r="JE67" i="9"/>
  <c r="JE100" i="9"/>
  <c r="JE86" i="9"/>
  <c r="JE82" i="9"/>
  <c r="JE78" i="9"/>
  <c r="JE74" i="9"/>
  <c r="JE70" i="9"/>
  <c r="JE66" i="9"/>
  <c r="JE62" i="9"/>
  <c r="JE63" i="9"/>
  <c r="JE15" i="9"/>
  <c r="JE13" i="9"/>
  <c r="JE11" i="9"/>
  <c r="JE9" i="9"/>
  <c r="JF6" i="9"/>
  <c r="JE16" i="9"/>
  <c r="JE14" i="9"/>
  <c r="JE12" i="9"/>
  <c r="JE10" i="9"/>
  <c r="JE8" i="9"/>
  <c r="JF212" i="9" l="1"/>
  <c r="JF213" i="9"/>
  <c r="JF211" i="9"/>
  <c r="JF210" i="9"/>
  <c r="JF209" i="9"/>
  <c r="JF207" i="9"/>
  <c r="JF206" i="9"/>
  <c r="JF208" i="9"/>
  <c r="JF205" i="9"/>
  <c r="JF204" i="9"/>
  <c r="JF203" i="9"/>
  <c r="JF200" i="9"/>
  <c r="JF199" i="9"/>
  <c r="JF201" i="9"/>
  <c r="JF195" i="9"/>
  <c r="JF198" i="9"/>
  <c r="JF194" i="9"/>
  <c r="JF202" i="9"/>
  <c r="JF197" i="9"/>
  <c r="JF192" i="9"/>
  <c r="JF196" i="9"/>
  <c r="JF191" i="9"/>
  <c r="JF190" i="9"/>
  <c r="JF188" i="9"/>
  <c r="JF184" i="9"/>
  <c r="JF180" i="9"/>
  <c r="JF187" i="9"/>
  <c r="JF183" i="9"/>
  <c r="JF179" i="9"/>
  <c r="JF186" i="9"/>
  <c r="JF176" i="9"/>
  <c r="JF172" i="9"/>
  <c r="JF193" i="9"/>
  <c r="JF185" i="9"/>
  <c r="JF175" i="9"/>
  <c r="JF182" i="9"/>
  <c r="JF178" i="9"/>
  <c r="JF168" i="9"/>
  <c r="JF164" i="9"/>
  <c r="JF160" i="9"/>
  <c r="JF156" i="9"/>
  <c r="JF152" i="9"/>
  <c r="JF189" i="9"/>
  <c r="JF177" i="9"/>
  <c r="JF171" i="9"/>
  <c r="JF167" i="9"/>
  <c r="JF163" i="9"/>
  <c r="JF159" i="9"/>
  <c r="JF155" i="9"/>
  <c r="JF151" i="9"/>
  <c r="JF181" i="9"/>
  <c r="JF174" i="9"/>
  <c r="JF170" i="9"/>
  <c r="JF173" i="9"/>
  <c r="JF169" i="9"/>
  <c r="JF161" i="9"/>
  <c r="JF166" i="9"/>
  <c r="JF158" i="9"/>
  <c r="JF165" i="9"/>
  <c r="JF162" i="9"/>
  <c r="JF147" i="9"/>
  <c r="JF154" i="9"/>
  <c r="JF150" i="9"/>
  <c r="JF146" i="9"/>
  <c r="JF157" i="9"/>
  <c r="JF153" i="9"/>
  <c r="JF149" i="9"/>
  <c r="JF148" i="9"/>
  <c r="JF144" i="9"/>
  <c r="JF142" i="9"/>
  <c r="JF138" i="9"/>
  <c r="JF134" i="9"/>
  <c r="JF141" i="9"/>
  <c r="JF137" i="9"/>
  <c r="JF133" i="9"/>
  <c r="JF145" i="9"/>
  <c r="JF140" i="9"/>
  <c r="JF136" i="9"/>
  <c r="JF132" i="9"/>
  <c r="JF143" i="9"/>
  <c r="JF139" i="9"/>
  <c r="JF135" i="9"/>
  <c r="JF131" i="9"/>
  <c r="JF128" i="9"/>
  <c r="JF124" i="9"/>
  <c r="JF120" i="9"/>
  <c r="JF127" i="9"/>
  <c r="JF123" i="9"/>
  <c r="JF119" i="9"/>
  <c r="JF115" i="9"/>
  <c r="JF130" i="9"/>
  <c r="JF126" i="9"/>
  <c r="JF122" i="9"/>
  <c r="JF118" i="9"/>
  <c r="JF129" i="9"/>
  <c r="JF125" i="9"/>
  <c r="JF121" i="9"/>
  <c r="JF117" i="9"/>
  <c r="JF113" i="9"/>
  <c r="JF109" i="9"/>
  <c r="JF105" i="9"/>
  <c r="JF101" i="9"/>
  <c r="JF97" i="9"/>
  <c r="JF93" i="9"/>
  <c r="JF116" i="9"/>
  <c r="JF112" i="9"/>
  <c r="JF108" i="9"/>
  <c r="JF104" i="9"/>
  <c r="JF100" i="9"/>
  <c r="JF96" i="9"/>
  <c r="JF92" i="9"/>
  <c r="JF88" i="9"/>
  <c r="JF111" i="9"/>
  <c r="JF107" i="9"/>
  <c r="JF114" i="9"/>
  <c r="JF110" i="9"/>
  <c r="JF106" i="9"/>
  <c r="JF102" i="9"/>
  <c r="JF98" i="9"/>
  <c r="JF94" i="9"/>
  <c r="JF90" i="9"/>
  <c r="JF103" i="9"/>
  <c r="JF89" i="9"/>
  <c r="JF84" i="9"/>
  <c r="JF80" i="9"/>
  <c r="JF76" i="9"/>
  <c r="JF72" i="9"/>
  <c r="JF68" i="9"/>
  <c r="JF64" i="9"/>
  <c r="JF99" i="9"/>
  <c r="JF87" i="9"/>
  <c r="JF83" i="9"/>
  <c r="JF79" i="9"/>
  <c r="JF75" i="9"/>
  <c r="JF71" i="9"/>
  <c r="JF67" i="9"/>
  <c r="JF63" i="9"/>
  <c r="JF95" i="9"/>
  <c r="JF86" i="9"/>
  <c r="JF82" i="9"/>
  <c r="JF78" i="9"/>
  <c r="JF74" i="9"/>
  <c r="JF70" i="9"/>
  <c r="JF66" i="9"/>
  <c r="JF91" i="9"/>
  <c r="JF85" i="9"/>
  <c r="JF81" i="9"/>
  <c r="JF77" i="9"/>
  <c r="JF73" i="9"/>
  <c r="JF69" i="9"/>
  <c r="JF65" i="9"/>
  <c r="JF62" i="9"/>
  <c r="JG6" i="9"/>
  <c r="JF16" i="9"/>
  <c r="JF14" i="9"/>
  <c r="JF12" i="9"/>
  <c r="JF10" i="9"/>
  <c r="JF8" i="9"/>
  <c r="JF15" i="9"/>
  <c r="JF13" i="9"/>
  <c r="JF11" i="9"/>
  <c r="JF9" i="9"/>
  <c r="JG213" i="9" l="1"/>
  <c r="JG211" i="9"/>
  <c r="JG210" i="9"/>
  <c r="JG212" i="9"/>
  <c r="JG209" i="9"/>
  <c r="JG208" i="9"/>
  <c r="JG205" i="9"/>
  <c r="JG207" i="9"/>
  <c r="JG204" i="9"/>
  <c r="JG206" i="9"/>
  <c r="JG203" i="9"/>
  <c r="JG202" i="9"/>
  <c r="JG201" i="9"/>
  <c r="JG198" i="9"/>
  <c r="JG194" i="9"/>
  <c r="JG197" i="9"/>
  <c r="JG200" i="9"/>
  <c r="JG199" i="9"/>
  <c r="JG196" i="9"/>
  <c r="JG191" i="9"/>
  <c r="JG195" i="9"/>
  <c r="JG190" i="9"/>
  <c r="JG187" i="9"/>
  <c r="JG183" i="9"/>
  <c r="JG186" i="9"/>
  <c r="JG182" i="9"/>
  <c r="JG193" i="9"/>
  <c r="JG185" i="9"/>
  <c r="JG175" i="9"/>
  <c r="JG184" i="9"/>
  <c r="JG178" i="9"/>
  <c r="JG174" i="9"/>
  <c r="JG189" i="9"/>
  <c r="JG177" i="9"/>
  <c r="JG171" i="9"/>
  <c r="JG167" i="9"/>
  <c r="JG163" i="9"/>
  <c r="JG159" i="9"/>
  <c r="JG155" i="9"/>
  <c r="JG151" i="9"/>
  <c r="JG180" i="9"/>
  <c r="JG176" i="9"/>
  <c r="JG170" i="9"/>
  <c r="JG166" i="9"/>
  <c r="JG162" i="9"/>
  <c r="JG158" i="9"/>
  <c r="JG154" i="9"/>
  <c r="JG150" i="9"/>
  <c r="JG181" i="9"/>
  <c r="JG192" i="9"/>
  <c r="JG188" i="9"/>
  <c r="JG173" i="9"/>
  <c r="JG179" i="9"/>
  <c r="JG172" i="9"/>
  <c r="JG168" i="9"/>
  <c r="JG160" i="9"/>
  <c r="JG165" i="9"/>
  <c r="JG157" i="9"/>
  <c r="JG164" i="9"/>
  <c r="JG169" i="9"/>
  <c r="JG161" i="9"/>
  <c r="JG156" i="9"/>
  <c r="JG146" i="9"/>
  <c r="JG153" i="9"/>
  <c r="JG149" i="9"/>
  <c r="JG145" i="9"/>
  <c r="JG152" i="9"/>
  <c r="JG148" i="9"/>
  <c r="JG147" i="9"/>
  <c r="JG141" i="9"/>
  <c r="JG137" i="9"/>
  <c r="JG133" i="9"/>
  <c r="JG140" i="9"/>
  <c r="JG136" i="9"/>
  <c r="JG132" i="9"/>
  <c r="JG144" i="9"/>
  <c r="JG143" i="9"/>
  <c r="JG139" i="9"/>
  <c r="JG135" i="9"/>
  <c r="JG142" i="9"/>
  <c r="JG138" i="9"/>
  <c r="JG134" i="9"/>
  <c r="JG127" i="9"/>
  <c r="JG123" i="9"/>
  <c r="JG119" i="9"/>
  <c r="JG130" i="9"/>
  <c r="JG126" i="9"/>
  <c r="JG122" i="9"/>
  <c r="JG118" i="9"/>
  <c r="JG131" i="9"/>
  <c r="JG129" i="9"/>
  <c r="JG125" i="9"/>
  <c r="JG121" i="9"/>
  <c r="JG117" i="9"/>
  <c r="JG128" i="9"/>
  <c r="JG124" i="9"/>
  <c r="JG120" i="9"/>
  <c r="JG116" i="9"/>
  <c r="JG112" i="9"/>
  <c r="JG108" i="9"/>
  <c r="JG104" i="9"/>
  <c r="JG100" i="9"/>
  <c r="JG96" i="9"/>
  <c r="JG92" i="9"/>
  <c r="JG111" i="9"/>
  <c r="JG107" i="9"/>
  <c r="JG103" i="9"/>
  <c r="JG99" i="9"/>
  <c r="JG95" i="9"/>
  <c r="JG91" i="9"/>
  <c r="JG87" i="9"/>
  <c r="JG115" i="9"/>
  <c r="JG114" i="9"/>
  <c r="JG110" i="9"/>
  <c r="JG106" i="9"/>
  <c r="JG113" i="9"/>
  <c r="JG109" i="9"/>
  <c r="JG105" i="9"/>
  <c r="JG101" i="9"/>
  <c r="JG97" i="9"/>
  <c r="JG93" i="9"/>
  <c r="JG89" i="9"/>
  <c r="JG94" i="9"/>
  <c r="JG88" i="9"/>
  <c r="JG83" i="9"/>
  <c r="JG79" i="9"/>
  <c r="JG75" i="9"/>
  <c r="JG71" i="9"/>
  <c r="JG67" i="9"/>
  <c r="JG63" i="9"/>
  <c r="JG86" i="9"/>
  <c r="JG82" i="9"/>
  <c r="JG78" i="9"/>
  <c r="JG74" i="9"/>
  <c r="JG70" i="9"/>
  <c r="JG66" i="9"/>
  <c r="JG62" i="9"/>
  <c r="JG102" i="9"/>
  <c r="JG85" i="9"/>
  <c r="JG81" i="9"/>
  <c r="JG77" i="9"/>
  <c r="JG73" i="9"/>
  <c r="JG69" i="9"/>
  <c r="JG65" i="9"/>
  <c r="JG98" i="9"/>
  <c r="JG90" i="9"/>
  <c r="JG84" i="9"/>
  <c r="JG80" i="9"/>
  <c r="JG76" i="9"/>
  <c r="JG72" i="9"/>
  <c r="JG68" i="9"/>
  <c r="JG64" i="9"/>
  <c r="JG16" i="9"/>
  <c r="JG14" i="9"/>
  <c r="JG12" i="9"/>
  <c r="JG10" i="9"/>
  <c r="JG8" i="9"/>
  <c r="JG15" i="9"/>
  <c r="JG13" i="9"/>
  <c r="JG11" i="9"/>
  <c r="JG9" i="9"/>
  <c r="JH6" i="9"/>
  <c r="JH213" i="9" l="1"/>
  <c r="JH212" i="9"/>
  <c r="JH210" i="9"/>
  <c r="JH209" i="9"/>
  <c r="JH211" i="9"/>
  <c r="JH208" i="9"/>
  <c r="JH207" i="9"/>
  <c r="JH206" i="9"/>
  <c r="JH202" i="9"/>
  <c r="JH204" i="9"/>
  <c r="JH203" i="9"/>
  <c r="JH201" i="9"/>
  <c r="JH200" i="9"/>
  <c r="JH205" i="9"/>
  <c r="JH197" i="9"/>
  <c r="JH199" i="9"/>
  <c r="JH196" i="9"/>
  <c r="JH195" i="9"/>
  <c r="JH190" i="9"/>
  <c r="JH194" i="9"/>
  <c r="JH193" i="9"/>
  <c r="JH186" i="9"/>
  <c r="JH182" i="9"/>
  <c r="JH198" i="9"/>
  <c r="JH189" i="9"/>
  <c r="JH185" i="9"/>
  <c r="JH181" i="9"/>
  <c r="JH184" i="9"/>
  <c r="JH178" i="9"/>
  <c r="JH174" i="9"/>
  <c r="JH191" i="9"/>
  <c r="JH183" i="9"/>
  <c r="JH179" i="9"/>
  <c r="JH177" i="9"/>
  <c r="JH173" i="9"/>
  <c r="JH180" i="9"/>
  <c r="JH176" i="9"/>
  <c r="JH170" i="9"/>
  <c r="JH166" i="9"/>
  <c r="JH162" i="9"/>
  <c r="JH158" i="9"/>
  <c r="JH154" i="9"/>
  <c r="JH187" i="9"/>
  <c r="JH175" i="9"/>
  <c r="JH169" i="9"/>
  <c r="JH165" i="9"/>
  <c r="JH161" i="9"/>
  <c r="JH157" i="9"/>
  <c r="JH153" i="9"/>
  <c r="JH192" i="9"/>
  <c r="JH188" i="9"/>
  <c r="JH171" i="9"/>
  <c r="JH172" i="9"/>
  <c r="JH167" i="9"/>
  <c r="JH159" i="9"/>
  <c r="JH164" i="9"/>
  <c r="JH156" i="9"/>
  <c r="JH163" i="9"/>
  <c r="JH168" i="9"/>
  <c r="JH160" i="9"/>
  <c r="JH150" i="9"/>
  <c r="JH149" i="9"/>
  <c r="JH152" i="9"/>
  <c r="JH148" i="9"/>
  <c r="JH144" i="9"/>
  <c r="JH155" i="9"/>
  <c r="JH151" i="9"/>
  <c r="JH147" i="9"/>
  <c r="JH146" i="9"/>
  <c r="JH140" i="9"/>
  <c r="JH136" i="9"/>
  <c r="JH132" i="9"/>
  <c r="JH145" i="9"/>
  <c r="JH143" i="9"/>
  <c r="JH139" i="9"/>
  <c r="JH135" i="9"/>
  <c r="JH131" i="9"/>
  <c r="JH142" i="9"/>
  <c r="JH138" i="9"/>
  <c r="JH134" i="9"/>
  <c r="JH141" i="9"/>
  <c r="JH137" i="9"/>
  <c r="JH133" i="9"/>
  <c r="JH130" i="9"/>
  <c r="JH126" i="9"/>
  <c r="JH122" i="9"/>
  <c r="JH118" i="9"/>
  <c r="JH129" i="9"/>
  <c r="JH125" i="9"/>
  <c r="JH121" i="9"/>
  <c r="JH117" i="9"/>
  <c r="JH128" i="9"/>
  <c r="JH124" i="9"/>
  <c r="JH120" i="9"/>
  <c r="JH127" i="9"/>
  <c r="JH123" i="9"/>
  <c r="JH119" i="9"/>
  <c r="JH116" i="9"/>
  <c r="JH111" i="9"/>
  <c r="JH107" i="9"/>
  <c r="JH103" i="9"/>
  <c r="JH99" i="9"/>
  <c r="JH95" i="9"/>
  <c r="JH115" i="9"/>
  <c r="JH114" i="9"/>
  <c r="JH110" i="9"/>
  <c r="JH106" i="9"/>
  <c r="JH102" i="9"/>
  <c r="JH98" i="9"/>
  <c r="JH94" i="9"/>
  <c r="JH90" i="9"/>
  <c r="JH113" i="9"/>
  <c r="JH109" i="9"/>
  <c r="JH112" i="9"/>
  <c r="JH108" i="9"/>
  <c r="JH104" i="9"/>
  <c r="JH100" i="9"/>
  <c r="JH96" i="9"/>
  <c r="JH92" i="9"/>
  <c r="JH88" i="9"/>
  <c r="JH101" i="9"/>
  <c r="JH87" i="9"/>
  <c r="JH86" i="9"/>
  <c r="JH82" i="9"/>
  <c r="JH78" i="9"/>
  <c r="JH74" i="9"/>
  <c r="JH70" i="9"/>
  <c r="JH66" i="9"/>
  <c r="JH97" i="9"/>
  <c r="JH85" i="9"/>
  <c r="JH81" i="9"/>
  <c r="JH77" i="9"/>
  <c r="JH73" i="9"/>
  <c r="JH69" i="9"/>
  <c r="JH65" i="9"/>
  <c r="JH93" i="9"/>
  <c r="JH91" i="9"/>
  <c r="JH84" i="9"/>
  <c r="JH80" i="9"/>
  <c r="JH76" i="9"/>
  <c r="JH72" i="9"/>
  <c r="JH68" i="9"/>
  <c r="JH64" i="9"/>
  <c r="JH105" i="9"/>
  <c r="JH89" i="9"/>
  <c r="JH83" i="9"/>
  <c r="JH79" i="9"/>
  <c r="JH75" i="9"/>
  <c r="JH71" i="9"/>
  <c r="JH67" i="9"/>
  <c r="JH63" i="9"/>
  <c r="JH62" i="9"/>
  <c r="JH8" i="9"/>
  <c r="JH15" i="9"/>
  <c r="JH13" i="9"/>
  <c r="JH11" i="9"/>
  <c r="JH9" i="9"/>
  <c r="JI6" i="9"/>
  <c r="JH16" i="9"/>
  <c r="JH14" i="9"/>
  <c r="JH12" i="9"/>
  <c r="JH10" i="9"/>
  <c r="JI213" i="9" l="1"/>
  <c r="JI212" i="9"/>
  <c r="JI211" i="9"/>
  <c r="JI209" i="9"/>
  <c r="JI208" i="9"/>
  <c r="JI210" i="9"/>
  <c r="JI207" i="9"/>
  <c r="JI206" i="9"/>
  <c r="JI205" i="9"/>
  <c r="JI204" i="9"/>
  <c r="JI203" i="9"/>
  <c r="JI201" i="9"/>
  <c r="JI202" i="9"/>
  <c r="JI200" i="9"/>
  <c r="JI199" i="9"/>
  <c r="JI196" i="9"/>
  <c r="JI195" i="9"/>
  <c r="JI194" i="9"/>
  <c r="JI193" i="9"/>
  <c r="JI192" i="9"/>
  <c r="JI198" i="9"/>
  <c r="JI189" i="9"/>
  <c r="JI185" i="9"/>
  <c r="JI181" i="9"/>
  <c r="JI188" i="9"/>
  <c r="JI184" i="9"/>
  <c r="JI180" i="9"/>
  <c r="JI191" i="9"/>
  <c r="JI183" i="9"/>
  <c r="JI179" i="9"/>
  <c r="JI177" i="9"/>
  <c r="JI173" i="9"/>
  <c r="JI197" i="9"/>
  <c r="JI182" i="9"/>
  <c r="JI176" i="9"/>
  <c r="JI187" i="9"/>
  <c r="JI175" i="9"/>
  <c r="JI169" i="9"/>
  <c r="JI165" i="9"/>
  <c r="JI161" i="9"/>
  <c r="JI157" i="9"/>
  <c r="JI153" i="9"/>
  <c r="JI190" i="9"/>
  <c r="JI174" i="9"/>
  <c r="JI172" i="9"/>
  <c r="JI168" i="9"/>
  <c r="JI164" i="9"/>
  <c r="JI160" i="9"/>
  <c r="JI156" i="9"/>
  <c r="JI152" i="9"/>
  <c r="JI186" i="9"/>
  <c r="JI171" i="9"/>
  <c r="JI170" i="9"/>
  <c r="JI178" i="9"/>
  <c r="JI166" i="9"/>
  <c r="JI163" i="9"/>
  <c r="JI155" i="9"/>
  <c r="JI162" i="9"/>
  <c r="JI167" i="9"/>
  <c r="JI159" i="9"/>
  <c r="JI154" i="9"/>
  <c r="JI148" i="9"/>
  <c r="JI151" i="9"/>
  <c r="JI147" i="9"/>
  <c r="JI146" i="9"/>
  <c r="JI158" i="9"/>
  <c r="JI150" i="9"/>
  <c r="JI149" i="9"/>
  <c r="JI145" i="9"/>
  <c r="JI143" i="9"/>
  <c r="JI139" i="9"/>
  <c r="JI135" i="9"/>
  <c r="JI144" i="9"/>
  <c r="JI142" i="9"/>
  <c r="JI138" i="9"/>
  <c r="JI134" i="9"/>
  <c r="JI141" i="9"/>
  <c r="JI137" i="9"/>
  <c r="JI133" i="9"/>
  <c r="JI140" i="9"/>
  <c r="JI136" i="9"/>
  <c r="JI132" i="9"/>
  <c r="JI129" i="9"/>
  <c r="JI125" i="9"/>
  <c r="JI121" i="9"/>
  <c r="JI117" i="9"/>
  <c r="JI131" i="9"/>
  <c r="JI128" i="9"/>
  <c r="JI124" i="9"/>
  <c r="JI120" i="9"/>
  <c r="JI116" i="9"/>
  <c r="JI127" i="9"/>
  <c r="JI123" i="9"/>
  <c r="JI119" i="9"/>
  <c r="JI130" i="9"/>
  <c r="JI126" i="9"/>
  <c r="JI122" i="9"/>
  <c r="JI118" i="9"/>
  <c r="JI115" i="9"/>
  <c r="JI114" i="9"/>
  <c r="JI110" i="9"/>
  <c r="JI106" i="9"/>
  <c r="JI102" i="9"/>
  <c r="JI98" i="9"/>
  <c r="JI94" i="9"/>
  <c r="JI113" i="9"/>
  <c r="JI109" i="9"/>
  <c r="JI105" i="9"/>
  <c r="JI101" i="9"/>
  <c r="JI97" i="9"/>
  <c r="JI93" i="9"/>
  <c r="JI89" i="9"/>
  <c r="JI112" i="9"/>
  <c r="JI108" i="9"/>
  <c r="JI111" i="9"/>
  <c r="JI107" i="9"/>
  <c r="JI103" i="9"/>
  <c r="JI99" i="9"/>
  <c r="JI95" i="9"/>
  <c r="JI91" i="9"/>
  <c r="JI87" i="9"/>
  <c r="JI92" i="9"/>
  <c r="JI85" i="9"/>
  <c r="JI81" i="9"/>
  <c r="JI77" i="9"/>
  <c r="JI73" i="9"/>
  <c r="JI69" i="9"/>
  <c r="JI65" i="9"/>
  <c r="JI104" i="9"/>
  <c r="JI84" i="9"/>
  <c r="JI80" i="9"/>
  <c r="JI76" i="9"/>
  <c r="JI72" i="9"/>
  <c r="JI68" i="9"/>
  <c r="JI64" i="9"/>
  <c r="JI100" i="9"/>
  <c r="JI90" i="9"/>
  <c r="JI83" i="9"/>
  <c r="JI79" i="9"/>
  <c r="JI75" i="9"/>
  <c r="JI71" i="9"/>
  <c r="JI67" i="9"/>
  <c r="JI96" i="9"/>
  <c r="JI88" i="9"/>
  <c r="JI86" i="9"/>
  <c r="JI82" i="9"/>
  <c r="JI78" i="9"/>
  <c r="JI74" i="9"/>
  <c r="JI70" i="9"/>
  <c r="JI66" i="9"/>
  <c r="JI62" i="9"/>
  <c r="JI63" i="9"/>
  <c r="JI15" i="9"/>
  <c r="JI13" i="9"/>
  <c r="JI11" i="9"/>
  <c r="JI9" i="9"/>
  <c r="JJ6" i="9"/>
  <c r="JI16" i="9"/>
  <c r="JI14" i="9"/>
  <c r="JI12" i="9"/>
  <c r="JI10" i="9"/>
  <c r="JI8" i="9"/>
  <c r="JK6" i="9" l="1"/>
  <c r="JK8" i="9" s="1"/>
  <c r="JJ8" i="9"/>
  <c r="F17" i="9" l="1"/>
  <c r="J17" i="9" s="1"/>
  <c r="K17" i="9" s="1"/>
  <c r="L17" i="9" s="1"/>
  <c r="G17" i="9" l="1"/>
  <c r="AV17" i="9" s="1"/>
  <c r="ID17" i="9" l="1"/>
  <c r="BD17" i="9"/>
  <c r="AQ17" i="9"/>
  <c r="AL17" i="9"/>
  <c r="AO17" i="9"/>
  <c r="EQ17" i="9"/>
  <c r="EE17" i="9"/>
  <c r="FD17" i="9"/>
  <c r="CH17" i="9"/>
  <c r="EZ17" i="9"/>
  <c r="DR17" i="9"/>
  <c r="ED17" i="9"/>
  <c r="EP17" i="9"/>
  <c r="IX17" i="9"/>
  <c r="BE17" i="9"/>
  <c r="GP17" i="9"/>
  <c r="EL17" i="9"/>
  <c r="IS17" i="9"/>
  <c r="GO17" i="9"/>
  <c r="HP17" i="9"/>
  <c r="EI17" i="9"/>
  <c r="IM17" i="9"/>
  <c r="HB17" i="9"/>
  <c r="ET17" i="9"/>
  <c r="CS17" i="9"/>
  <c r="W17" i="9"/>
  <c r="GU17" i="9"/>
  <c r="JG17" i="9"/>
  <c r="FZ17" i="9"/>
  <c r="GN17" i="9"/>
  <c r="AK17" i="9"/>
  <c r="AY17" i="9"/>
  <c r="GB17" i="9"/>
  <c r="IL17" i="9"/>
  <c r="BN17" i="9"/>
  <c r="EW17" i="9"/>
  <c r="IE17" i="9"/>
  <c r="DJ17" i="9"/>
  <c r="CO17" i="9"/>
  <c r="EJ17" i="9"/>
  <c r="HH17" i="9"/>
  <c r="EX17" i="9"/>
  <c r="GM17" i="9"/>
  <c r="IU17" i="9"/>
  <c r="FY17" i="9"/>
  <c r="CL17" i="9"/>
  <c r="DV17" i="9"/>
  <c r="GW17" i="9"/>
  <c r="IR17" i="9"/>
  <c r="X17" i="9"/>
  <c r="DB17" i="9"/>
  <c r="DC17" i="9"/>
  <c r="DG17" i="9"/>
  <c r="FE17" i="9"/>
  <c r="GX17" i="9"/>
  <c r="CW17" i="9"/>
  <c r="GH17" i="9"/>
  <c r="IT17" i="9"/>
  <c r="HC17" i="9"/>
  <c r="FA17" i="9"/>
  <c r="AR17" i="9"/>
  <c r="JH17" i="9"/>
  <c r="HO17" i="9"/>
  <c r="DP17" i="9"/>
  <c r="HW17" i="9"/>
  <c r="DI17" i="9"/>
  <c r="HY17" i="9"/>
  <c r="BJ17" i="9"/>
  <c r="BK17" i="9"/>
  <c r="V17" i="9"/>
  <c r="AA17" i="9"/>
  <c r="BT17" i="9"/>
  <c r="BL17" i="9"/>
  <c r="GA17" i="9"/>
  <c r="HV17" i="9"/>
  <c r="EC17" i="9"/>
  <c r="IJ17" i="9"/>
  <c r="AB17" i="9"/>
  <c r="GT17" i="9"/>
  <c r="JI17" i="9"/>
  <c r="AZ17" i="9"/>
  <c r="FU17" i="9"/>
  <c r="CN17" i="9"/>
  <c r="IF17" i="9"/>
  <c r="IG17" i="9"/>
  <c r="IN17" i="9"/>
  <c r="IY17" i="9"/>
  <c r="DD17" i="9"/>
  <c r="ES17" i="9"/>
  <c r="ER17" i="9"/>
  <c r="JF17" i="9"/>
  <c r="AX17" i="9"/>
  <c r="HE17" i="9"/>
  <c r="AD17" i="9"/>
  <c r="DA17" i="9"/>
  <c r="HA17" i="9"/>
  <c r="BQ17" i="9"/>
  <c r="AP17" i="9"/>
  <c r="HJ17" i="9"/>
  <c r="HK17" i="9"/>
  <c r="GV17" i="9"/>
  <c r="BU17" i="9"/>
  <c r="CV17" i="9"/>
  <c r="EF17" i="9"/>
  <c r="FR17" i="9"/>
  <c r="FS17" i="9"/>
  <c r="BM17" i="9"/>
  <c r="HL17" i="9"/>
  <c r="JA17" i="9"/>
  <c r="CA17" i="9"/>
  <c r="FL17" i="9"/>
  <c r="HX17" i="9"/>
  <c r="IC17" i="9"/>
  <c r="BX17" i="9"/>
  <c r="DW17" i="9"/>
  <c r="AI17" i="9"/>
  <c r="BZ17" i="9"/>
  <c r="GF17" i="9"/>
  <c r="AC17" i="9"/>
  <c r="IK17" i="9"/>
  <c r="GG17" i="9"/>
  <c r="DK17" i="9"/>
  <c r="FF17" i="9"/>
  <c r="IZ17" i="9"/>
  <c r="T17" i="9"/>
  <c r="N17" i="9"/>
  <c r="GJ17" i="9"/>
  <c r="BS17" i="9"/>
  <c r="DN17" i="9"/>
  <c r="CT17" i="9"/>
  <c r="AH17" i="9"/>
  <c r="FH17" i="9"/>
  <c r="GC17" i="9"/>
  <c r="AS17" i="9"/>
  <c r="CU17" i="9"/>
  <c r="DH17" i="9"/>
  <c r="HQ17" i="9"/>
  <c r="FV17" i="9"/>
  <c r="EK17" i="9"/>
  <c r="U17" i="9"/>
  <c r="O17" i="9"/>
  <c r="HS17" i="9"/>
  <c r="Q17" i="9"/>
  <c r="CZ17" i="9"/>
  <c r="IQ17" i="9"/>
  <c r="BF17" i="9"/>
  <c r="GI17" i="9"/>
  <c r="CM17" i="9"/>
  <c r="CE17" i="9"/>
  <c r="EM17" i="9"/>
  <c r="CB17" i="9"/>
  <c r="GQ17" i="9"/>
  <c r="DQ17" i="9"/>
  <c r="FG17" i="9"/>
  <c r="M17" i="9"/>
  <c r="BC17" i="9"/>
  <c r="JB17" i="9"/>
  <c r="JE17" i="9"/>
  <c r="AE17" i="9"/>
  <c r="AW17" i="9"/>
  <c r="CP17" i="9"/>
  <c r="FM17" i="9"/>
  <c r="BR17" i="9"/>
  <c r="BG17" i="9"/>
  <c r="FN17" i="9"/>
  <c r="FT17" i="9"/>
  <c r="HI17" i="9"/>
  <c r="DU17" i="9"/>
  <c r="HZ17" i="9"/>
  <c r="P17" i="9"/>
  <c r="DO17" i="9"/>
  <c r="HD17" i="9"/>
  <c r="HR17" i="9"/>
  <c r="DX17" i="9"/>
  <c r="DY17" i="9"/>
  <c r="FK17" i="9"/>
  <c r="AJ17" i="9"/>
  <c r="EY17" i="9"/>
  <c r="BY17" i="9"/>
  <c r="CF17" i="9"/>
  <c r="CG17" i="9"/>
  <c r="CI17" i="9"/>
  <c r="EB17" i="9"/>
  <c r="FO17" i="9"/>
  <c r="F18" i="9"/>
  <c r="J18" i="9" s="1"/>
  <c r="K18" i="9" s="1"/>
  <c r="L18" i="9" s="1"/>
  <c r="G18" i="9" l="1"/>
  <c r="JG18" i="9" s="1"/>
  <c r="HD18" i="9" l="1"/>
  <c r="EZ18" i="9"/>
  <c r="IN18" i="9"/>
  <c r="GW18" i="9"/>
  <c r="BU18" i="9"/>
  <c r="CP18" i="9"/>
  <c r="ID18" i="9"/>
  <c r="AX18" i="9"/>
  <c r="EY18" i="9"/>
  <c r="DO18" i="9"/>
  <c r="FT18" i="9"/>
  <c r="BR18" i="9"/>
  <c r="IX18" i="9"/>
  <c r="GT18" i="9"/>
  <c r="GQ18" i="9"/>
  <c r="ED18" i="9"/>
  <c r="FU18" i="9"/>
  <c r="EL18" i="9"/>
  <c r="IY18" i="9"/>
  <c r="N18" i="9"/>
  <c r="BL18" i="9"/>
  <c r="BC18" i="9"/>
  <c r="HH18" i="9"/>
  <c r="AD18" i="9"/>
  <c r="HL18" i="9"/>
  <c r="HQ18" i="9"/>
  <c r="M18" i="9"/>
  <c r="CS18" i="9"/>
  <c r="FA18" i="9"/>
  <c r="CG18" i="9"/>
  <c r="AO18" i="9"/>
  <c r="EK18" i="9"/>
  <c r="IQ18" i="9"/>
  <c r="BD18" i="9"/>
  <c r="GA18" i="9"/>
  <c r="FD18" i="9"/>
  <c r="GG18" i="9"/>
  <c r="HE18" i="9"/>
  <c r="GO18" i="9"/>
  <c r="DI18" i="9"/>
  <c r="JB18" i="9"/>
  <c r="CI18" i="9"/>
  <c r="FY18" i="9"/>
  <c r="IF18" i="9"/>
  <c r="HW18" i="9"/>
  <c r="CV18" i="9"/>
  <c r="BS18" i="9"/>
  <c r="BF18" i="9"/>
  <c r="EP18" i="9"/>
  <c r="EX18" i="9"/>
  <c r="AI18" i="9"/>
  <c r="ES18" i="9"/>
  <c r="GJ18" i="9"/>
  <c r="GI18" i="9"/>
  <c r="AE18" i="9"/>
  <c r="HC18" i="9"/>
  <c r="IE18" i="9"/>
  <c r="DP18" i="9"/>
  <c r="IS18" i="9"/>
  <c r="CF18" i="9"/>
  <c r="JE18" i="9"/>
  <c r="DY18" i="9"/>
  <c r="GM18" i="9"/>
  <c r="DK18" i="9"/>
  <c r="HV18" i="9"/>
  <c r="FH18" i="9"/>
  <c r="BJ18" i="9"/>
  <c r="BX18" i="9"/>
  <c r="AW18" i="9"/>
  <c r="HR18" i="9"/>
  <c r="HS18" i="9"/>
  <c r="AA18" i="9"/>
  <c r="HB18" i="9"/>
  <c r="FZ18" i="9"/>
  <c r="IJ18" i="9"/>
  <c r="HJ18" i="9"/>
  <c r="FS18" i="9"/>
  <c r="CU18" i="9"/>
  <c r="ET18" i="9"/>
  <c r="HA18" i="9"/>
  <c r="U18" i="9"/>
  <c r="GN18" i="9"/>
  <c r="AJ18" i="9"/>
  <c r="AS18" i="9"/>
  <c r="CT18" i="9"/>
  <c r="GP18" i="9"/>
  <c r="IK18" i="9"/>
  <c r="CL18" i="9"/>
  <c r="HX18" i="9"/>
  <c r="EB18" i="9"/>
  <c r="DB18" i="9"/>
  <c r="AP18" i="9"/>
  <c r="FN18" i="9"/>
  <c r="DR18" i="9"/>
  <c r="EW18" i="9"/>
  <c r="AL18" i="9"/>
  <c r="DJ18" i="9"/>
  <c r="AQ18" i="9"/>
  <c r="HI18" i="9"/>
  <c r="EF18" i="9"/>
  <c r="AY18" i="9"/>
  <c r="IM18" i="9"/>
  <c r="HO18" i="9"/>
  <c r="EI18" i="9"/>
  <c r="AB18" i="9"/>
  <c r="BK18" i="9"/>
  <c r="HK18" i="9"/>
  <c r="GH18" i="9"/>
  <c r="CE18" i="9"/>
  <c r="GX18" i="9"/>
  <c r="CN18" i="9"/>
  <c r="W18" i="9"/>
  <c r="IR18" i="9"/>
  <c r="FM18" i="9"/>
  <c r="EM18" i="9"/>
  <c r="EQ18" i="9"/>
  <c r="HP18" i="9"/>
  <c r="AH18" i="9"/>
  <c r="BE18" i="9"/>
  <c r="O18" i="9"/>
  <c r="BZ18" i="9"/>
  <c r="CW18" i="9"/>
  <c r="Q18" i="9"/>
  <c r="EE18" i="9"/>
  <c r="BY18" i="9"/>
  <c r="HY18" i="9"/>
  <c r="JI18" i="9"/>
  <c r="CA18" i="9"/>
  <c r="DX18" i="9"/>
  <c r="IL18" i="9"/>
  <c r="DU18" i="9"/>
  <c r="HZ18" i="9"/>
  <c r="DQ18" i="9"/>
  <c r="IC18" i="9"/>
  <c r="AC18" i="9"/>
  <c r="P18" i="9"/>
  <c r="CM18" i="9"/>
  <c r="BN18" i="9"/>
  <c r="FL18" i="9"/>
  <c r="IG18" i="9"/>
  <c r="DH18" i="9"/>
  <c r="GU18" i="9"/>
  <c r="CO18" i="9"/>
  <c r="DV18" i="9"/>
  <c r="DC18" i="9"/>
  <c r="AV18" i="9"/>
  <c r="DN18" i="9"/>
  <c r="FG18" i="9"/>
  <c r="GV18" i="9"/>
  <c r="FF18" i="9"/>
  <c r="JF18" i="9"/>
  <c r="T18" i="9"/>
  <c r="FE18" i="9"/>
  <c r="EC18" i="9"/>
  <c r="ER18" i="9"/>
  <c r="EJ18" i="9"/>
  <c r="GC18" i="9"/>
  <c r="JA18" i="9"/>
  <c r="GB18" i="9"/>
  <c r="BT18" i="9"/>
  <c r="FK18" i="9"/>
  <c r="DD18" i="9"/>
  <c r="DW18" i="9"/>
  <c r="FR18" i="9"/>
  <c r="BQ18" i="9"/>
  <c r="BM18" i="9"/>
  <c r="V18" i="9"/>
  <c r="CZ18" i="9"/>
  <c r="DA18" i="9"/>
  <c r="FO18" i="9"/>
  <c r="AR18" i="9"/>
  <c r="BG18" i="9"/>
  <c r="X18" i="9"/>
  <c r="FV18" i="9"/>
  <c r="AZ18" i="9"/>
  <c r="AK18" i="9"/>
  <c r="CB18" i="9"/>
  <c r="CH18" i="9"/>
  <c r="GF18" i="9"/>
  <c r="IZ18" i="9"/>
  <c r="IT18" i="9"/>
  <c r="JH18" i="9"/>
  <c r="IU18" i="9"/>
  <c r="DG18" i="9"/>
  <c r="F19" i="9" l="1"/>
  <c r="J19" i="9" s="1"/>
  <c r="K19" i="9" s="1"/>
  <c r="L19" i="9" s="1"/>
  <c r="F20" i="9"/>
  <c r="J20" i="9" s="1"/>
  <c r="K20" i="9" s="1"/>
  <c r="L20" i="9" s="1"/>
  <c r="G20" i="9" l="1"/>
  <c r="FD20" i="9" s="1"/>
  <c r="G19" i="9"/>
  <c r="EI19" i="9" s="1"/>
  <c r="M20" i="9" l="1"/>
  <c r="ES20" i="9"/>
  <c r="U20" i="9"/>
  <c r="FL19" i="9"/>
  <c r="AV20" i="9"/>
  <c r="CM20" i="9"/>
  <c r="AK20" i="9"/>
  <c r="GJ20" i="9"/>
  <c r="HE19" i="9"/>
  <c r="IQ20" i="9"/>
  <c r="HH20" i="9"/>
  <c r="IE20" i="9"/>
  <c r="HK19" i="9"/>
  <c r="BK20" i="9"/>
  <c r="IN20" i="9"/>
  <c r="IR20" i="9"/>
  <c r="FG19" i="9"/>
  <c r="AJ19" i="9"/>
  <c r="GM20" i="9"/>
  <c r="ED20" i="9"/>
  <c r="ER20" i="9"/>
  <c r="CZ19" i="9"/>
  <c r="AZ19" i="9"/>
  <c r="AS19" i="9"/>
  <c r="GH20" i="9"/>
  <c r="HI20" i="9"/>
  <c r="BJ20" i="9"/>
  <c r="BZ20" i="9"/>
  <c r="IS20" i="9"/>
  <c r="BX20" i="9"/>
  <c r="GF20" i="9"/>
  <c r="DA19" i="9"/>
  <c r="GF19" i="9"/>
  <c r="CB20" i="9"/>
  <c r="CP20" i="9"/>
  <c r="AA20" i="9"/>
  <c r="HO20" i="9"/>
  <c r="GX20" i="9"/>
  <c r="BF20" i="9"/>
  <c r="FZ20" i="9"/>
  <c r="GN20" i="9"/>
  <c r="JB20" i="9"/>
  <c r="IT20" i="9"/>
  <c r="IX20" i="9"/>
  <c r="DG19" i="9"/>
  <c r="HC19" i="9"/>
  <c r="M19" i="9"/>
  <c r="BX19" i="9"/>
  <c r="GG19" i="9"/>
  <c r="IK20" i="9"/>
  <c r="DO20" i="9"/>
  <c r="FM20" i="9"/>
  <c r="DI20" i="9"/>
  <c r="CI20" i="9"/>
  <c r="BY20" i="9"/>
  <c r="CE19" i="9"/>
  <c r="BJ19" i="9"/>
  <c r="JI19" i="9"/>
  <c r="W19" i="9"/>
  <c r="CB19" i="9"/>
  <c r="HP20" i="9"/>
  <c r="GV19" i="9"/>
  <c r="AP20" i="9"/>
  <c r="EM20" i="9"/>
  <c r="CZ20" i="9"/>
  <c r="DC20" i="9"/>
  <c r="ET20" i="9"/>
  <c r="EI20" i="9"/>
  <c r="DP20" i="9"/>
  <c r="AO20" i="9"/>
  <c r="BC20" i="9"/>
  <c r="EL20" i="9"/>
  <c r="GA20" i="9"/>
  <c r="DU20" i="9"/>
  <c r="BT20" i="9"/>
  <c r="IM20" i="9"/>
  <c r="EQ20" i="9"/>
  <c r="EF20" i="9"/>
  <c r="HY20" i="9"/>
  <c r="DK20" i="9"/>
  <c r="BS20" i="9"/>
  <c r="EP20" i="9"/>
  <c r="CO20" i="9"/>
  <c r="GC20" i="9"/>
  <c r="FR20" i="9"/>
  <c r="HR19" i="9"/>
  <c r="EP19" i="9"/>
  <c r="ET19" i="9"/>
  <c r="DY20" i="9"/>
  <c r="DH20" i="9"/>
  <c r="BD20" i="9"/>
  <c r="FT20" i="9"/>
  <c r="JF20" i="9"/>
  <c r="FZ19" i="9"/>
  <c r="IY20" i="9"/>
  <c r="FL20" i="9"/>
  <c r="EX20" i="9"/>
  <c r="IN19" i="9"/>
  <c r="JH19" i="9"/>
  <c r="GU20" i="9"/>
  <c r="HA20" i="9"/>
  <c r="BR20" i="9"/>
  <c r="V20" i="9"/>
  <c r="IC19" i="9"/>
  <c r="CH19" i="9"/>
  <c r="CS20" i="9"/>
  <c r="EE20" i="9"/>
  <c r="DR20" i="9"/>
  <c r="IJ19" i="9"/>
  <c r="BT19" i="9"/>
  <c r="IK19" i="9"/>
  <c r="EJ19" i="9"/>
  <c r="BY19" i="9"/>
  <c r="DY19" i="9"/>
  <c r="DK19" i="9"/>
  <c r="DV19" i="9"/>
  <c r="BS19" i="9"/>
  <c r="HY19" i="9"/>
  <c r="FN19" i="9"/>
  <c r="CO19" i="9"/>
  <c r="CL19" i="9"/>
  <c r="BQ20" i="9"/>
  <c r="GO20" i="9"/>
  <c r="IZ20" i="9"/>
  <c r="CW20" i="9"/>
  <c r="FO20" i="9"/>
  <c r="CN20" i="9"/>
  <c r="AJ20" i="9"/>
  <c r="HC20" i="9"/>
  <c r="AZ20" i="9"/>
  <c r="BM20" i="9"/>
  <c r="GT20" i="9"/>
  <c r="CP19" i="9"/>
  <c r="DJ19" i="9"/>
  <c r="GP19" i="9"/>
  <c r="GW19" i="9"/>
  <c r="BM19" i="9"/>
  <c r="GQ20" i="9"/>
  <c r="DQ20" i="9"/>
  <c r="AC20" i="9"/>
  <c r="HE20" i="9"/>
  <c r="AH20" i="9"/>
  <c r="BU20" i="9"/>
  <c r="X20" i="9"/>
  <c r="GB20" i="9"/>
  <c r="FV20" i="9"/>
  <c r="JH20" i="9"/>
  <c r="EZ20" i="9"/>
  <c r="HK20" i="9"/>
  <c r="BN20" i="9"/>
  <c r="FA20" i="9"/>
  <c r="HJ20" i="9"/>
  <c r="GP20" i="9"/>
  <c r="EY20" i="9"/>
  <c r="CG20" i="9"/>
  <c r="BE20" i="9"/>
  <c r="DJ20" i="9"/>
  <c r="AK19" i="9"/>
  <c r="EF19" i="9"/>
  <c r="CN19" i="9"/>
  <c r="Q19" i="9"/>
  <c r="FO19" i="9"/>
  <c r="DU19" i="9"/>
  <c r="JB19" i="9"/>
  <c r="BD19" i="9"/>
  <c r="IE19" i="9"/>
  <c r="IZ19" i="9"/>
  <c r="EE19" i="9"/>
  <c r="IG20" i="9"/>
  <c r="N20" i="9"/>
  <c r="AB20" i="9"/>
  <c r="EJ20" i="9"/>
  <c r="EK20" i="9"/>
  <c r="GV20" i="9"/>
  <c r="FE20" i="9"/>
  <c r="DW20" i="9"/>
  <c r="AY20" i="9"/>
  <c r="JI20" i="9"/>
  <c r="FN20" i="9"/>
  <c r="HQ20" i="9"/>
  <c r="DB19" i="9"/>
  <c r="CI19" i="9"/>
  <c r="FU19" i="9"/>
  <c r="AE19" i="9"/>
  <c r="CH20" i="9"/>
  <c r="CF20" i="9"/>
  <c r="CL20" i="9"/>
  <c r="BL20" i="9"/>
  <c r="IL20" i="9"/>
  <c r="CE20" i="9"/>
  <c r="W20" i="9"/>
  <c r="Q20" i="9"/>
  <c r="O20" i="9"/>
  <c r="DX20" i="9"/>
  <c r="FK20" i="9"/>
  <c r="EB19" i="9"/>
  <c r="CA19" i="9"/>
  <c r="GH19" i="9"/>
  <c r="EC19" i="9"/>
  <c r="HI19" i="9"/>
  <c r="AV19" i="9"/>
  <c r="EZ19" i="9"/>
  <c r="HS19" i="9"/>
  <c r="HD19" i="9"/>
  <c r="IQ19" i="9"/>
  <c r="DW19" i="9"/>
  <c r="ID19" i="9"/>
  <c r="AQ19" i="9"/>
  <c r="BK19" i="9"/>
  <c r="CU20" i="9"/>
  <c r="HV20" i="9"/>
  <c r="DB20" i="9"/>
  <c r="AR20" i="9"/>
  <c r="CT20" i="9"/>
  <c r="CV19" i="9"/>
  <c r="EY19" i="9"/>
  <c r="FM19" i="9"/>
  <c r="FA19" i="9"/>
  <c r="FE19" i="9"/>
  <c r="AB19" i="9"/>
  <c r="CS19" i="9"/>
  <c r="JF19" i="9"/>
  <c r="HZ19" i="9"/>
  <c r="DO19" i="9"/>
  <c r="EQ19" i="9"/>
  <c r="GA19" i="9"/>
  <c r="CT19" i="9"/>
  <c r="AX20" i="9"/>
  <c r="AE20" i="9"/>
  <c r="HL20" i="9"/>
  <c r="HS20" i="9"/>
  <c r="EC20" i="9"/>
  <c r="FU20" i="9"/>
  <c r="FV19" i="9"/>
  <c r="DI19" i="9"/>
  <c r="BN19" i="9"/>
  <c r="AC19" i="9"/>
  <c r="DN20" i="9"/>
  <c r="JA20" i="9"/>
  <c r="CV20" i="9"/>
  <c r="AS20" i="9"/>
  <c r="FH20" i="9"/>
  <c r="HB20" i="9"/>
  <c r="DR19" i="9"/>
  <c r="GO19" i="9"/>
  <c r="IX19" i="9"/>
  <c r="AW19" i="9"/>
  <c r="GN19" i="9"/>
  <c r="FG20" i="9"/>
  <c r="AQ20" i="9"/>
  <c r="AW20" i="9"/>
  <c r="FF20" i="9"/>
  <c r="P20" i="9"/>
  <c r="GT19" i="9"/>
  <c r="IG19" i="9"/>
  <c r="CM19" i="9"/>
  <c r="BG19" i="9"/>
  <c r="EX19" i="9"/>
  <c r="DP19" i="9"/>
  <c r="DC19" i="9"/>
  <c r="X19" i="9"/>
  <c r="HB19" i="9"/>
  <c r="DN19" i="9"/>
  <c r="IT19" i="9"/>
  <c r="BE19" i="9"/>
  <c r="JG20" i="9"/>
  <c r="GI20" i="9"/>
  <c r="HZ20" i="9"/>
  <c r="HX20" i="9"/>
  <c r="IU20" i="9"/>
  <c r="FY20" i="9"/>
  <c r="EB20" i="9"/>
  <c r="FS20" i="9"/>
  <c r="EW20" i="9"/>
  <c r="JE20" i="9"/>
  <c r="CW19" i="9"/>
  <c r="DD19" i="9"/>
  <c r="EM19" i="9"/>
  <c r="FR19" i="9"/>
  <c r="AI19" i="9"/>
  <c r="IY19" i="9"/>
  <c r="BZ19" i="9"/>
  <c r="AH19" i="9"/>
  <c r="GU19" i="9"/>
  <c r="HH19" i="9"/>
  <c r="AY19" i="9"/>
  <c r="FF19" i="9"/>
  <c r="BC19" i="9"/>
  <c r="HV19" i="9"/>
  <c r="BR19" i="9"/>
  <c r="CU19" i="9"/>
  <c r="HQ19" i="9"/>
  <c r="N19" i="9"/>
  <c r="GQ19" i="9"/>
  <c r="GM19" i="9"/>
  <c r="GC19" i="9"/>
  <c r="FY19" i="9"/>
  <c r="AX19" i="9"/>
  <c r="F21" i="9"/>
  <c r="J21" i="9" s="1"/>
  <c r="K21" i="9" s="1"/>
  <c r="L21" i="9" s="1"/>
  <c r="F28" i="9"/>
  <c r="J28" i="9" s="1"/>
  <c r="K28" i="9" s="1"/>
  <c r="L28" i="9" s="1"/>
  <c r="GJ19" i="9"/>
  <c r="U19" i="9"/>
  <c r="BL19" i="9"/>
  <c r="BU19" i="9"/>
  <c r="BQ19" i="9"/>
  <c r="HA19" i="9"/>
  <c r="FK19" i="9"/>
  <c r="IM19" i="9"/>
  <c r="HJ19" i="9"/>
  <c r="IR19" i="9"/>
  <c r="HL19" i="9"/>
  <c r="DH19" i="9"/>
  <c r="T20" i="9"/>
  <c r="DD20" i="9"/>
  <c r="HW20" i="9"/>
  <c r="IC20" i="9"/>
  <c r="DG20" i="9"/>
  <c r="GB19" i="9"/>
  <c r="V19" i="9"/>
  <c r="FS19" i="9"/>
  <c r="FT19" i="9"/>
  <c r="AR19" i="9"/>
  <c r="HX19" i="9"/>
  <c r="AL19" i="9"/>
  <c r="ES19" i="9"/>
  <c r="IS19" i="9"/>
  <c r="GX19" i="9"/>
  <c r="GI19" i="9"/>
  <c r="GG20" i="9"/>
  <c r="AL20" i="9"/>
  <c r="BG20" i="9"/>
  <c r="AD20" i="9"/>
  <c r="IF20" i="9"/>
  <c r="IJ20" i="9"/>
  <c r="HR20" i="9"/>
  <c r="GW20" i="9"/>
  <c r="HD20" i="9"/>
  <c r="ID20" i="9"/>
  <c r="CA20" i="9"/>
  <c r="DV20" i="9"/>
  <c r="ED19" i="9"/>
  <c r="O19" i="9"/>
  <c r="HP19" i="9"/>
  <c r="CG19" i="9"/>
  <c r="CF19" i="9"/>
  <c r="ER19" i="9"/>
  <c r="JA19" i="9"/>
  <c r="EK19" i="9"/>
  <c r="BF19" i="9"/>
  <c r="DX19" i="9"/>
  <c r="HO19" i="9"/>
  <c r="AI20" i="9"/>
  <c r="EL19" i="9"/>
  <c r="EW19" i="9"/>
  <c r="HW19" i="9"/>
  <c r="P19" i="9"/>
  <c r="AO19" i="9"/>
  <c r="DA20" i="9"/>
  <c r="IU19" i="9"/>
  <c r="AD19" i="9"/>
  <c r="JE19" i="9"/>
  <c r="IF19" i="9"/>
  <c r="T19" i="9"/>
  <c r="AA19" i="9"/>
  <c r="JG19" i="9"/>
  <c r="IL19" i="9"/>
  <c r="DQ19" i="9"/>
  <c r="AP19" i="9"/>
  <c r="FD19" i="9"/>
  <c r="FH19" i="9"/>
  <c r="G28" i="9" l="1"/>
  <c r="G21" i="9"/>
  <c r="FR21" i="9" s="1"/>
  <c r="JB21" i="9" l="1"/>
  <c r="IZ21" i="9"/>
  <c r="CH21" i="9"/>
  <c r="EZ21" i="9"/>
  <c r="BL21" i="9"/>
  <c r="F22" i="9"/>
  <c r="J22" i="9" s="1"/>
  <c r="K22" i="9" s="1"/>
  <c r="L22" i="9" s="1"/>
  <c r="F23" i="9"/>
  <c r="J23" i="9" s="1"/>
  <c r="K23" i="9" s="1"/>
  <c r="L23" i="9" s="1"/>
  <c r="AY21" i="9"/>
  <c r="GF21" i="9"/>
  <c r="AO21" i="9"/>
  <c r="JF21" i="9"/>
  <c r="HH21" i="9"/>
  <c r="AQ21" i="9"/>
  <c r="CM21" i="9"/>
  <c r="FK21" i="9"/>
  <c r="AE21" i="9"/>
  <c r="BF21" i="9"/>
  <c r="FM21" i="9"/>
  <c r="CZ21" i="9"/>
  <c r="DJ21" i="9"/>
  <c r="FV21" i="9"/>
  <c r="CW21" i="9"/>
  <c r="AW21" i="9"/>
  <c r="EC21" i="9"/>
  <c r="HS21" i="9"/>
  <c r="GX21" i="9"/>
  <c r="DK21" i="9"/>
  <c r="FN21" i="9"/>
  <c r="ET21" i="9"/>
  <c r="BN21" i="9"/>
  <c r="CT21" i="9"/>
  <c r="HO21" i="9"/>
  <c r="IT21" i="9"/>
  <c r="AD21" i="9"/>
  <c r="BJ21" i="9"/>
  <c r="HQ21" i="9"/>
  <c r="T21" i="9"/>
  <c r="EF21" i="9"/>
  <c r="JH21" i="9"/>
  <c r="FT21" i="9"/>
  <c r="DQ21" i="9"/>
  <c r="BG21" i="9"/>
  <c r="DC21" i="9"/>
  <c r="ER21" i="9"/>
  <c r="JG21" i="9"/>
  <c r="U21" i="9"/>
  <c r="V21" i="9"/>
  <c r="FA21" i="9"/>
  <c r="BU21" i="9"/>
  <c r="CA21" i="9"/>
  <c r="HY21" i="9"/>
  <c r="HA21" i="9"/>
  <c r="BD21" i="9"/>
  <c r="GP21" i="9"/>
  <c r="BY21" i="9"/>
  <c r="IF21" i="9"/>
  <c r="HP21" i="9"/>
  <c r="IS21" i="9"/>
  <c r="DD21" i="9"/>
  <c r="FY21" i="9"/>
  <c r="AX21" i="9"/>
  <c r="AI21" i="9"/>
  <c r="EY21" i="9"/>
  <c r="JE21" i="9"/>
  <c r="BR21" i="9"/>
  <c r="IR21" i="9"/>
  <c r="CO21" i="9"/>
  <c r="GG21" i="9"/>
  <c r="DR21" i="9"/>
  <c r="BQ21" i="9"/>
  <c r="AP21" i="9"/>
  <c r="FL21" i="9"/>
  <c r="X21" i="9"/>
  <c r="CE21" i="9"/>
  <c r="IU21" i="9"/>
  <c r="FE21" i="9"/>
  <c r="IQ21" i="9"/>
  <c r="AR21" i="9"/>
  <c r="N21" i="9"/>
  <c r="EQ21" i="9"/>
  <c r="HR21" i="9"/>
  <c r="DW21" i="9"/>
  <c r="DX21" i="9"/>
  <c r="HX21" i="9"/>
  <c r="CG21" i="9"/>
  <c r="EW21" i="9"/>
  <c r="AV21" i="9"/>
  <c r="DV21" i="9"/>
  <c r="IJ21" i="9"/>
  <c r="AA21" i="9"/>
  <c r="EJ21" i="9"/>
  <c r="DU21" i="9"/>
  <c r="IK21" i="9"/>
  <c r="CN21" i="9"/>
  <c r="FD21" i="9"/>
  <c r="BD28" i="9"/>
  <c r="FS28" i="9"/>
  <c r="AA28" i="9"/>
  <c r="AL28" i="9"/>
  <c r="FE28" i="9"/>
  <c r="AD28" i="9"/>
  <c r="EQ28" i="9"/>
  <c r="DP28" i="9"/>
  <c r="FY28" i="9"/>
  <c r="CO28" i="9"/>
  <c r="HB28" i="9"/>
  <c r="HX28" i="9"/>
  <c r="EK28" i="9"/>
  <c r="ED28" i="9"/>
  <c r="GW28" i="9"/>
  <c r="BX28" i="9"/>
  <c r="CV28" i="9"/>
  <c r="BU28" i="9"/>
  <c r="DJ28" i="9"/>
  <c r="HZ28" i="9"/>
  <c r="BE28" i="9"/>
  <c r="IN28" i="9"/>
  <c r="BN28" i="9"/>
  <c r="GG28" i="9"/>
  <c r="FL28" i="9"/>
  <c r="DN28" i="9"/>
  <c r="DO28" i="9"/>
  <c r="EP28" i="9"/>
  <c r="EJ28" i="9"/>
  <c r="CS28" i="9"/>
  <c r="HP28" i="9"/>
  <c r="FD28" i="9"/>
  <c r="AR28" i="9"/>
  <c r="IC28" i="9"/>
  <c r="FK28" i="9"/>
  <c r="JB28" i="9"/>
  <c r="DV28" i="9"/>
  <c r="DK28" i="9"/>
  <c r="BG28" i="9"/>
  <c r="CF28" i="9"/>
  <c r="BQ28" i="9"/>
  <c r="HK28" i="9"/>
  <c r="CZ28" i="9"/>
  <c r="O28" i="9"/>
  <c r="DC28" i="9"/>
  <c r="EI28" i="9"/>
  <c r="CV21" i="9"/>
  <c r="GV21" i="9"/>
  <c r="GW21" i="9"/>
  <c r="AZ21" i="9"/>
  <c r="DP21" i="9"/>
  <c r="DB21" i="9"/>
  <c r="ED21" i="9"/>
  <c r="EK21" i="9"/>
  <c r="IY21" i="9"/>
  <c r="BT21" i="9"/>
  <c r="HI21" i="9"/>
  <c r="HJ21" i="9"/>
  <c r="BM21" i="9"/>
  <c r="FS21" i="9"/>
  <c r="IG21" i="9"/>
  <c r="HD21" i="9"/>
  <c r="IL21" i="9"/>
  <c r="AJ21" i="9"/>
  <c r="EX21" i="9"/>
  <c r="JI21" i="9"/>
  <c r="GA21" i="9"/>
  <c r="FU21" i="9"/>
  <c r="M21" i="9"/>
  <c r="P21" i="9"/>
  <c r="EE21" i="9"/>
  <c r="GU21" i="9"/>
  <c r="EI21" i="9"/>
  <c r="HC21" i="9"/>
  <c r="EP21" i="9"/>
  <c r="AC21" i="9"/>
  <c r="DY21" i="9"/>
  <c r="AK21" i="9"/>
  <c r="AL21" i="9"/>
  <c r="EL21" i="9"/>
  <c r="HB21" i="9"/>
  <c r="BK21" i="9"/>
  <c r="GF28" i="9"/>
  <c r="IG28" i="9"/>
  <c r="DQ28" i="9"/>
  <c r="IS28" i="9"/>
  <c r="HR28" i="9"/>
  <c r="FM28" i="9"/>
  <c r="DX28" i="9"/>
  <c r="IF28" i="9"/>
  <c r="EB28" i="9"/>
  <c r="CN28" i="9"/>
  <c r="CW28" i="9"/>
  <c r="FN28" i="9"/>
  <c r="W28" i="9"/>
  <c r="JF28" i="9"/>
  <c r="IE28" i="9"/>
  <c r="AI28" i="9"/>
  <c r="HI28" i="9"/>
  <c r="HQ28" i="9"/>
  <c r="FR28" i="9"/>
  <c r="GT28" i="9"/>
  <c r="DR28" i="9"/>
  <c r="ES28" i="9"/>
  <c r="FA28" i="9"/>
  <c r="IU28" i="9"/>
  <c r="GO28" i="9"/>
  <c r="HA28" i="9"/>
  <c r="FT28" i="9"/>
  <c r="BZ28" i="9"/>
  <c r="AE28" i="9"/>
  <c r="IQ28" i="9"/>
  <c r="CH28" i="9"/>
  <c r="GI28" i="9"/>
  <c r="HO28" i="9"/>
  <c r="DB28" i="9"/>
  <c r="CA28" i="9"/>
  <c r="DG28" i="9"/>
  <c r="Q28" i="9"/>
  <c r="EZ28" i="9"/>
  <c r="AH28" i="9"/>
  <c r="BF28" i="9"/>
  <c r="IT28" i="9"/>
  <c r="IR28" i="9"/>
  <c r="FG28" i="9"/>
  <c r="JE28" i="9"/>
  <c r="JA28" i="9"/>
  <c r="AY28" i="9"/>
  <c r="IC21" i="9"/>
  <c r="EM21" i="9"/>
  <c r="AH21" i="9"/>
  <c r="GN21" i="9"/>
  <c r="GT21" i="9"/>
  <c r="HW21" i="9"/>
  <c r="BX21" i="9"/>
  <c r="BC21" i="9"/>
  <c r="GC21" i="9"/>
  <c r="O21" i="9"/>
  <c r="CP21" i="9"/>
  <c r="FG21" i="9"/>
  <c r="Q21" i="9"/>
  <c r="FF21" i="9"/>
  <c r="BS21" i="9"/>
  <c r="CI21" i="9"/>
  <c r="GO21" i="9"/>
  <c r="GJ21" i="9"/>
  <c r="AS21" i="9"/>
  <c r="DI21" i="9"/>
  <c r="AV28" i="9"/>
  <c r="V28" i="9"/>
  <c r="ER28" i="9"/>
  <c r="DY28" i="9"/>
  <c r="ID28" i="9"/>
  <c r="AW28" i="9"/>
  <c r="U28" i="9"/>
  <c r="BC28" i="9"/>
  <c r="BK28" i="9"/>
  <c r="DH28" i="9"/>
  <c r="AJ28" i="9"/>
  <c r="HV28" i="9"/>
  <c r="FU28" i="9"/>
  <c r="EM28" i="9"/>
  <c r="HL28" i="9"/>
  <c r="GC28" i="9"/>
  <c r="CP28" i="9"/>
  <c r="FV28" i="9"/>
  <c r="AC28" i="9"/>
  <c r="BR28" i="9"/>
  <c r="BT28" i="9"/>
  <c r="GV28" i="9"/>
  <c r="IY28" i="9"/>
  <c r="CT28" i="9"/>
  <c r="BY28" i="9"/>
  <c r="GH28" i="9"/>
  <c r="AB28" i="9"/>
  <c r="CB28" i="9"/>
  <c r="GP28" i="9"/>
  <c r="M28" i="9"/>
  <c r="DW28" i="9"/>
  <c r="HJ28" i="9"/>
  <c r="EE28" i="9"/>
  <c r="T28" i="9"/>
  <c r="HY28" i="9"/>
  <c r="X28" i="9"/>
  <c r="AZ28" i="9"/>
  <c r="CL28" i="9"/>
  <c r="HC28" i="9"/>
  <c r="EL28" i="9"/>
  <c r="HD28" i="9"/>
  <c r="CU28" i="9"/>
  <c r="FF28" i="9"/>
  <c r="HW28" i="9"/>
  <c r="AP28" i="9"/>
  <c r="FZ28" i="9"/>
  <c r="HZ21" i="9"/>
  <c r="EB21" i="9"/>
  <c r="IX21" i="9"/>
  <c r="DA21" i="9"/>
  <c r="FO21" i="9"/>
  <c r="GH21" i="9"/>
  <c r="BE21" i="9"/>
  <c r="HK21" i="9"/>
  <c r="CB21" i="9"/>
  <c r="FH21" i="9"/>
  <c r="AB21" i="9"/>
  <c r="W21" i="9"/>
  <c r="DN21" i="9"/>
  <c r="GB21" i="9"/>
  <c r="CL21" i="9"/>
  <c r="IE21" i="9"/>
  <c r="GI21" i="9"/>
  <c r="ES21" i="9"/>
  <c r="ID21" i="9"/>
  <c r="CU21" i="9"/>
  <c r="GQ21" i="9"/>
  <c r="HV21" i="9"/>
  <c r="HE21" i="9"/>
  <c r="BZ21" i="9"/>
  <c r="FZ21" i="9"/>
  <c r="IN21" i="9"/>
  <c r="DG21" i="9"/>
  <c r="CF21" i="9"/>
  <c r="DH21" i="9"/>
  <c r="DO21" i="9"/>
  <c r="IM21" i="9"/>
  <c r="HL21" i="9"/>
  <c r="CS21" i="9"/>
  <c r="GM21" i="9"/>
  <c r="JA21" i="9"/>
  <c r="CE28" i="9"/>
  <c r="GJ28" i="9"/>
  <c r="IJ28" i="9"/>
  <c r="GX28" i="9"/>
  <c r="BL28" i="9"/>
  <c r="IX28" i="9"/>
  <c r="GQ28" i="9"/>
  <c r="IM28" i="9"/>
  <c r="FO28" i="9"/>
  <c r="HE28" i="9"/>
  <c r="ET28" i="9"/>
  <c r="EC28" i="9"/>
  <c r="AX28" i="9"/>
  <c r="CM28" i="9"/>
  <c r="BJ28" i="9"/>
  <c r="IK28" i="9"/>
  <c r="BM28" i="9"/>
  <c r="EX28" i="9"/>
  <c r="DA28" i="9"/>
  <c r="DI28" i="9"/>
  <c r="JG28" i="9"/>
  <c r="JH28" i="9"/>
  <c r="IL28" i="9"/>
  <c r="AK28" i="9"/>
  <c r="AS28" i="9"/>
  <c r="HS28" i="9"/>
  <c r="GB28" i="9"/>
  <c r="EF28" i="9"/>
  <c r="EW28" i="9"/>
  <c r="GA28" i="9"/>
  <c r="IZ28" i="9"/>
  <c r="AO28" i="9"/>
  <c r="BS28" i="9"/>
  <c r="JI28" i="9"/>
  <c r="FH28" i="9"/>
  <c r="N28" i="9"/>
  <c r="CI28" i="9"/>
  <c r="CG28" i="9"/>
  <c r="GN28" i="9"/>
  <c r="DU28" i="9"/>
  <c r="EY28" i="9"/>
  <c r="HH28" i="9"/>
  <c r="P28" i="9"/>
  <c r="AQ28" i="9"/>
  <c r="GM28" i="9"/>
  <c r="DD28" i="9"/>
  <c r="GU28" i="9"/>
  <c r="G22" i="9" l="1"/>
  <c r="HP22" i="9" s="1"/>
  <c r="G23" i="9"/>
  <c r="GM22" i="9" l="1"/>
  <c r="ET22" i="9"/>
  <c r="X22" i="9"/>
  <c r="CM22" i="9"/>
  <c r="AL22" i="9"/>
  <c r="CG22" i="9"/>
  <c r="BJ22" i="9"/>
  <c r="HX22" i="9"/>
  <c r="GC22" i="9"/>
  <c r="GT22" i="9"/>
  <c r="BC22" i="9"/>
  <c r="GO22" i="9"/>
  <c r="IL22" i="9"/>
  <c r="CI22" i="9"/>
  <c r="AJ22" i="9"/>
  <c r="HZ22" i="9"/>
  <c r="FK22" i="9"/>
  <c r="EF22" i="9"/>
  <c r="FY22" i="9"/>
  <c r="AY22" i="9"/>
  <c r="DN22" i="9"/>
  <c r="ED22" i="9"/>
  <c r="FF22" i="9"/>
  <c r="CB22" i="9"/>
  <c r="HL22" i="9"/>
  <c r="HA22" i="9"/>
  <c r="AV22" i="9"/>
  <c r="AC22" i="9"/>
  <c r="IS22" i="9"/>
  <c r="FS22" i="9"/>
  <c r="BM22" i="9"/>
  <c r="M22" i="9"/>
  <c r="DR22" i="9"/>
  <c r="EM22" i="9"/>
  <c r="AB22" i="9"/>
  <c r="BD22" i="9"/>
  <c r="FU22" i="9"/>
  <c r="DV22" i="9"/>
  <c r="BE22" i="9"/>
  <c r="IU22" i="9"/>
  <c r="HR22" i="9"/>
  <c r="JI22" i="9"/>
  <c r="EK22" i="9"/>
  <c r="CA22" i="9"/>
  <c r="HV22" i="9"/>
  <c r="GU22" i="9"/>
  <c r="CO22" i="9"/>
  <c r="EL22" i="9"/>
  <c r="IT22" i="9"/>
  <c r="BY22" i="9"/>
  <c r="FV22" i="9"/>
  <c r="BN22" i="9"/>
  <c r="EZ22" i="9"/>
  <c r="JE22" i="9"/>
  <c r="IR22" i="9"/>
  <c r="EY22" i="9"/>
  <c r="CZ22" i="9"/>
  <c r="AI22" i="9"/>
  <c r="HY22" i="9"/>
  <c r="DJ22" i="9"/>
  <c r="BQ22" i="9"/>
  <c r="JG22" i="9"/>
  <c r="HH22" i="9"/>
  <c r="EQ22" i="9"/>
  <c r="AR22" i="9"/>
  <c r="BG22" i="9"/>
  <c r="CT22" i="9"/>
  <c r="HW22" i="9"/>
  <c r="FM22" i="9"/>
  <c r="EW22" i="9"/>
  <c r="O22" i="9"/>
  <c r="GX22" i="9"/>
  <c r="FA22" i="9"/>
  <c r="IY22" i="9"/>
  <c r="DB22" i="9"/>
  <c r="IK22" i="9"/>
  <c r="HJ22" i="9"/>
  <c r="CL22" i="9"/>
  <c r="IC22" i="9"/>
  <c r="ES22" i="9"/>
  <c r="GF22" i="9"/>
  <c r="ER22" i="9"/>
  <c r="IG22" i="9"/>
  <c r="W22" i="9"/>
  <c r="FZ22" i="9"/>
  <c r="EE22" i="9"/>
  <c r="JB22" i="9"/>
  <c r="U22" i="9"/>
  <c r="HE22" i="9"/>
  <c r="AX22" i="9"/>
  <c r="AK22" i="9"/>
  <c r="IM22" i="9"/>
  <c r="GB22" i="9"/>
  <c r="EI22" i="9"/>
  <c r="BL22" i="9"/>
  <c r="GH22" i="9"/>
  <c r="IE22" i="9"/>
  <c r="N22" i="9"/>
  <c r="ID22" i="9"/>
  <c r="FT22" i="9"/>
  <c r="BR22" i="9"/>
  <c r="JH22" i="9"/>
  <c r="P22" i="9"/>
  <c r="CS22" i="9"/>
  <c r="CN22" i="9"/>
  <c r="GJ22" i="9"/>
  <c r="GV22" i="9"/>
  <c r="AW22" i="9"/>
  <c r="EJ22" i="9"/>
  <c r="DP22" i="9"/>
  <c r="Q22" i="9"/>
  <c r="HQ22" i="9"/>
  <c r="CP22" i="9"/>
  <c r="DK22" i="9"/>
  <c r="AP22" i="9"/>
  <c r="BZ22" i="9"/>
  <c r="DW22" i="9"/>
  <c r="BX22" i="9"/>
  <c r="V22" i="9"/>
  <c r="HS22" i="9"/>
  <c r="EX22" i="9"/>
  <c r="AO22" i="9"/>
  <c r="IF22" i="9"/>
  <c r="GQ22" i="9"/>
  <c r="BS22" i="9"/>
  <c r="JF22" i="9"/>
  <c r="IN22" i="9"/>
  <c r="EP22" i="9"/>
  <c r="DD22" i="9"/>
  <c r="DC22" i="9"/>
  <c r="AS22" i="9"/>
  <c r="DU22" i="9"/>
  <c r="DA22" i="9"/>
  <c r="AZ22" i="9"/>
  <c r="IX22" i="9"/>
  <c r="GW22" i="9"/>
  <c r="EB22" i="9"/>
  <c r="AE22" i="9"/>
  <c r="HI22" i="9"/>
  <c r="FH22" i="9"/>
  <c r="DO22" i="9"/>
  <c r="GN22" i="9"/>
  <c r="IJ22" i="9"/>
  <c r="DY22" i="9"/>
  <c r="FL22" i="9"/>
  <c r="CF22" i="9"/>
  <c r="IQ22" i="9"/>
  <c r="CU22" i="9"/>
  <c r="FO22" i="9"/>
  <c r="BU22" i="9"/>
  <c r="F24" i="9"/>
  <c r="J24" i="9" s="1"/>
  <c r="K24" i="9" s="1"/>
  <c r="L24" i="9" s="1"/>
  <c r="GP22" i="9"/>
  <c r="DQ22" i="9"/>
  <c r="AQ22" i="9"/>
  <c r="GA22" i="9"/>
  <c r="HC22" i="9"/>
  <c r="CE22" i="9"/>
  <c r="EC22" i="9"/>
  <c r="T22" i="9"/>
  <c r="HD22" i="9"/>
  <c r="AH22" i="9"/>
  <c r="FE22" i="9"/>
  <c r="CH22" i="9"/>
  <c r="BK22" i="9"/>
  <c r="JA22" i="9"/>
  <c r="HB22" i="9"/>
  <c r="FG22" i="9"/>
  <c r="DH22" i="9"/>
  <c r="AA22" i="9"/>
  <c r="AD22" i="9"/>
  <c r="HO22" i="9"/>
  <c r="FN22" i="9"/>
  <c r="CW22" i="9"/>
  <c r="DX22" i="9"/>
  <c r="HK22" i="9"/>
  <c r="BT22" i="9"/>
  <c r="DG22" i="9"/>
  <c r="BF22" i="9"/>
  <c r="CV22" i="9"/>
  <c r="GG22" i="9"/>
  <c r="FD22" i="9"/>
  <c r="DI22" i="9"/>
  <c r="FR22" i="9"/>
  <c r="IZ22" i="9"/>
  <c r="GI22" i="9"/>
  <c r="JH23" i="9"/>
  <c r="JG23" i="9"/>
  <c r="JF23" i="9"/>
  <c r="JI23" i="9"/>
  <c r="JE23" i="9"/>
  <c r="JB23" i="9"/>
  <c r="JA23" i="9"/>
  <c r="IZ23" i="9"/>
  <c r="IR23" i="9"/>
  <c r="IX23" i="9"/>
  <c r="IY23" i="9"/>
  <c r="IM23" i="9"/>
  <c r="ID23" i="9"/>
  <c r="IT23" i="9"/>
  <c r="HP23" i="9"/>
  <c r="IS23" i="9"/>
  <c r="IL23" i="9"/>
  <c r="HZ23" i="9"/>
  <c r="HJ23" i="9"/>
  <c r="IJ23" i="9"/>
  <c r="HX23" i="9"/>
  <c r="HA23" i="9"/>
  <c r="IU23" i="9"/>
  <c r="IN23" i="9"/>
  <c r="IF23" i="9"/>
  <c r="HV23" i="9"/>
  <c r="GO23" i="9"/>
  <c r="IQ23" i="9"/>
  <c r="IK23" i="9"/>
  <c r="IE23" i="9"/>
  <c r="HY23" i="9"/>
  <c r="HS23" i="9"/>
  <c r="HO23" i="9"/>
  <c r="HI23" i="9"/>
  <c r="GW23" i="9"/>
  <c r="GM23" i="9"/>
  <c r="HR23" i="9"/>
  <c r="HL23" i="9"/>
  <c r="HE23" i="9"/>
  <c r="GU23" i="9"/>
  <c r="GI23" i="9"/>
  <c r="IG23" i="9"/>
  <c r="IC23" i="9"/>
  <c r="HW23" i="9"/>
  <c r="HQ23" i="9"/>
  <c r="HK23" i="9"/>
  <c r="HC23" i="9"/>
  <c r="GQ23" i="9"/>
  <c r="FS23" i="9"/>
  <c r="GC23" i="9"/>
  <c r="FG23" i="9"/>
  <c r="EW23" i="9"/>
  <c r="GA23" i="9"/>
  <c r="FO23" i="9"/>
  <c r="FE23" i="9"/>
  <c r="ES23" i="9"/>
  <c r="FY23" i="9"/>
  <c r="FM23" i="9"/>
  <c r="FA23" i="9"/>
  <c r="EQ23" i="9"/>
  <c r="GG23" i="9"/>
  <c r="FU23" i="9"/>
  <c r="FK23" i="9"/>
  <c r="EY23" i="9"/>
  <c r="EB23" i="9"/>
  <c r="CT23" i="9"/>
  <c r="DV23" i="9"/>
  <c r="CH23" i="9"/>
  <c r="EL23" i="9"/>
  <c r="DP23" i="9"/>
  <c r="BX23" i="9"/>
  <c r="EF23" i="9"/>
  <c r="DD23" i="9"/>
  <c r="BF23" i="9"/>
  <c r="HH23" i="9"/>
  <c r="HB23" i="9"/>
  <c r="GV23" i="9"/>
  <c r="GP23" i="9"/>
  <c r="GJ23" i="9"/>
  <c r="GF23" i="9"/>
  <c r="FZ23" i="9"/>
  <c r="FT23" i="9"/>
  <c r="FN23" i="9"/>
  <c r="FH23" i="9"/>
  <c r="FD23" i="9"/>
  <c r="EX23" i="9"/>
  <c r="ER23" i="9"/>
  <c r="EJ23" i="9"/>
  <c r="DX23" i="9"/>
  <c r="DN23" i="9"/>
  <c r="DB23" i="9"/>
  <c r="CP23" i="9"/>
  <c r="CF23" i="9"/>
  <c r="BT23" i="9"/>
  <c r="AZ23" i="9"/>
  <c r="DJ23" i="9"/>
  <c r="CZ23" i="9"/>
  <c r="CN23" i="9"/>
  <c r="CB23" i="9"/>
  <c r="BR23" i="9"/>
  <c r="AV23" i="9"/>
  <c r="HD23" i="9"/>
  <c r="GX23" i="9"/>
  <c r="GT23" i="9"/>
  <c r="GN23" i="9"/>
  <c r="GH23" i="9"/>
  <c r="GB23" i="9"/>
  <c r="FV23" i="9"/>
  <c r="FR23" i="9"/>
  <c r="FL23" i="9"/>
  <c r="FF23" i="9"/>
  <c r="EZ23" i="9"/>
  <c r="ET23" i="9"/>
  <c r="EP23" i="9"/>
  <c r="ED23" i="9"/>
  <c r="DR23" i="9"/>
  <c r="DH23" i="9"/>
  <c r="CV23" i="9"/>
  <c r="CL23" i="9"/>
  <c r="BZ23" i="9"/>
  <c r="BL23" i="9"/>
  <c r="AP23" i="9"/>
  <c r="EK23" i="9"/>
  <c r="EE23" i="9"/>
  <c r="DY23" i="9"/>
  <c r="DU23" i="9"/>
  <c r="DO23" i="9"/>
  <c r="DI23" i="9"/>
  <c r="DC23" i="9"/>
  <c r="CW23" i="9"/>
  <c r="CS23" i="9"/>
  <c r="CM23" i="9"/>
  <c r="CG23" i="9"/>
  <c r="CA23" i="9"/>
  <c r="BU23" i="9"/>
  <c r="BQ23" i="9"/>
  <c r="BK23" i="9"/>
  <c r="BE23" i="9"/>
  <c r="AY23" i="9"/>
  <c r="AS23" i="9"/>
  <c r="AK23" i="9"/>
  <c r="BN23" i="9"/>
  <c r="BJ23" i="9"/>
  <c r="BD23" i="9"/>
  <c r="AX23" i="9"/>
  <c r="AR23" i="9"/>
  <c r="W23" i="9"/>
  <c r="EM23" i="9"/>
  <c r="EI23" i="9"/>
  <c r="EC23" i="9"/>
  <c r="DW23" i="9"/>
  <c r="DQ23" i="9"/>
  <c r="DK23" i="9"/>
  <c r="DG23" i="9"/>
  <c r="DA23" i="9"/>
  <c r="CU23" i="9"/>
  <c r="CO23" i="9"/>
  <c r="CI23" i="9"/>
  <c r="CE23" i="9"/>
  <c r="BY23" i="9"/>
  <c r="BS23" i="9"/>
  <c r="BM23" i="9"/>
  <c r="BG23" i="9"/>
  <c r="BC23" i="9"/>
  <c r="AW23" i="9"/>
  <c r="AQ23" i="9"/>
  <c r="AD23" i="9"/>
  <c r="AJ23" i="9"/>
  <c r="X23" i="9"/>
  <c r="P23" i="9"/>
  <c r="AO23" i="9"/>
  <c r="AI23" i="9"/>
  <c r="AA23" i="9"/>
  <c r="O23" i="9"/>
  <c r="AL23" i="9"/>
  <c r="AH23" i="9"/>
  <c r="AC23" i="9"/>
  <c r="N23" i="9"/>
  <c r="U23" i="9"/>
  <c r="V23" i="9"/>
  <c r="AB23" i="9"/>
  <c r="T23" i="9"/>
  <c r="AE23" i="9"/>
  <c r="Q23" i="9"/>
  <c r="M23" i="9"/>
  <c r="G24" i="9"/>
  <c r="W24" i="9" s="1"/>
  <c r="DP24" i="9" l="1"/>
  <c r="AS24" i="9"/>
  <c r="HB24" i="9"/>
  <c r="FM24" i="9"/>
  <c r="GA24" i="9"/>
  <c r="V24" i="9"/>
  <c r="HQ24" i="9"/>
  <c r="CN24" i="9"/>
  <c r="IG24" i="9"/>
  <c r="AP24" i="9"/>
  <c r="IL24" i="9"/>
  <c r="JG24" i="9"/>
  <c r="HR24" i="9"/>
  <c r="IX24" i="9"/>
  <c r="GB24" i="9"/>
  <c r="DB24" i="9"/>
  <c r="HO24" i="9"/>
  <c r="ED24" i="9"/>
  <c r="IC24" i="9"/>
  <c r="AB24" i="9"/>
  <c r="AH24" i="9"/>
  <c r="FF24" i="9"/>
  <c r="BK24" i="9"/>
  <c r="FZ24" i="9"/>
  <c r="DV24" i="9"/>
  <c r="BE24" i="9"/>
  <c r="EC24" i="9"/>
  <c r="CW24" i="9"/>
  <c r="CB24" i="9"/>
  <c r="EI24" i="9"/>
  <c r="CH24" i="9"/>
  <c r="BT24" i="9"/>
  <c r="FN24" i="9"/>
  <c r="ID24" i="9"/>
  <c r="AK24" i="9"/>
  <c r="IE24" i="9"/>
  <c r="HZ24" i="9"/>
  <c r="ER24" i="9"/>
  <c r="IN24" i="9"/>
  <c r="EP24" i="9"/>
  <c r="EM24" i="9"/>
  <c r="FR24" i="9"/>
  <c r="IM24" i="9"/>
  <c r="AC24" i="9"/>
  <c r="GN24" i="9"/>
  <c r="DI24" i="9"/>
  <c r="BJ24" i="9"/>
  <c r="GG24" i="9"/>
  <c r="X24" i="9"/>
  <c r="GM24" i="9"/>
  <c r="BY24" i="9"/>
  <c r="GV24" i="9"/>
  <c r="JA24" i="9"/>
  <c r="N24" i="9"/>
  <c r="DK24" i="9"/>
  <c r="HI24" i="9"/>
  <c r="CO24" i="9"/>
  <c r="BC24" i="9"/>
  <c r="FH24" i="9"/>
  <c r="AA24" i="9"/>
  <c r="HE24" i="9"/>
  <c r="CI24" i="9"/>
  <c r="BM24" i="9"/>
  <c r="JI24" i="9"/>
  <c r="CU24" i="9"/>
  <c r="EF24" i="9"/>
  <c r="IY24" i="9"/>
  <c r="CL24" i="9"/>
  <c r="CA24" i="9"/>
  <c r="EY24" i="9"/>
  <c r="M24" i="9"/>
  <c r="GQ24" i="9"/>
  <c r="ET24" i="9"/>
  <c r="DJ24" i="9"/>
  <c r="AI24" i="9"/>
  <c r="AV24" i="9"/>
  <c r="BU24" i="9"/>
  <c r="FD24" i="9"/>
  <c r="CT24" i="9"/>
  <c r="EL24" i="9"/>
  <c r="AL24" i="9"/>
  <c r="GO24" i="9"/>
  <c r="AJ24" i="9"/>
  <c r="FA24" i="9"/>
  <c r="DD24" i="9"/>
  <c r="CZ24" i="9"/>
  <c r="HP24" i="9"/>
  <c r="IZ24" i="9"/>
  <c r="BL24" i="9"/>
  <c r="FG24" i="9"/>
  <c r="JB24" i="9"/>
  <c r="DW24" i="9"/>
  <c r="DO24" i="9"/>
  <c r="DR24" i="9"/>
  <c r="AX24" i="9"/>
  <c r="Q24" i="9"/>
  <c r="IF24" i="9"/>
  <c r="FV24" i="9"/>
  <c r="IU24" i="9"/>
  <c r="DA24" i="9"/>
  <c r="BN24" i="9"/>
  <c r="CS24" i="9"/>
  <c r="FU24" i="9"/>
  <c r="BZ24" i="9"/>
  <c r="CE24" i="9"/>
  <c r="GC24" i="9"/>
  <c r="EW24" i="9"/>
  <c r="AQ24" i="9"/>
  <c r="AY24" i="9"/>
  <c r="FS24" i="9"/>
  <c r="GU24" i="9"/>
  <c r="BS24" i="9"/>
  <c r="GH24" i="9"/>
  <c r="DQ24" i="9"/>
  <c r="HC24" i="9"/>
  <c r="AO24" i="9"/>
  <c r="IR24" i="9"/>
  <c r="HL24" i="9"/>
  <c r="DC24" i="9"/>
  <c r="FE24" i="9"/>
  <c r="IT24" i="9"/>
  <c r="DG24" i="9"/>
  <c r="FT24" i="9"/>
  <c r="BX24" i="9"/>
  <c r="O24" i="9"/>
  <c r="HY24" i="9"/>
  <c r="FK24" i="9"/>
  <c r="IQ24" i="9"/>
  <c r="HJ24" i="9"/>
  <c r="HH24" i="9"/>
  <c r="GW24" i="9"/>
  <c r="HD24" i="9"/>
  <c r="HS24" i="9"/>
  <c r="EB24" i="9"/>
  <c r="JH24" i="9"/>
  <c r="GF24" i="9"/>
  <c r="FO24" i="9"/>
  <c r="HW24" i="9"/>
  <c r="DX24" i="9"/>
  <c r="DH24" i="9"/>
  <c r="IK24" i="9"/>
  <c r="HK24" i="9"/>
  <c r="EX24" i="9"/>
  <c r="F25" i="9"/>
  <c r="J25" i="9" s="1"/>
  <c r="K25" i="9" s="1"/>
  <c r="L25" i="9" s="1"/>
  <c r="AD24" i="9"/>
  <c r="IJ24" i="9"/>
  <c r="GI24" i="9"/>
  <c r="HX24" i="9"/>
  <c r="AW24" i="9"/>
  <c r="EQ24" i="9"/>
  <c r="CV24" i="9"/>
  <c r="JE24" i="9"/>
  <c r="BQ24" i="9"/>
  <c r="DU24" i="9"/>
  <c r="DY24" i="9"/>
  <c r="U24" i="9"/>
  <c r="HV24" i="9"/>
  <c r="GX24" i="9"/>
  <c r="DN24" i="9"/>
  <c r="EJ24" i="9"/>
  <c r="GP24" i="9"/>
  <c r="BF24" i="9"/>
  <c r="GJ24" i="9"/>
  <c r="EZ24" i="9"/>
  <c r="AZ24" i="9"/>
  <c r="JF24" i="9"/>
  <c r="FL24" i="9"/>
  <c r="CP24" i="9"/>
  <c r="CG24" i="9"/>
  <c r="EE24" i="9"/>
  <c r="AR24" i="9"/>
  <c r="FY24" i="9"/>
  <c r="GT24" i="9"/>
  <c r="HA24" i="9"/>
  <c r="BD24" i="9"/>
  <c r="BG24" i="9"/>
  <c r="EK24" i="9"/>
  <c r="BR24" i="9"/>
  <c r="CF24" i="9"/>
  <c r="P24" i="9"/>
  <c r="ES24" i="9"/>
  <c r="T24" i="9"/>
  <c r="AE24" i="9"/>
  <c r="IS24" i="9"/>
  <c r="CM24" i="9"/>
  <c r="G25" i="9" l="1"/>
  <c r="F26" i="9" s="1"/>
  <c r="J26" i="9" s="1"/>
  <c r="K26" i="9" s="1"/>
  <c r="L26" i="9" s="1"/>
  <c r="DI25" i="9" l="1"/>
  <c r="Q25" i="9"/>
  <c r="GO25" i="9"/>
  <c r="ID25" i="9"/>
  <c r="IN25" i="9"/>
  <c r="HV25" i="9"/>
  <c r="HY25" i="9"/>
  <c r="AO25" i="9"/>
  <c r="IG25" i="9"/>
  <c r="FM25" i="9"/>
  <c r="GC25" i="9"/>
  <c r="EL25" i="9"/>
  <c r="IM25" i="9"/>
  <c r="IC25" i="9"/>
  <c r="HE25" i="9"/>
  <c r="HL25" i="9"/>
  <c r="IT25" i="9"/>
  <c r="FV25" i="9"/>
  <c r="DY25" i="9"/>
  <c r="T25" i="9"/>
  <c r="DH25" i="9"/>
  <c r="W25" i="9"/>
  <c r="DN25" i="9"/>
  <c r="BR25" i="9"/>
  <c r="HK25" i="9"/>
  <c r="FD25" i="9"/>
  <c r="IY25" i="9"/>
  <c r="GA25" i="9"/>
  <c r="U25" i="9"/>
  <c r="AY25" i="9"/>
  <c r="HC25" i="9"/>
  <c r="AS25" i="9"/>
  <c r="BK25" i="9"/>
  <c r="HS25" i="9"/>
  <c r="GU25" i="9"/>
  <c r="BS25" i="9"/>
  <c r="GW25" i="9"/>
  <c r="FT25" i="9"/>
  <c r="BD25" i="9"/>
  <c r="CW25" i="9"/>
  <c r="HZ25" i="9"/>
  <c r="DV25" i="9"/>
  <c r="AR25" i="9"/>
  <c r="HD25" i="9"/>
  <c r="GB25" i="9"/>
  <c r="CG25" i="9"/>
  <c r="CB25" i="9"/>
  <c r="AC25" i="9"/>
  <c r="DK25" i="9"/>
  <c r="JE25" i="9"/>
  <c r="BJ25" i="9"/>
  <c r="O25" i="9"/>
  <c r="CN25" i="9"/>
  <c r="EI25" i="9"/>
  <c r="DD25" i="9"/>
  <c r="GN25" i="9"/>
  <c r="FY25" i="9"/>
  <c r="GP25" i="9"/>
  <c r="AE25" i="9"/>
  <c r="FL25" i="9"/>
  <c r="M25" i="9"/>
  <c r="HQ25" i="9"/>
  <c r="ES25" i="9"/>
  <c r="EW25" i="9"/>
  <c r="GM25" i="9"/>
  <c r="GQ25" i="9"/>
  <c r="BF25" i="9"/>
  <c r="ER25" i="9"/>
  <c r="JH25" i="9"/>
  <c r="IU25" i="9"/>
  <c r="HX25" i="9"/>
  <c r="FR25" i="9"/>
  <c r="DG25" i="9"/>
  <c r="ED25" i="9"/>
  <c r="AZ25" i="9"/>
  <c r="FO25" i="9"/>
  <c r="IQ25" i="9"/>
  <c r="IJ25" i="9"/>
  <c r="JA25" i="9"/>
  <c r="AP25" i="9"/>
  <c r="GH25" i="9"/>
  <c r="HI25" i="9"/>
  <c r="BZ25" i="9"/>
  <c r="GT25" i="9"/>
  <c r="IS25" i="9"/>
  <c r="DJ25" i="9"/>
  <c r="CE25" i="9"/>
  <c r="EK25" i="9"/>
  <c r="JB25" i="9"/>
  <c r="BU25" i="9"/>
  <c r="HP25" i="9"/>
  <c r="CL25" i="9"/>
  <c r="DB25" i="9"/>
  <c r="IX25" i="9"/>
  <c r="HH25" i="9"/>
  <c r="HW25" i="9"/>
  <c r="BM25" i="9"/>
  <c r="FZ25" i="9"/>
  <c r="BC25" i="9"/>
  <c r="FK25" i="9"/>
  <c r="BQ25" i="9"/>
  <c r="DA25" i="9"/>
  <c r="IE25" i="9"/>
  <c r="BE25" i="9"/>
  <c r="ET25" i="9"/>
  <c r="JI25" i="9"/>
  <c r="BX25" i="9"/>
  <c r="DX25" i="9"/>
  <c r="CF25" i="9"/>
  <c r="FU25" i="9"/>
  <c r="IZ25" i="9"/>
  <c r="AL25" i="9"/>
  <c r="AB25" i="9"/>
  <c r="GV25" i="9"/>
  <c r="EM25" i="9"/>
  <c r="P25" i="9"/>
  <c r="CO25" i="9"/>
  <c r="CA25" i="9"/>
  <c r="HR25" i="9"/>
  <c r="EX25" i="9"/>
  <c r="FH25" i="9"/>
  <c r="HO25" i="9"/>
  <c r="GJ25" i="9"/>
  <c r="AI25" i="9"/>
  <c r="IF25" i="9"/>
  <c r="BN25" i="9"/>
  <c r="EE25" i="9"/>
  <c r="AX25" i="9"/>
  <c r="EY25" i="9"/>
  <c r="CP25" i="9"/>
  <c r="FE25" i="9"/>
  <c r="DU25" i="9"/>
  <c r="HA25" i="9"/>
  <c r="AA25" i="9"/>
  <c r="EB25" i="9"/>
  <c r="GX25" i="9"/>
  <c r="DQ25" i="9"/>
  <c r="DO25" i="9"/>
  <c r="BL25" i="9"/>
  <c r="EJ25" i="9"/>
  <c r="CT25" i="9"/>
  <c r="EZ25" i="9"/>
  <c r="FA25" i="9"/>
  <c r="BT25" i="9"/>
  <c r="CI25" i="9"/>
  <c r="EP25" i="9"/>
  <c r="IR25" i="9"/>
  <c r="AW25" i="9"/>
  <c r="DC25" i="9"/>
  <c r="AJ25" i="9"/>
  <c r="AQ25" i="9"/>
  <c r="BG25" i="9"/>
  <c r="CV25" i="9"/>
  <c r="GI25" i="9"/>
  <c r="EQ25" i="9"/>
  <c r="BY25" i="9"/>
  <c r="X25" i="9"/>
  <c r="DP25" i="9"/>
  <c r="GG25" i="9"/>
  <c r="AD25" i="9"/>
  <c r="JG25" i="9"/>
  <c r="FS25" i="9"/>
  <c r="CU25" i="9"/>
  <c r="HJ25" i="9"/>
  <c r="CM25" i="9"/>
  <c r="AH25" i="9"/>
  <c r="AK25" i="9"/>
  <c r="AV25" i="9"/>
  <c r="CH25" i="9"/>
  <c r="FF25" i="9"/>
  <c r="GF25" i="9"/>
  <c r="EF25" i="9"/>
  <c r="N25" i="9"/>
  <c r="JF25" i="9"/>
  <c r="DR25" i="9"/>
  <c r="DW25" i="9"/>
  <c r="V25" i="9"/>
  <c r="FG25" i="9"/>
  <c r="FN25" i="9"/>
  <c r="IL25" i="9"/>
  <c r="IK25" i="9"/>
  <c r="CS25" i="9"/>
  <c r="CZ25" i="9"/>
  <c r="EC25" i="9"/>
  <c r="HB25" i="9"/>
  <c r="G26" i="9"/>
  <c r="F27" i="9" s="1"/>
  <c r="J27" i="9" s="1"/>
  <c r="K27" i="9" s="1"/>
  <c r="L27" i="9" s="1"/>
  <c r="DC26" i="9" l="1"/>
  <c r="AD26" i="9"/>
  <c r="IF26" i="9"/>
  <c r="ID26" i="9"/>
  <c r="DU26" i="9"/>
  <c r="AH26" i="9"/>
  <c r="HX26" i="9"/>
  <c r="HH26" i="9"/>
  <c r="O26" i="9"/>
  <c r="AS26" i="9"/>
  <c r="BG26" i="9"/>
  <c r="HD26" i="9"/>
  <c r="GT26" i="9"/>
  <c r="BD26" i="9"/>
  <c r="CH26" i="9"/>
  <c r="BN26" i="9"/>
  <c r="GU26" i="9"/>
  <c r="ES26" i="9"/>
  <c r="FR26" i="9"/>
  <c r="GG26" i="9"/>
  <c r="IS26" i="9"/>
  <c r="BM26" i="9"/>
  <c r="EX26" i="9"/>
  <c r="W26" i="9"/>
  <c r="AV26" i="9"/>
  <c r="IN26" i="9"/>
  <c r="FL26" i="9"/>
  <c r="HQ26" i="9"/>
  <c r="BU26" i="9"/>
  <c r="GV26" i="9"/>
  <c r="CI26" i="9"/>
  <c r="EM26" i="9"/>
  <c r="HI26" i="9"/>
  <c r="HV26" i="9"/>
  <c r="AC26" i="9"/>
  <c r="HE26" i="9"/>
  <c r="IG26" i="9"/>
  <c r="EI26" i="9"/>
  <c r="DG26" i="9"/>
  <c r="JH26" i="9"/>
  <c r="FY26" i="9"/>
  <c r="IQ26" i="9"/>
  <c r="CN26" i="9"/>
  <c r="AO26" i="9"/>
  <c r="HW26" i="9"/>
  <c r="DJ26" i="9"/>
  <c r="CZ26" i="9"/>
  <c r="GI26" i="9"/>
  <c r="BC26" i="9"/>
  <c r="AK26" i="9"/>
  <c r="AR26" i="9"/>
  <c r="CW26" i="9"/>
  <c r="FU26" i="9"/>
  <c r="CE26" i="9"/>
  <c r="FF26" i="9"/>
  <c r="HB26" i="9"/>
  <c r="FS26" i="9"/>
  <c r="IY26" i="9"/>
  <c r="HR26" i="9"/>
  <c r="U26" i="9"/>
  <c r="AW26" i="9"/>
  <c r="BT26" i="9"/>
  <c r="CF26" i="9"/>
  <c r="P26" i="9"/>
  <c r="CB26" i="9"/>
  <c r="BZ26" i="9"/>
  <c r="EZ26" i="9"/>
  <c r="AL26" i="9"/>
  <c r="EF26" i="9"/>
  <c r="DV26" i="9"/>
  <c r="IC26" i="9"/>
  <c r="AB26" i="9"/>
  <c r="IK26" i="9"/>
  <c r="HY26" i="9"/>
  <c r="AZ26" i="9"/>
  <c r="JE26" i="9"/>
  <c r="CS26" i="9"/>
  <c r="GO26" i="9"/>
  <c r="GC26" i="9"/>
  <c r="AQ26" i="9"/>
  <c r="DY26" i="9"/>
  <c r="DO26" i="9"/>
  <c r="EL26" i="9"/>
  <c r="BR26" i="9"/>
  <c r="CU26" i="9"/>
  <c r="EC26" i="9"/>
  <c r="N26" i="9"/>
  <c r="FO26" i="9"/>
  <c r="EW26" i="9"/>
  <c r="EK26" i="9"/>
  <c r="GF26" i="9"/>
  <c r="DI26" i="9"/>
  <c r="EB26" i="9"/>
  <c r="GP26" i="9"/>
  <c r="BE26" i="9"/>
  <c r="BQ26" i="9"/>
  <c r="GM26" i="9"/>
  <c r="EP26" i="9"/>
  <c r="ED26" i="9"/>
  <c r="JF26" i="9"/>
  <c r="CG26" i="9"/>
  <c r="FG26" i="9"/>
  <c r="BY26" i="9"/>
  <c r="DD26" i="9"/>
  <c r="DX26" i="9"/>
  <c r="DP26" i="9"/>
  <c r="AX26" i="9"/>
  <c r="BJ26" i="9"/>
  <c r="IM26" i="9"/>
  <c r="IR26" i="9"/>
  <c r="JB26" i="9"/>
  <c r="EQ26" i="9"/>
  <c r="CV26" i="9"/>
  <c r="CL26" i="9"/>
  <c r="FT26" i="9"/>
  <c r="AI26" i="9"/>
  <c r="X26" i="9"/>
  <c r="AP26" i="9"/>
  <c r="HZ26" i="9"/>
  <c r="HP26" i="9"/>
  <c r="DK26" i="9"/>
  <c r="HS26" i="9"/>
  <c r="FK26" i="9"/>
  <c r="AA26" i="9"/>
  <c r="T26" i="9"/>
  <c r="ET26" i="9"/>
  <c r="HC26" i="9"/>
  <c r="FZ26" i="9"/>
  <c r="IZ26" i="9"/>
  <c r="DN26" i="9"/>
  <c r="CA26" i="9"/>
  <c r="BF26" i="9"/>
  <c r="AJ26" i="9"/>
  <c r="FN26" i="9"/>
  <c r="Q26" i="9"/>
  <c r="GW26" i="9"/>
  <c r="FM26" i="9"/>
  <c r="EE26" i="9"/>
  <c r="GX26" i="9"/>
  <c r="HJ26" i="9"/>
  <c r="IU26" i="9"/>
  <c r="HA26" i="9"/>
  <c r="FD26" i="9"/>
  <c r="IE26" i="9"/>
  <c r="BS26" i="9"/>
  <c r="GJ26" i="9"/>
  <c r="GH26" i="9"/>
  <c r="FV26" i="9"/>
  <c r="EJ26" i="9"/>
  <c r="FH26" i="9"/>
  <c r="CM26" i="9"/>
  <c r="CP26" i="9"/>
  <c r="BL26" i="9"/>
  <c r="CT26" i="9"/>
  <c r="M26" i="9"/>
  <c r="V26" i="9"/>
  <c r="HK26" i="9"/>
  <c r="HO26" i="9"/>
  <c r="ER26" i="9"/>
  <c r="GB26" i="9"/>
  <c r="CO26" i="9"/>
  <c r="DR26" i="9"/>
  <c r="DH26" i="9"/>
  <c r="HL26" i="9"/>
  <c r="BK26" i="9"/>
  <c r="AY26" i="9"/>
  <c r="JI26" i="9"/>
  <c r="AE26" i="9"/>
  <c r="DB26" i="9"/>
  <c r="GN26" i="9"/>
  <c r="IX26" i="9"/>
  <c r="FA26" i="9"/>
  <c r="BX26" i="9"/>
  <c r="IT26" i="9"/>
  <c r="FE26" i="9"/>
  <c r="DW26" i="9"/>
  <c r="GQ26" i="9"/>
  <c r="EY26" i="9"/>
  <c r="JG26" i="9"/>
  <c r="DA26" i="9"/>
  <c r="JA26" i="9"/>
  <c r="IL26" i="9"/>
  <c r="IJ26" i="9"/>
  <c r="GA26" i="9"/>
  <c r="DQ26" i="9"/>
  <c r="G27" i="9"/>
  <c r="IG27" i="9" s="1"/>
  <c r="AL27" i="9" l="1"/>
  <c r="JA27" i="9"/>
  <c r="FG27" i="9"/>
  <c r="DC27" i="9"/>
  <c r="CA27" i="9"/>
  <c r="DA27" i="9"/>
  <c r="GX27" i="9"/>
  <c r="CP27" i="9"/>
  <c r="FR27" i="9"/>
  <c r="ES27" i="9"/>
  <c r="AX27" i="9"/>
  <c r="GB27" i="9"/>
  <c r="FM27" i="9"/>
  <c r="IS27" i="9"/>
  <c r="DJ27" i="9"/>
  <c r="FH27" i="9"/>
  <c r="AA27" i="9"/>
  <c r="BZ27" i="9"/>
  <c r="FA27" i="9"/>
  <c r="GU27" i="9"/>
  <c r="BN27" i="9"/>
  <c r="W27" i="9"/>
  <c r="DR27" i="9"/>
  <c r="CM27" i="9"/>
  <c r="HI27" i="9"/>
  <c r="GO27" i="9"/>
  <c r="AE27" i="9"/>
  <c r="CF27" i="9"/>
  <c r="DQ27" i="9"/>
  <c r="AI27" i="9"/>
  <c r="ER27" i="9"/>
  <c r="GF27" i="9"/>
  <c r="HP27" i="9"/>
  <c r="FZ27" i="9"/>
  <c r="GP27" i="9"/>
  <c r="AO27" i="9"/>
  <c r="JH27" i="9"/>
  <c r="EL27" i="9"/>
  <c r="EF27" i="9"/>
  <c r="HS27" i="9"/>
  <c r="HE27" i="9"/>
  <c r="GH27" i="9"/>
  <c r="X27" i="9"/>
  <c r="GJ27" i="9"/>
  <c r="GT27" i="9"/>
  <c r="IL27" i="9"/>
  <c r="EI27" i="9"/>
  <c r="DU27" i="9"/>
  <c r="AV27" i="9"/>
  <c r="DX27" i="9"/>
  <c r="AW27" i="9"/>
  <c r="HJ27" i="9"/>
  <c r="DH27" i="9"/>
  <c r="CZ27" i="9"/>
  <c r="BF27" i="9"/>
  <c r="IX27" i="9"/>
  <c r="FN27" i="9"/>
  <c r="BT27" i="9"/>
  <c r="CV27" i="9"/>
  <c r="DP27" i="9"/>
  <c r="JF27" i="9"/>
  <c r="IM27" i="9"/>
  <c r="EP27" i="9"/>
  <c r="DV27" i="9"/>
  <c r="GV27" i="9"/>
  <c r="EC27" i="9"/>
  <c r="EB27" i="9"/>
  <c r="HC27" i="9"/>
  <c r="HH27" i="9"/>
  <c r="HZ27" i="9"/>
  <c r="IR27" i="9"/>
  <c r="DD27" i="9"/>
  <c r="AZ27" i="9"/>
  <c r="CT27" i="9"/>
  <c r="BY27" i="9"/>
  <c r="U27" i="9"/>
  <c r="IN27" i="9"/>
  <c r="HQ27" i="9"/>
  <c r="AH27" i="9"/>
  <c r="HO27" i="9"/>
  <c r="DG27" i="9"/>
  <c r="HA27" i="9"/>
  <c r="GM27" i="9"/>
  <c r="CS27" i="9"/>
  <c r="JI27" i="9"/>
  <c r="IY27" i="9"/>
  <c r="IE27" i="9"/>
  <c r="EK27" i="9"/>
  <c r="CG27" i="9"/>
  <c r="AQ27" i="9"/>
  <c r="IF27" i="9"/>
  <c r="FT27" i="9"/>
  <c r="FE27" i="9"/>
  <c r="FU27" i="9"/>
  <c r="BJ27" i="9"/>
  <c r="EM27" i="9"/>
  <c r="T27" i="9"/>
  <c r="BS27" i="9"/>
  <c r="EE27" i="9"/>
  <c r="BE27" i="9"/>
  <c r="DW27" i="9"/>
  <c r="DK27" i="9"/>
  <c r="FY27" i="9"/>
  <c r="CW27" i="9"/>
  <c r="EZ27" i="9"/>
  <c r="CE27" i="9"/>
  <c r="CN27" i="9"/>
  <c r="N27" i="9"/>
  <c r="EQ27" i="9"/>
  <c r="FF27" i="9"/>
  <c r="AS27" i="9"/>
  <c r="AY27" i="9"/>
  <c r="P27" i="9"/>
  <c r="GC27" i="9"/>
  <c r="DY27" i="9"/>
  <c r="IT27" i="9"/>
  <c r="ID27" i="9"/>
  <c r="GQ27" i="9"/>
  <c r="FK27" i="9"/>
  <c r="AJ27" i="9"/>
  <c r="IZ27" i="9"/>
  <c r="AC27" i="9"/>
  <c r="EY27" i="9"/>
  <c r="V27" i="9"/>
  <c r="CI27" i="9"/>
  <c r="AP27" i="9"/>
  <c r="DO27" i="9"/>
  <c r="GA27" i="9"/>
  <c r="CL27" i="9"/>
  <c r="HW27" i="9"/>
  <c r="ET27" i="9"/>
  <c r="BX27" i="9"/>
  <c r="EJ27" i="9"/>
  <c r="IU27" i="9"/>
  <c r="CU27" i="9"/>
  <c r="AR27" i="9"/>
  <c r="BC27" i="9"/>
  <c r="FD27" i="9"/>
  <c r="GW27" i="9"/>
  <c r="AK27" i="9"/>
  <c r="GI27" i="9"/>
  <c r="FL27" i="9"/>
  <c r="DB27" i="9"/>
  <c r="JE27" i="9"/>
  <c r="BM27" i="9"/>
  <c r="EX27" i="9"/>
  <c r="FO27" i="9"/>
  <c r="BU27" i="9"/>
  <c r="HV27" i="9"/>
  <c r="EW27" i="9"/>
  <c r="JG27" i="9"/>
  <c r="HK27" i="9"/>
  <c r="BD27" i="9"/>
  <c r="IJ27" i="9"/>
  <c r="HD27" i="9"/>
  <c r="FS27" i="9"/>
  <c r="BK27" i="9"/>
  <c r="AD27" i="9"/>
  <c r="HX27" i="9"/>
  <c r="HR27" i="9"/>
  <c r="AB27" i="9"/>
  <c r="BL27" i="9"/>
  <c r="CO27" i="9"/>
  <c r="FV27" i="9"/>
  <c r="O27" i="9"/>
  <c r="BR27" i="9"/>
  <c r="DI27" i="9"/>
  <c r="JB27" i="9"/>
  <c r="HB27" i="9"/>
  <c r="ED27" i="9"/>
  <c r="GG27" i="9"/>
  <c r="CB27" i="9"/>
  <c r="GN27" i="9"/>
  <c r="CH27" i="9"/>
  <c r="M27" i="9"/>
  <c r="F29" i="9"/>
  <c r="J29" i="9" s="1"/>
  <c r="K29" i="9" s="1"/>
  <c r="L29" i="9" s="1"/>
  <c r="Q27" i="9"/>
  <c r="IQ27" i="9"/>
  <c r="HL27" i="9"/>
  <c r="IC27" i="9"/>
  <c r="BQ27" i="9"/>
  <c r="BG27" i="9"/>
  <c r="DN27" i="9"/>
  <c r="IK27" i="9"/>
  <c r="HY27" i="9"/>
  <c r="G29" i="9" l="1"/>
  <c r="F30" i="9" s="1"/>
  <c r="J30" i="9" s="1"/>
  <c r="K30" i="9" s="1"/>
  <c r="L30" i="9" s="1"/>
  <c r="EL29" i="9" l="1"/>
  <c r="HH29" i="9"/>
  <c r="GN29" i="9"/>
  <c r="CS29" i="9"/>
  <c r="FY29" i="9"/>
  <c r="T29" i="9"/>
  <c r="JG29" i="9"/>
  <c r="M29" i="9"/>
  <c r="IQ29" i="9"/>
  <c r="FE29" i="9"/>
  <c r="BT29" i="9"/>
  <c r="DN29" i="9"/>
  <c r="FL29" i="9"/>
  <c r="IT29" i="9"/>
  <c r="BX29" i="9"/>
  <c r="DG29" i="9"/>
  <c r="JA29" i="9"/>
  <c r="CL29" i="9"/>
  <c r="AP29" i="9"/>
  <c r="X29" i="9"/>
  <c r="EF29" i="9"/>
  <c r="DH29" i="9"/>
  <c r="GM29" i="9"/>
  <c r="U29" i="9"/>
  <c r="EX29" i="9"/>
  <c r="GA29" i="9"/>
  <c r="HR29" i="9"/>
  <c r="AK29" i="9"/>
  <c r="BK29" i="9"/>
  <c r="V29" i="9"/>
  <c r="BL29" i="9"/>
  <c r="CB29" i="9"/>
  <c r="HY29" i="9"/>
  <c r="ER29" i="9"/>
  <c r="HP29" i="9"/>
  <c r="ET29" i="9"/>
  <c r="GB29" i="9"/>
  <c r="BJ29" i="9"/>
  <c r="CM29" i="9"/>
  <c r="CI29" i="9"/>
  <c r="BY29" i="9"/>
  <c r="FD29" i="9"/>
  <c r="EZ29" i="9"/>
  <c r="IG29" i="9"/>
  <c r="CE29" i="9"/>
  <c r="BQ29" i="9"/>
  <c r="AZ29" i="9"/>
  <c r="EI29" i="9"/>
  <c r="FF29" i="9"/>
  <c r="AS29" i="9"/>
  <c r="GO29" i="9"/>
  <c r="AY29" i="9"/>
  <c r="FS29" i="9"/>
  <c r="FK29" i="9"/>
  <c r="AV29" i="9"/>
  <c r="FA29" i="9"/>
  <c r="EE29" i="9"/>
  <c r="DB29" i="9"/>
  <c r="BG29" i="9"/>
  <c r="DO29" i="9"/>
  <c r="DK29" i="9"/>
  <c r="FH29" i="9"/>
  <c r="IU29" i="9"/>
  <c r="IK29" i="9"/>
  <c r="JE29" i="9"/>
  <c r="BU29" i="9"/>
  <c r="AO29" i="9"/>
  <c r="CO29" i="9"/>
  <c r="CA29" i="9"/>
  <c r="HB29" i="9"/>
  <c r="AJ29" i="9"/>
  <c r="GW29" i="9"/>
  <c r="N29" i="9"/>
  <c r="EJ29" i="9"/>
  <c r="DI29" i="9"/>
  <c r="GQ29" i="9"/>
  <c r="GT29" i="9"/>
  <c r="HE29" i="9"/>
  <c r="JF29" i="9"/>
  <c r="FU29" i="9"/>
  <c r="DV29" i="9"/>
  <c r="ES29" i="9"/>
  <c r="HZ29" i="9"/>
  <c r="HI29" i="9"/>
  <c r="AR29" i="9"/>
  <c r="DU29" i="9"/>
  <c r="AA29" i="9"/>
  <c r="AB29" i="9"/>
  <c r="Q29" i="9"/>
  <c r="CV29" i="9"/>
  <c r="GC29" i="9"/>
  <c r="IF29" i="9"/>
  <c r="HJ29" i="9"/>
  <c r="BZ29" i="9"/>
  <c r="DY29" i="9"/>
  <c r="JH29" i="9"/>
  <c r="IY29" i="9"/>
  <c r="EB29" i="9"/>
  <c r="IM29" i="9"/>
  <c r="CT29" i="9"/>
  <c r="CU29" i="9"/>
  <c r="DX29" i="9"/>
  <c r="IL29" i="9"/>
  <c r="HV29" i="9"/>
  <c r="P29" i="9"/>
  <c r="CF29" i="9"/>
  <c r="AD29" i="9"/>
  <c r="HC29" i="9"/>
  <c r="GU29" i="9"/>
  <c r="AW29" i="9"/>
  <c r="FM29" i="9"/>
  <c r="EM29" i="9"/>
  <c r="EC29" i="9"/>
  <c r="IX29" i="9"/>
  <c r="EK29" i="9"/>
  <c r="GH29" i="9"/>
  <c r="IC29" i="9"/>
  <c r="IN29" i="9"/>
  <c r="HQ29" i="9"/>
  <c r="AL29" i="9"/>
  <c r="IS29" i="9"/>
  <c r="DC29" i="9"/>
  <c r="GV29" i="9"/>
  <c r="AC29" i="9"/>
  <c r="GJ29" i="9"/>
  <c r="AX29" i="9"/>
  <c r="EQ29" i="9"/>
  <c r="FR29" i="9"/>
  <c r="AQ29" i="9"/>
  <c r="DJ29" i="9"/>
  <c r="CN29" i="9"/>
  <c r="DR29" i="9"/>
  <c r="IJ29" i="9"/>
  <c r="BS29" i="9"/>
  <c r="CP29" i="9"/>
  <c r="DD29" i="9"/>
  <c r="EP29" i="9"/>
  <c r="FT29" i="9"/>
  <c r="FV29" i="9"/>
  <c r="O29" i="9"/>
  <c r="AH29" i="9"/>
  <c r="CW29" i="9"/>
  <c r="FZ29" i="9"/>
  <c r="BC29" i="9"/>
  <c r="HX29" i="9"/>
  <c r="BR29" i="9"/>
  <c r="EY29" i="9"/>
  <c r="DA29" i="9"/>
  <c r="GG29" i="9"/>
  <c r="FN29" i="9"/>
  <c r="W29" i="9"/>
  <c r="IE29" i="9"/>
  <c r="HS29" i="9"/>
  <c r="IR29" i="9"/>
  <c r="HL29" i="9"/>
  <c r="BD29" i="9"/>
  <c r="HW29" i="9"/>
  <c r="BN29" i="9"/>
  <c r="EW29" i="9"/>
  <c r="DQ29" i="9"/>
  <c r="GX29" i="9"/>
  <c r="JI29" i="9"/>
  <c r="FO29" i="9"/>
  <c r="BF29" i="9"/>
  <c r="HD29" i="9"/>
  <c r="HA29" i="9"/>
  <c r="CZ29" i="9"/>
  <c r="BE29" i="9"/>
  <c r="GI29" i="9"/>
  <c r="AE29" i="9"/>
  <c r="DP29" i="9"/>
  <c r="IZ29" i="9"/>
  <c r="FG29" i="9"/>
  <c r="ID29" i="9"/>
  <c r="BM29" i="9"/>
  <c r="CH29" i="9"/>
  <c r="CG29" i="9"/>
  <c r="AI29" i="9"/>
  <c r="JB29" i="9"/>
  <c r="GP29" i="9"/>
  <c r="GF29" i="9"/>
  <c r="HO29" i="9"/>
  <c r="ED29" i="9"/>
  <c r="HK29" i="9"/>
  <c r="DW29" i="9"/>
  <c r="G30" i="9"/>
  <c r="F31" i="9" s="1"/>
  <c r="J31" i="9" s="1"/>
  <c r="K31" i="9" s="1"/>
  <c r="L31" i="9" s="1"/>
  <c r="AD30" i="9" l="1"/>
  <c r="CH30" i="9"/>
  <c r="JE30" i="9"/>
  <c r="GX30" i="9"/>
  <c r="GO30" i="9"/>
  <c r="CA30" i="9"/>
  <c r="GH30" i="9"/>
  <c r="HY30" i="9"/>
  <c r="DA30" i="9"/>
  <c r="BC30" i="9"/>
  <c r="FN30" i="9"/>
  <c r="GT30" i="9"/>
  <c r="FF30" i="9"/>
  <c r="ES30" i="9"/>
  <c r="FL30" i="9"/>
  <c r="FO30" i="9"/>
  <c r="GB30" i="9"/>
  <c r="DH30" i="9"/>
  <c r="FZ30" i="9"/>
  <c r="AQ30" i="9"/>
  <c r="EX30" i="9"/>
  <c r="FG30" i="9"/>
  <c r="DG30" i="9"/>
  <c r="EW30" i="9"/>
  <c r="ID30" i="9"/>
  <c r="AW30" i="9"/>
  <c r="HE30" i="9"/>
  <c r="FD30" i="9"/>
  <c r="EQ30" i="9"/>
  <c r="EP30" i="9"/>
  <c r="DR30" i="9"/>
  <c r="IT30" i="9"/>
  <c r="GP30" i="9"/>
  <c r="HA30" i="9"/>
  <c r="IC30" i="9"/>
  <c r="CE30" i="9"/>
  <c r="FU30" i="9"/>
  <c r="BY30" i="9"/>
  <c r="Q30" i="9"/>
  <c r="DB30" i="9"/>
  <c r="IF30" i="9"/>
  <c r="GU30" i="9"/>
  <c r="BQ30" i="9"/>
  <c r="JG30" i="9"/>
  <c r="JF30" i="9"/>
  <c r="HB30" i="9"/>
  <c r="BD30" i="9"/>
  <c r="EB30" i="9"/>
  <c r="IQ30" i="9"/>
  <c r="V30" i="9"/>
  <c r="AX30" i="9"/>
  <c r="JH30" i="9"/>
  <c r="GV30" i="9"/>
  <c r="DK30" i="9"/>
  <c r="AZ30" i="9"/>
  <c r="CF30" i="9"/>
  <c r="IY30" i="9"/>
  <c r="IK30" i="9"/>
  <c r="O30" i="9"/>
  <c r="FE30" i="9"/>
  <c r="IZ30" i="9"/>
  <c r="AE30" i="9"/>
  <c r="DP30" i="9"/>
  <c r="GG30" i="9"/>
  <c r="AI30" i="9"/>
  <c r="BS30" i="9"/>
  <c r="HL30" i="9"/>
  <c r="IJ30" i="9"/>
  <c r="AY30" i="9"/>
  <c r="BK30" i="9"/>
  <c r="EK30" i="9"/>
  <c r="GQ30" i="9"/>
  <c r="HX30" i="9"/>
  <c r="EC30" i="9"/>
  <c r="BM30" i="9"/>
  <c r="AV30" i="9"/>
  <c r="HD30" i="9"/>
  <c r="GM30" i="9"/>
  <c r="AL30" i="9"/>
  <c r="JA30" i="9"/>
  <c r="HC30" i="9"/>
  <c r="BU30" i="9"/>
  <c r="EM30" i="9"/>
  <c r="X30" i="9"/>
  <c r="BZ30" i="9"/>
  <c r="T30" i="9"/>
  <c r="FY30" i="9"/>
  <c r="DI30" i="9"/>
  <c r="AP30" i="9"/>
  <c r="FM30" i="9"/>
  <c r="BF30" i="9"/>
  <c r="CP30" i="9"/>
  <c r="BL30" i="9"/>
  <c r="IR30" i="9"/>
  <c r="AO30" i="9"/>
  <c r="FT30" i="9"/>
  <c r="HO30" i="9"/>
  <c r="FH30" i="9"/>
  <c r="IU30" i="9"/>
  <c r="IE30" i="9"/>
  <c r="DN30" i="9"/>
  <c r="IS30" i="9"/>
  <c r="HS30" i="9"/>
  <c r="GC30" i="9"/>
  <c r="IL30" i="9"/>
  <c r="JI30" i="9"/>
  <c r="AH30" i="9"/>
  <c r="CV30" i="9"/>
  <c r="GA30" i="9"/>
  <c r="IM30" i="9"/>
  <c r="GF30" i="9"/>
  <c r="HW30" i="9"/>
  <c r="CM30" i="9"/>
  <c r="HR30" i="9"/>
  <c r="FA30" i="9"/>
  <c r="CL30" i="9"/>
  <c r="CU30" i="9"/>
  <c r="FV30" i="9"/>
  <c r="DJ30" i="9"/>
  <c r="IG30" i="9"/>
  <c r="EF30" i="9"/>
  <c r="P30" i="9"/>
  <c r="FK30" i="9"/>
  <c r="HK30" i="9"/>
  <c r="DO30" i="9"/>
  <c r="EY30" i="9"/>
  <c r="ER30" i="9"/>
  <c r="AR30" i="9"/>
  <c r="CO30" i="9"/>
  <c r="DQ30" i="9"/>
  <c r="HZ30" i="9"/>
  <c r="DC30" i="9"/>
  <c r="ET30" i="9"/>
  <c r="DY30" i="9"/>
  <c r="CZ30" i="9"/>
  <c r="CT30" i="9"/>
  <c r="BX30" i="9"/>
  <c r="IX30" i="9"/>
  <c r="EE30" i="9"/>
  <c r="BE30" i="9"/>
  <c r="AB30" i="9"/>
  <c r="FS30" i="9"/>
  <c r="FR30" i="9"/>
  <c r="CS30" i="9"/>
  <c r="GI30" i="9"/>
  <c r="DU30" i="9"/>
  <c r="HP30" i="9"/>
  <c r="AC30" i="9"/>
  <c r="BT30" i="9"/>
  <c r="EJ30" i="9"/>
  <c r="AA30" i="9"/>
  <c r="AS30" i="9"/>
  <c r="DD30" i="9"/>
  <c r="JB30" i="9"/>
  <c r="N30" i="9"/>
  <c r="AJ30" i="9"/>
  <c r="BG30" i="9"/>
  <c r="EI30" i="9"/>
  <c r="EZ30" i="9"/>
  <c r="HQ30" i="9"/>
  <c r="DV30" i="9"/>
  <c r="W30" i="9"/>
  <c r="HH30" i="9"/>
  <c r="DX30" i="9"/>
  <c r="BR30" i="9"/>
  <c r="CI30" i="9"/>
  <c r="M30" i="9"/>
  <c r="BJ30" i="9"/>
  <c r="CG30" i="9"/>
  <c r="U30" i="9"/>
  <c r="BN30" i="9"/>
  <c r="ED30" i="9"/>
  <c r="IN30" i="9"/>
  <c r="HJ30" i="9"/>
  <c r="CN30" i="9"/>
  <c r="GN30" i="9"/>
  <c r="CW30" i="9"/>
  <c r="CB30" i="9"/>
  <c r="AK30" i="9"/>
  <c r="HI30" i="9"/>
  <c r="DW30" i="9"/>
  <c r="GW30" i="9"/>
  <c r="GJ30" i="9"/>
  <c r="EL30" i="9"/>
  <c r="HV30" i="9"/>
  <c r="G31" i="9"/>
  <c r="F32" i="9" s="1"/>
  <c r="J32" i="9" s="1"/>
  <c r="K32" i="9" s="1"/>
  <c r="L32" i="9" s="1"/>
  <c r="FY31" i="9" l="1"/>
  <c r="IG31" i="9"/>
  <c r="GA31" i="9"/>
  <c r="CH31" i="9"/>
  <c r="EK31" i="9"/>
  <c r="IU31" i="9"/>
  <c r="FG31" i="9"/>
  <c r="IK31" i="9"/>
  <c r="CI31" i="9"/>
  <c r="HH31" i="9"/>
  <c r="CL31" i="9"/>
  <c r="GV31" i="9"/>
  <c r="GU31" i="9"/>
  <c r="DD31" i="9"/>
  <c r="HB31" i="9"/>
  <c r="FH31" i="9"/>
  <c r="GM31" i="9"/>
  <c r="FE31" i="9"/>
  <c r="HP31" i="9"/>
  <c r="JF31" i="9"/>
  <c r="IL31" i="9"/>
  <c r="FF31" i="9"/>
  <c r="DN31" i="9"/>
  <c r="AK31" i="9"/>
  <c r="HL31" i="9"/>
  <c r="BN31" i="9"/>
  <c r="AI31" i="9"/>
  <c r="FL31" i="9"/>
  <c r="HA31" i="9"/>
  <c r="IN31" i="9"/>
  <c r="FK31" i="9"/>
  <c r="M31" i="9"/>
  <c r="BX31" i="9"/>
  <c r="AZ31" i="9"/>
  <c r="AX31" i="9"/>
  <c r="BM31" i="9"/>
  <c r="ED31" i="9"/>
  <c r="IZ31" i="9"/>
  <c r="JE31" i="9"/>
  <c r="FD31" i="9"/>
  <c r="IQ31" i="9"/>
  <c r="AE31" i="9"/>
  <c r="AY31" i="9"/>
  <c r="FT31" i="9"/>
  <c r="GQ31" i="9"/>
  <c r="DW31" i="9"/>
  <c r="Q31" i="9"/>
  <c r="IJ31" i="9"/>
  <c r="BQ31" i="9"/>
  <c r="AW31" i="9"/>
  <c r="JB31" i="9"/>
  <c r="EB31" i="9"/>
  <c r="DH31" i="9"/>
  <c r="HK31" i="9"/>
  <c r="BG31" i="9"/>
  <c r="HJ31" i="9"/>
  <c r="BS31" i="9"/>
  <c r="AR31" i="9"/>
  <c r="DI31" i="9"/>
  <c r="BJ31" i="9"/>
  <c r="CU31" i="9"/>
  <c r="ES31" i="9"/>
  <c r="FR31" i="9"/>
  <c r="CM31" i="9"/>
  <c r="IF31" i="9"/>
  <c r="HQ31" i="9"/>
  <c r="DK31" i="9"/>
  <c r="GO31" i="9"/>
  <c r="DR31" i="9"/>
  <c r="EI31" i="9"/>
  <c r="CS31" i="9"/>
  <c r="IE31" i="9"/>
  <c r="CZ31" i="9"/>
  <c r="EF31" i="9"/>
  <c r="AQ31" i="9"/>
  <c r="DC31" i="9"/>
  <c r="IR31" i="9"/>
  <c r="CP31" i="9"/>
  <c r="W31" i="9"/>
  <c r="BU31" i="9"/>
  <c r="U31" i="9"/>
  <c r="AP31" i="9"/>
  <c r="ID31" i="9"/>
  <c r="AH31" i="9"/>
  <c r="EW31" i="9"/>
  <c r="BF31" i="9"/>
  <c r="CW31" i="9"/>
  <c r="AL31" i="9"/>
  <c r="IM31" i="9"/>
  <c r="DY31" i="9"/>
  <c r="GX31" i="9"/>
  <c r="AB31" i="9"/>
  <c r="FN31" i="9"/>
  <c r="HS31" i="9"/>
  <c r="JH31" i="9"/>
  <c r="FU31" i="9"/>
  <c r="FM31" i="9"/>
  <c r="EL31" i="9"/>
  <c r="HR31" i="9"/>
  <c r="HE31" i="9"/>
  <c r="IC31" i="9"/>
  <c r="HC31" i="9"/>
  <c r="DV31" i="9"/>
  <c r="HI31" i="9"/>
  <c r="IT31" i="9"/>
  <c r="CE31" i="9"/>
  <c r="DB31" i="9"/>
  <c r="BC31" i="9"/>
  <c r="CN31" i="9"/>
  <c r="P31" i="9"/>
  <c r="EX31" i="9"/>
  <c r="HY31" i="9"/>
  <c r="EC31" i="9"/>
  <c r="GI31" i="9"/>
  <c r="HX31" i="9"/>
  <c r="CT31" i="9"/>
  <c r="BT31" i="9"/>
  <c r="FV31" i="9"/>
  <c r="BY31" i="9"/>
  <c r="FZ31" i="9"/>
  <c r="HZ31" i="9"/>
  <c r="AS31" i="9"/>
  <c r="AA31" i="9"/>
  <c r="T31" i="9"/>
  <c r="IY31" i="9"/>
  <c r="IX31" i="9"/>
  <c r="EP31" i="9"/>
  <c r="CG31" i="9"/>
  <c r="DG31" i="9"/>
  <c r="BK31" i="9"/>
  <c r="CV31" i="9"/>
  <c r="EQ31" i="9"/>
  <c r="JG31" i="9"/>
  <c r="DJ31" i="9"/>
  <c r="X31" i="9"/>
  <c r="EE31" i="9"/>
  <c r="AC31" i="9"/>
  <c r="FO31" i="9"/>
  <c r="BR31" i="9"/>
  <c r="DA31" i="9"/>
  <c r="BZ31" i="9"/>
  <c r="GN31" i="9"/>
  <c r="GH31" i="9"/>
  <c r="CO31" i="9"/>
  <c r="O31" i="9"/>
  <c r="GB31" i="9"/>
  <c r="ET31" i="9"/>
  <c r="GC31" i="9"/>
  <c r="FS31" i="9"/>
  <c r="BE31" i="9"/>
  <c r="GP31" i="9"/>
  <c r="BL31" i="9"/>
  <c r="AJ31" i="9"/>
  <c r="HD31" i="9"/>
  <c r="CB31" i="9"/>
  <c r="CA31" i="9"/>
  <c r="HO31" i="9"/>
  <c r="HV31" i="9"/>
  <c r="BD31" i="9"/>
  <c r="AV31" i="9"/>
  <c r="GG31" i="9"/>
  <c r="EM31" i="9"/>
  <c r="DQ31" i="9"/>
  <c r="AD31" i="9"/>
  <c r="DU31" i="9"/>
  <c r="JA31" i="9"/>
  <c r="GT31" i="9"/>
  <c r="N31" i="9"/>
  <c r="V31" i="9"/>
  <c r="FA31" i="9"/>
  <c r="ER31" i="9"/>
  <c r="GW31" i="9"/>
  <c r="EZ31" i="9"/>
  <c r="EY31" i="9"/>
  <c r="GJ31" i="9"/>
  <c r="GF31" i="9"/>
  <c r="DP31" i="9"/>
  <c r="DO31" i="9"/>
  <c r="JI31" i="9"/>
  <c r="AO31" i="9"/>
  <c r="IS31" i="9"/>
  <c r="G32" i="9"/>
  <c r="FS32" i="9" s="1"/>
  <c r="DX31" i="9"/>
  <c r="HW31" i="9"/>
  <c r="EJ31" i="9"/>
  <c r="CF31" i="9"/>
  <c r="BX32" i="9" l="1"/>
  <c r="EQ32" i="9"/>
  <c r="CV32" i="9"/>
  <c r="DU32" i="9"/>
  <c r="EW32" i="9"/>
  <c r="AJ32" i="9"/>
  <c r="EL32" i="9"/>
  <c r="N32" i="9"/>
  <c r="BR32" i="9"/>
  <c r="BN32" i="9"/>
  <c r="FE32" i="9"/>
  <c r="BT32" i="9"/>
  <c r="AR32" i="9"/>
  <c r="BQ32" i="9"/>
  <c r="HC32" i="9"/>
  <c r="BM32" i="9"/>
  <c r="Q32" i="9"/>
  <c r="EK32" i="9"/>
  <c r="AS32" i="9"/>
  <c r="CL32" i="9"/>
  <c r="JH32" i="9"/>
  <c r="DV32" i="9"/>
  <c r="CG32" i="9"/>
  <c r="IY32" i="9"/>
  <c r="FA32" i="9"/>
  <c r="AI32" i="9"/>
  <c r="GW32" i="9"/>
  <c r="AV32" i="9"/>
  <c r="FM32" i="9"/>
  <c r="JI32" i="9"/>
  <c r="IJ32" i="9"/>
  <c r="EY32" i="9"/>
  <c r="GB32" i="9"/>
  <c r="GJ32" i="9"/>
  <c r="AQ32" i="9"/>
  <c r="HX32" i="9"/>
  <c r="GM32" i="9"/>
  <c r="CO32" i="9"/>
  <c r="CW32" i="9"/>
  <c r="DD32" i="9"/>
  <c r="DH32" i="9"/>
  <c r="HR32" i="9"/>
  <c r="HQ32" i="9"/>
  <c r="CB32" i="9"/>
  <c r="IF32" i="9"/>
  <c r="CN32" i="9"/>
  <c r="DK32" i="9"/>
  <c r="HA32" i="9"/>
  <c r="EJ32" i="9"/>
  <c r="FR32" i="9"/>
  <c r="AK32" i="9"/>
  <c r="AY32" i="9"/>
  <c r="BK32" i="9"/>
  <c r="HY32" i="9"/>
  <c r="BZ32" i="9"/>
  <c r="HE32" i="9"/>
  <c r="IM32" i="9"/>
  <c r="HV32" i="9"/>
  <c r="HI32" i="9"/>
  <c r="U32" i="9"/>
  <c r="IR32" i="9"/>
  <c r="JF32" i="9"/>
  <c r="FY32" i="9"/>
  <c r="DN32" i="9"/>
  <c r="GV32" i="9"/>
  <c r="AL32" i="9"/>
  <c r="EE32" i="9"/>
  <c r="AE32" i="9"/>
  <c r="GH32" i="9"/>
  <c r="IC32" i="9"/>
  <c r="EB32" i="9"/>
  <c r="DB32" i="9"/>
  <c r="GQ32" i="9"/>
  <c r="CP32" i="9"/>
  <c r="HB32" i="9"/>
  <c r="BC32" i="9"/>
  <c r="IL32" i="9"/>
  <c r="ER32" i="9"/>
  <c r="T32" i="9"/>
  <c r="EM32" i="9"/>
  <c r="DA32" i="9"/>
  <c r="FD32" i="9"/>
  <c r="BY32" i="9"/>
  <c r="BL32" i="9"/>
  <c r="AB32" i="9"/>
  <c r="W32" i="9"/>
  <c r="AH32" i="9"/>
  <c r="DG32" i="9"/>
  <c r="DC32" i="9"/>
  <c r="GX32" i="9"/>
  <c r="DI32" i="9"/>
  <c r="GI32" i="9"/>
  <c r="IN32" i="9"/>
  <c r="CU32" i="9"/>
  <c r="BJ32" i="9"/>
  <c r="GA32" i="9"/>
  <c r="IZ32" i="9"/>
  <c r="FU32" i="9"/>
  <c r="JE32" i="9"/>
  <c r="BS32" i="9"/>
  <c r="HW32" i="9"/>
  <c r="M32" i="9"/>
  <c r="GN32" i="9"/>
  <c r="GP32" i="9"/>
  <c r="FF32" i="9"/>
  <c r="IQ32" i="9"/>
  <c r="FL32" i="9"/>
  <c r="BU32" i="9"/>
  <c r="DJ32" i="9"/>
  <c r="CT32" i="9"/>
  <c r="BE32" i="9"/>
  <c r="DQ32" i="9"/>
  <c r="GU32" i="9"/>
  <c r="CS32" i="9"/>
  <c r="AA32" i="9"/>
  <c r="BF32" i="9"/>
  <c r="HD32" i="9"/>
  <c r="DO32" i="9"/>
  <c r="CH32" i="9"/>
  <c r="BG32" i="9"/>
  <c r="JB32" i="9"/>
  <c r="FK32" i="9"/>
  <c r="EF32" i="9"/>
  <c r="AX32" i="9"/>
  <c r="CZ32" i="9"/>
  <c r="HJ32" i="9"/>
  <c r="CE32" i="9"/>
  <c r="EP32" i="9"/>
  <c r="GO32" i="9"/>
  <c r="AC32" i="9"/>
  <c r="IK32" i="9"/>
  <c r="HS32" i="9"/>
  <c r="GF32" i="9"/>
  <c r="CM32" i="9"/>
  <c r="IS32" i="9"/>
  <c r="GT32" i="9"/>
  <c r="HZ32" i="9"/>
  <c r="HP32" i="9"/>
  <c r="AP32" i="9"/>
  <c r="FH32" i="9"/>
  <c r="DW32" i="9"/>
  <c r="EX32" i="9"/>
  <c r="DR32" i="9"/>
  <c r="HH32" i="9"/>
  <c r="CA32" i="9"/>
  <c r="DP32" i="9"/>
  <c r="DX32" i="9"/>
  <c r="EI32" i="9"/>
  <c r="FT32" i="9"/>
  <c r="O32" i="9"/>
  <c r="X32" i="9"/>
  <c r="ID32" i="9"/>
  <c r="CF32" i="9"/>
  <c r="FN32" i="9"/>
  <c r="GC32" i="9"/>
  <c r="FG32" i="9"/>
  <c r="AW32" i="9"/>
  <c r="IT32" i="9"/>
  <c r="ED32" i="9"/>
  <c r="IG32" i="9"/>
  <c r="CI32" i="9"/>
  <c r="ES32" i="9"/>
  <c r="GG32" i="9"/>
  <c r="HK32" i="9"/>
  <c r="P32" i="9"/>
  <c r="IE32" i="9"/>
  <c r="AO32" i="9"/>
  <c r="IX32" i="9"/>
  <c r="DY32" i="9"/>
  <c r="JA32" i="9"/>
  <c r="EC32" i="9"/>
  <c r="BD32" i="9"/>
  <c r="EZ32" i="9"/>
  <c r="JG32" i="9"/>
  <c r="AZ32" i="9"/>
  <c r="FV32" i="9"/>
  <c r="IU32" i="9"/>
  <c r="F33" i="9"/>
  <c r="J33" i="9" s="1"/>
  <c r="K33" i="9" s="1"/>
  <c r="L33" i="9" s="1"/>
  <c r="F40" i="9"/>
  <c r="J40" i="9" s="1"/>
  <c r="K40" i="9" s="1"/>
  <c r="L40" i="9" s="1"/>
  <c r="F34" i="9"/>
  <c r="J34" i="9" s="1"/>
  <c r="K34" i="9" s="1"/>
  <c r="L34" i="9" s="1"/>
  <c r="V32" i="9"/>
  <c r="HL32" i="9"/>
  <c r="AD32" i="9"/>
  <c r="FO32" i="9"/>
  <c r="HO32" i="9"/>
  <c r="FZ32" i="9"/>
  <c r="ET32" i="9"/>
  <c r="G34" i="9" l="1"/>
  <c r="CF34" i="9" s="1"/>
  <c r="G40" i="9"/>
  <c r="IL40" i="9" s="1"/>
  <c r="G33" i="9"/>
  <c r="DW33" i="9" s="1"/>
  <c r="HR40" i="9" l="1"/>
  <c r="AB40" i="9"/>
  <c r="AP40" i="9"/>
  <c r="AC40" i="9"/>
  <c r="FG40" i="9"/>
  <c r="FS40" i="9"/>
  <c r="HI40" i="9"/>
  <c r="BN40" i="9"/>
  <c r="AR40" i="9"/>
  <c r="HJ40" i="9"/>
  <c r="IJ40" i="9"/>
  <c r="HC40" i="9"/>
  <c r="EP40" i="9"/>
  <c r="AK40" i="9"/>
  <c r="O40" i="9"/>
  <c r="JF40" i="9"/>
  <c r="FY40" i="9"/>
  <c r="FD40" i="9"/>
  <c r="GX40" i="9"/>
  <c r="BK40" i="9"/>
  <c r="FO40" i="9"/>
  <c r="HZ34" i="9"/>
  <c r="HV40" i="9"/>
  <c r="EW40" i="9"/>
  <c r="DB34" i="9"/>
  <c r="BE34" i="9"/>
  <c r="GO34" i="9"/>
  <c r="HW34" i="9"/>
  <c r="BM34" i="9"/>
  <c r="GC34" i="9"/>
  <c r="W40" i="9"/>
  <c r="BD40" i="9"/>
  <c r="M34" i="9"/>
  <c r="CE34" i="9"/>
  <c r="GW34" i="9"/>
  <c r="IZ40" i="9"/>
  <c r="JE40" i="9"/>
  <c r="FN40" i="9"/>
  <c r="FV40" i="9"/>
  <c r="V34" i="9"/>
  <c r="GF34" i="9"/>
  <c r="GN34" i="9"/>
  <c r="IX34" i="9"/>
  <c r="ET33" i="9"/>
  <c r="GH33" i="9"/>
  <c r="HO34" i="9"/>
  <c r="CU34" i="9"/>
  <c r="IR34" i="9"/>
  <c r="GN33" i="9"/>
  <c r="BD33" i="9"/>
  <c r="FY33" i="9"/>
  <c r="IT33" i="9"/>
  <c r="DD33" i="9"/>
  <c r="EE33" i="9"/>
  <c r="V40" i="9"/>
  <c r="IQ40" i="9"/>
  <c r="CN40" i="9"/>
  <c r="FV34" i="9"/>
  <c r="AX34" i="9"/>
  <c r="IC34" i="9"/>
  <c r="EY34" i="9"/>
  <c r="T33" i="9"/>
  <c r="CI40" i="9"/>
  <c r="FG33" i="9"/>
  <c r="HK33" i="9"/>
  <c r="DK33" i="9"/>
  <c r="GO33" i="9"/>
  <c r="GT40" i="9"/>
  <c r="AH40" i="9"/>
  <c r="FE40" i="9"/>
  <c r="GI40" i="9"/>
  <c r="AE40" i="9"/>
  <c r="AZ40" i="9"/>
  <c r="AY40" i="9"/>
  <c r="X40" i="9"/>
  <c r="DP40" i="9"/>
  <c r="CZ40" i="9"/>
  <c r="DD40" i="9"/>
  <c r="IX40" i="9"/>
  <c r="HD40" i="9"/>
  <c r="DI40" i="9"/>
  <c r="IR40" i="9"/>
  <c r="EC40" i="9"/>
  <c r="T34" i="9"/>
  <c r="HJ34" i="9"/>
  <c r="DC34" i="9"/>
  <c r="FE34" i="9"/>
  <c r="EJ34" i="9"/>
  <c r="GT34" i="9"/>
  <c r="EM40" i="9"/>
  <c r="HQ40" i="9"/>
  <c r="HS40" i="9"/>
  <c r="BC40" i="9"/>
  <c r="DX40" i="9"/>
  <c r="AA40" i="9"/>
  <c r="GF40" i="9"/>
  <c r="DC40" i="9"/>
  <c r="HX40" i="9"/>
  <c r="FU40" i="9"/>
  <c r="HE40" i="9"/>
  <c r="GO40" i="9"/>
  <c r="DQ40" i="9"/>
  <c r="M40" i="9"/>
  <c r="GM40" i="9"/>
  <c r="AS40" i="9"/>
  <c r="AA34" i="9"/>
  <c r="FM34" i="9"/>
  <c r="BT34" i="9"/>
  <c r="FA34" i="9"/>
  <c r="HX34" i="9"/>
  <c r="FR34" i="9"/>
  <c r="U34" i="9"/>
  <c r="FH33" i="9"/>
  <c r="GM33" i="9"/>
  <c r="ID33" i="9"/>
  <c r="IQ33" i="9"/>
  <c r="FA33" i="9"/>
  <c r="CV40" i="9"/>
  <c r="CP40" i="9"/>
  <c r="FT34" i="9"/>
  <c r="HH34" i="9"/>
  <c r="HD34" i="9"/>
  <c r="EL34" i="9"/>
  <c r="AP34" i="9"/>
  <c r="DR34" i="9"/>
  <c r="HP34" i="9"/>
  <c r="BK34" i="9"/>
  <c r="HA34" i="9"/>
  <c r="HE34" i="9"/>
  <c r="AD34" i="9"/>
  <c r="CG34" i="9"/>
  <c r="DW34" i="9"/>
  <c r="CZ34" i="9"/>
  <c r="EM34" i="9"/>
  <c r="W34" i="9"/>
  <c r="IZ34" i="9"/>
  <c r="DX34" i="9"/>
  <c r="Q34" i="9"/>
  <c r="FK34" i="9"/>
  <c r="CM34" i="9"/>
  <c r="GQ34" i="9"/>
  <c r="HL34" i="9"/>
  <c r="IU34" i="9"/>
  <c r="HC34" i="9"/>
  <c r="GP34" i="9"/>
  <c r="GJ34" i="9"/>
  <c r="DG34" i="9"/>
  <c r="AO34" i="9"/>
  <c r="DA34" i="9"/>
  <c r="IK34" i="9"/>
  <c r="CS34" i="9"/>
  <c r="DY34" i="9"/>
  <c r="CI34" i="9"/>
  <c r="AH34" i="9"/>
  <c r="DD34" i="9"/>
  <c r="EQ34" i="9"/>
  <c r="EF34" i="9"/>
  <c r="GG34" i="9"/>
  <c r="JB34" i="9"/>
  <c r="AS34" i="9"/>
  <c r="GX34" i="9"/>
  <c r="HB34" i="9"/>
  <c r="GU34" i="9"/>
  <c r="IE34" i="9"/>
  <c r="JA34" i="9"/>
  <c r="ES34" i="9"/>
  <c r="AB34" i="9"/>
  <c r="HI34" i="9"/>
  <c r="DK34" i="9"/>
  <c r="IC33" i="9"/>
  <c r="EX33" i="9"/>
  <c r="HZ33" i="9"/>
  <c r="FD33" i="9"/>
  <c r="DX33" i="9"/>
  <c r="BR33" i="9"/>
  <c r="EY33" i="9"/>
  <c r="FS33" i="9"/>
  <c r="BT33" i="9"/>
  <c r="FE33" i="9"/>
  <c r="CA40" i="9"/>
  <c r="U40" i="9"/>
  <c r="GW40" i="9"/>
  <c r="GU40" i="9"/>
  <c r="T40" i="9"/>
  <c r="FN34" i="9"/>
  <c r="DU34" i="9"/>
  <c r="DN34" i="9"/>
  <c r="IF34" i="9"/>
  <c r="DO33" i="9"/>
  <c r="FT33" i="9"/>
  <c r="AW33" i="9"/>
  <c r="CH33" i="9"/>
  <c r="HD33" i="9"/>
  <c r="AO33" i="9"/>
  <c r="AH33" i="9"/>
  <c r="AR33" i="9"/>
  <c r="EC33" i="9"/>
  <c r="BC33" i="9"/>
  <c r="CS40" i="9"/>
  <c r="AJ40" i="9"/>
  <c r="AE34" i="9"/>
  <c r="BX34" i="9"/>
  <c r="EW34" i="9"/>
  <c r="W33" i="9"/>
  <c r="P33" i="9"/>
  <c r="BM33" i="9"/>
  <c r="DR33" i="9"/>
  <c r="FF33" i="9"/>
  <c r="AX33" i="9"/>
  <c r="FR33" i="9"/>
  <c r="DG40" i="9"/>
  <c r="ES40" i="9"/>
  <c r="CE40" i="9"/>
  <c r="CF40" i="9"/>
  <c r="GQ40" i="9"/>
  <c r="BZ40" i="9"/>
  <c r="FT40" i="9"/>
  <c r="HZ40" i="9"/>
  <c r="BS34" i="9"/>
  <c r="CL34" i="9"/>
  <c r="ER34" i="9"/>
  <c r="FF34" i="9"/>
  <c r="N34" i="9"/>
  <c r="IJ34" i="9"/>
  <c r="DO34" i="9"/>
  <c r="AK34" i="9"/>
  <c r="CA34" i="9"/>
  <c r="GB34" i="9"/>
  <c r="ED34" i="9"/>
  <c r="HL40" i="9"/>
  <c r="IN40" i="9"/>
  <c r="BM40" i="9"/>
  <c r="DH40" i="9"/>
  <c r="ED40" i="9"/>
  <c r="HO40" i="9"/>
  <c r="IY40" i="9"/>
  <c r="GV34" i="9"/>
  <c r="FZ34" i="9"/>
  <c r="IN34" i="9"/>
  <c r="DP34" i="9"/>
  <c r="BF34" i="9"/>
  <c r="AY34" i="9"/>
  <c r="ET34" i="9"/>
  <c r="GQ33" i="9"/>
  <c r="BK33" i="9"/>
  <c r="IF33" i="9"/>
  <c r="DP33" i="9"/>
  <c r="EJ33" i="9"/>
  <c r="M33" i="9"/>
  <c r="HB33" i="9"/>
  <c r="IE33" i="9"/>
  <c r="ES33" i="9"/>
  <c r="FN33" i="9"/>
  <c r="HC33" i="9"/>
  <c r="HS33" i="9"/>
  <c r="EF33" i="9"/>
  <c r="JE33" i="9"/>
  <c r="IX33" i="9"/>
  <c r="JG33" i="9"/>
  <c r="HO33" i="9"/>
  <c r="IG33" i="9"/>
  <c r="CL33" i="9"/>
  <c r="JI33" i="9"/>
  <c r="ER33" i="9"/>
  <c r="HW33" i="9"/>
  <c r="AC33" i="9"/>
  <c r="EP33" i="9"/>
  <c r="BJ33" i="9"/>
  <c r="AZ33" i="9"/>
  <c r="AQ33" i="9"/>
  <c r="IU33" i="9"/>
  <c r="FO33" i="9"/>
  <c r="BQ33" i="9"/>
  <c r="IZ33" i="9"/>
  <c r="HE33" i="9"/>
  <c r="AD33" i="9"/>
  <c r="CF33" i="9"/>
  <c r="FU33" i="9"/>
  <c r="DA33" i="9"/>
  <c r="IS33" i="9"/>
  <c r="BL33" i="9"/>
  <c r="EQ33" i="9"/>
  <c r="GT33" i="9"/>
  <c r="JB33" i="9"/>
  <c r="EI33" i="9"/>
  <c r="BU33" i="9"/>
  <c r="DG33" i="9"/>
  <c r="HL33" i="9"/>
  <c r="GA33" i="9"/>
  <c r="BS33" i="9"/>
  <c r="GP33" i="9"/>
  <c r="DU33" i="9"/>
  <c r="EB33" i="9"/>
  <c r="ED33" i="9"/>
  <c r="CV33" i="9"/>
  <c r="CU33" i="9"/>
  <c r="AP33" i="9"/>
  <c r="DQ33" i="9"/>
  <c r="CI33" i="9"/>
  <c r="AE33" i="9"/>
  <c r="JH33" i="9"/>
  <c r="GI33" i="9"/>
  <c r="CG33" i="9"/>
  <c r="BZ33" i="9"/>
  <c r="HH33" i="9"/>
  <c r="BY33" i="9"/>
  <c r="N33" i="9"/>
  <c r="BG33" i="9"/>
  <c r="FL33" i="9"/>
  <c r="BE33" i="9"/>
  <c r="AA33" i="9"/>
  <c r="AL33" i="9"/>
  <c r="GB33" i="9"/>
  <c r="HR33" i="9"/>
  <c r="Q33" i="9"/>
  <c r="HA33" i="9"/>
  <c r="DI33" i="9"/>
  <c r="X33" i="9"/>
  <c r="FM33" i="9"/>
  <c r="GG33" i="9"/>
  <c r="O33" i="9"/>
  <c r="IL33" i="9"/>
  <c r="EK33" i="9"/>
  <c r="HQ33" i="9"/>
  <c r="CA33" i="9"/>
  <c r="EW33" i="9"/>
  <c r="IK33" i="9"/>
  <c r="JF33" i="9"/>
  <c r="AV33" i="9"/>
  <c r="V33" i="9"/>
  <c r="DH33" i="9"/>
  <c r="GC33" i="9"/>
  <c r="EY40" i="9"/>
  <c r="CH40" i="9"/>
  <c r="CU40" i="9"/>
  <c r="FL40" i="9"/>
  <c r="AO40" i="9"/>
  <c r="DJ40" i="9"/>
  <c r="FA40" i="9"/>
  <c r="HB40" i="9"/>
  <c r="EB40" i="9"/>
  <c r="CG40" i="9"/>
  <c r="BT40" i="9"/>
  <c r="GV40" i="9"/>
  <c r="CB40" i="9"/>
  <c r="EL40" i="9"/>
  <c r="EQ40" i="9"/>
  <c r="GH40" i="9"/>
  <c r="HP40" i="9"/>
  <c r="BL40" i="9"/>
  <c r="BQ40" i="9"/>
  <c r="CW40" i="9"/>
  <c r="IG40" i="9"/>
  <c r="FF40" i="9"/>
  <c r="DK40" i="9"/>
  <c r="ET40" i="9"/>
  <c r="GA40" i="9"/>
  <c r="DB40" i="9"/>
  <c r="FM40" i="9"/>
  <c r="FH40" i="9"/>
  <c r="GB40" i="9"/>
  <c r="BS40" i="9"/>
  <c r="EI40" i="9"/>
  <c r="ER40" i="9"/>
  <c r="DW40" i="9"/>
  <c r="DA40" i="9"/>
  <c r="EZ40" i="9"/>
  <c r="IE40" i="9"/>
  <c r="IG34" i="9"/>
  <c r="FH34" i="9"/>
  <c r="BG34" i="9"/>
  <c r="IL34" i="9"/>
  <c r="AL34" i="9"/>
  <c r="ID34" i="9"/>
  <c r="AQ34" i="9"/>
  <c r="GI34" i="9"/>
  <c r="CT34" i="9"/>
  <c r="GM34" i="9"/>
  <c r="DV34" i="9"/>
  <c r="CP34" i="9"/>
  <c r="EC34" i="9"/>
  <c r="O34" i="9"/>
  <c r="IS34" i="9"/>
  <c r="X34" i="9"/>
  <c r="EZ34" i="9"/>
  <c r="AZ34" i="9"/>
  <c r="FY34" i="9"/>
  <c r="IY34" i="9"/>
  <c r="CW34" i="9"/>
  <c r="BN34" i="9"/>
  <c r="DH34" i="9"/>
  <c r="FS34" i="9"/>
  <c r="FD34" i="9"/>
  <c r="HY34" i="9"/>
  <c r="BJ34" i="9"/>
  <c r="FU34" i="9"/>
  <c r="IQ34" i="9"/>
  <c r="BR34" i="9"/>
  <c r="EI34" i="9"/>
  <c r="BL34" i="9"/>
  <c r="CO40" i="9"/>
  <c r="BU40" i="9"/>
  <c r="DV40" i="9"/>
  <c r="FK40" i="9"/>
  <c r="JH40" i="9"/>
  <c r="GN40" i="9"/>
  <c r="EJ40" i="9"/>
  <c r="BR40" i="9"/>
  <c r="IC40" i="9"/>
  <c r="AD40" i="9"/>
  <c r="GG40" i="9"/>
  <c r="AL40" i="9"/>
  <c r="N40" i="9"/>
  <c r="IT40" i="9"/>
  <c r="EE40" i="9"/>
  <c r="IM40" i="9"/>
  <c r="ID40" i="9"/>
  <c r="EF40" i="9"/>
  <c r="JG40" i="9"/>
  <c r="Q40" i="9"/>
  <c r="CM40" i="9"/>
  <c r="GC40" i="9"/>
  <c r="JA40" i="9"/>
  <c r="AQ40" i="9"/>
  <c r="HW40" i="9"/>
  <c r="BX40" i="9"/>
  <c r="GJ40" i="9"/>
  <c r="JI40" i="9"/>
  <c r="DU40" i="9"/>
  <c r="AV40" i="9"/>
  <c r="GP40" i="9"/>
  <c r="DN40" i="9"/>
  <c r="AX40" i="9"/>
  <c r="FZ40" i="9"/>
  <c r="IK40" i="9"/>
  <c r="HV34" i="9"/>
  <c r="HS34" i="9"/>
  <c r="IT34" i="9"/>
  <c r="JG34" i="9"/>
  <c r="EP34" i="9"/>
  <c r="FO34" i="9"/>
  <c r="GA34" i="9"/>
  <c r="FG34" i="9"/>
  <c r="BY34" i="9"/>
  <c r="AW34" i="9"/>
  <c r="DQ34" i="9"/>
  <c r="AC34" i="9"/>
  <c r="HR34" i="9"/>
  <c r="CO34" i="9"/>
  <c r="AJ34" i="9"/>
  <c r="JF34" i="9"/>
  <c r="JE34" i="9"/>
  <c r="CB34" i="9"/>
  <c r="CV34" i="9"/>
  <c r="AI34" i="9"/>
  <c r="BZ34" i="9"/>
  <c r="EX34" i="9"/>
  <c r="DJ34" i="9"/>
  <c r="JH34" i="9"/>
  <c r="EL33" i="9"/>
  <c r="CP33" i="9"/>
  <c r="BX33" i="9"/>
  <c r="CT33" i="9"/>
  <c r="GW33" i="9"/>
  <c r="CW33" i="9"/>
  <c r="EZ33" i="9"/>
  <c r="HJ33" i="9"/>
  <c r="IJ33" i="9"/>
  <c r="HV33" i="9"/>
  <c r="CO33" i="9"/>
  <c r="DC33" i="9"/>
  <c r="AY33" i="9"/>
  <c r="HX33" i="9"/>
  <c r="CS33" i="9"/>
  <c r="BN33" i="9"/>
  <c r="CN33" i="9"/>
  <c r="FV33" i="9"/>
  <c r="AK33" i="9"/>
  <c r="AB33" i="9"/>
  <c r="GX33" i="9"/>
  <c r="DY33" i="9"/>
  <c r="U33" i="9"/>
  <c r="GF33" i="9"/>
  <c r="CE33" i="9"/>
  <c r="CM33" i="9"/>
  <c r="IY33" i="9"/>
  <c r="AJ33" i="9"/>
  <c r="HY33" i="9"/>
  <c r="DN33" i="9"/>
  <c r="DJ33" i="9"/>
  <c r="IN33" i="9"/>
  <c r="AI33" i="9"/>
  <c r="DV33" i="9"/>
  <c r="HI33" i="9"/>
  <c r="FK33" i="9"/>
  <c r="EM33" i="9"/>
  <c r="HP33" i="9"/>
  <c r="FZ33" i="9"/>
  <c r="JA33" i="9"/>
  <c r="IM33" i="9"/>
  <c r="GU33" i="9"/>
  <c r="CZ33" i="9"/>
  <c r="DB33" i="9"/>
  <c r="GV33" i="9"/>
  <c r="IR33" i="9"/>
  <c r="BJ40" i="9"/>
  <c r="CL40" i="9"/>
  <c r="P40" i="9"/>
  <c r="CT40" i="9"/>
  <c r="BF40" i="9"/>
  <c r="EX40" i="9"/>
  <c r="IS40" i="9"/>
  <c r="EK40" i="9"/>
  <c r="HK40" i="9"/>
  <c r="AW40" i="9"/>
  <c r="BG40" i="9"/>
  <c r="HY40" i="9"/>
  <c r="HQ34" i="9"/>
  <c r="GH34" i="9"/>
  <c r="BU34" i="9"/>
  <c r="IM34" i="9"/>
  <c r="BD34" i="9"/>
  <c r="EE34" i="9"/>
  <c r="EB34" i="9"/>
  <c r="AS33" i="9"/>
  <c r="GJ33" i="9"/>
  <c r="BF33" i="9"/>
  <c r="CB33" i="9"/>
  <c r="P34" i="9"/>
  <c r="EK34" i="9"/>
  <c r="BC34" i="9"/>
  <c r="AR34" i="9"/>
  <c r="DI34" i="9"/>
  <c r="BE40" i="9"/>
  <c r="JB40" i="9"/>
  <c r="HH40" i="9"/>
  <c r="BY40" i="9"/>
  <c r="FR40" i="9"/>
  <c r="HA40" i="9"/>
  <c r="DR40" i="9"/>
  <c r="IF40" i="9"/>
  <c r="AI40" i="9"/>
  <c r="DO40" i="9"/>
  <c r="IU40" i="9"/>
  <c r="DY40" i="9"/>
  <c r="FL34" i="9"/>
  <c r="AV34" i="9"/>
  <c r="CN34" i="9"/>
  <c r="JI34" i="9"/>
  <c r="CH34" i="9"/>
  <c r="BQ34" i="9"/>
  <c r="HK34" i="9"/>
  <c r="F35" i="9"/>
  <c r="J35" i="9" s="1"/>
  <c r="K35" i="9" s="1"/>
  <c r="L35" i="9" s="1"/>
  <c r="G35" i="9" l="1"/>
  <c r="F36" i="9" s="1"/>
  <c r="J36" i="9" s="1"/>
  <c r="K36" i="9" s="1"/>
  <c r="L36" i="9" s="1"/>
  <c r="DC35" i="9" l="1"/>
  <c r="EZ35" i="9"/>
  <c r="FE35" i="9"/>
  <c r="ID35" i="9"/>
  <c r="GT35" i="9"/>
  <c r="BQ35" i="9"/>
  <c r="EY35" i="9"/>
  <c r="AY35" i="9"/>
  <c r="BG35" i="9"/>
  <c r="CE35" i="9"/>
  <c r="IM35" i="9"/>
  <c r="T35" i="9"/>
  <c r="DH35" i="9"/>
  <c r="HI35" i="9"/>
  <c r="DX35" i="9"/>
  <c r="ER35" i="9"/>
  <c r="BY35" i="9"/>
  <c r="IR35" i="9"/>
  <c r="AV35" i="9"/>
  <c r="EQ35" i="9"/>
  <c r="GV35" i="9"/>
  <c r="BK35" i="9"/>
  <c r="IK35" i="9"/>
  <c r="AX35" i="9"/>
  <c r="FN35" i="9"/>
  <c r="DN35" i="9"/>
  <c r="CZ35" i="9"/>
  <c r="JH35" i="9"/>
  <c r="IC35" i="9"/>
  <c r="HB35" i="9"/>
  <c r="HQ35" i="9"/>
  <c r="CB35" i="9"/>
  <c r="AO35" i="9"/>
  <c r="AC35" i="9"/>
  <c r="CO35" i="9"/>
  <c r="GN35" i="9"/>
  <c r="DB35" i="9"/>
  <c r="JE35" i="9"/>
  <c r="FD35" i="9"/>
  <c r="GH35" i="9"/>
  <c r="U35" i="9"/>
  <c r="CT35" i="9"/>
  <c r="GO35" i="9"/>
  <c r="CP35" i="9"/>
  <c r="IN35" i="9"/>
  <c r="JA35" i="9"/>
  <c r="HK35" i="9"/>
  <c r="AD35" i="9"/>
  <c r="HX35" i="9"/>
  <c r="IT35" i="9"/>
  <c r="DD35" i="9"/>
  <c r="FT35" i="9"/>
  <c r="GA35" i="9"/>
  <c r="EJ35" i="9"/>
  <c r="EP35" i="9"/>
  <c r="EW35" i="9"/>
  <c r="EE35" i="9"/>
  <c r="CN35" i="9"/>
  <c r="IF35" i="9"/>
  <c r="N35" i="9"/>
  <c r="FR35" i="9"/>
  <c r="FH35" i="9"/>
  <c r="HJ35" i="9"/>
  <c r="EM35" i="9"/>
  <c r="HZ35" i="9"/>
  <c r="BS35" i="9"/>
  <c r="GG35" i="9"/>
  <c r="ET35" i="9"/>
  <c r="AI35" i="9"/>
  <c r="AK35" i="9"/>
  <c r="DK35" i="9"/>
  <c r="FS35" i="9"/>
  <c r="IQ35" i="9"/>
  <c r="IZ35" i="9"/>
  <c r="Q35" i="9"/>
  <c r="HR35" i="9"/>
  <c r="BL35" i="9"/>
  <c r="EK35" i="9"/>
  <c r="GI35" i="9"/>
  <c r="W35" i="9"/>
  <c r="HP35" i="9"/>
  <c r="AH35" i="9"/>
  <c r="DG35" i="9"/>
  <c r="EF35" i="9"/>
  <c r="ES35" i="9"/>
  <c r="CA35" i="9"/>
  <c r="DQ35" i="9"/>
  <c r="AL35" i="9"/>
  <c r="DR35" i="9"/>
  <c r="GP35" i="9"/>
  <c r="EI35" i="9"/>
  <c r="BC35" i="9"/>
  <c r="BM35" i="9"/>
  <c r="BR35" i="9"/>
  <c r="BU35" i="9"/>
  <c r="EB35" i="9"/>
  <c r="BN35" i="9"/>
  <c r="GQ35" i="9"/>
  <c r="IE35" i="9"/>
  <c r="CS35" i="9"/>
  <c r="X35" i="9"/>
  <c r="GW35" i="9"/>
  <c r="IU35" i="9"/>
  <c r="BT35" i="9"/>
  <c r="AS35" i="9"/>
  <c r="HC35" i="9"/>
  <c r="FV35" i="9"/>
  <c r="FA35" i="9"/>
  <c r="BZ35" i="9"/>
  <c r="HD35" i="9"/>
  <c r="FY35" i="9"/>
  <c r="HA35" i="9"/>
  <c r="CV35" i="9"/>
  <c r="FK35" i="9"/>
  <c r="AB35" i="9"/>
  <c r="HV35" i="9"/>
  <c r="DA35" i="9"/>
  <c r="CU35" i="9"/>
  <c r="FO35" i="9"/>
  <c r="HW35" i="9"/>
  <c r="EC35" i="9"/>
  <c r="GM35" i="9"/>
  <c r="O35" i="9"/>
  <c r="CF35" i="9"/>
  <c r="IY35" i="9"/>
  <c r="DW35" i="9"/>
  <c r="HH35" i="9"/>
  <c r="IG35" i="9"/>
  <c r="IX35" i="9"/>
  <c r="M35" i="9"/>
  <c r="CM35" i="9"/>
  <c r="AZ35" i="9"/>
  <c r="HS35" i="9"/>
  <c r="CI35" i="9"/>
  <c r="EL35" i="9"/>
  <c r="GF35" i="9"/>
  <c r="JB35" i="9"/>
  <c r="FF35" i="9"/>
  <c r="HL35" i="9"/>
  <c r="ED35" i="9"/>
  <c r="GB35" i="9"/>
  <c r="AE35" i="9"/>
  <c r="CH35" i="9"/>
  <c r="AR35" i="9"/>
  <c r="DY35" i="9"/>
  <c r="FL35" i="9"/>
  <c r="V35" i="9"/>
  <c r="BJ35" i="9"/>
  <c r="CL35" i="9"/>
  <c r="IL35" i="9"/>
  <c r="BX35" i="9"/>
  <c r="IS35" i="9"/>
  <c r="DV35" i="9"/>
  <c r="FU35" i="9"/>
  <c r="FZ35" i="9"/>
  <c r="HO35" i="9"/>
  <c r="DI35" i="9"/>
  <c r="GX35" i="9"/>
  <c r="AA35" i="9"/>
  <c r="AJ35" i="9"/>
  <c r="AQ35" i="9"/>
  <c r="P35" i="9"/>
  <c r="DO35" i="9"/>
  <c r="JG35" i="9"/>
  <c r="EX35" i="9"/>
  <c r="BD35" i="9"/>
  <c r="BE35" i="9"/>
  <c r="GU35" i="9"/>
  <c r="HY35" i="9"/>
  <c r="JF35" i="9"/>
  <c r="JI35" i="9"/>
  <c r="IJ35" i="9"/>
  <c r="FM35" i="9"/>
  <c r="DJ35" i="9"/>
  <c r="HE35" i="9"/>
  <c r="DU35" i="9"/>
  <c r="BF35" i="9"/>
  <c r="CG35" i="9"/>
  <c r="GC35" i="9"/>
  <c r="DP35" i="9"/>
  <c r="GJ35" i="9"/>
  <c r="FG35" i="9"/>
  <c r="CW35" i="9"/>
  <c r="AP35" i="9"/>
  <c r="AW35" i="9"/>
  <c r="G36" i="9"/>
  <c r="F37" i="9" s="1"/>
  <c r="J37" i="9" s="1"/>
  <c r="K37" i="9" s="1"/>
  <c r="L37" i="9" s="1"/>
  <c r="HK36" i="9" l="1"/>
  <c r="HC36" i="9"/>
  <c r="N36" i="9"/>
  <c r="EK36" i="9"/>
  <c r="DX36" i="9"/>
  <c r="DI36" i="9"/>
  <c r="AJ36" i="9"/>
  <c r="DC36" i="9"/>
  <c r="HW36" i="9"/>
  <c r="GF36" i="9"/>
  <c r="CI36" i="9"/>
  <c r="AO36" i="9"/>
  <c r="FL36" i="9"/>
  <c r="CA36" i="9"/>
  <c r="DU36" i="9"/>
  <c r="IE36" i="9"/>
  <c r="CG36" i="9"/>
  <c r="IC36" i="9"/>
  <c r="DA36" i="9"/>
  <c r="BY36" i="9"/>
  <c r="ES36" i="9"/>
  <c r="EB36" i="9"/>
  <c r="DH36" i="9"/>
  <c r="HO36" i="9"/>
  <c r="GG36" i="9"/>
  <c r="FO36" i="9"/>
  <c r="CM36" i="9"/>
  <c r="GN36" i="9"/>
  <c r="BJ36" i="9"/>
  <c r="FR36" i="9"/>
  <c r="BM36" i="9"/>
  <c r="GH36" i="9"/>
  <c r="CE36" i="9"/>
  <c r="HA36" i="9"/>
  <c r="CO36" i="9"/>
  <c r="BD36" i="9"/>
  <c r="HR36" i="9"/>
  <c r="CL36" i="9"/>
  <c r="GC36" i="9"/>
  <c r="AR36" i="9"/>
  <c r="IT36" i="9"/>
  <c r="EX36" i="9"/>
  <c r="ID36" i="9"/>
  <c r="IJ36" i="9"/>
  <c r="EP36" i="9"/>
  <c r="FZ36" i="9"/>
  <c r="X36" i="9"/>
  <c r="AZ36" i="9"/>
  <c r="AH36" i="9"/>
  <c r="T36" i="9"/>
  <c r="GI36" i="9"/>
  <c r="EL36" i="9"/>
  <c r="GX36" i="9"/>
  <c r="IK36" i="9"/>
  <c r="O36" i="9"/>
  <c r="EW36" i="9"/>
  <c r="FN36" i="9"/>
  <c r="FS36" i="9"/>
  <c r="CS36" i="9"/>
  <c r="FK36" i="9"/>
  <c r="DQ36" i="9"/>
  <c r="AC36" i="9"/>
  <c r="AI36" i="9"/>
  <c r="CN36" i="9"/>
  <c r="EE36" i="9"/>
  <c r="HS36" i="9"/>
  <c r="JH36" i="9"/>
  <c r="FD36" i="9"/>
  <c r="GU36" i="9"/>
  <c r="FU36" i="9"/>
  <c r="EF36" i="9"/>
  <c r="DP36" i="9"/>
  <c r="FH36" i="9"/>
  <c r="JG36" i="9"/>
  <c r="BZ36" i="9"/>
  <c r="IR36" i="9"/>
  <c r="GM36" i="9"/>
  <c r="CV36" i="9"/>
  <c r="EI36" i="9"/>
  <c r="HE36" i="9"/>
  <c r="BS36" i="9"/>
  <c r="ET36" i="9"/>
  <c r="CH36" i="9"/>
  <c r="DR36" i="9"/>
  <c r="CT36" i="9"/>
  <c r="AE36" i="9"/>
  <c r="FT36" i="9"/>
  <c r="BC36" i="9"/>
  <c r="GA36" i="9"/>
  <c r="AW36" i="9"/>
  <c r="FA36" i="9"/>
  <c r="HJ36" i="9"/>
  <c r="HB36" i="9"/>
  <c r="HV36" i="9"/>
  <c r="GT36" i="9"/>
  <c r="DB36" i="9"/>
  <c r="ED36" i="9"/>
  <c r="GB36" i="9"/>
  <c r="DG36" i="9"/>
  <c r="P36" i="9"/>
  <c r="CP36" i="9"/>
  <c r="EZ36" i="9"/>
  <c r="JF36" i="9"/>
  <c r="BX36" i="9"/>
  <c r="GP36" i="9"/>
  <c r="CF36" i="9"/>
  <c r="FE36" i="9"/>
  <c r="AP36" i="9"/>
  <c r="AQ36" i="9"/>
  <c r="ER36" i="9"/>
  <c r="BE36" i="9"/>
  <c r="BR36" i="9"/>
  <c r="FV36" i="9"/>
  <c r="AA36" i="9"/>
  <c r="DN36" i="9"/>
  <c r="IU36" i="9"/>
  <c r="AK36" i="9"/>
  <c r="HQ36" i="9"/>
  <c r="FG36" i="9"/>
  <c r="AX36" i="9"/>
  <c r="JE36" i="9"/>
  <c r="EJ36" i="9"/>
  <c r="CW36" i="9"/>
  <c r="JI36" i="9"/>
  <c r="IF36" i="9"/>
  <c r="DK36" i="9"/>
  <c r="U36" i="9"/>
  <c r="EY36" i="9"/>
  <c r="HH36" i="9"/>
  <c r="BG36" i="9"/>
  <c r="DW36" i="9"/>
  <c r="HY36" i="9"/>
  <c r="CB36" i="9"/>
  <c r="BL36" i="9"/>
  <c r="IL36" i="9"/>
  <c r="Q36" i="9"/>
  <c r="HP36" i="9"/>
  <c r="HI36" i="9"/>
  <c r="IX36" i="9"/>
  <c r="BT36" i="9"/>
  <c r="DO36" i="9"/>
  <c r="AB36" i="9"/>
  <c r="HZ36" i="9"/>
  <c r="AY36" i="9"/>
  <c r="HD36" i="9"/>
  <c r="IZ36" i="9"/>
  <c r="JB36" i="9"/>
  <c r="BF36" i="9"/>
  <c r="IQ36" i="9"/>
  <c r="W36" i="9"/>
  <c r="V36" i="9"/>
  <c r="EC36" i="9"/>
  <c r="AD36" i="9"/>
  <c r="AV36" i="9"/>
  <c r="JA36" i="9"/>
  <c r="GJ36" i="9"/>
  <c r="DJ36" i="9"/>
  <c r="HL36" i="9"/>
  <c r="DV36" i="9"/>
  <c r="EM36" i="9"/>
  <c r="BN36" i="9"/>
  <c r="BU36" i="9"/>
  <c r="BQ36" i="9"/>
  <c r="EQ36" i="9"/>
  <c r="IM36" i="9"/>
  <c r="IY36" i="9"/>
  <c r="FF36" i="9"/>
  <c r="FM36" i="9"/>
  <c r="FY36" i="9"/>
  <c r="DY36" i="9"/>
  <c r="GW36" i="9"/>
  <c r="IN36" i="9"/>
  <c r="GO36" i="9"/>
  <c r="AS36" i="9"/>
  <c r="BK36" i="9"/>
  <c r="CZ36" i="9"/>
  <c r="CU36" i="9"/>
  <c r="DD36" i="9"/>
  <c r="HX36" i="9"/>
  <c r="M36" i="9"/>
  <c r="IS36" i="9"/>
  <c r="AL36" i="9"/>
  <c r="GV36" i="9"/>
  <c r="IG36" i="9"/>
  <c r="GQ36" i="9"/>
  <c r="G37" i="9"/>
  <c r="F38" i="9" s="1"/>
  <c r="J38" i="9" s="1"/>
  <c r="K38" i="9" s="1"/>
  <c r="L38" i="9" s="1"/>
  <c r="DJ37" i="9" l="1"/>
  <c r="FM37" i="9"/>
  <c r="BX37" i="9"/>
  <c r="ID37" i="9"/>
  <c r="AP37" i="9"/>
  <c r="DV37" i="9"/>
  <c r="BN37" i="9"/>
  <c r="BU37" i="9"/>
  <c r="IS37" i="9"/>
  <c r="AZ37" i="9"/>
  <c r="JG37" i="9"/>
  <c r="DR37" i="9"/>
  <c r="CM37" i="9"/>
  <c r="DU37" i="9"/>
  <c r="CL37" i="9"/>
  <c r="BM37" i="9"/>
  <c r="HL37" i="9"/>
  <c r="DH37" i="9"/>
  <c r="HR37" i="9"/>
  <c r="ED37" i="9"/>
  <c r="DG37" i="9"/>
  <c r="IN37" i="9"/>
  <c r="GO37" i="9"/>
  <c r="FS37" i="9"/>
  <c r="GJ37" i="9"/>
  <c r="GM37" i="9"/>
  <c r="EZ37" i="9"/>
  <c r="DO37" i="9"/>
  <c r="BC37" i="9"/>
  <c r="GQ37" i="9"/>
  <c r="DN37" i="9"/>
  <c r="HX37" i="9"/>
  <c r="HB37" i="9"/>
  <c r="IE37" i="9"/>
  <c r="EY37" i="9"/>
  <c r="FT37" i="9"/>
  <c r="CA37" i="9"/>
  <c r="DX37" i="9"/>
  <c r="EE37" i="9"/>
  <c r="EP37" i="9"/>
  <c r="HS37" i="9"/>
  <c r="BQ37" i="9"/>
  <c r="DY37" i="9"/>
  <c r="FZ37" i="9"/>
  <c r="AW37" i="9"/>
  <c r="AO37" i="9"/>
  <c r="T37" i="9"/>
  <c r="Q37" i="9"/>
  <c r="HH37" i="9"/>
  <c r="FR37" i="9"/>
  <c r="BR37" i="9"/>
  <c r="AI37" i="9"/>
  <c r="FA37" i="9"/>
  <c r="JE37" i="9"/>
  <c r="BZ37" i="9"/>
  <c r="GP37" i="9"/>
  <c r="DP37" i="9"/>
  <c r="DC37" i="9"/>
  <c r="CP37" i="9"/>
  <c r="AY37" i="9"/>
  <c r="BE37" i="9"/>
  <c r="EK37" i="9"/>
  <c r="GU37" i="9"/>
  <c r="IC37" i="9"/>
  <c r="CT37" i="9"/>
  <c r="AS37" i="9"/>
  <c r="GF37" i="9"/>
  <c r="AH37" i="9"/>
  <c r="EB37" i="9"/>
  <c r="HW37" i="9"/>
  <c r="BK37" i="9"/>
  <c r="EJ37" i="9"/>
  <c r="EF37" i="9"/>
  <c r="HP37" i="9"/>
  <c r="FK37" i="9"/>
  <c r="AX37" i="9"/>
  <c r="HZ37" i="9"/>
  <c r="AA37" i="9"/>
  <c r="CG37" i="9"/>
  <c r="FO37" i="9"/>
  <c r="IQ37" i="9"/>
  <c r="BG37" i="9"/>
  <c r="ER37" i="9"/>
  <c r="BJ37" i="9"/>
  <c r="IZ37" i="9"/>
  <c r="EC37" i="9"/>
  <c r="IG37" i="9"/>
  <c r="N37" i="9"/>
  <c r="IU37" i="9"/>
  <c r="DB37" i="9"/>
  <c r="IY37" i="9"/>
  <c r="IJ37" i="9"/>
  <c r="HO37" i="9"/>
  <c r="GX37" i="9"/>
  <c r="IM37" i="9"/>
  <c r="FU37" i="9"/>
  <c r="HA37" i="9"/>
  <c r="O37" i="9"/>
  <c r="BS37" i="9"/>
  <c r="FE37" i="9"/>
  <c r="IR37" i="9"/>
  <c r="JF37" i="9"/>
  <c r="HI37" i="9"/>
  <c r="EX37" i="9"/>
  <c r="GB37" i="9"/>
  <c r="ES37" i="9"/>
  <c r="U37" i="9"/>
  <c r="CS37" i="9"/>
  <c r="GV37" i="9"/>
  <c r="BL37" i="9"/>
  <c r="AR37" i="9"/>
  <c r="M37" i="9"/>
  <c r="FH37" i="9"/>
  <c r="GC37" i="9"/>
  <c r="GT37" i="9"/>
  <c r="AJ37" i="9"/>
  <c r="FY37" i="9"/>
  <c r="ET37" i="9"/>
  <c r="CI37" i="9"/>
  <c r="AV37" i="9"/>
  <c r="CB37" i="9"/>
  <c r="HY37" i="9"/>
  <c r="HQ37" i="9"/>
  <c r="CZ37" i="9"/>
  <c r="HJ37" i="9"/>
  <c r="AL37" i="9"/>
  <c r="BY37" i="9"/>
  <c r="DQ37" i="9"/>
  <c r="EM37" i="9"/>
  <c r="EI37" i="9"/>
  <c r="FV37" i="9"/>
  <c r="DI37" i="9"/>
  <c r="AE37" i="9"/>
  <c r="HV37" i="9"/>
  <c r="EQ37" i="9"/>
  <c r="FD37" i="9"/>
  <c r="AC37" i="9"/>
  <c r="V37" i="9"/>
  <c r="DW37" i="9"/>
  <c r="GW37" i="9"/>
  <c r="GG37" i="9"/>
  <c r="GI37" i="9"/>
  <c r="CW37" i="9"/>
  <c r="CO37" i="9"/>
  <c r="CE37" i="9"/>
  <c r="FL37" i="9"/>
  <c r="GN37" i="9"/>
  <c r="EL37" i="9"/>
  <c r="FF37" i="9"/>
  <c r="JA37" i="9"/>
  <c r="JH37" i="9"/>
  <c r="CN37" i="9"/>
  <c r="GA37" i="9"/>
  <c r="IL37" i="9"/>
  <c r="IF37" i="9"/>
  <c r="DA37" i="9"/>
  <c r="AB37" i="9"/>
  <c r="P37" i="9"/>
  <c r="JI37" i="9"/>
  <c r="JB37" i="9"/>
  <c r="FG37" i="9"/>
  <c r="BD37" i="9"/>
  <c r="CV37" i="9"/>
  <c r="X37" i="9"/>
  <c r="HD37" i="9"/>
  <c r="EW37" i="9"/>
  <c r="HE37" i="9"/>
  <c r="BT37" i="9"/>
  <c r="AQ37" i="9"/>
  <c r="GH37" i="9"/>
  <c r="CF37" i="9"/>
  <c r="CH37" i="9"/>
  <c r="IT37" i="9"/>
  <c r="FN37" i="9"/>
  <c r="W37" i="9"/>
  <c r="DD37" i="9"/>
  <c r="IK37" i="9"/>
  <c r="AK37" i="9"/>
  <c r="BF37" i="9"/>
  <c r="HK37" i="9"/>
  <c r="HC37" i="9"/>
  <c r="AD37" i="9"/>
  <c r="CU37" i="9"/>
  <c r="IX37" i="9"/>
  <c r="DK37" i="9"/>
  <c r="G38" i="9"/>
  <c r="F39" i="9" s="1"/>
  <c r="J39" i="9" s="1"/>
  <c r="K39" i="9" s="1"/>
  <c r="L39" i="9" s="1"/>
  <c r="BM38" i="9" l="1"/>
  <c r="EJ38" i="9"/>
  <c r="CL38" i="9"/>
  <c r="GJ38" i="9"/>
  <c r="FR38" i="9"/>
  <c r="FV38" i="9"/>
  <c r="HJ38" i="9"/>
  <c r="BN38" i="9"/>
  <c r="GQ38" i="9"/>
  <c r="IM38" i="9"/>
  <c r="FL38" i="9"/>
  <c r="IX38" i="9"/>
  <c r="DQ38" i="9"/>
  <c r="BE38" i="9"/>
  <c r="BJ38" i="9"/>
  <c r="AC38" i="9"/>
  <c r="DJ38" i="9"/>
  <c r="BU38" i="9"/>
  <c r="HQ38" i="9"/>
  <c r="CU38" i="9"/>
  <c r="EL38" i="9"/>
  <c r="AI38" i="9"/>
  <c r="EM38" i="9"/>
  <c r="EB38" i="9"/>
  <c r="ED38" i="9"/>
  <c r="EW38" i="9"/>
  <c r="JB38" i="9"/>
  <c r="GP38" i="9"/>
  <c r="AE38" i="9"/>
  <c r="AY38" i="9"/>
  <c r="JG38" i="9"/>
  <c r="AQ38" i="9"/>
  <c r="HW38" i="9"/>
  <c r="DR38" i="9"/>
  <c r="CI38" i="9"/>
  <c r="HH38" i="9"/>
  <c r="FF38" i="9"/>
  <c r="DI38" i="9"/>
  <c r="IG38" i="9"/>
  <c r="JE38" i="9"/>
  <c r="IS38" i="9"/>
  <c r="AJ38" i="9"/>
  <c r="DA38" i="9"/>
  <c r="FZ38" i="9"/>
  <c r="GF38" i="9"/>
  <c r="T38" i="9"/>
  <c r="BD38" i="9"/>
  <c r="EQ38" i="9"/>
  <c r="HB38" i="9"/>
  <c r="HE38" i="9"/>
  <c r="GH38" i="9"/>
  <c r="GI38" i="9"/>
  <c r="GN38" i="9"/>
  <c r="JI38" i="9"/>
  <c r="AO38" i="9"/>
  <c r="BX38" i="9"/>
  <c r="HP38" i="9"/>
  <c r="IZ38" i="9"/>
  <c r="AW38" i="9"/>
  <c r="DH38" i="9"/>
  <c r="AV38" i="9"/>
  <c r="HR38" i="9"/>
  <c r="EI38" i="9"/>
  <c r="DW38" i="9"/>
  <c r="HY38" i="9"/>
  <c r="CP38" i="9"/>
  <c r="HC38" i="9"/>
  <c r="IT38" i="9"/>
  <c r="JF38" i="9"/>
  <c r="BQ38" i="9"/>
  <c r="FT38" i="9"/>
  <c r="EE38" i="9"/>
  <c r="BY38" i="9"/>
  <c r="FA38" i="9"/>
  <c r="FM38" i="9"/>
  <c r="DO38" i="9"/>
  <c r="GV38" i="9"/>
  <c r="GC38" i="9"/>
  <c r="AP38" i="9"/>
  <c r="CS38" i="9"/>
  <c r="CG38" i="9"/>
  <c r="HZ38" i="9"/>
  <c r="CH38" i="9"/>
  <c r="IJ38" i="9"/>
  <c r="GB38" i="9"/>
  <c r="BC38" i="9"/>
  <c r="BZ38" i="9"/>
  <c r="FG38" i="9"/>
  <c r="CF38" i="9"/>
  <c r="G39" i="9"/>
  <c r="BR38" i="9"/>
  <c r="HD38" i="9"/>
  <c r="DG38" i="9"/>
  <c r="FU38" i="9"/>
  <c r="HI38" i="9"/>
  <c r="DN38" i="9"/>
  <c r="BT38" i="9"/>
  <c r="FN38" i="9"/>
  <c r="IN38" i="9"/>
  <c r="BS38" i="9"/>
  <c r="U38" i="9"/>
  <c r="CV38" i="9"/>
  <c r="ET38" i="9"/>
  <c r="JH38" i="9"/>
  <c r="IF38" i="9"/>
  <c r="O38" i="9"/>
  <c r="CW38" i="9"/>
  <c r="IE38" i="9"/>
  <c r="HA38" i="9"/>
  <c r="GO38" i="9"/>
  <c r="IL38" i="9"/>
  <c r="CT38" i="9"/>
  <c r="AD38" i="9"/>
  <c r="FO38" i="9"/>
  <c r="CA38" i="9"/>
  <c r="GT38" i="9"/>
  <c r="FE38" i="9"/>
  <c r="DB38" i="9"/>
  <c r="HS38" i="9"/>
  <c r="AH38" i="9"/>
  <c r="IQ38" i="9"/>
  <c r="ES38" i="9"/>
  <c r="GG38" i="9"/>
  <c r="IK38" i="9"/>
  <c r="IU38" i="9"/>
  <c r="EY38" i="9"/>
  <c r="FK38" i="9"/>
  <c r="EC38" i="9"/>
  <c r="HO38" i="9"/>
  <c r="DC38" i="9"/>
  <c r="X38" i="9"/>
  <c r="DU38" i="9"/>
  <c r="FY38" i="9"/>
  <c r="DP38" i="9"/>
  <c r="HL38" i="9"/>
  <c r="W38" i="9"/>
  <c r="N38" i="9"/>
  <c r="DX38" i="9"/>
  <c r="CO38" i="9"/>
  <c r="Q38" i="9"/>
  <c r="FS38" i="9"/>
  <c r="IR38" i="9"/>
  <c r="JA38" i="9"/>
  <c r="IY38" i="9"/>
  <c r="CZ38" i="9"/>
  <c r="CN38" i="9"/>
  <c r="CB38" i="9"/>
  <c r="BK38" i="9"/>
  <c r="EK38" i="9"/>
  <c r="AK38" i="9"/>
  <c r="FD38" i="9"/>
  <c r="ID38" i="9"/>
  <c r="EF38" i="9"/>
  <c r="DK38" i="9"/>
  <c r="DD38" i="9"/>
  <c r="AS38" i="9"/>
  <c r="ER38" i="9"/>
  <c r="FH38" i="9"/>
  <c r="AX38" i="9"/>
  <c r="HX38" i="9"/>
  <c r="V38" i="9"/>
  <c r="EP38" i="9"/>
  <c r="CE38" i="9"/>
  <c r="BF38" i="9"/>
  <c r="BG38" i="9"/>
  <c r="DV38" i="9"/>
  <c r="DY38" i="9"/>
  <c r="P38" i="9"/>
  <c r="M38" i="9"/>
  <c r="EZ38" i="9"/>
  <c r="HK38" i="9"/>
  <c r="AB38" i="9"/>
  <c r="AZ38" i="9"/>
  <c r="BL38" i="9"/>
  <c r="AA38" i="9"/>
  <c r="IC38" i="9"/>
  <c r="GU38" i="9"/>
  <c r="GX38" i="9"/>
  <c r="HV38" i="9"/>
  <c r="EX38" i="9"/>
  <c r="GW38" i="9"/>
  <c r="GM38" i="9"/>
  <c r="GA38" i="9"/>
  <c r="AL38" i="9"/>
  <c r="CM38" i="9"/>
  <c r="AR38" i="9"/>
  <c r="DG39" i="9" l="1"/>
  <c r="F41" i="9"/>
  <c r="J41" i="9" s="1"/>
  <c r="K41" i="9" s="1"/>
  <c r="L41" i="9" s="1"/>
  <c r="EZ39" i="9"/>
  <c r="ED39" i="9"/>
  <c r="EC39" i="9"/>
  <c r="CP39" i="9"/>
  <c r="BN39" i="9"/>
  <c r="FY39" i="9"/>
  <c r="CE39" i="9"/>
  <c r="IK39" i="9"/>
  <c r="BM39" i="9"/>
  <c r="GC39" i="9"/>
  <c r="GX39" i="9"/>
  <c r="HH39" i="9"/>
  <c r="CT39" i="9"/>
  <c r="GO39" i="9"/>
  <c r="GQ39" i="9"/>
  <c r="HJ39" i="9"/>
  <c r="BC39" i="9"/>
  <c r="EF39" i="9"/>
  <c r="GV39" i="9"/>
  <c r="DX39" i="9"/>
  <c r="CV39" i="9"/>
  <c r="EK39" i="9"/>
  <c r="AV39" i="9"/>
  <c r="AW39" i="9"/>
  <c r="HE39" i="9"/>
  <c r="GG39" i="9"/>
  <c r="AQ39" i="9"/>
  <c r="HZ39" i="9"/>
  <c r="FL39" i="9"/>
  <c r="EL39" i="9"/>
  <c r="AP39" i="9"/>
  <c r="IE39" i="9"/>
  <c r="HW39" i="9"/>
  <c r="IX39" i="9"/>
  <c r="P39" i="9"/>
  <c r="CF39" i="9"/>
  <c r="EE39" i="9"/>
  <c r="GF39" i="9"/>
  <c r="DB39" i="9"/>
  <c r="DK39" i="9"/>
  <c r="DI39" i="9"/>
  <c r="DN39" i="9"/>
  <c r="FA39" i="9"/>
  <c r="AB39" i="9"/>
  <c r="BY39" i="9"/>
  <c r="AA39" i="9"/>
  <c r="O39" i="9"/>
  <c r="CI39" i="9"/>
  <c r="FT39" i="9"/>
  <c r="IS39" i="9"/>
  <c r="CW39" i="9"/>
  <c r="FD39" i="9"/>
  <c r="BD39" i="9"/>
  <c r="T39" i="9"/>
  <c r="GH39" i="9"/>
  <c r="BJ39" i="9"/>
  <c r="FZ39" i="9"/>
  <c r="HY39" i="9"/>
  <c r="X39" i="9"/>
  <c r="HO39" i="9"/>
  <c r="EM39" i="9"/>
  <c r="AZ39" i="9"/>
  <c r="EB39" i="9"/>
  <c r="EY39" i="9"/>
  <c r="ET39" i="9"/>
  <c r="IY39" i="9"/>
  <c r="AK39" i="9"/>
  <c r="FM39" i="9"/>
  <c r="AR39" i="9"/>
  <c r="FO39" i="9"/>
  <c r="V39" i="9"/>
  <c r="EP39" i="9"/>
  <c r="HI39" i="9"/>
  <c r="CO39" i="9"/>
  <c r="IN39" i="9"/>
  <c r="HS39" i="9"/>
  <c r="CU39" i="9"/>
  <c r="EI39" i="9"/>
  <c r="BG39" i="9"/>
  <c r="DJ39" i="9"/>
  <c r="BK39" i="9"/>
  <c r="JE39" i="9"/>
  <c r="CS39" i="9"/>
  <c r="HV39" i="9"/>
  <c r="AO39" i="9"/>
  <c r="ES39" i="9"/>
  <c r="FS39" i="9"/>
  <c r="BE39" i="9"/>
  <c r="GN39" i="9"/>
  <c r="JA39" i="9"/>
  <c r="FR39" i="9"/>
  <c r="CZ39" i="9"/>
  <c r="JI39" i="9"/>
  <c r="U39" i="9"/>
  <c r="AL39" i="9"/>
  <c r="DP39" i="9"/>
  <c r="BL39" i="9"/>
  <c r="GW39" i="9"/>
  <c r="IR39" i="9"/>
  <c r="DD39" i="9"/>
  <c r="BX39" i="9"/>
  <c r="GJ39" i="9"/>
  <c r="EW39" i="9"/>
  <c r="BT39" i="9"/>
  <c r="HQ39" i="9"/>
  <c r="AE39" i="9"/>
  <c r="FV39" i="9"/>
  <c r="FN39" i="9"/>
  <c r="HX39" i="9"/>
  <c r="EJ39" i="9"/>
  <c r="GP39" i="9"/>
  <c r="AX39" i="9"/>
  <c r="FE39" i="9"/>
  <c r="DU39" i="9"/>
  <c r="GI39" i="9"/>
  <c r="BS39" i="9"/>
  <c r="CM39" i="9"/>
  <c r="AC39" i="9"/>
  <c r="DW39" i="9"/>
  <c r="FH39" i="9"/>
  <c r="HA39" i="9"/>
  <c r="IQ39" i="9"/>
  <c r="DO39" i="9"/>
  <c r="FK39" i="9"/>
  <c r="JB39" i="9"/>
  <c r="M39" i="9"/>
  <c r="JF39" i="9"/>
  <c r="FG39" i="9"/>
  <c r="AI39" i="9"/>
  <c r="DV39" i="9"/>
  <c r="HK39" i="9"/>
  <c r="BQ39" i="9"/>
  <c r="DY39" i="9"/>
  <c r="HB39" i="9"/>
  <c r="DR39" i="9"/>
  <c r="ER39" i="9"/>
  <c r="AH39" i="9"/>
  <c r="CN39" i="9"/>
  <c r="BR39" i="9"/>
  <c r="CB39" i="9"/>
  <c r="AY39" i="9"/>
  <c r="IF39" i="9"/>
  <c r="CL39" i="9"/>
  <c r="DC39" i="9"/>
  <c r="HP39" i="9"/>
  <c r="W39" i="9"/>
  <c r="FF39" i="9"/>
  <c r="JH39" i="9"/>
  <c r="HD39" i="9"/>
  <c r="IJ39" i="9"/>
  <c r="GA39" i="9"/>
  <c r="HR39" i="9"/>
  <c r="HL39" i="9"/>
  <c r="IC39" i="9"/>
  <c r="CG39" i="9"/>
  <c r="EX39" i="9"/>
  <c r="AJ39" i="9"/>
  <c r="BF39" i="9"/>
  <c r="GT39" i="9"/>
  <c r="DH39" i="9"/>
  <c r="Q39" i="9"/>
  <c r="AD39" i="9"/>
  <c r="ID39" i="9"/>
  <c r="IM39" i="9"/>
  <c r="BU39" i="9"/>
  <c r="BZ39" i="9"/>
  <c r="HC39" i="9"/>
  <c r="IG39" i="9"/>
  <c r="DQ39" i="9"/>
  <c r="GB39" i="9"/>
  <c r="CA39" i="9"/>
  <c r="IT39" i="9"/>
  <c r="IZ39" i="9"/>
  <c r="IU39" i="9"/>
  <c r="AS39" i="9"/>
  <c r="N39" i="9"/>
  <c r="EQ39" i="9"/>
  <c r="JG39" i="9"/>
  <c r="FU39" i="9"/>
  <c r="IL39" i="9"/>
  <c r="GM39" i="9"/>
  <c r="CH39" i="9"/>
  <c r="DA39" i="9"/>
  <c r="GU39" i="9"/>
  <c r="G41" i="9" l="1"/>
  <c r="F42" i="9" s="1"/>
  <c r="J42" i="9" s="1"/>
  <c r="K42" i="9" s="1"/>
  <c r="L42" i="9" s="1"/>
  <c r="FU41" i="9" l="1"/>
  <c r="AJ41" i="9"/>
  <c r="IZ41" i="9"/>
  <c r="GU41" i="9"/>
  <c r="IS41" i="9"/>
  <c r="BM41" i="9"/>
  <c r="IX41" i="9"/>
  <c r="EK41" i="9"/>
  <c r="HL41" i="9"/>
  <c r="FE41" i="9"/>
  <c r="FY41" i="9"/>
  <c r="CL41" i="9"/>
  <c r="AV41" i="9"/>
  <c r="V41" i="9"/>
  <c r="HC41" i="9"/>
  <c r="JF41" i="9"/>
  <c r="BG41" i="9"/>
  <c r="ET41" i="9"/>
  <c r="FS41" i="9"/>
  <c r="IU41" i="9"/>
  <c r="DA41" i="9"/>
  <c r="U41" i="9"/>
  <c r="GH41" i="9"/>
  <c r="JI41" i="9"/>
  <c r="BL41" i="9"/>
  <c r="HX41" i="9"/>
  <c r="IM41" i="9"/>
  <c r="IL41" i="9"/>
  <c r="IT41" i="9"/>
  <c r="AB41" i="9"/>
  <c r="CT41" i="9"/>
  <c r="EY41" i="9"/>
  <c r="IY41" i="9"/>
  <c r="DK41" i="9"/>
  <c r="CE41" i="9"/>
  <c r="DH41" i="9"/>
  <c r="EC41" i="9"/>
  <c r="FA41" i="9"/>
  <c r="DB41" i="9"/>
  <c r="HY41" i="9"/>
  <c r="BR41" i="9"/>
  <c r="ID41" i="9"/>
  <c r="DP41" i="9"/>
  <c r="M41" i="9"/>
  <c r="IG41" i="9"/>
  <c r="EZ41" i="9"/>
  <c r="EF41" i="9"/>
  <c r="BD41" i="9"/>
  <c r="EI41" i="9"/>
  <c r="FT41" i="9"/>
  <c r="BX41" i="9"/>
  <c r="CW41" i="9"/>
  <c r="DI41" i="9"/>
  <c r="X41" i="9"/>
  <c r="BZ41" i="9"/>
  <c r="GP41" i="9"/>
  <c r="CO41" i="9"/>
  <c r="EL41" i="9"/>
  <c r="AQ41" i="9"/>
  <c r="O41" i="9"/>
  <c r="DU41" i="9"/>
  <c r="GQ41" i="9"/>
  <c r="CB41" i="9"/>
  <c r="FV41" i="9"/>
  <c r="BJ41" i="9"/>
  <c r="DX41" i="9"/>
  <c r="CS41" i="9"/>
  <c r="BF41" i="9"/>
  <c r="Q41" i="9"/>
  <c r="CI41" i="9"/>
  <c r="DJ41" i="9"/>
  <c r="HI41" i="9"/>
  <c r="GJ41" i="9"/>
  <c r="IF41" i="9"/>
  <c r="IC41" i="9"/>
  <c r="AO41" i="9"/>
  <c r="IQ41" i="9"/>
  <c r="DV41" i="9"/>
  <c r="N41" i="9"/>
  <c r="FO41" i="9"/>
  <c r="AK41" i="9"/>
  <c r="HW41" i="9"/>
  <c r="FZ41" i="9"/>
  <c r="HR41" i="9"/>
  <c r="JG41" i="9"/>
  <c r="JH41" i="9"/>
  <c r="BY41" i="9"/>
  <c r="CM41" i="9"/>
  <c r="AC41" i="9"/>
  <c r="BC41" i="9"/>
  <c r="EM41" i="9"/>
  <c r="FF41" i="9"/>
  <c r="FH41" i="9"/>
  <c r="DD41" i="9"/>
  <c r="HE41" i="9"/>
  <c r="ED41" i="9"/>
  <c r="DR41" i="9"/>
  <c r="AZ41" i="9"/>
  <c r="GG41" i="9"/>
  <c r="EP41" i="9"/>
  <c r="GA41" i="9"/>
  <c r="CN41" i="9"/>
  <c r="HH41" i="9"/>
  <c r="GW41" i="9"/>
  <c r="GF41" i="9"/>
  <c r="FN41" i="9"/>
  <c r="IJ41" i="9"/>
  <c r="EX41" i="9"/>
  <c r="GI41" i="9"/>
  <c r="CF41" i="9"/>
  <c r="BT41" i="9"/>
  <c r="EB41" i="9"/>
  <c r="EQ41" i="9"/>
  <c r="HO41" i="9"/>
  <c r="AP41" i="9"/>
  <c r="EW41" i="9"/>
  <c r="FK41" i="9"/>
  <c r="DQ41" i="9"/>
  <c r="BS41" i="9"/>
  <c r="T41" i="9"/>
  <c r="IK41" i="9"/>
  <c r="BK41" i="9"/>
  <c r="CV41" i="9"/>
  <c r="FG41" i="9"/>
  <c r="HJ41" i="9"/>
  <c r="DW41" i="9"/>
  <c r="EJ41" i="9"/>
  <c r="IE41" i="9"/>
  <c r="GC41" i="9"/>
  <c r="AY41" i="9"/>
  <c r="DN41" i="9"/>
  <c r="AR41" i="9"/>
  <c r="FL41" i="9"/>
  <c r="AX41" i="9"/>
  <c r="HK41" i="9"/>
  <c r="HQ41" i="9"/>
  <c r="HV41" i="9"/>
  <c r="AS41" i="9"/>
  <c r="ES41" i="9"/>
  <c r="HD41" i="9"/>
  <c r="AI41" i="9"/>
  <c r="JB41" i="9"/>
  <c r="AW41" i="9"/>
  <c r="W41" i="9"/>
  <c r="CH41" i="9"/>
  <c r="CP41" i="9"/>
  <c r="HZ41" i="9"/>
  <c r="CA41" i="9"/>
  <c r="GM41" i="9"/>
  <c r="BE41" i="9"/>
  <c r="EE41" i="9"/>
  <c r="IN41" i="9"/>
  <c r="IR41" i="9"/>
  <c r="AE41" i="9"/>
  <c r="P41" i="9"/>
  <c r="HS41" i="9"/>
  <c r="GT41" i="9"/>
  <c r="AD41" i="9"/>
  <c r="GN41" i="9"/>
  <c r="AH41" i="9"/>
  <c r="GB41" i="9"/>
  <c r="CU41" i="9"/>
  <c r="AA41" i="9"/>
  <c r="BU41" i="9"/>
  <c r="DC41" i="9"/>
  <c r="DO41" i="9"/>
  <c r="CG41" i="9"/>
  <c r="DY41" i="9"/>
  <c r="GX41" i="9"/>
  <c r="HP41" i="9"/>
  <c r="GO41" i="9"/>
  <c r="JE41" i="9"/>
  <c r="HB41" i="9"/>
  <c r="DG41" i="9"/>
  <c r="FD41" i="9"/>
  <c r="HA41" i="9"/>
  <c r="GV41" i="9"/>
  <c r="CZ41" i="9"/>
  <c r="BQ41" i="9"/>
  <c r="FM41" i="9"/>
  <c r="AL41" i="9"/>
  <c r="BN41" i="9"/>
  <c r="FR41" i="9"/>
  <c r="JA41" i="9"/>
  <c r="ER41" i="9"/>
  <c r="G42" i="9"/>
  <c r="F43" i="9" s="1"/>
  <c r="J43" i="9" s="1"/>
  <c r="K43" i="9" s="1"/>
  <c r="L43" i="9" s="1"/>
  <c r="AZ42" i="9" l="1"/>
  <c r="GT42" i="9"/>
  <c r="HO42" i="9"/>
  <c r="GW42" i="9"/>
  <c r="BN42" i="9"/>
  <c r="CL42" i="9"/>
  <c r="HV42" i="9"/>
  <c r="AL42" i="9"/>
  <c r="CG42" i="9"/>
  <c r="CU42" i="9"/>
  <c r="DO42" i="9"/>
  <c r="DK42" i="9"/>
  <c r="GJ42" i="9"/>
  <c r="IL42" i="9"/>
  <c r="DW42" i="9"/>
  <c r="CS42" i="9"/>
  <c r="GF42" i="9"/>
  <c r="HB42" i="9"/>
  <c r="GG42" i="9"/>
  <c r="DY42" i="9"/>
  <c r="ES42" i="9"/>
  <c r="HH42" i="9"/>
  <c r="BK42" i="9"/>
  <c r="CW42" i="9"/>
  <c r="Q42" i="9"/>
  <c r="X42" i="9"/>
  <c r="AX42" i="9"/>
  <c r="GB42" i="9"/>
  <c r="HK42" i="9"/>
  <c r="FZ42" i="9"/>
  <c r="DA42" i="9"/>
  <c r="FL42" i="9"/>
  <c r="FN42" i="9"/>
  <c r="IM42" i="9"/>
  <c r="EM42" i="9"/>
  <c r="BZ42" i="9"/>
  <c r="HL42" i="9"/>
  <c r="BF42" i="9"/>
  <c r="HQ42" i="9"/>
  <c r="EQ42" i="9"/>
  <c r="DJ42" i="9"/>
  <c r="HE42" i="9"/>
  <c r="FG42" i="9"/>
  <c r="IF42" i="9"/>
  <c r="HX42" i="9"/>
  <c r="IY42" i="9"/>
  <c r="ID42" i="9"/>
  <c r="DV42" i="9"/>
  <c r="GA42" i="9"/>
  <c r="BL42" i="9"/>
  <c r="AP42" i="9"/>
  <c r="EL42" i="9"/>
  <c r="JG42" i="9"/>
  <c r="CE42" i="9"/>
  <c r="AI42" i="9"/>
  <c r="BQ42" i="9"/>
  <c r="FT42" i="9"/>
  <c r="BC42" i="9"/>
  <c r="GO42" i="9"/>
  <c r="T42" i="9"/>
  <c r="AJ42" i="9"/>
  <c r="FV42" i="9"/>
  <c r="W42" i="9"/>
  <c r="FR42" i="9"/>
  <c r="DB42" i="9"/>
  <c r="AH42" i="9"/>
  <c r="IC42" i="9"/>
  <c r="DH42" i="9"/>
  <c r="IJ42" i="9"/>
  <c r="AD42" i="9"/>
  <c r="JF42" i="9"/>
  <c r="FS42" i="9"/>
  <c r="BR42" i="9"/>
  <c r="HD42" i="9"/>
  <c r="AB42" i="9"/>
  <c r="DR42" i="9"/>
  <c r="BY42" i="9"/>
  <c r="EY42" i="9"/>
  <c r="AC42" i="9"/>
  <c r="BD42" i="9"/>
  <c r="HJ42" i="9"/>
  <c r="GV42" i="9"/>
  <c r="BS42" i="9"/>
  <c r="DQ42" i="9"/>
  <c r="JE42" i="9"/>
  <c r="AV42" i="9"/>
  <c r="AR42" i="9"/>
  <c r="HW42" i="9"/>
  <c r="EC42" i="9"/>
  <c r="DU42" i="9"/>
  <c r="U42" i="9"/>
  <c r="GX42" i="9"/>
  <c r="HI42" i="9"/>
  <c r="CA42" i="9"/>
  <c r="EB42" i="9"/>
  <c r="GN42" i="9"/>
  <c r="FU42" i="9"/>
  <c r="FA42" i="9"/>
  <c r="AO42" i="9"/>
  <c r="GC42" i="9"/>
  <c r="FD42" i="9"/>
  <c r="AK42" i="9"/>
  <c r="EE42" i="9"/>
  <c r="IS42" i="9"/>
  <c r="DX42" i="9"/>
  <c r="JI42" i="9"/>
  <c r="IK42" i="9"/>
  <c r="ER42" i="9"/>
  <c r="CV42" i="9"/>
  <c r="GU42" i="9"/>
  <c r="CF42" i="9"/>
  <c r="GH42" i="9"/>
  <c r="CB42" i="9"/>
  <c r="CP42" i="9"/>
  <c r="HA42" i="9"/>
  <c r="O42" i="9"/>
  <c r="EX42" i="9"/>
  <c r="IZ42" i="9"/>
  <c r="DP42" i="9"/>
  <c r="IR42" i="9"/>
  <c r="CN42" i="9"/>
  <c r="AS42" i="9"/>
  <c r="CO42" i="9"/>
  <c r="BJ42" i="9"/>
  <c r="EJ42" i="9"/>
  <c r="HC42" i="9"/>
  <c r="IT42" i="9"/>
  <c r="EP42" i="9"/>
  <c r="BE42" i="9"/>
  <c r="AE42" i="9"/>
  <c r="IQ42" i="9"/>
  <c r="FY42" i="9"/>
  <c r="AW42" i="9"/>
  <c r="ET42" i="9"/>
  <c r="HP42" i="9"/>
  <c r="JA42" i="9"/>
  <c r="IX42" i="9"/>
  <c r="CH42" i="9"/>
  <c r="IU42" i="9"/>
  <c r="EF42" i="9"/>
  <c r="IG42" i="9"/>
  <c r="GM42" i="9"/>
  <c r="AA42" i="9"/>
  <c r="FM42" i="9"/>
  <c r="CT42" i="9"/>
  <c r="BT42" i="9"/>
  <c r="HY42" i="9"/>
  <c r="BM42" i="9"/>
  <c r="DC42" i="9"/>
  <c r="FK42" i="9"/>
  <c r="BU42" i="9"/>
  <c r="AY42" i="9"/>
  <c r="M42" i="9"/>
  <c r="EI42" i="9"/>
  <c r="N42" i="9"/>
  <c r="FO42" i="9"/>
  <c r="P42" i="9"/>
  <c r="JH42" i="9"/>
  <c r="DI42" i="9"/>
  <c r="BX42" i="9"/>
  <c r="JB42" i="9"/>
  <c r="FE42" i="9"/>
  <c r="FH42" i="9"/>
  <c r="HR42" i="9"/>
  <c r="CM42" i="9"/>
  <c r="IE42" i="9"/>
  <c r="CZ42" i="9"/>
  <c r="GQ42" i="9"/>
  <c r="GI42" i="9"/>
  <c r="HZ42" i="9"/>
  <c r="AQ42" i="9"/>
  <c r="BG42" i="9"/>
  <c r="DG42" i="9"/>
  <c r="EZ42" i="9"/>
  <c r="CI42" i="9"/>
  <c r="GP42" i="9"/>
  <c r="ED42" i="9"/>
  <c r="EK42" i="9"/>
  <c r="DN42" i="9"/>
  <c r="IN42" i="9"/>
  <c r="FF42" i="9"/>
  <c r="EW42" i="9"/>
  <c r="DD42" i="9"/>
  <c r="HS42" i="9"/>
  <c r="V42" i="9"/>
  <c r="G43" i="9"/>
  <c r="F44" i="9" s="1"/>
  <c r="J44" i="9" s="1"/>
  <c r="K44" i="9" s="1"/>
  <c r="L44" i="9" s="1"/>
  <c r="BG43" i="9" l="1"/>
  <c r="AX43" i="9"/>
  <c r="T43" i="9"/>
  <c r="BY43" i="9"/>
  <c r="ER43" i="9"/>
  <c r="DH43" i="9"/>
  <c r="AW43" i="9"/>
  <c r="O43" i="9"/>
  <c r="CT43" i="9"/>
  <c r="EW43" i="9"/>
  <c r="BF43" i="9"/>
  <c r="JA43" i="9"/>
  <c r="EB43" i="9"/>
  <c r="DI43" i="9"/>
  <c r="BX43" i="9"/>
  <c r="W43" i="9"/>
  <c r="HD43" i="9"/>
  <c r="FL43" i="9"/>
  <c r="CF43" i="9"/>
  <c r="DO43" i="9"/>
  <c r="JI43" i="9"/>
  <c r="CM43" i="9"/>
  <c r="GM43" i="9"/>
  <c r="GF43" i="9"/>
  <c r="DB43" i="9"/>
  <c r="CO43" i="9"/>
  <c r="DJ43" i="9"/>
  <c r="HJ43" i="9"/>
  <c r="AV43" i="9"/>
  <c r="AP43" i="9"/>
  <c r="HI43" i="9"/>
  <c r="EE43" i="9"/>
  <c r="HC43" i="9"/>
  <c r="FV43" i="9"/>
  <c r="JF43" i="9"/>
  <c r="AQ43" i="9"/>
  <c r="HK43" i="9"/>
  <c r="FU43" i="9"/>
  <c r="DR43" i="9"/>
  <c r="DK43" i="9"/>
  <c r="AA43" i="9"/>
  <c r="GH43" i="9"/>
  <c r="DY43" i="9"/>
  <c r="IG43" i="9"/>
  <c r="CB43" i="9"/>
  <c r="EP43" i="9"/>
  <c r="AJ43" i="9"/>
  <c r="FG43" i="9"/>
  <c r="IN43" i="9"/>
  <c r="AR43" i="9"/>
  <c r="DX43" i="9"/>
  <c r="AL43" i="9"/>
  <c r="CH43" i="9"/>
  <c r="IF43" i="9"/>
  <c r="HB43" i="9"/>
  <c r="BL43" i="9"/>
  <c r="HZ43" i="9"/>
  <c r="GQ43" i="9"/>
  <c r="HQ43" i="9"/>
  <c r="BE43" i="9"/>
  <c r="BK43" i="9"/>
  <c r="FM43" i="9"/>
  <c r="BN43" i="9"/>
  <c r="HR43" i="9"/>
  <c r="BJ43" i="9"/>
  <c r="HE43" i="9"/>
  <c r="AO43" i="9"/>
  <c r="FN43" i="9"/>
  <c r="EY43" i="9"/>
  <c r="CP43" i="9"/>
  <c r="CA43" i="9"/>
  <c r="FS43" i="9"/>
  <c r="HO43" i="9"/>
  <c r="DC43" i="9"/>
  <c r="HL43" i="9"/>
  <c r="DV43" i="9"/>
  <c r="HA43" i="9"/>
  <c r="IZ43" i="9"/>
  <c r="HH43" i="9"/>
  <c r="CV43" i="9"/>
  <c r="N43" i="9"/>
  <c r="FT43" i="9"/>
  <c r="ES43" i="9"/>
  <c r="AD43" i="9"/>
  <c r="IL43" i="9"/>
  <c r="EF43" i="9"/>
  <c r="FR43" i="9"/>
  <c r="IT43" i="9"/>
  <c r="IM43" i="9"/>
  <c r="EZ43" i="9"/>
  <c r="IQ43" i="9"/>
  <c r="HV43" i="9"/>
  <c r="IS43" i="9"/>
  <c r="FH43" i="9"/>
  <c r="DG43" i="9"/>
  <c r="AC43" i="9"/>
  <c r="GO43" i="9"/>
  <c r="AK43" i="9"/>
  <c r="CS43" i="9"/>
  <c r="IR43" i="9"/>
  <c r="CG43" i="9"/>
  <c r="GX43" i="9"/>
  <c r="AB43" i="9"/>
  <c r="CN43" i="9"/>
  <c r="FO43" i="9"/>
  <c r="IX43" i="9"/>
  <c r="GB43" i="9"/>
  <c r="EI43" i="9"/>
  <c r="CL43" i="9"/>
  <c r="DP43" i="9"/>
  <c r="AZ43" i="9"/>
  <c r="JE43" i="9"/>
  <c r="HW43" i="9"/>
  <c r="CU43" i="9"/>
  <c r="DN43" i="9"/>
  <c r="FF43" i="9"/>
  <c r="BM43" i="9"/>
  <c r="IK43" i="9"/>
  <c r="Q43" i="9"/>
  <c r="CW43" i="9"/>
  <c r="AH43" i="9"/>
  <c r="BR43" i="9"/>
  <c r="FD43" i="9"/>
  <c r="EM43" i="9"/>
  <c r="CZ43" i="9"/>
  <c r="IE43" i="9"/>
  <c r="GV43" i="9"/>
  <c r="AE43" i="9"/>
  <c r="DU43" i="9"/>
  <c r="FE43" i="9"/>
  <c r="ET43" i="9"/>
  <c r="JH43" i="9"/>
  <c r="EQ43" i="9"/>
  <c r="P43" i="9"/>
  <c r="IY43" i="9"/>
  <c r="EX43" i="9"/>
  <c r="GC43" i="9"/>
  <c r="FZ43" i="9"/>
  <c r="GN43" i="9"/>
  <c r="BC43" i="9"/>
  <c r="CE43" i="9"/>
  <c r="HS43" i="9"/>
  <c r="GU43" i="9"/>
  <c r="EJ43" i="9"/>
  <c r="IU43" i="9"/>
  <c r="BU43" i="9"/>
  <c r="EC43" i="9"/>
  <c r="GI43" i="9"/>
  <c r="GP43" i="9"/>
  <c r="EK43" i="9"/>
  <c r="GT43" i="9"/>
  <c r="ED43" i="9"/>
  <c r="GW43" i="9"/>
  <c r="IC43" i="9"/>
  <c r="AY43" i="9"/>
  <c r="DA43" i="9"/>
  <c r="IJ43" i="9"/>
  <c r="GG43" i="9"/>
  <c r="HX43" i="9"/>
  <c r="JB43" i="9"/>
  <c r="BS43" i="9"/>
  <c r="U43" i="9"/>
  <c r="JG43" i="9"/>
  <c r="X43" i="9"/>
  <c r="FK43" i="9"/>
  <c r="HY43" i="9"/>
  <c r="DW43" i="9"/>
  <c r="M43" i="9"/>
  <c r="BT43" i="9"/>
  <c r="EL43" i="9"/>
  <c r="ID43" i="9"/>
  <c r="BQ43" i="9"/>
  <c r="AS43" i="9"/>
  <c r="DD43" i="9"/>
  <c r="V43" i="9"/>
  <c r="BD43" i="9"/>
  <c r="GJ43" i="9"/>
  <c r="AI43" i="9"/>
  <c r="HP43" i="9"/>
  <c r="CI43" i="9"/>
  <c r="G44" i="9"/>
  <c r="F45" i="9" s="1"/>
  <c r="J45" i="9" s="1"/>
  <c r="K45" i="9" s="1"/>
  <c r="L45" i="9" s="1"/>
  <c r="GA43" i="9"/>
  <c r="FY43" i="9"/>
  <c r="BZ43" i="9"/>
  <c r="FA43" i="9"/>
  <c r="DQ43" i="9"/>
  <c r="BU44" i="9" l="1"/>
  <c r="IX44" i="9"/>
  <c r="EZ44" i="9"/>
  <c r="CN44" i="9"/>
  <c r="JB44" i="9"/>
  <c r="DQ44" i="9"/>
  <c r="HO44" i="9"/>
  <c r="DW44" i="9"/>
  <c r="W44" i="9"/>
  <c r="CL44" i="9"/>
  <c r="BQ44" i="9"/>
  <c r="IZ44" i="9"/>
  <c r="GP44" i="9"/>
  <c r="AX44" i="9"/>
  <c r="EW44" i="9"/>
  <c r="HQ44" i="9"/>
  <c r="GI44" i="9"/>
  <c r="DA44" i="9"/>
  <c r="JF44" i="9"/>
  <c r="BC44" i="9"/>
  <c r="DV44" i="9"/>
  <c r="BX44" i="9"/>
  <c r="EL44" i="9"/>
  <c r="BG44" i="9"/>
  <c r="HP44" i="9"/>
  <c r="DC44" i="9"/>
  <c r="FT44" i="9"/>
  <c r="CV44" i="9"/>
  <c r="CB44" i="9"/>
  <c r="AC44" i="9"/>
  <c r="FR44" i="9"/>
  <c r="DY44" i="9"/>
  <c r="AW44" i="9"/>
  <c r="FM44" i="9"/>
  <c r="FK44" i="9"/>
  <c r="ES44" i="9"/>
  <c r="X44" i="9"/>
  <c r="JE44" i="9"/>
  <c r="FE44" i="9"/>
  <c r="BF44" i="9"/>
  <c r="AY44" i="9"/>
  <c r="FL44" i="9"/>
  <c r="HK44" i="9"/>
  <c r="JI44" i="9"/>
  <c r="EI44" i="9"/>
  <c r="DI44" i="9"/>
  <c r="AR44" i="9"/>
  <c r="GW44" i="9"/>
  <c r="BJ44" i="9"/>
  <c r="EC44" i="9"/>
  <c r="JG44" i="9"/>
  <c r="AV44" i="9"/>
  <c r="IR44" i="9"/>
  <c r="ER44" i="9"/>
  <c r="FO44" i="9"/>
  <c r="M44" i="9"/>
  <c r="EQ44" i="9"/>
  <c r="AB44" i="9"/>
  <c r="HB44" i="9"/>
  <c r="AI44" i="9"/>
  <c r="HA44" i="9"/>
  <c r="BM44" i="9"/>
  <c r="GF44" i="9"/>
  <c r="AQ44" i="9"/>
  <c r="DB44" i="9"/>
  <c r="IG44" i="9"/>
  <c r="CS44" i="9"/>
  <c r="U44" i="9"/>
  <c r="FH44" i="9"/>
  <c r="HD44" i="9"/>
  <c r="HR44" i="9"/>
  <c r="Q44" i="9"/>
  <c r="IM44" i="9"/>
  <c r="EF44" i="9"/>
  <c r="IE44" i="9"/>
  <c r="DU44" i="9"/>
  <c r="CZ44" i="9"/>
  <c r="EX44" i="9"/>
  <c r="GA44" i="9"/>
  <c r="CP44" i="9"/>
  <c r="FG44" i="9"/>
  <c r="FY44" i="9"/>
  <c r="FV44" i="9"/>
  <c r="AJ44" i="9"/>
  <c r="CU44" i="9"/>
  <c r="DK44" i="9"/>
  <c r="IK44" i="9"/>
  <c r="CE44" i="9"/>
  <c r="GO44" i="9"/>
  <c r="HE44" i="9"/>
  <c r="AO44" i="9"/>
  <c r="IN44" i="9"/>
  <c r="GJ44" i="9"/>
  <c r="HJ44" i="9"/>
  <c r="DP44" i="9"/>
  <c r="GU44" i="9"/>
  <c r="CI44" i="9"/>
  <c r="GB44" i="9"/>
  <c r="N44" i="9"/>
  <c r="CW44" i="9"/>
  <c r="CT44" i="9"/>
  <c r="O44" i="9"/>
  <c r="DG44" i="9"/>
  <c r="T44" i="9"/>
  <c r="EE44" i="9"/>
  <c r="BK44" i="9"/>
  <c r="DD44" i="9"/>
  <c r="HH44" i="9"/>
  <c r="FS44" i="9"/>
  <c r="EM44" i="9"/>
  <c r="GC44" i="9"/>
  <c r="DH44" i="9"/>
  <c r="IJ44" i="9"/>
  <c r="EB44" i="9"/>
  <c r="V44" i="9"/>
  <c r="HI44" i="9"/>
  <c r="FA44" i="9"/>
  <c r="BT44" i="9"/>
  <c r="AA44" i="9"/>
  <c r="JH44" i="9"/>
  <c r="BE44" i="9"/>
  <c r="BR44" i="9"/>
  <c r="GM44" i="9"/>
  <c r="GH44" i="9"/>
  <c r="AS44" i="9"/>
  <c r="DX44" i="9"/>
  <c r="CF44" i="9"/>
  <c r="IT44" i="9"/>
  <c r="IQ44" i="9"/>
  <c r="AE44" i="9"/>
  <c r="GG44" i="9"/>
  <c r="AK44" i="9"/>
  <c r="BD44" i="9"/>
  <c r="CG44" i="9"/>
  <c r="P44" i="9"/>
  <c r="EY44" i="9"/>
  <c r="FU44" i="9"/>
  <c r="IY44" i="9"/>
  <c r="IL44" i="9"/>
  <c r="IU44" i="9"/>
  <c r="AP44" i="9"/>
  <c r="BL44" i="9"/>
  <c r="HV44" i="9"/>
  <c r="AZ44" i="9"/>
  <c r="HZ44" i="9"/>
  <c r="DR44" i="9"/>
  <c r="HS44" i="9"/>
  <c r="HC44" i="9"/>
  <c r="FD44" i="9"/>
  <c r="BZ44" i="9"/>
  <c r="IC44" i="9"/>
  <c r="CA44" i="9"/>
  <c r="GT44" i="9"/>
  <c r="ET44" i="9"/>
  <c r="DJ44" i="9"/>
  <c r="DO44" i="9"/>
  <c r="GX44" i="9"/>
  <c r="DN44" i="9"/>
  <c r="BS44" i="9"/>
  <c r="HX44" i="9"/>
  <c r="GN44" i="9"/>
  <c r="AD44" i="9"/>
  <c r="EJ44" i="9"/>
  <c r="FN44" i="9"/>
  <c r="GV44" i="9"/>
  <c r="CH44" i="9"/>
  <c r="HL44" i="9"/>
  <c r="AH44" i="9"/>
  <c r="BN44" i="9"/>
  <c r="ED44" i="9"/>
  <c r="AL44" i="9"/>
  <c r="CM44" i="9"/>
  <c r="JA44" i="9"/>
  <c r="FF44" i="9"/>
  <c r="FZ44" i="9"/>
  <c r="GQ44" i="9"/>
  <c r="IS44" i="9"/>
  <c r="IF44" i="9"/>
  <c r="HY44" i="9"/>
  <c r="ID44" i="9"/>
  <c r="HW44" i="9"/>
  <c r="G45" i="9"/>
  <c r="F46" i="9" s="1"/>
  <c r="J46" i="9" s="1"/>
  <c r="K46" i="9" s="1"/>
  <c r="L46" i="9" s="1"/>
  <c r="BY44" i="9"/>
  <c r="EP44" i="9"/>
  <c r="CO44" i="9"/>
  <c r="EK44" i="9"/>
  <c r="AR45" i="9" l="1"/>
  <c r="AJ45" i="9"/>
  <c r="IE45" i="9"/>
  <c r="IQ45" i="9"/>
  <c r="DC45" i="9"/>
  <c r="DQ45" i="9"/>
  <c r="BS45" i="9"/>
  <c r="ET45" i="9"/>
  <c r="IS45" i="9"/>
  <c r="N45" i="9"/>
  <c r="HL45" i="9"/>
  <c r="DI45" i="9"/>
  <c r="CO45" i="9"/>
  <c r="BN45" i="9"/>
  <c r="EP45" i="9"/>
  <c r="FK45" i="9"/>
  <c r="EX45" i="9"/>
  <c r="EB45" i="9"/>
  <c r="ED45" i="9"/>
  <c r="T45" i="9"/>
  <c r="DD45" i="9"/>
  <c r="U45" i="9"/>
  <c r="FV45" i="9"/>
  <c r="BY45" i="9"/>
  <c r="BM45" i="9"/>
  <c r="AD45" i="9"/>
  <c r="CM45" i="9"/>
  <c r="AX45" i="9"/>
  <c r="DX45" i="9"/>
  <c r="HK45" i="9"/>
  <c r="CG45" i="9"/>
  <c r="BF45" i="9"/>
  <c r="AL45" i="9"/>
  <c r="IN45" i="9"/>
  <c r="AK45" i="9"/>
  <c r="HP45" i="9"/>
  <c r="O45" i="9"/>
  <c r="EM45" i="9"/>
  <c r="CB45" i="9"/>
  <c r="DA45" i="9"/>
  <c r="GN45" i="9"/>
  <c r="JH45" i="9"/>
  <c r="HI45" i="9"/>
  <c r="W45" i="9"/>
  <c r="FY45" i="9"/>
  <c r="CZ45" i="9"/>
  <c r="DR45" i="9"/>
  <c r="CU45" i="9"/>
  <c r="EY45" i="9"/>
  <c r="CH45" i="9"/>
  <c r="AQ45" i="9"/>
  <c r="BG45" i="9"/>
  <c r="EJ45" i="9"/>
  <c r="Q45" i="9"/>
  <c r="CW45" i="9"/>
  <c r="BZ45" i="9"/>
  <c r="BR45" i="9"/>
  <c r="HS45" i="9"/>
  <c r="FM45" i="9"/>
  <c r="DP45" i="9"/>
  <c r="BK45" i="9"/>
  <c r="EF45" i="9"/>
  <c r="CN45" i="9"/>
  <c r="AO45" i="9"/>
  <c r="BL45" i="9"/>
  <c r="AV45" i="9"/>
  <c r="IY45" i="9"/>
  <c r="JF45" i="9"/>
  <c r="AP45" i="9"/>
  <c r="CS45" i="9"/>
  <c r="GP45" i="9"/>
  <c r="GV45" i="9"/>
  <c r="HW45" i="9"/>
  <c r="DH45" i="9"/>
  <c r="GQ45" i="9"/>
  <c r="CT45" i="9"/>
  <c r="HC45" i="9"/>
  <c r="CP45" i="9"/>
  <c r="IX45" i="9"/>
  <c r="GX45" i="9"/>
  <c r="GT45" i="9"/>
  <c r="FN45" i="9"/>
  <c r="BT45" i="9"/>
  <c r="IK45" i="9"/>
  <c r="GO45" i="9"/>
  <c r="JE45" i="9"/>
  <c r="HA45" i="9"/>
  <c r="HQ45" i="9"/>
  <c r="AA45" i="9"/>
  <c r="BD45" i="9"/>
  <c r="AE45" i="9"/>
  <c r="IZ45" i="9"/>
  <c r="DU45" i="9"/>
  <c r="CF45" i="9"/>
  <c r="ID45" i="9"/>
  <c r="AB45" i="9"/>
  <c r="ES45" i="9"/>
  <c r="BJ45" i="9"/>
  <c r="FS45" i="9"/>
  <c r="FG45" i="9"/>
  <c r="JI45" i="9"/>
  <c r="EI45" i="9"/>
  <c r="FZ45" i="9"/>
  <c r="IU45" i="9"/>
  <c r="AH45" i="9"/>
  <c r="V45" i="9"/>
  <c r="IF45" i="9"/>
  <c r="FR45" i="9"/>
  <c r="HH45" i="9"/>
  <c r="AC45" i="9"/>
  <c r="FL45" i="9"/>
  <c r="HZ45" i="9"/>
  <c r="FT45" i="9"/>
  <c r="FD45" i="9"/>
  <c r="EC45" i="9"/>
  <c r="HO45" i="9"/>
  <c r="DO45" i="9"/>
  <c r="IT45" i="9"/>
  <c r="CI45" i="9"/>
  <c r="EW45" i="9"/>
  <c r="HB45" i="9"/>
  <c r="GC45" i="9"/>
  <c r="X45" i="9"/>
  <c r="DN45" i="9"/>
  <c r="DJ45" i="9"/>
  <c r="IG45" i="9"/>
  <c r="GJ45" i="9"/>
  <c r="FU45" i="9"/>
  <c r="IC45" i="9"/>
  <c r="CL45" i="9"/>
  <c r="P45" i="9"/>
  <c r="HY45" i="9"/>
  <c r="EQ45" i="9"/>
  <c r="IJ45" i="9"/>
  <c r="GH45" i="9"/>
  <c r="JA45" i="9"/>
  <c r="FA45" i="9"/>
  <c r="BX45" i="9"/>
  <c r="M45" i="9"/>
  <c r="BU45" i="9"/>
  <c r="EL45" i="9"/>
  <c r="AY45" i="9"/>
  <c r="IL45" i="9"/>
  <c r="GW45" i="9"/>
  <c r="CV45" i="9"/>
  <c r="HJ45" i="9"/>
  <c r="DY45" i="9"/>
  <c r="HD45" i="9"/>
  <c r="AW45" i="9"/>
  <c r="GG45" i="9"/>
  <c r="BQ45" i="9"/>
  <c r="EE45" i="9"/>
  <c r="ER45" i="9"/>
  <c r="DW45" i="9"/>
  <c r="CA45" i="9"/>
  <c r="FF45" i="9"/>
  <c r="HR45" i="9"/>
  <c r="GM45" i="9"/>
  <c r="EK45" i="9"/>
  <c r="IR45" i="9"/>
  <c r="BE45" i="9"/>
  <c r="HX45" i="9"/>
  <c r="IM45" i="9"/>
  <c r="GU45" i="9"/>
  <c r="DG45" i="9"/>
  <c r="DV45" i="9"/>
  <c r="JB45" i="9"/>
  <c r="GF45" i="9"/>
  <c r="EZ45" i="9"/>
  <c r="CE45" i="9"/>
  <c r="AS45" i="9"/>
  <c r="HV45" i="9"/>
  <c r="BC45" i="9"/>
  <c r="DB45" i="9"/>
  <c r="AI45" i="9"/>
  <c r="FO45" i="9"/>
  <c r="FE45" i="9"/>
  <c r="JG45" i="9"/>
  <c r="DK45" i="9"/>
  <c r="FH45" i="9"/>
  <c r="GA45" i="9"/>
  <c r="HE45" i="9"/>
  <c r="G46" i="9"/>
  <c r="F47" i="9" s="1"/>
  <c r="J47" i="9" s="1"/>
  <c r="K47" i="9" s="1"/>
  <c r="L47" i="9" s="1"/>
  <c r="GB45" i="9"/>
  <c r="AZ45" i="9"/>
  <c r="GI45" i="9"/>
  <c r="AO46" i="9" l="1"/>
  <c r="HZ46" i="9"/>
  <c r="EM46" i="9"/>
  <c r="HV46" i="9"/>
  <c r="GT46" i="9"/>
  <c r="DR46" i="9"/>
  <c r="FE46" i="9"/>
  <c r="FR46" i="9"/>
  <c r="AY46" i="9"/>
  <c r="IM46" i="9"/>
  <c r="DU46" i="9"/>
  <c r="P46" i="9"/>
  <c r="IC46" i="9"/>
  <c r="BY46" i="9"/>
  <c r="AI46" i="9"/>
  <c r="AW46" i="9"/>
  <c r="IX46" i="9"/>
  <c r="HQ46" i="9"/>
  <c r="CI46" i="9"/>
  <c r="ID46" i="9"/>
  <c r="GW46" i="9"/>
  <c r="GI46" i="9"/>
  <c r="IY46" i="9"/>
  <c r="DQ46" i="9"/>
  <c r="DN46" i="9"/>
  <c r="DJ46" i="9"/>
  <c r="CV46" i="9"/>
  <c r="AP46" i="9"/>
  <c r="CM46" i="9"/>
  <c r="BS46" i="9"/>
  <c r="CS46" i="9"/>
  <c r="BX46" i="9"/>
  <c r="BT46" i="9"/>
  <c r="IK46" i="9"/>
  <c r="BZ46" i="9"/>
  <c r="DP46" i="9"/>
  <c r="BG46" i="9"/>
  <c r="HX46" i="9"/>
  <c r="AV46" i="9"/>
  <c r="AB46" i="9"/>
  <c r="ED46" i="9"/>
  <c r="EB46" i="9"/>
  <c r="BR46" i="9"/>
  <c r="DB46" i="9"/>
  <c r="IN46" i="9"/>
  <c r="CU46" i="9"/>
  <c r="EY46" i="9"/>
  <c r="CE46" i="9"/>
  <c r="IS46" i="9"/>
  <c r="EE46" i="9"/>
  <c r="HD46" i="9"/>
  <c r="FD46" i="9"/>
  <c r="EI46" i="9"/>
  <c r="IZ46" i="9"/>
  <c r="CO46" i="9"/>
  <c r="JE46" i="9"/>
  <c r="BE46" i="9"/>
  <c r="EC46" i="9"/>
  <c r="EQ46" i="9"/>
  <c r="GU46" i="9"/>
  <c r="HP46" i="9"/>
  <c r="BN46" i="9"/>
  <c r="HB46" i="9"/>
  <c r="JH46" i="9"/>
  <c r="O46" i="9"/>
  <c r="EF46" i="9"/>
  <c r="ET46" i="9"/>
  <c r="IT46" i="9"/>
  <c r="BJ46" i="9"/>
  <c r="CL46" i="9"/>
  <c r="AK46" i="9"/>
  <c r="FH46" i="9"/>
  <c r="HR46" i="9"/>
  <c r="GV46" i="9"/>
  <c r="AE46" i="9"/>
  <c r="BQ46" i="9"/>
  <c r="FK46" i="9"/>
  <c r="BF46" i="9"/>
  <c r="FM46" i="9"/>
  <c r="CW46" i="9"/>
  <c r="DG46" i="9"/>
  <c r="AQ46" i="9"/>
  <c r="GP46" i="9"/>
  <c r="FU46" i="9"/>
  <c r="BK46" i="9"/>
  <c r="IU46" i="9"/>
  <c r="IG46" i="9"/>
  <c r="IL46" i="9"/>
  <c r="AH46" i="9"/>
  <c r="BM46" i="9"/>
  <c r="IQ46" i="9"/>
  <c r="FN46" i="9"/>
  <c r="V46" i="9"/>
  <c r="BL46" i="9"/>
  <c r="HA46" i="9"/>
  <c r="FG46" i="9"/>
  <c r="DC46" i="9"/>
  <c r="ER46" i="9"/>
  <c r="DH46" i="9"/>
  <c r="X46" i="9"/>
  <c r="FA46" i="9"/>
  <c r="EW46" i="9"/>
  <c r="GG46" i="9"/>
  <c r="FL46" i="9"/>
  <c r="GN46" i="9"/>
  <c r="DV46" i="9"/>
  <c r="GB46" i="9"/>
  <c r="CT46" i="9"/>
  <c r="DO46" i="9"/>
  <c r="HI46" i="9"/>
  <c r="FO46" i="9"/>
  <c r="EJ46" i="9"/>
  <c r="GA46" i="9"/>
  <c r="CN46" i="9"/>
  <c r="FV46" i="9"/>
  <c r="DX46" i="9"/>
  <c r="GO46" i="9"/>
  <c r="HW46" i="9"/>
  <c r="HK46" i="9"/>
  <c r="BU46" i="9"/>
  <c r="HC46" i="9"/>
  <c r="W46" i="9"/>
  <c r="AL46" i="9"/>
  <c r="AJ46" i="9"/>
  <c r="CB46" i="9"/>
  <c r="FY46" i="9"/>
  <c r="FZ46" i="9"/>
  <c r="AC46" i="9"/>
  <c r="AX46" i="9"/>
  <c r="CA46" i="9"/>
  <c r="M46" i="9"/>
  <c r="HL46" i="9"/>
  <c r="HS46" i="9"/>
  <c r="HE46" i="9"/>
  <c r="HH46" i="9"/>
  <c r="DW46" i="9"/>
  <c r="DI46" i="9"/>
  <c r="FT46" i="9"/>
  <c r="GM46" i="9"/>
  <c r="AD46" i="9"/>
  <c r="DY46" i="9"/>
  <c r="IF46" i="9"/>
  <c r="DA46" i="9"/>
  <c r="EK46" i="9"/>
  <c r="CF46" i="9"/>
  <c r="AR46" i="9"/>
  <c r="IE46" i="9"/>
  <c r="JB46" i="9"/>
  <c r="CG46" i="9"/>
  <c r="CZ46" i="9"/>
  <c r="JA46" i="9"/>
  <c r="ES46" i="9"/>
  <c r="EL46" i="9"/>
  <c r="CH46" i="9"/>
  <c r="IR46" i="9"/>
  <c r="AZ46" i="9"/>
  <c r="GJ46" i="9"/>
  <c r="GF46" i="9"/>
  <c r="T46" i="9"/>
  <c r="AA46" i="9"/>
  <c r="GC46" i="9"/>
  <c r="GH46" i="9"/>
  <c r="IJ46" i="9"/>
  <c r="U46" i="9"/>
  <c r="HO46" i="9"/>
  <c r="JI46" i="9"/>
  <c r="Q46" i="9"/>
  <c r="FF46" i="9"/>
  <c r="JF46" i="9"/>
  <c r="EP46" i="9"/>
  <c r="EX46" i="9"/>
  <c r="N46" i="9"/>
  <c r="AS46" i="9"/>
  <c r="DK46" i="9"/>
  <c r="JG46" i="9"/>
  <c r="HJ46" i="9"/>
  <c r="GX46" i="9"/>
  <c r="DD46" i="9"/>
  <c r="FS46" i="9"/>
  <c r="EZ46" i="9"/>
  <c r="CP46" i="9"/>
  <c r="BD46" i="9"/>
  <c r="GQ46" i="9"/>
  <c r="HY46" i="9"/>
  <c r="BC46" i="9"/>
  <c r="G47" i="9"/>
  <c r="F48" i="9" s="1"/>
  <c r="J48" i="9" s="1"/>
  <c r="K48" i="9" s="1"/>
  <c r="L48" i="9" s="1"/>
  <c r="DW47" i="9" l="1"/>
  <c r="V47" i="9"/>
  <c r="IZ47" i="9"/>
  <c r="FO47" i="9"/>
  <c r="DP47" i="9"/>
  <c r="DQ47" i="9"/>
  <c r="HJ47" i="9"/>
  <c r="IX47" i="9"/>
  <c r="EQ47" i="9"/>
  <c r="GO47" i="9"/>
  <c r="IN47" i="9"/>
  <c r="EZ47" i="9"/>
  <c r="EY47" i="9"/>
  <c r="BD47" i="9"/>
  <c r="AI47" i="9"/>
  <c r="ID47" i="9"/>
  <c r="DG47" i="9"/>
  <c r="IJ47" i="9"/>
  <c r="GX47" i="9"/>
  <c r="CF47" i="9"/>
  <c r="HW47" i="9"/>
  <c r="FT47" i="9"/>
  <c r="BR47" i="9"/>
  <c r="ES47" i="9"/>
  <c r="M47" i="9"/>
  <c r="DR47" i="9"/>
  <c r="FS47" i="9"/>
  <c r="DU47" i="9"/>
  <c r="BJ47" i="9"/>
  <c r="FM47" i="9"/>
  <c r="BU47" i="9"/>
  <c r="AH47" i="9"/>
  <c r="FA47" i="9"/>
  <c r="HB47" i="9"/>
  <c r="DK47" i="9"/>
  <c r="BZ47" i="9"/>
  <c r="FH47" i="9"/>
  <c r="HX47" i="9"/>
  <c r="JI47" i="9"/>
  <c r="ET47" i="9"/>
  <c r="BG47" i="9"/>
  <c r="FR47" i="9"/>
  <c r="CZ47" i="9"/>
  <c r="AA47" i="9"/>
  <c r="HC47" i="9"/>
  <c r="AP47" i="9"/>
  <c r="CM47" i="9"/>
  <c r="EE47" i="9"/>
  <c r="IT47" i="9"/>
  <c r="HI47" i="9"/>
  <c r="HK47" i="9"/>
  <c r="HS47" i="9"/>
  <c r="FZ47" i="9"/>
  <c r="U47" i="9"/>
  <c r="EC47" i="9"/>
  <c r="DN47" i="9"/>
  <c r="CW47" i="9"/>
  <c r="HA47" i="9"/>
  <c r="CN47" i="9"/>
  <c r="ED47" i="9"/>
  <c r="IS47" i="9"/>
  <c r="GQ47" i="9"/>
  <c r="CI47" i="9"/>
  <c r="JE47" i="9"/>
  <c r="BX47" i="9"/>
  <c r="ER47" i="9"/>
  <c r="BN47" i="9"/>
  <c r="IM47" i="9"/>
  <c r="GI47" i="9"/>
  <c r="CA47" i="9"/>
  <c r="CS47" i="9"/>
  <c r="BQ47" i="9"/>
  <c r="HZ47" i="9"/>
  <c r="HP47" i="9"/>
  <c r="DC47" i="9"/>
  <c r="EK47" i="9"/>
  <c r="AC47" i="9"/>
  <c r="IL47" i="9"/>
  <c r="EB47" i="9"/>
  <c r="GT47" i="9"/>
  <c r="AV47" i="9"/>
  <c r="IR47" i="9"/>
  <c r="DO47" i="9"/>
  <c r="IE47" i="9"/>
  <c r="FU47" i="9"/>
  <c r="EI47" i="9"/>
  <c r="JF47" i="9"/>
  <c r="BL47" i="9"/>
  <c r="JH47" i="9"/>
  <c r="CH47" i="9"/>
  <c r="DX47" i="9"/>
  <c r="HO47" i="9"/>
  <c r="GA47" i="9"/>
  <c r="AB47" i="9"/>
  <c r="IF47" i="9"/>
  <c r="BK47" i="9"/>
  <c r="GJ47" i="9"/>
  <c r="W47" i="9"/>
  <c r="HE47" i="9"/>
  <c r="GN47" i="9"/>
  <c r="FY47" i="9"/>
  <c r="AR47" i="9"/>
  <c r="HL47" i="9"/>
  <c r="FN47" i="9"/>
  <c r="BM47" i="9"/>
  <c r="EP47" i="9"/>
  <c r="IY47" i="9"/>
  <c r="GU47" i="9"/>
  <c r="FG47" i="9"/>
  <c r="HD47" i="9"/>
  <c r="CP47" i="9"/>
  <c r="DI47" i="9"/>
  <c r="IG47" i="9"/>
  <c r="HR47" i="9"/>
  <c r="GM47" i="9"/>
  <c r="P47" i="9"/>
  <c r="G48" i="9"/>
  <c r="F49" i="9" s="1"/>
  <c r="J49" i="9" s="1"/>
  <c r="K49" i="9" s="1"/>
  <c r="L49" i="9" s="1"/>
  <c r="FD47" i="9"/>
  <c r="FV47" i="9"/>
  <c r="HV47" i="9"/>
  <c r="EF47" i="9"/>
  <c r="GC47" i="9"/>
  <c r="DB47" i="9"/>
  <c r="GG47" i="9"/>
  <c r="T47" i="9"/>
  <c r="AD47" i="9"/>
  <c r="BY47" i="9"/>
  <c r="AJ47" i="9"/>
  <c r="AW47" i="9"/>
  <c r="DH47" i="9"/>
  <c r="FE47" i="9"/>
  <c r="IK47" i="9"/>
  <c r="AS47" i="9"/>
  <c r="BF47" i="9"/>
  <c r="GV47" i="9"/>
  <c r="AK47" i="9"/>
  <c r="Q47" i="9"/>
  <c r="GH47" i="9"/>
  <c r="FL47" i="9"/>
  <c r="CO47" i="9"/>
  <c r="DY47" i="9"/>
  <c r="EX47" i="9"/>
  <c r="GB47" i="9"/>
  <c r="HQ47" i="9"/>
  <c r="CU47" i="9"/>
  <c r="CV47" i="9"/>
  <c r="IQ47" i="9"/>
  <c r="AY47" i="9"/>
  <c r="CB47" i="9"/>
  <c r="EJ47" i="9"/>
  <c r="DJ47" i="9"/>
  <c r="AE47" i="9"/>
  <c r="BE47" i="9"/>
  <c r="N47" i="9"/>
  <c r="IC47" i="9"/>
  <c r="BC47" i="9"/>
  <c r="DA47" i="9"/>
  <c r="GP47" i="9"/>
  <c r="FF47" i="9"/>
  <c r="BS47" i="9"/>
  <c r="HY47" i="9"/>
  <c r="IU47" i="9"/>
  <c r="AX47" i="9"/>
  <c r="GW47" i="9"/>
  <c r="JA47" i="9"/>
  <c r="AQ47" i="9"/>
  <c r="AL47" i="9"/>
  <c r="CT47" i="9"/>
  <c r="DV47" i="9"/>
  <c r="EW47" i="9"/>
  <c r="EM47" i="9"/>
  <c r="JB47" i="9"/>
  <c r="HH47" i="9"/>
  <c r="AO47" i="9"/>
  <c r="AZ47" i="9"/>
  <c r="BT47" i="9"/>
  <c r="CL47" i="9"/>
  <c r="X47" i="9"/>
  <c r="JG47" i="9"/>
  <c r="EL47" i="9"/>
  <c r="CE47" i="9"/>
  <c r="FK47" i="9"/>
  <c r="GF47" i="9"/>
  <c r="DD47" i="9"/>
  <c r="CG47" i="9"/>
  <c r="O47" i="9"/>
  <c r="AL48" i="9" l="1"/>
  <c r="AC48" i="9"/>
  <c r="IJ48" i="9"/>
  <c r="FD48" i="9"/>
  <c r="EZ48" i="9"/>
  <c r="GO48" i="9"/>
  <c r="FH48" i="9"/>
  <c r="AW48" i="9"/>
  <c r="IQ48" i="9"/>
  <c r="AX48" i="9"/>
  <c r="HL48" i="9"/>
  <c r="IK48" i="9"/>
  <c r="IL48" i="9"/>
  <c r="HB48" i="9"/>
  <c r="GQ48" i="9"/>
  <c r="FZ48" i="9"/>
  <c r="CA48" i="9"/>
  <c r="GV48" i="9"/>
  <c r="AV48" i="9"/>
  <c r="GX48" i="9"/>
  <c r="BU48" i="9"/>
  <c r="AH48" i="9"/>
  <c r="DD48" i="9"/>
  <c r="FM48" i="9"/>
  <c r="AQ48" i="9"/>
  <c r="DQ48" i="9"/>
  <c r="DI48" i="9"/>
  <c r="HW48" i="9"/>
  <c r="FY48" i="9"/>
  <c r="HV48" i="9"/>
  <c r="ET48" i="9"/>
  <c r="CP48" i="9"/>
  <c r="JE48" i="9"/>
  <c r="BF48" i="9"/>
  <c r="JG48" i="9"/>
  <c r="ED48" i="9"/>
  <c r="FV48" i="9"/>
  <c r="AE48" i="9"/>
  <c r="CI48" i="9"/>
  <c r="GW48" i="9"/>
  <c r="AY48" i="9"/>
  <c r="P48" i="9"/>
  <c r="CV48" i="9"/>
  <c r="FT48" i="9"/>
  <c r="AS48" i="9"/>
  <c r="GM48" i="9"/>
  <c r="HP48" i="9"/>
  <c r="GF48" i="9"/>
  <c r="EK48" i="9"/>
  <c r="EW48" i="9"/>
  <c r="EB48" i="9"/>
  <c r="HR48" i="9"/>
  <c r="HQ48" i="9"/>
  <c r="DN48" i="9"/>
  <c r="GC48" i="9"/>
  <c r="IY48" i="9"/>
  <c r="IU48" i="9"/>
  <c r="EE48" i="9"/>
  <c r="DC48" i="9"/>
  <c r="DH48" i="9"/>
  <c r="BJ48" i="9"/>
  <c r="CN48" i="9"/>
  <c r="W48" i="9"/>
  <c r="CU48" i="9"/>
  <c r="IE48" i="9"/>
  <c r="AZ48" i="9"/>
  <c r="FK48" i="9"/>
  <c r="BG48" i="9"/>
  <c r="HC48" i="9"/>
  <c r="CG48" i="9"/>
  <c r="EL48" i="9"/>
  <c r="AI48" i="9"/>
  <c r="EJ48" i="9"/>
  <c r="DK48" i="9"/>
  <c r="DY48" i="9"/>
  <c r="BZ48" i="9"/>
  <c r="BS48" i="9"/>
  <c r="AD48" i="9"/>
  <c r="IX48" i="9"/>
  <c r="FU48" i="9"/>
  <c r="FO48" i="9"/>
  <c r="EI48" i="9"/>
  <c r="IZ48" i="9"/>
  <c r="IC48" i="9"/>
  <c r="HS48" i="9"/>
  <c r="EF48" i="9"/>
  <c r="HZ48" i="9"/>
  <c r="FG48" i="9"/>
  <c r="Q48" i="9"/>
  <c r="DG48" i="9"/>
  <c r="FR48" i="9"/>
  <c r="BD48" i="9"/>
  <c r="BY48" i="9"/>
  <c r="HO48" i="9"/>
  <c r="T48" i="9"/>
  <c r="DU48" i="9"/>
  <c r="FL48" i="9"/>
  <c r="AA48" i="9"/>
  <c r="JI48" i="9"/>
  <c r="BM48" i="9"/>
  <c r="BT48" i="9"/>
  <c r="HI48" i="9"/>
  <c r="EC48" i="9"/>
  <c r="IS48" i="9"/>
  <c r="JA48" i="9"/>
  <c r="BL48" i="9"/>
  <c r="IT48" i="9"/>
  <c r="CT48" i="9"/>
  <c r="GU48" i="9"/>
  <c r="FF48" i="9"/>
  <c r="FE48" i="9"/>
  <c r="HJ48" i="9"/>
  <c r="DP48" i="9"/>
  <c r="CL48" i="9"/>
  <c r="DW48" i="9"/>
  <c r="GJ48" i="9"/>
  <c r="DV48" i="9"/>
  <c r="IR48" i="9"/>
  <c r="CB48" i="9"/>
  <c r="G49" i="9"/>
  <c r="EX48" i="9"/>
  <c r="GG48" i="9"/>
  <c r="CM48" i="9"/>
  <c r="BK48" i="9"/>
  <c r="BC48" i="9"/>
  <c r="CS48" i="9"/>
  <c r="GB48" i="9"/>
  <c r="EY48" i="9"/>
  <c r="BN48" i="9"/>
  <c r="HA48" i="9"/>
  <c r="ES48" i="9"/>
  <c r="GI48" i="9"/>
  <c r="IM48" i="9"/>
  <c r="IN48" i="9"/>
  <c r="HY48" i="9"/>
  <c r="U48" i="9"/>
  <c r="BE48" i="9"/>
  <c r="DX48" i="9"/>
  <c r="HH48" i="9"/>
  <c r="EQ48" i="9"/>
  <c r="JH48" i="9"/>
  <c r="EP48" i="9"/>
  <c r="ER48" i="9"/>
  <c r="FA48" i="9"/>
  <c r="CH48" i="9"/>
  <c r="CE48" i="9"/>
  <c r="GN48" i="9"/>
  <c r="HD48" i="9"/>
  <c r="CZ48" i="9"/>
  <c r="AP48" i="9"/>
  <c r="CO48" i="9"/>
  <c r="DR48" i="9"/>
  <c r="N48" i="9"/>
  <c r="BX48" i="9"/>
  <c r="ID48" i="9"/>
  <c r="CW48" i="9"/>
  <c r="FN48" i="9"/>
  <c r="M48" i="9"/>
  <c r="FS48" i="9"/>
  <c r="AB48" i="9"/>
  <c r="DA48" i="9"/>
  <c r="GH48" i="9"/>
  <c r="O48" i="9"/>
  <c r="AJ48" i="9"/>
  <c r="EM48" i="9"/>
  <c r="AR48" i="9"/>
  <c r="HE48" i="9"/>
  <c r="IG48" i="9"/>
  <c r="HK48" i="9"/>
  <c r="DO48" i="9"/>
  <c r="BR48" i="9"/>
  <c r="GA48" i="9"/>
  <c r="JF48" i="9"/>
  <c r="DB48" i="9"/>
  <c r="HX48" i="9"/>
  <c r="GT48" i="9"/>
  <c r="BQ48" i="9"/>
  <c r="AO48" i="9"/>
  <c r="V48" i="9"/>
  <c r="CF48" i="9"/>
  <c r="DJ48" i="9"/>
  <c r="GP48" i="9"/>
  <c r="AK48" i="9"/>
  <c r="IF48" i="9"/>
  <c r="X48" i="9"/>
  <c r="JB48" i="9"/>
  <c r="F50" i="9" l="1"/>
  <c r="J50" i="9" s="1"/>
  <c r="K50" i="9" s="1"/>
  <c r="L50" i="9" s="1"/>
  <c r="F51" i="9"/>
  <c r="DD49" i="9"/>
  <c r="O49" i="9"/>
  <c r="HV49" i="9"/>
  <c r="IF49" i="9"/>
  <c r="BN49" i="9"/>
  <c r="GA49" i="9"/>
  <c r="BT49" i="9"/>
  <c r="EY49" i="9"/>
  <c r="HB49" i="9"/>
  <c r="DY49" i="9"/>
  <c r="GQ49" i="9"/>
  <c r="GC49" i="9"/>
  <c r="BJ49" i="9"/>
  <c r="T49" i="9"/>
  <c r="BC49" i="9"/>
  <c r="HK49" i="9"/>
  <c r="DC49" i="9"/>
  <c r="EZ49" i="9"/>
  <c r="Q49" i="9"/>
  <c r="GU49" i="9"/>
  <c r="BZ49" i="9"/>
  <c r="IK49" i="9"/>
  <c r="GI49" i="9"/>
  <c r="FE49" i="9"/>
  <c r="CA49" i="9"/>
  <c r="CG49" i="9"/>
  <c r="IJ49" i="9"/>
  <c r="HS49" i="9"/>
  <c r="DW49" i="9"/>
  <c r="HL49" i="9"/>
  <c r="DU49" i="9"/>
  <c r="EX49" i="9"/>
  <c r="AD49" i="9"/>
  <c r="DX49" i="9"/>
  <c r="FM49" i="9"/>
  <c r="HZ49" i="9"/>
  <c r="GN49" i="9"/>
  <c r="DA49" i="9"/>
  <c r="DJ49" i="9"/>
  <c r="HE49" i="9"/>
  <c r="CI49" i="9"/>
  <c r="AZ49" i="9"/>
  <c r="CB49" i="9"/>
  <c r="IZ49" i="9"/>
  <c r="EP49" i="9"/>
  <c r="HH49" i="9"/>
  <c r="AP49" i="9"/>
  <c r="JA49" i="9"/>
  <c r="FA49" i="9"/>
  <c r="EI49" i="9"/>
  <c r="IN49" i="9"/>
  <c r="P49" i="9"/>
  <c r="AS49" i="9"/>
  <c r="HI49" i="9"/>
  <c r="BD49" i="9"/>
  <c r="DR49" i="9"/>
  <c r="IE49" i="9"/>
  <c r="CS49" i="9"/>
  <c r="AH49" i="9"/>
  <c r="IX49" i="9"/>
  <c r="FG49" i="9"/>
  <c r="CW49" i="9"/>
  <c r="X49" i="9"/>
  <c r="GM49" i="9"/>
  <c r="DV49" i="9"/>
  <c r="AC49" i="9"/>
  <c r="EK49" i="9"/>
  <c r="CZ49" i="9"/>
  <c r="BU49" i="9"/>
  <c r="CN49" i="9"/>
  <c r="CH49" i="9"/>
  <c r="ET49" i="9"/>
  <c r="FN49" i="9"/>
  <c r="FV49" i="9"/>
  <c r="N49" i="9"/>
  <c r="CM49" i="9"/>
  <c r="IU49" i="9"/>
  <c r="HY49" i="9"/>
  <c r="FH49" i="9"/>
  <c r="BX49" i="9"/>
  <c r="FL49" i="9"/>
  <c r="AA49" i="9"/>
  <c r="CL49" i="9"/>
  <c r="HA49" i="9"/>
  <c r="GH49" i="9"/>
  <c r="HW49" i="9"/>
  <c r="U49" i="9"/>
  <c r="AY49" i="9"/>
  <c r="IL49" i="9"/>
  <c r="DN49" i="9"/>
  <c r="BS49" i="9"/>
  <c r="BR49" i="9"/>
  <c r="BE49" i="9"/>
  <c r="CF49" i="9"/>
  <c r="FK49" i="9"/>
  <c r="AR49" i="9"/>
  <c r="FO49" i="9"/>
  <c r="BL49" i="9"/>
  <c r="BY49" i="9"/>
  <c r="G50" i="9"/>
  <c r="F52" i="9" s="1"/>
  <c r="CV49" i="9"/>
  <c r="EW49" i="9"/>
  <c r="DQ49" i="9"/>
  <c r="GO49" i="9"/>
  <c r="AX49" i="9"/>
  <c r="EJ49" i="9"/>
  <c r="JH49" i="9"/>
  <c r="GP49" i="9"/>
  <c r="AB49" i="9"/>
  <c r="DG49" i="9"/>
  <c r="HR49" i="9"/>
  <c r="AL49" i="9"/>
  <c r="AK49" i="9"/>
  <c r="IT49" i="9"/>
  <c r="HC49" i="9"/>
  <c r="EL49" i="9"/>
  <c r="IM49" i="9"/>
  <c r="CU49" i="9"/>
  <c r="FD49" i="9"/>
  <c r="FF49" i="9"/>
  <c r="FU49" i="9"/>
  <c r="IS49" i="9"/>
  <c r="JF49" i="9"/>
  <c r="GB49" i="9"/>
  <c r="CO49" i="9"/>
  <c r="M49" i="9"/>
  <c r="GX49" i="9"/>
  <c r="IR49" i="9"/>
  <c r="EM49" i="9"/>
  <c r="HX49" i="9"/>
  <c r="AQ49" i="9"/>
  <c r="DH49" i="9"/>
  <c r="GW49" i="9"/>
  <c r="AJ49" i="9"/>
  <c r="EQ49" i="9"/>
  <c r="CT49" i="9"/>
  <c r="GF49" i="9"/>
  <c r="EB49" i="9"/>
  <c r="AW49" i="9"/>
  <c r="EC49" i="9"/>
  <c r="ID49" i="9"/>
  <c r="DO49" i="9"/>
  <c r="ER49" i="9"/>
  <c r="BK49" i="9"/>
  <c r="CP49" i="9"/>
  <c r="DB49" i="9"/>
  <c r="AE49" i="9"/>
  <c r="ED49" i="9"/>
  <c r="EE49" i="9"/>
  <c r="DI49" i="9"/>
  <c r="GT49" i="9"/>
  <c r="HQ49" i="9"/>
  <c r="HO49" i="9"/>
  <c r="AV49" i="9"/>
  <c r="JG49" i="9"/>
  <c r="FZ49" i="9"/>
  <c r="W49" i="9"/>
  <c r="FS49" i="9"/>
  <c r="CE49" i="9"/>
  <c r="ES49" i="9"/>
  <c r="FT49" i="9"/>
  <c r="BF49" i="9"/>
  <c r="BM49" i="9"/>
  <c r="IC49" i="9"/>
  <c r="HJ49" i="9"/>
  <c r="AO49" i="9"/>
  <c r="FR49" i="9"/>
  <c r="DP49" i="9"/>
  <c r="V49" i="9"/>
  <c r="HD49" i="9"/>
  <c r="FY49" i="9"/>
  <c r="IG49" i="9"/>
  <c r="IQ49" i="9"/>
  <c r="JI49" i="9"/>
  <c r="JB49" i="9"/>
  <c r="GV49" i="9"/>
  <c r="DK49" i="9"/>
  <c r="EF49" i="9"/>
  <c r="JE49" i="9"/>
  <c r="AI49" i="9"/>
  <c r="IY49" i="9"/>
  <c r="HP49" i="9"/>
  <c r="GJ49" i="9"/>
  <c r="GG49" i="9"/>
  <c r="BG49" i="9"/>
  <c r="BQ49" i="9"/>
  <c r="G51" i="9" l="1"/>
  <c r="M51" i="9" s="1"/>
  <c r="J51" i="9"/>
  <c r="K51" i="9" s="1"/>
  <c r="L51" i="9" s="1"/>
  <c r="X51" i="9"/>
  <c r="AA51" i="9"/>
  <c r="AC51" i="9"/>
  <c r="AD51" i="9"/>
  <c r="AE51" i="9"/>
  <c r="AH51" i="9"/>
  <c r="AI51" i="9"/>
  <c r="AJ51" i="9"/>
  <c r="AK51" i="9"/>
  <c r="AL51" i="9"/>
  <c r="AO51" i="9"/>
  <c r="AP51" i="9"/>
  <c r="AQ51" i="9"/>
  <c r="AR51" i="9"/>
  <c r="AS51" i="9"/>
  <c r="AV51" i="9"/>
  <c r="AW51" i="9"/>
  <c r="AX51" i="9"/>
  <c r="AY51" i="9"/>
  <c r="AZ51" i="9"/>
  <c r="BC51" i="9"/>
  <c r="BD51" i="9"/>
  <c r="BE51" i="9"/>
  <c r="BF51" i="9"/>
  <c r="BG51" i="9"/>
  <c r="BJ51" i="9"/>
  <c r="BK51" i="9"/>
  <c r="BL51" i="9"/>
  <c r="BM51" i="9"/>
  <c r="BN51" i="9"/>
  <c r="BQ51" i="9"/>
  <c r="BR51" i="9"/>
  <c r="BS51" i="9"/>
  <c r="BT51" i="9"/>
  <c r="BU51" i="9"/>
  <c r="BX51" i="9"/>
  <c r="BY51" i="9"/>
  <c r="BZ51" i="9"/>
  <c r="CA51" i="9"/>
  <c r="CB51" i="9"/>
  <c r="CE51" i="9"/>
  <c r="CF51" i="9"/>
  <c r="CG51" i="9"/>
  <c r="CH51" i="9"/>
  <c r="CI51" i="9"/>
  <c r="CL51" i="9"/>
  <c r="CM51" i="9"/>
  <c r="CN51" i="9"/>
  <c r="CO51" i="9"/>
  <c r="CP51" i="9"/>
  <c r="CS51" i="9"/>
  <c r="CT51" i="9"/>
  <c r="CU51" i="9"/>
  <c r="CV51" i="9"/>
  <c r="CW51" i="9"/>
  <c r="CZ51" i="9"/>
  <c r="DA51" i="9"/>
  <c r="DB51" i="9"/>
  <c r="DC51" i="9"/>
  <c r="DD51" i="9"/>
  <c r="DG51" i="9"/>
  <c r="DH51" i="9"/>
  <c r="DI51" i="9"/>
  <c r="DJ51" i="9"/>
  <c r="DK51" i="9"/>
  <c r="DN51" i="9"/>
  <c r="DO51" i="9"/>
  <c r="DP51" i="9"/>
  <c r="DQ51" i="9"/>
  <c r="DR51" i="9"/>
  <c r="DU51" i="9"/>
  <c r="DV51" i="9"/>
  <c r="DW51" i="9"/>
  <c r="DX51" i="9"/>
  <c r="DY51" i="9"/>
  <c r="EB51" i="9"/>
  <c r="EC51" i="9"/>
  <c r="ED51" i="9"/>
  <c r="EE51" i="9"/>
  <c r="EF51" i="9"/>
  <c r="EI51" i="9"/>
  <c r="EJ51" i="9"/>
  <c r="EK51" i="9"/>
  <c r="EL51" i="9"/>
  <c r="EM51" i="9"/>
  <c r="EP51" i="9"/>
  <c r="EQ51" i="9"/>
  <c r="ER51" i="9"/>
  <c r="ES51" i="9"/>
  <c r="ET51" i="9"/>
  <c r="EW51" i="9"/>
  <c r="EX51" i="9"/>
  <c r="EY51" i="9"/>
  <c r="EZ51" i="9"/>
  <c r="FA51" i="9"/>
  <c r="FD51" i="9"/>
  <c r="FE51" i="9"/>
  <c r="FF51" i="9"/>
  <c r="FG51" i="9"/>
  <c r="FH51" i="9"/>
  <c r="FK51" i="9"/>
  <c r="FL51" i="9"/>
  <c r="FM51" i="9"/>
  <c r="FN51" i="9"/>
  <c r="FO51" i="9"/>
  <c r="FR51" i="9"/>
  <c r="FS51" i="9"/>
  <c r="FT51" i="9"/>
  <c r="FU51" i="9"/>
  <c r="FV51" i="9"/>
  <c r="FY51" i="9"/>
  <c r="FZ51" i="9"/>
  <c r="GA51" i="9"/>
  <c r="GB51" i="9"/>
  <c r="GC51" i="9"/>
  <c r="GF51" i="9"/>
  <c r="GG51" i="9"/>
  <c r="GH51" i="9"/>
  <c r="GI51" i="9"/>
  <c r="GJ51" i="9"/>
  <c r="GM51" i="9"/>
  <c r="GN51" i="9"/>
  <c r="GO51" i="9"/>
  <c r="GP51" i="9"/>
  <c r="GQ51" i="9"/>
  <c r="GT51" i="9"/>
  <c r="GU51" i="9"/>
  <c r="GV51" i="9"/>
  <c r="GW51" i="9"/>
  <c r="GX51" i="9"/>
  <c r="HA51" i="9"/>
  <c r="HB51" i="9"/>
  <c r="HC51" i="9"/>
  <c r="HD51" i="9"/>
  <c r="HE51" i="9"/>
  <c r="HH51" i="9"/>
  <c r="HI51" i="9"/>
  <c r="HJ51" i="9"/>
  <c r="HK51" i="9"/>
  <c r="HL51" i="9"/>
  <c r="HO51" i="9"/>
  <c r="HP51" i="9"/>
  <c r="HQ51" i="9"/>
  <c r="HR51" i="9"/>
  <c r="HS51" i="9"/>
  <c r="HV51" i="9"/>
  <c r="HW51" i="9"/>
  <c r="HX51" i="9"/>
  <c r="HY51" i="9"/>
  <c r="HZ51" i="9"/>
  <c r="IC51" i="9"/>
  <c r="ID51" i="9"/>
  <c r="IE51" i="9"/>
  <c r="IF51" i="9"/>
  <c r="IG51" i="9"/>
  <c r="IJ51" i="9"/>
  <c r="IK51" i="9"/>
  <c r="IL51" i="9"/>
  <c r="IM51" i="9"/>
  <c r="IN51" i="9"/>
  <c r="IQ51" i="9"/>
  <c r="IR51" i="9"/>
  <c r="IS51" i="9"/>
  <c r="IT51" i="9"/>
  <c r="IU51" i="9"/>
  <c r="IX51" i="9"/>
  <c r="IY51" i="9"/>
  <c r="IZ51" i="9"/>
  <c r="JA51" i="9"/>
  <c r="JB51" i="9"/>
  <c r="JE51" i="9"/>
  <c r="JF51" i="9"/>
  <c r="JG51" i="9"/>
  <c r="JH51" i="9"/>
  <c r="JI51" i="9"/>
  <c r="G52" i="9"/>
  <c r="P52" i="9" s="1"/>
  <c r="J52" i="9"/>
  <c r="K52" i="9" s="1"/>
  <c r="L52" i="9" s="1"/>
  <c r="FM52" i="9"/>
  <c r="HS52" i="9"/>
  <c r="IL50" i="9"/>
  <c r="CF50" i="9"/>
  <c r="ES50" i="9"/>
  <c r="AY50" i="9"/>
  <c r="BX50" i="9"/>
  <c r="EI50" i="9"/>
  <c r="CW50" i="9"/>
  <c r="DQ50" i="9"/>
  <c r="CE50" i="9"/>
  <c r="Q50" i="9"/>
  <c r="DB50" i="9"/>
  <c r="U50" i="9"/>
  <c r="GW50" i="9"/>
  <c r="BG50" i="9"/>
  <c r="CG50" i="9"/>
  <c r="IY50" i="9"/>
  <c r="BN50" i="9"/>
  <c r="ID50" i="9"/>
  <c r="FT50" i="9"/>
  <c r="HW50" i="9"/>
  <c r="FE50" i="9"/>
  <c r="FY50" i="9"/>
  <c r="AR50" i="9"/>
  <c r="BS50" i="9"/>
  <c r="BQ50" i="9"/>
  <c r="JI50" i="9"/>
  <c r="GJ50" i="9"/>
  <c r="HC50" i="9"/>
  <c r="HH50" i="9"/>
  <c r="IS50" i="9"/>
  <c r="HZ50" i="9"/>
  <c r="BK50" i="9"/>
  <c r="BZ50" i="9"/>
  <c r="HB50" i="9"/>
  <c r="IJ50" i="9"/>
  <c r="HA50" i="9"/>
  <c r="AV50" i="9"/>
  <c r="GC50" i="9"/>
  <c r="HE50" i="9"/>
  <c r="M50" i="9"/>
  <c r="BE50" i="9"/>
  <c r="EM50" i="9"/>
  <c r="HL50" i="9"/>
  <c r="HR50" i="9"/>
  <c r="IX50" i="9"/>
  <c r="GM50" i="9"/>
  <c r="DV50" i="9"/>
  <c r="O50" i="9"/>
  <c r="ER50" i="9"/>
  <c r="FH50" i="9"/>
  <c r="IZ50" i="9"/>
  <c r="CM50" i="9"/>
  <c r="CZ50" i="9"/>
  <c r="GO50" i="9"/>
  <c r="P50" i="9"/>
  <c r="EW50" i="9"/>
  <c r="DC50" i="9"/>
  <c r="GF50" i="9"/>
  <c r="FN50" i="9"/>
  <c r="EC50" i="9"/>
  <c r="CP50" i="9"/>
  <c r="GX50" i="9"/>
  <c r="FR50" i="9"/>
  <c r="CT50" i="9"/>
  <c r="FD50" i="9"/>
  <c r="IC50" i="9"/>
  <c r="HY50" i="9"/>
  <c r="BM50" i="9"/>
  <c r="BY50" i="9"/>
  <c r="EJ50" i="9"/>
  <c r="GA50" i="9"/>
  <c r="FG50" i="9"/>
  <c r="DK50" i="9"/>
  <c r="JG50" i="9"/>
  <c r="HO50" i="9"/>
  <c r="JH50" i="9"/>
  <c r="BD50" i="9"/>
  <c r="T50" i="9"/>
  <c r="CN50" i="9"/>
  <c r="EP50" i="9"/>
  <c r="DP50" i="9"/>
  <c r="EE50" i="9"/>
  <c r="HJ50" i="9"/>
  <c r="FO50" i="9"/>
  <c r="AL50" i="9"/>
  <c r="JF50" i="9"/>
  <c r="CB50" i="9"/>
  <c r="DU50" i="9"/>
  <c r="ED50" i="9"/>
  <c r="N50" i="9"/>
  <c r="IT50" i="9"/>
  <c r="GB50" i="9"/>
  <c r="AP50" i="9"/>
  <c r="IU50" i="9"/>
  <c r="JE50" i="9"/>
  <c r="GU50" i="9"/>
  <c r="IG50" i="9"/>
  <c r="DD50" i="9"/>
  <c r="GH50" i="9"/>
  <c r="DN50" i="9"/>
  <c r="IF50" i="9"/>
  <c r="GN50" i="9"/>
  <c r="DG50" i="9"/>
  <c r="FL50" i="9"/>
  <c r="DY50" i="9"/>
  <c r="JA50" i="9"/>
  <c r="AH50" i="9"/>
  <c r="IN50" i="9"/>
  <c r="HD50" i="9"/>
  <c r="BT50" i="9"/>
  <c r="CS50" i="9"/>
  <c r="BF50" i="9"/>
  <c r="IR50" i="9"/>
  <c r="HI50" i="9"/>
  <c r="BU50" i="9"/>
  <c r="X50" i="9"/>
  <c r="CO50" i="9"/>
  <c r="DO50" i="9"/>
  <c r="CH50" i="9"/>
  <c r="DW50" i="9"/>
  <c r="AX50" i="9"/>
  <c r="CA50" i="9"/>
  <c r="DX50" i="9"/>
  <c r="FK50" i="9"/>
  <c r="GI50" i="9"/>
  <c r="AQ50" i="9"/>
  <c r="FV50" i="9"/>
  <c r="DR50" i="9"/>
  <c r="IK50" i="9"/>
  <c r="EZ50" i="9"/>
  <c r="GP50" i="9"/>
  <c r="AZ50" i="9"/>
  <c r="AE50" i="9"/>
  <c r="AC50" i="9"/>
  <c r="EK50" i="9"/>
  <c r="V50" i="9"/>
  <c r="AB50" i="9"/>
  <c r="IE50" i="9"/>
  <c r="FZ50" i="9"/>
  <c r="EX50" i="9"/>
  <c r="BL50" i="9"/>
  <c r="HQ50" i="9"/>
  <c r="EQ50" i="9"/>
  <c r="CL50" i="9"/>
  <c r="BR50" i="9"/>
  <c r="AJ50" i="9"/>
  <c r="FF50" i="9"/>
  <c r="AO50" i="9"/>
  <c r="AW50" i="9"/>
  <c r="AS50" i="9"/>
  <c r="GT50" i="9"/>
  <c r="AI50" i="9"/>
  <c r="FA50" i="9"/>
  <c r="FM50" i="9"/>
  <c r="HX50" i="9"/>
  <c r="AD50" i="9"/>
  <c r="FS50" i="9"/>
  <c r="EL50" i="9"/>
  <c r="BJ50" i="9"/>
  <c r="HV50" i="9"/>
  <c r="DI50" i="9"/>
  <c r="HS50" i="9"/>
  <c r="GG50" i="9"/>
  <c r="FU50" i="9"/>
  <c r="EY50" i="9"/>
  <c r="CU50" i="9"/>
  <c r="GV50" i="9"/>
  <c r="CV50" i="9"/>
  <c r="GQ50" i="9"/>
  <c r="W50" i="9"/>
  <c r="BC50" i="9"/>
  <c r="IQ50" i="9"/>
  <c r="ET50" i="9"/>
  <c r="HK50" i="9"/>
  <c r="AK50" i="9"/>
  <c r="JB50" i="9"/>
  <c r="CI50" i="9"/>
  <c r="EF50" i="9"/>
  <c r="EB50" i="9"/>
  <c r="DJ50" i="9"/>
  <c r="DH50" i="9"/>
  <c r="AA50" i="9"/>
  <c r="IM50" i="9"/>
  <c r="DA50" i="9"/>
  <c r="HP50" i="9"/>
  <c r="W51" i="9" l="1"/>
  <c r="JE52" i="9"/>
  <c r="GW52" i="9"/>
  <c r="EE52" i="9"/>
  <c r="U51" i="9"/>
  <c r="JA52" i="9"/>
  <c r="GQ52" i="9"/>
  <c r="CW52" i="9"/>
  <c r="IE52" i="9"/>
  <c r="FU52" i="9"/>
  <c r="JG52" i="9"/>
  <c r="IK52" i="9"/>
  <c r="HI52" i="9"/>
  <c r="GA52" i="9"/>
  <c r="EM52" i="9"/>
  <c r="BC52" i="9"/>
  <c r="T51" i="9"/>
  <c r="Q51" i="9"/>
  <c r="IQ52" i="9"/>
  <c r="HO52" i="9"/>
  <c r="GM52" i="9"/>
  <c r="EY52" i="9"/>
  <c r="CM52" i="9"/>
  <c r="IU52" i="9"/>
  <c r="HY52" i="9"/>
  <c r="HC52" i="9"/>
  <c r="GG52" i="9"/>
  <c r="FG52" i="9"/>
  <c r="DK52" i="9"/>
  <c r="AA52" i="9"/>
  <c r="AB51" i="9"/>
  <c r="V51" i="9"/>
  <c r="P51" i="9"/>
  <c r="IS52" i="9"/>
  <c r="IG52" i="9"/>
  <c r="HW52" i="9"/>
  <c r="HK52" i="9"/>
  <c r="HA52" i="9"/>
  <c r="GO52" i="9"/>
  <c r="GC52" i="9"/>
  <c r="FS52" i="9"/>
  <c r="FA52" i="9"/>
  <c r="EI52" i="9"/>
  <c r="DI52" i="9"/>
  <c r="BS52" i="9"/>
  <c r="O51" i="9"/>
  <c r="JI52" i="9"/>
  <c r="IY52" i="9"/>
  <c r="IM52" i="9"/>
  <c r="IC52" i="9"/>
  <c r="HQ52" i="9"/>
  <c r="HE52" i="9"/>
  <c r="GU52" i="9"/>
  <c r="GI52" i="9"/>
  <c r="FY52" i="9"/>
  <c r="FK52" i="9"/>
  <c r="ES52" i="9"/>
  <c r="DU52" i="9"/>
  <c r="CO52" i="9"/>
  <c r="AW52" i="9"/>
  <c r="FO52" i="9"/>
  <c r="FE52" i="9"/>
  <c r="EQ52" i="9"/>
  <c r="DW52" i="9"/>
  <c r="DA52" i="9"/>
  <c r="BY52" i="9"/>
  <c r="AE52" i="9"/>
  <c r="N51" i="9"/>
  <c r="EC52" i="9"/>
  <c r="DQ52" i="9"/>
  <c r="DG52" i="9"/>
  <c r="CU52" i="9"/>
  <c r="CI52" i="9"/>
  <c r="BM52" i="9"/>
  <c r="AQ52" i="9"/>
  <c r="U52" i="9"/>
  <c r="EW52" i="9"/>
  <c r="EK52" i="9"/>
  <c r="DY52" i="9"/>
  <c r="DO52" i="9"/>
  <c r="DC52" i="9"/>
  <c r="CS52" i="9"/>
  <c r="CE52" i="9"/>
  <c r="BG52" i="9"/>
  <c r="AK52" i="9"/>
  <c r="O52" i="9"/>
  <c r="JF52" i="9"/>
  <c r="IZ52" i="9"/>
  <c r="IT52" i="9"/>
  <c r="IN52" i="9"/>
  <c r="IJ52" i="9"/>
  <c r="ID52" i="9"/>
  <c r="HX52" i="9"/>
  <c r="HR52" i="9"/>
  <c r="HL52" i="9"/>
  <c r="HH52" i="9"/>
  <c r="HB52" i="9"/>
  <c r="GV52" i="9"/>
  <c r="GP52" i="9"/>
  <c r="GJ52" i="9"/>
  <c r="GF52" i="9"/>
  <c r="FZ52" i="9"/>
  <c r="FT52" i="9"/>
  <c r="FN52" i="9"/>
  <c r="FH52" i="9"/>
  <c r="FD52" i="9"/>
  <c r="EX52" i="9"/>
  <c r="ER52" i="9"/>
  <c r="EL52" i="9"/>
  <c r="EF52" i="9"/>
  <c r="EB52" i="9"/>
  <c r="DV52" i="9"/>
  <c r="DP52" i="9"/>
  <c r="DJ52" i="9"/>
  <c r="DD52" i="9"/>
  <c r="CZ52" i="9"/>
  <c r="CT52" i="9"/>
  <c r="CN52" i="9"/>
  <c r="CH52" i="9"/>
  <c r="CB52" i="9"/>
  <c r="BX52" i="9"/>
  <c r="BR52" i="9"/>
  <c r="BL52" i="9"/>
  <c r="BF52" i="9"/>
  <c r="AZ52" i="9"/>
  <c r="AV52" i="9"/>
  <c r="AP52" i="9"/>
  <c r="AJ52" i="9"/>
  <c r="AD52" i="9"/>
  <c r="X52" i="9"/>
  <c r="T52" i="9"/>
  <c r="N52" i="9"/>
  <c r="CG52" i="9"/>
  <c r="CA52" i="9"/>
  <c r="BU52" i="9"/>
  <c r="BQ52" i="9"/>
  <c r="BK52" i="9"/>
  <c r="BE52" i="9"/>
  <c r="AY52" i="9"/>
  <c r="AS52" i="9"/>
  <c r="AO52" i="9"/>
  <c r="AI52" i="9"/>
  <c r="AC52" i="9"/>
  <c r="W52" i="9"/>
  <c r="Q52" i="9"/>
  <c r="M52" i="9"/>
  <c r="JH52" i="9"/>
  <c r="JB52" i="9"/>
  <c r="IX52" i="9"/>
  <c r="IR52" i="9"/>
  <c r="IL52" i="9"/>
  <c r="IF52" i="9"/>
  <c r="HZ52" i="9"/>
  <c r="HV52" i="9"/>
  <c r="HP52" i="9"/>
  <c r="HJ52" i="9"/>
  <c r="HD52" i="9"/>
  <c r="GX52" i="9"/>
  <c r="GT52" i="9"/>
  <c r="GN52" i="9"/>
  <c r="GH52" i="9"/>
  <c r="GB52" i="9"/>
  <c r="FV52" i="9"/>
  <c r="FR52" i="9"/>
  <c r="FL52" i="9"/>
  <c r="FF52" i="9"/>
  <c r="EZ52" i="9"/>
  <c r="ET52" i="9"/>
  <c r="EP52" i="9"/>
  <c r="EJ52" i="9"/>
  <c r="ED52" i="9"/>
  <c r="DX52" i="9"/>
  <c r="DR52" i="9"/>
  <c r="DN52" i="9"/>
  <c r="DH52" i="9"/>
  <c r="DB52" i="9"/>
  <c r="CV52" i="9"/>
  <c r="CP52" i="9"/>
  <c r="CL52" i="9"/>
  <c r="CF52" i="9"/>
  <c r="BZ52" i="9"/>
  <c r="BT52" i="9"/>
  <c r="BN52" i="9"/>
  <c r="BJ52" i="9"/>
  <c r="BD52" i="9"/>
  <c r="AX52" i="9"/>
  <c r="AR52" i="9"/>
  <c r="AL52" i="9"/>
  <c r="AH52" i="9"/>
  <c r="AB52" i="9"/>
  <c r="V52" i="9"/>
  <c r="F53" i="9"/>
  <c r="J53" i="9" s="1"/>
  <c r="K53" i="9" s="1"/>
  <c r="L53" i="9" s="1"/>
  <c r="G53" i="9" l="1"/>
  <c r="F54" i="9" s="1"/>
  <c r="J54" i="9" s="1"/>
  <c r="K54" i="9" s="1"/>
  <c r="L54" i="9" s="1"/>
  <c r="GM53" i="9" l="1"/>
  <c r="ER53" i="9"/>
  <c r="DK53" i="9"/>
  <c r="HR53" i="9"/>
  <c r="GV53" i="9"/>
  <c r="HE53" i="9"/>
  <c r="IK53" i="9"/>
  <c r="CI53" i="9"/>
  <c r="HX53" i="9"/>
  <c r="IG53" i="9"/>
  <c r="DJ53" i="9"/>
  <c r="BL53" i="9"/>
  <c r="GF53" i="9"/>
  <c r="V53" i="9"/>
  <c r="DC53" i="9"/>
  <c r="DV53" i="9"/>
  <c r="CF53" i="9"/>
  <c r="CG53" i="9"/>
  <c r="DW53" i="9"/>
  <c r="ET53" i="9"/>
  <c r="AK53" i="9"/>
  <c r="CV53" i="9"/>
  <c r="HK53" i="9"/>
  <c r="O53" i="9"/>
  <c r="HV53" i="9"/>
  <c r="JH53" i="9"/>
  <c r="FL53" i="9"/>
  <c r="EZ53" i="9"/>
  <c r="AJ53" i="9"/>
  <c r="FH53" i="9"/>
  <c r="CB53" i="9"/>
  <c r="HP53" i="9"/>
  <c r="CO53" i="9"/>
  <c r="FV53" i="9"/>
  <c r="AY53" i="9"/>
  <c r="W53" i="9"/>
  <c r="EY53" i="9"/>
  <c r="ED53" i="9"/>
  <c r="CH53" i="9"/>
  <c r="HC53" i="9"/>
  <c r="FM53" i="9"/>
  <c r="EQ53" i="9"/>
  <c r="CW53" i="9"/>
  <c r="AR53" i="9"/>
  <c r="IY53" i="9"/>
  <c r="JI53" i="9"/>
  <c r="AI53" i="9"/>
  <c r="BE53" i="9"/>
  <c r="GP53" i="9"/>
  <c r="BT53" i="9"/>
  <c r="BS53" i="9"/>
  <c r="DQ53" i="9"/>
  <c r="CA53" i="9"/>
  <c r="AC53" i="9"/>
  <c r="BN53" i="9"/>
  <c r="EJ53" i="9"/>
  <c r="IL53" i="9"/>
  <c r="DR53" i="9"/>
  <c r="FK53" i="9"/>
  <c r="X53" i="9"/>
  <c r="AS53" i="9"/>
  <c r="IQ53" i="9"/>
  <c r="FN53" i="9"/>
  <c r="IZ53" i="9"/>
  <c r="GC53" i="9"/>
  <c r="BJ53" i="9"/>
  <c r="HJ53" i="9"/>
  <c r="U53" i="9"/>
  <c r="HS53" i="9"/>
  <c r="GN53" i="9"/>
  <c r="EF53" i="9"/>
  <c r="IX53" i="9"/>
  <c r="JF53" i="9"/>
  <c r="M53" i="9"/>
  <c r="T53" i="9"/>
  <c r="IM53" i="9"/>
  <c r="HW53" i="9"/>
  <c r="CP53" i="9"/>
  <c r="GQ53" i="9"/>
  <c r="AO53" i="9"/>
  <c r="GT53" i="9"/>
  <c r="IU53" i="9"/>
  <c r="IC53" i="9"/>
  <c r="FD53" i="9"/>
  <c r="CS53" i="9"/>
  <c r="JG53" i="9"/>
  <c r="EL53" i="9"/>
  <c r="HI53" i="9"/>
  <c r="ES53" i="9"/>
  <c r="DH53" i="9"/>
  <c r="HA53" i="9"/>
  <c r="BX53" i="9"/>
  <c r="AH53" i="9"/>
  <c r="GH53" i="9"/>
  <c r="IR53" i="9"/>
  <c r="BM53" i="9"/>
  <c r="FA53" i="9"/>
  <c r="EM53" i="9"/>
  <c r="ID53" i="9"/>
  <c r="AZ53" i="9"/>
  <c r="JE53" i="9"/>
  <c r="BC53" i="9"/>
  <c r="FR53" i="9"/>
  <c r="HB53" i="9"/>
  <c r="IF53" i="9"/>
  <c r="AE53" i="9"/>
  <c r="DU53" i="9"/>
  <c r="BD53" i="9"/>
  <c r="GX53" i="9"/>
  <c r="DN53" i="9"/>
  <c r="EK53" i="9"/>
  <c r="DP53" i="9"/>
  <c r="CL53" i="9"/>
  <c r="DD53" i="9"/>
  <c r="AV53" i="9"/>
  <c r="HY53" i="9"/>
  <c r="IT53" i="9"/>
  <c r="DO53" i="9"/>
  <c r="FT53" i="9"/>
  <c r="DY53" i="9"/>
  <c r="IS53" i="9"/>
  <c r="FG53" i="9"/>
  <c r="DB53" i="9"/>
  <c r="HL53" i="9"/>
  <c r="DG53" i="9"/>
  <c r="AL53" i="9"/>
  <c r="P53" i="9"/>
  <c r="BG53" i="9"/>
  <c r="FO53" i="9"/>
  <c r="AX53" i="9"/>
  <c r="JB53" i="9"/>
  <c r="AP53" i="9"/>
  <c r="FU53" i="9"/>
  <c r="DI53" i="9"/>
  <c r="CE53" i="9"/>
  <c r="HD53" i="9"/>
  <c r="EP53" i="9"/>
  <c r="DX53" i="9"/>
  <c r="Q53" i="9"/>
  <c r="GI53" i="9"/>
  <c r="GB53" i="9"/>
  <c r="AA53" i="9"/>
  <c r="HO53" i="9"/>
  <c r="EE53" i="9"/>
  <c r="CT53" i="9"/>
  <c r="CM53" i="9"/>
  <c r="JA53" i="9"/>
  <c r="FS53" i="9"/>
  <c r="EI53" i="9"/>
  <c r="GJ53" i="9"/>
  <c r="IN53" i="9"/>
  <c r="N53" i="9"/>
  <c r="GA53" i="9"/>
  <c r="FF53" i="9"/>
  <c r="AD53" i="9"/>
  <c r="GG53" i="9"/>
  <c r="BQ53" i="9"/>
  <c r="CU53" i="9"/>
  <c r="EC53" i="9"/>
  <c r="IJ53" i="9"/>
  <c r="DA53" i="9"/>
  <c r="HQ53" i="9"/>
  <c r="AB53" i="9"/>
  <c r="FY53" i="9"/>
  <c r="G54" i="9"/>
  <c r="F55" i="9" s="1"/>
  <c r="J55" i="9" s="1"/>
  <c r="K55" i="9" s="1"/>
  <c r="L55" i="9" s="1"/>
  <c r="BR53" i="9"/>
  <c r="AW53" i="9"/>
  <c r="HH53" i="9"/>
  <c r="AQ53" i="9"/>
  <c r="BU53" i="9"/>
  <c r="GW53" i="9"/>
  <c r="CZ53" i="9"/>
  <c r="GO53" i="9"/>
  <c r="CN53" i="9"/>
  <c r="BK53" i="9"/>
  <c r="FE53" i="9"/>
  <c r="FZ53" i="9"/>
  <c r="EB53" i="9"/>
  <c r="EX53" i="9"/>
  <c r="IE53" i="9"/>
  <c r="HZ53" i="9"/>
  <c r="BZ53" i="9"/>
  <c r="GU53" i="9"/>
  <c r="EW53" i="9"/>
  <c r="BF53" i="9"/>
  <c r="BY53" i="9"/>
  <c r="JI54" i="9" l="1"/>
  <c r="FR54" i="9"/>
  <c r="BJ54" i="9"/>
  <c r="DW54" i="9"/>
  <c r="DN54" i="9"/>
  <c r="HP54" i="9"/>
  <c r="IG54" i="9"/>
  <c r="GB54" i="9"/>
  <c r="FO54" i="9"/>
  <c r="FY54" i="9"/>
  <c r="JA54" i="9"/>
  <c r="AZ54" i="9"/>
  <c r="EW54" i="9"/>
  <c r="BX54" i="9"/>
  <c r="FN54" i="9"/>
  <c r="CT54" i="9"/>
  <c r="DU54" i="9"/>
  <c r="IX54" i="9"/>
  <c r="BM54" i="9"/>
  <c r="DB54" i="9"/>
  <c r="FA54" i="9"/>
  <c r="CB54" i="9"/>
  <c r="BU54" i="9"/>
  <c r="HK54" i="9"/>
  <c r="BQ54" i="9"/>
  <c r="Q54" i="9"/>
  <c r="ID54" i="9"/>
  <c r="AP54" i="9"/>
  <c r="BZ54" i="9"/>
  <c r="X54" i="9"/>
  <c r="IM54" i="9"/>
  <c r="HJ54" i="9"/>
  <c r="BG54" i="9"/>
  <c r="DV54" i="9"/>
  <c r="JF54" i="9"/>
  <c r="AO54" i="9"/>
  <c r="V54" i="9"/>
  <c r="CZ54" i="9"/>
  <c r="GT54" i="9"/>
  <c r="GQ54" i="9"/>
  <c r="CF54" i="9"/>
  <c r="AD54" i="9"/>
  <c r="BF54" i="9"/>
  <c r="DJ54" i="9"/>
  <c r="DC54" i="9"/>
  <c r="GA54" i="9"/>
  <c r="CN54" i="9"/>
  <c r="AY54" i="9"/>
  <c r="CU54" i="9"/>
  <c r="DA54" i="9"/>
  <c r="EC54" i="9"/>
  <c r="FS54" i="9"/>
  <c r="CS54" i="9"/>
  <c r="FM54" i="9"/>
  <c r="CI54" i="9"/>
  <c r="FD54" i="9"/>
  <c r="JH54" i="9"/>
  <c r="JG54" i="9"/>
  <c r="DK54" i="9"/>
  <c r="HD54" i="9"/>
  <c r="BS54" i="9"/>
  <c r="CG54" i="9"/>
  <c r="IU54" i="9"/>
  <c r="HS54" i="9"/>
  <c r="ES54" i="9"/>
  <c r="P54" i="9"/>
  <c r="AI54" i="9"/>
  <c r="ER54" i="9"/>
  <c r="CP54" i="9"/>
  <c r="EP54" i="9"/>
  <c r="CW54" i="9"/>
  <c r="AB54" i="9"/>
  <c r="U54" i="9"/>
  <c r="M54" i="9"/>
  <c r="HA54" i="9"/>
  <c r="EB54" i="9"/>
  <c r="GX54" i="9"/>
  <c r="BY54" i="9"/>
  <c r="DO54" i="9"/>
  <c r="HX54" i="9"/>
  <c r="AA54" i="9"/>
  <c r="AK54" i="9"/>
  <c r="IN54" i="9"/>
  <c r="DX54" i="9"/>
  <c r="GJ54" i="9"/>
  <c r="IQ54" i="9"/>
  <c r="BK54" i="9"/>
  <c r="IR54" i="9"/>
  <c r="BE54" i="9"/>
  <c r="AH54" i="9"/>
  <c r="GG54" i="9"/>
  <c r="HZ54" i="9"/>
  <c r="GU54" i="9"/>
  <c r="GI54" i="9"/>
  <c r="HL54" i="9"/>
  <c r="CL54" i="9"/>
  <c r="DH54" i="9"/>
  <c r="AS54" i="9"/>
  <c r="HH54" i="9"/>
  <c r="HO54" i="9"/>
  <c r="CO54" i="9"/>
  <c r="EK54" i="9"/>
  <c r="EJ54" i="9"/>
  <c r="DD54" i="9"/>
  <c r="EE54" i="9"/>
  <c r="IE54" i="9"/>
  <c r="JE54" i="9"/>
  <c r="O54" i="9"/>
  <c r="HB54" i="9"/>
  <c r="CV54" i="9"/>
  <c r="GC54" i="9"/>
  <c r="AC54" i="9"/>
  <c r="EY54" i="9"/>
  <c r="HY54" i="9"/>
  <c r="AV54" i="9"/>
  <c r="AJ54" i="9"/>
  <c r="N54" i="9"/>
  <c r="FK54" i="9"/>
  <c r="DY54" i="9"/>
  <c r="IZ54" i="9"/>
  <c r="BT54" i="9"/>
  <c r="ED54" i="9"/>
  <c r="IT54" i="9"/>
  <c r="HR54" i="9"/>
  <c r="EM54" i="9"/>
  <c r="FU54" i="9"/>
  <c r="AR54" i="9"/>
  <c r="HE54" i="9"/>
  <c r="BD54" i="9"/>
  <c r="IY54" i="9"/>
  <c r="CH54" i="9"/>
  <c r="HV54" i="9"/>
  <c r="JB54" i="9"/>
  <c r="EF54" i="9"/>
  <c r="AE54" i="9"/>
  <c r="EQ54" i="9"/>
  <c r="AW54" i="9"/>
  <c r="GN54" i="9"/>
  <c r="ET54" i="9"/>
  <c r="HQ54" i="9"/>
  <c r="GM54" i="9"/>
  <c r="DP54" i="9"/>
  <c r="FH54" i="9"/>
  <c r="GH54" i="9"/>
  <c r="DQ54" i="9"/>
  <c r="HI54" i="9"/>
  <c r="DR54" i="9"/>
  <c r="FL54" i="9"/>
  <c r="EZ54" i="9"/>
  <c r="W54" i="9"/>
  <c r="GV54" i="9"/>
  <c r="FF54" i="9"/>
  <c r="GP54" i="9"/>
  <c r="CA54" i="9"/>
  <c r="AQ54" i="9"/>
  <c r="EL54" i="9"/>
  <c r="BR54" i="9"/>
  <c r="FZ54" i="9"/>
  <c r="GF54" i="9"/>
  <c r="IC54" i="9"/>
  <c r="GO54" i="9"/>
  <c r="FT54" i="9"/>
  <c r="BC54" i="9"/>
  <c r="IK54" i="9"/>
  <c r="HW54" i="9"/>
  <c r="AL54" i="9"/>
  <c r="IL54" i="9"/>
  <c r="BL54" i="9"/>
  <c r="DG54" i="9"/>
  <c r="CM54" i="9"/>
  <c r="FV54" i="9"/>
  <c r="HC54" i="9"/>
  <c r="IF54" i="9"/>
  <c r="GW54" i="9"/>
  <c r="CE54" i="9"/>
  <c r="G55" i="9"/>
  <c r="F56" i="9" s="1"/>
  <c r="J56" i="9" s="1"/>
  <c r="K56" i="9" s="1"/>
  <c r="L56" i="9" s="1"/>
  <c r="IJ54" i="9"/>
  <c r="BN54" i="9"/>
  <c r="FE54" i="9"/>
  <c r="T54" i="9"/>
  <c r="FG54" i="9"/>
  <c r="EI54" i="9"/>
  <c r="DI54" i="9"/>
  <c r="IS54" i="9"/>
  <c r="AX54" i="9"/>
  <c r="EX54" i="9"/>
  <c r="JE55" i="9" l="1"/>
  <c r="BF55" i="9"/>
  <c r="ID55" i="9"/>
  <c r="IR55" i="9"/>
  <c r="DV55" i="9"/>
  <c r="DP55" i="9"/>
  <c r="EE55" i="9"/>
  <c r="HA55" i="9"/>
  <c r="FZ55" i="9"/>
  <c r="BL55" i="9"/>
  <c r="IF55" i="9"/>
  <c r="O55" i="9"/>
  <c r="ET55" i="9"/>
  <c r="EM55" i="9"/>
  <c r="AA55" i="9"/>
  <c r="FN55" i="9"/>
  <c r="BE55" i="9"/>
  <c r="HV55" i="9"/>
  <c r="GQ55" i="9"/>
  <c r="DG55" i="9"/>
  <c r="HC55" i="9"/>
  <c r="GM55" i="9"/>
  <c r="P55" i="9"/>
  <c r="ER55" i="9"/>
  <c r="GO55" i="9"/>
  <c r="EK55" i="9"/>
  <c r="CZ55" i="9"/>
  <c r="BT55" i="9"/>
  <c r="HQ55" i="9"/>
  <c r="BS55" i="9"/>
  <c r="GP55" i="9"/>
  <c r="DW55" i="9"/>
  <c r="EQ55" i="9"/>
  <c r="FL55" i="9"/>
  <c r="JI55" i="9"/>
  <c r="EX55" i="9"/>
  <c r="DJ55" i="9"/>
  <c r="GV55" i="9"/>
  <c r="AY55" i="9"/>
  <c r="FE55" i="9"/>
  <c r="U55" i="9"/>
  <c r="GW55" i="9"/>
  <c r="CL55" i="9"/>
  <c r="FV55" i="9"/>
  <c r="ES55" i="9"/>
  <c r="AL55" i="9"/>
  <c r="EC55" i="9"/>
  <c r="GJ55" i="9"/>
  <c r="Q55" i="9"/>
  <c r="EL55" i="9"/>
  <c r="HE55" i="9"/>
  <c r="GI55" i="9"/>
  <c r="HH55" i="9"/>
  <c r="EP55" i="9"/>
  <c r="AH55" i="9"/>
  <c r="HZ55" i="9"/>
  <c r="BQ55" i="9"/>
  <c r="GN55" i="9"/>
  <c r="FU55" i="9"/>
  <c r="HO55" i="9"/>
  <c r="CG55" i="9"/>
  <c r="AW55" i="9"/>
  <c r="CI55" i="9"/>
  <c r="CM55" i="9"/>
  <c r="CS55" i="9"/>
  <c r="EF55" i="9"/>
  <c r="GX55" i="9"/>
  <c r="EY55" i="9"/>
  <c r="FH55" i="9"/>
  <c r="EI55" i="9"/>
  <c r="HI55" i="9"/>
  <c r="DQ55" i="9"/>
  <c r="DB55" i="9"/>
  <c r="AQ55" i="9"/>
  <c r="AP55" i="9"/>
  <c r="AE55" i="9"/>
  <c r="CT55" i="9"/>
  <c r="DD55" i="9"/>
  <c r="BD55" i="9"/>
  <c r="EW55" i="9"/>
  <c r="CB55" i="9"/>
  <c r="AZ55" i="9"/>
  <c r="EJ55" i="9"/>
  <c r="BY55" i="9"/>
  <c r="FG55" i="9"/>
  <c r="DO55" i="9"/>
  <c r="DY55" i="9"/>
  <c r="FY55" i="9"/>
  <c r="AX55" i="9"/>
  <c r="CU55" i="9"/>
  <c r="IJ55" i="9"/>
  <c r="BG55" i="9"/>
  <c r="IE55" i="9"/>
  <c r="IZ55" i="9"/>
  <c r="BR55" i="9"/>
  <c r="ED55" i="9"/>
  <c r="HY55" i="9"/>
  <c r="CE55" i="9"/>
  <c r="AK55" i="9"/>
  <c r="GC55" i="9"/>
  <c r="HX55" i="9"/>
  <c r="IK55" i="9"/>
  <c r="HL55" i="9"/>
  <c r="CN55" i="9"/>
  <c r="IM55" i="9"/>
  <c r="BK55" i="9"/>
  <c r="IS55" i="9"/>
  <c r="FT55" i="9"/>
  <c r="FK55" i="9"/>
  <c r="AV55" i="9"/>
  <c r="V55" i="9"/>
  <c r="FD55" i="9"/>
  <c r="CP55" i="9"/>
  <c r="GH55" i="9"/>
  <c r="JH55" i="9"/>
  <c r="IU55" i="9"/>
  <c r="M55" i="9"/>
  <c r="EB55" i="9"/>
  <c r="AC55" i="9"/>
  <c r="IL55" i="9"/>
  <c r="GF55" i="9"/>
  <c r="DN55" i="9"/>
  <c r="CW55" i="9"/>
  <c r="IX55" i="9"/>
  <c r="AI55" i="9"/>
  <c r="HD55" i="9"/>
  <c r="HB55" i="9"/>
  <c r="FO55" i="9"/>
  <c r="IG55" i="9"/>
  <c r="AJ55" i="9"/>
  <c r="GB55" i="9"/>
  <c r="CA55" i="9"/>
  <c r="BZ55" i="9"/>
  <c r="HS55" i="9"/>
  <c r="FF55" i="9"/>
  <c r="GU55" i="9"/>
  <c r="IY55" i="9"/>
  <c r="HR55" i="9"/>
  <c r="DX55" i="9"/>
  <c r="HW55" i="9"/>
  <c r="AD55" i="9"/>
  <c r="AS55" i="9"/>
  <c r="AR55" i="9"/>
  <c r="AB55" i="9"/>
  <c r="IN55" i="9"/>
  <c r="FR55" i="9"/>
  <c r="BC55" i="9"/>
  <c r="GT55" i="9"/>
  <c r="HJ55" i="9"/>
  <c r="BN55" i="9"/>
  <c r="JA55" i="9"/>
  <c r="BM55" i="9"/>
  <c r="HP55" i="9"/>
  <c r="BJ55" i="9"/>
  <c r="CO55" i="9"/>
  <c r="DR55" i="9"/>
  <c r="JB55" i="9"/>
  <c r="DI55" i="9"/>
  <c r="W55" i="9"/>
  <c r="DK55" i="9"/>
  <c r="DU55" i="9"/>
  <c r="IC55" i="9"/>
  <c r="T55" i="9"/>
  <c r="GA55" i="9"/>
  <c r="HK55" i="9"/>
  <c r="IQ55" i="9"/>
  <c r="AO55" i="9"/>
  <c r="IT55" i="9"/>
  <c r="FA55" i="9"/>
  <c r="JF55" i="9"/>
  <c r="JG55" i="9"/>
  <c r="GG55" i="9"/>
  <c r="CV55" i="9"/>
  <c r="DH55" i="9"/>
  <c r="FS55" i="9"/>
  <c r="DC55" i="9"/>
  <c r="EZ55" i="9"/>
  <c r="DA55" i="9"/>
  <c r="BU55" i="9"/>
  <c r="BX55" i="9"/>
  <c r="CF55" i="9"/>
  <c r="FM55" i="9"/>
  <c r="CH55" i="9"/>
  <c r="N55" i="9"/>
  <c r="X55" i="9"/>
  <c r="G56" i="9"/>
  <c r="F57" i="9" s="1"/>
  <c r="J57" i="9" s="1"/>
  <c r="K57" i="9" s="1"/>
  <c r="L57" i="9" s="1"/>
  <c r="CG56" i="9" l="1"/>
  <c r="DH56" i="9"/>
  <c r="O56" i="9"/>
  <c r="AI56" i="9"/>
  <c r="FE56" i="9"/>
  <c r="EW56" i="9"/>
  <c r="BM56" i="9"/>
  <c r="BK56" i="9"/>
  <c r="GU56" i="9"/>
  <c r="FY56" i="9"/>
  <c r="DU56" i="9"/>
  <c r="AB56" i="9"/>
  <c r="AJ56" i="9"/>
  <c r="EZ56" i="9"/>
  <c r="HL56" i="9"/>
  <c r="W56" i="9"/>
  <c r="FG56" i="9"/>
  <c r="BQ56" i="9"/>
  <c r="AY56" i="9"/>
  <c r="AC56" i="9"/>
  <c r="CZ56" i="9"/>
  <c r="HO56" i="9"/>
  <c r="BE56" i="9"/>
  <c r="AO56" i="9"/>
  <c r="IF56" i="9"/>
  <c r="HI56" i="9"/>
  <c r="DR56" i="9"/>
  <c r="GA56" i="9"/>
  <c r="BG56" i="9"/>
  <c r="FZ56" i="9"/>
  <c r="EM56" i="9"/>
  <c r="FU56" i="9"/>
  <c r="IR56" i="9"/>
  <c r="EX56" i="9"/>
  <c r="GX56" i="9"/>
  <c r="FN56" i="9"/>
  <c r="ID56" i="9"/>
  <c r="GH56" i="9"/>
  <c r="GG56" i="9"/>
  <c r="CI56" i="9"/>
  <c r="GN56" i="9"/>
  <c r="JB56" i="9"/>
  <c r="CM56" i="9"/>
  <c r="GO56" i="9"/>
  <c r="IT56" i="9"/>
  <c r="DN56" i="9"/>
  <c r="HC56" i="9"/>
  <c r="EP56" i="9"/>
  <c r="JF56" i="9"/>
  <c r="IX56" i="9"/>
  <c r="FR56" i="9"/>
  <c r="GI56" i="9"/>
  <c r="GM56" i="9"/>
  <c r="AR56" i="9"/>
  <c r="GW56" i="9"/>
  <c r="GB56" i="9"/>
  <c r="ER56" i="9"/>
  <c r="CE56" i="9"/>
  <c r="AS56" i="9"/>
  <c r="BD56" i="9"/>
  <c r="HJ56" i="9"/>
  <c r="V56" i="9"/>
  <c r="BF56" i="9"/>
  <c r="IS56" i="9"/>
  <c r="DA56" i="9"/>
  <c r="BZ56" i="9"/>
  <c r="AE56" i="9"/>
  <c r="DO56" i="9"/>
  <c r="FH56" i="9"/>
  <c r="GQ56" i="9"/>
  <c r="FS56" i="9"/>
  <c r="N56" i="9"/>
  <c r="GF56" i="9"/>
  <c r="BY56" i="9"/>
  <c r="X56" i="9"/>
  <c r="FT56" i="9"/>
  <c r="AD56" i="9"/>
  <c r="DX56" i="9"/>
  <c r="GJ56" i="9"/>
  <c r="FM56" i="9"/>
  <c r="HZ56" i="9"/>
  <c r="HA56" i="9"/>
  <c r="IJ56" i="9"/>
  <c r="IM56" i="9"/>
  <c r="AV56" i="9"/>
  <c r="AP56" i="9"/>
  <c r="FA56" i="9"/>
  <c r="CW56" i="9"/>
  <c r="ED56" i="9"/>
  <c r="BL56" i="9"/>
  <c r="DB56" i="9"/>
  <c r="HH56" i="9"/>
  <c r="AH56" i="9"/>
  <c r="HP56" i="9"/>
  <c r="BT56" i="9"/>
  <c r="IZ56" i="9"/>
  <c r="CU56" i="9"/>
  <c r="AW56" i="9"/>
  <c r="BR56" i="9"/>
  <c r="HB56" i="9"/>
  <c r="JA56" i="9"/>
  <c r="BN56" i="9"/>
  <c r="HD56" i="9"/>
  <c r="T56" i="9"/>
  <c r="GV56" i="9"/>
  <c r="IU56" i="9"/>
  <c r="FF56" i="9"/>
  <c r="AZ56" i="9"/>
  <c r="JG56" i="9"/>
  <c r="Q56" i="9"/>
  <c r="JE56" i="9"/>
  <c r="CV56" i="9"/>
  <c r="JH56" i="9"/>
  <c r="IK56" i="9"/>
  <c r="FV56" i="9"/>
  <c r="CT56" i="9"/>
  <c r="DQ56" i="9"/>
  <c r="EE56" i="9"/>
  <c r="JI56" i="9"/>
  <c r="IG56" i="9"/>
  <c r="GT56" i="9"/>
  <c r="CF56" i="9"/>
  <c r="BC56" i="9"/>
  <c r="IE56" i="9"/>
  <c r="CL56" i="9"/>
  <c r="DC56" i="9"/>
  <c r="EB56" i="9"/>
  <c r="HY56" i="9"/>
  <c r="EC56" i="9"/>
  <c r="BJ56" i="9"/>
  <c r="CS56" i="9"/>
  <c r="DG56" i="9"/>
  <c r="EF56" i="9"/>
  <c r="CN56" i="9"/>
  <c r="DY56" i="9"/>
  <c r="BU56" i="9"/>
  <c r="IY56" i="9"/>
  <c r="HR56" i="9"/>
  <c r="G57" i="9"/>
  <c r="F58" i="9" s="1"/>
  <c r="J58" i="9" s="1"/>
  <c r="K58" i="9" s="1"/>
  <c r="L58" i="9" s="1"/>
  <c r="AK56" i="9"/>
  <c r="EY56" i="9"/>
  <c r="CP56" i="9"/>
  <c r="GP56" i="9"/>
  <c r="DJ56" i="9"/>
  <c r="FD56" i="9"/>
  <c r="HX56" i="9"/>
  <c r="IN56" i="9"/>
  <c r="U56" i="9"/>
  <c r="DD56" i="9"/>
  <c r="CH56" i="9"/>
  <c r="DK56" i="9"/>
  <c r="M56" i="9"/>
  <c r="AQ56" i="9"/>
  <c r="AL56" i="9"/>
  <c r="HK56" i="9"/>
  <c r="CB56" i="9"/>
  <c r="EI56" i="9"/>
  <c r="CO56" i="9"/>
  <c r="DW56" i="9"/>
  <c r="GC56" i="9"/>
  <c r="FK56" i="9"/>
  <c r="ET56" i="9"/>
  <c r="HV56" i="9"/>
  <c r="DI56" i="9"/>
  <c r="IC56" i="9"/>
  <c r="HW56" i="9"/>
  <c r="HE56" i="9"/>
  <c r="ES56" i="9"/>
  <c r="BS56" i="9"/>
  <c r="BX56" i="9"/>
  <c r="AA56" i="9"/>
  <c r="CA56" i="9"/>
  <c r="HQ56" i="9"/>
  <c r="IL56" i="9"/>
  <c r="EK56" i="9"/>
  <c r="AX56" i="9"/>
  <c r="EQ56" i="9"/>
  <c r="DV56" i="9"/>
  <c r="HS56" i="9"/>
  <c r="FL56" i="9"/>
  <c r="EL56" i="9"/>
  <c r="IQ56" i="9"/>
  <c r="P56" i="9"/>
  <c r="DP56" i="9"/>
  <c r="EJ56" i="9"/>
  <c r="FO56" i="9"/>
  <c r="HI57" i="9" l="1"/>
  <c r="HK57" i="9"/>
  <c r="BE57" i="9"/>
  <c r="CA57" i="9"/>
  <c r="AW57" i="9"/>
  <c r="HD57" i="9"/>
  <c r="CG57" i="9"/>
  <c r="FE57" i="9"/>
  <c r="T57" i="9"/>
  <c r="DQ57" i="9"/>
  <c r="IS57" i="9"/>
  <c r="BY57" i="9"/>
  <c r="ID57" i="9"/>
  <c r="EX57" i="9"/>
  <c r="GP57" i="9"/>
  <c r="HP57" i="9"/>
  <c r="HO57" i="9"/>
  <c r="GT57" i="9"/>
  <c r="HQ57" i="9"/>
  <c r="IJ57" i="9"/>
  <c r="BC57" i="9"/>
  <c r="GX57" i="9"/>
  <c r="BT57" i="9"/>
  <c r="BL57" i="9"/>
  <c r="DR57" i="9"/>
  <c r="AE57" i="9"/>
  <c r="AB57" i="9"/>
  <c r="GC57" i="9"/>
  <c r="JH57" i="9"/>
  <c r="HY57" i="9"/>
  <c r="HA57" i="9"/>
  <c r="HV57" i="9"/>
  <c r="BJ57" i="9"/>
  <c r="IU57" i="9"/>
  <c r="FN57" i="9"/>
  <c r="HC57" i="9"/>
  <c r="GM57" i="9"/>
  <c r="IT57" i="9"/>
  <c r="DH57" i="9"/>
  <c r="HR57" i="9"/>
  <c r="EP57" i="9"/>
  <c r="AD57" i="9"/>
  <c r="IN57" i="9"/>
  <c r="IC57" i="9"/>
  <c r="DU57" i="9"/>
  <c r="GB57" i="9"/>
  <c r="HX57" i="9"/>
  <c r="HZ57" i="9"/>
  <c r="FF57" i="9"/>
  <c r="V57" i="9"/>
  <c r="DY57" i="9"/>
  <c r="CF57" i="9"/>
  <c r="EY57" i="9"/>
  <c r="W57" i="9"/>
  <c r="AK57" i="9"/>
  <c r="EJ57" i="9"/>
  <c r="HB57" i="9"/>
  <c r="DV57" i="9"/>
  <c r="FV57" i="9"/>
  <c r="FZ57" i="9"/>
  <c r="DW57" i="9"/>
  <c r="EM57" i="9"/>
  <c r="AZ57" i="9"/>
  <c r="CV57" i="9"/>
  <c r="AA57" i="9"/>
  <c r="GN57" i="9"/>
  <c r="AQ57" i="9"/>
  <c r="GJ57" i="9"/>
  <c r="CN57" i="9"/>
  <c r="CT57" i="9"/>
  <c r="FL57" i="9"/>
  <c r="P57" i="9"/>
  <c r="CH57" i="9"/>
  <c r="EF57" i="9"/>
  <c r="X57" i="9"/>
  <c r="BS57" i="9"/>
  <c r="Q57" i="9"/>
  <c r="DG57" i="9"/>
  <c r="DX57" i="9"/>
  <c r="GF57" i="9"/>
  <c r="AY57" i="9"/>
  <c r="EB57" i="9"/>
  <c r="GQ57" i="9"/>
  <c r="BZ57" i="9"/>
  <c r="AR57" i="9"/>
  <c r="FG57" i="9"/>
  <c r="IF57" i="9"/>
  <c r="CW57" i="9"/>
  <c r="EL57" i="9"/>
  <c r="JG57" i="9"/>
  <c r="EE57" i="9"/>
  <c r="HE57" i="9"/>
  <c r="JI57" i="9"/>
  <c r="JA57" i="9"/>
  <c r="AP57" i="9"/>
  <c r="DP57" i="9"/>
  <c r="DK57" i="9"/>
  <c r="JF57" i="9"/>
  <c r="IK57" i="9"/>
  <c r="BG57" i="9"/>
  <c r="IE57" i="9"/>
  <c r="ED57" i="9"/>
  <c r="IM57" i="9"/>
  <c r="FY57" i="9"/>
  <c r="DA57" i="9"/>
  <c r="DB57" i="9"/>
  <c r="FU57" i="9"/>
  <c r="EI57" i="9"/>
  <c r="AX57" i="9"/>
  <c r="GU57" i="9"/>
  <c r="CU57" i="9"/>
  <c r="JE57" i="9"/>
  <c r="AI57" i="9"/>
  <c r="HH57" i="9"/>
  <c r="EC57" i="9"/>
  <c r="FH57" i="9"/>
  <c r="FM57" i="9"/>
  <c r="BX57" i="9"/>
  <c r="M57" i="9"/>
  <c r="IQ57" i="9"/>
  <c r="DJ57" i="9"/>
  <c r="BN57" i="9"/>
  <c r="ET57" i="9"/>
  <c r="DD57" i="9"/>
  <c r="BM57" i="9"/>
  <c r="U57" i="9"/>
  <c r="IZ57" i="9"/>
  <c r="FS57" i="9"/>
  <c r="CP57" i="9"/>
  <c r="HJ57" i="9"/>
  <c r="EK57" i="9"/>
  <c r="BU57" i="9"/>
  <c r="O57" i="9"/>
  <c r="DC57" i="9"/>
  <c r="CO57" i="9"/>
  <c r="DI57" i="9"/>
  <c r="CE57" i="9"/>
  <c r="BR57" i="9"/>
  <c r="CM57" i="9"/>
  <c r="CZ57" i="9"/>
  <c r="GH57" i="9"/>
  <c r="IG57" i="9"/>
  <c r="DO57" i="9"/>
  <c r="EQ57" i="9"/>
  <c r="AO57" i="9"/>
  <c r="BF57" i="9"/>
  <c r="FO57" i="9"/>
  <c r="CB57" i="9"/>
  <c r="CI57" i="9"/>
  <c r="EW57" i="9"/>
  <c r="GI57" i="9"/>
  <c r="EZ57" i="9"/>
  <c r="GG57" i="9"/>
  <c r="N57" i="9"/>
  <c r="GA57" i="9"/>
  <c r="AS57" i="9"/>
  <c r="DN57" i="9"/>
  <c r="HS57" i="9"/>
  <c r="HL57" i="9"/>
  <c r="ER57" i="9"/>
  <c r="FT57" i="9"/>
  <c r="AH57" i="9"/>
  <c r="ES57" i="9"/>
  <c r="BQ57" i="9"/>
  <c r="CL57" i="9"/>
  <c r="AJ57" i="9"/>
  <c r="BK57" i="9"/>
  <c r="HW57" i="9"/>
  <c r="FR57" i="9"/>
  <c r="IX57" i="9"/>
  <c r="CS57" i="9"/>
  <c r="AC57" i="9"/>
  <c r="IL57" i="9"/>
  <c r="FK57" i="9"/>
  <c r="IY57" i="9"/>
  <c r="BD57" i="9"/>
  <c r="AV57" i="9"/>
  <c r="FA57" i="9"/>
  <c r="GW57" i="9"/>
  <c r="GO57" i="9"/>
  <c r="GV57" i="9"/>
  <c r="JB57" i="9"/>
  <c r="FD57" i="9"/>
  <c r="AL57" i="9"/>
  <c r="IR57" i="9"/>
  <c r="G58" i="9"/>
  <c r="F59" i="9" s="1"/>
  <c r="J59" i="9" s="1"/>
  <c r="K59" i="9" s="1"/>
  <c r="L59" i="9" s="1"/>
  <c r="IJ58" i="9" l="1"/>
  <c r="AE58" i="9"/>
  <c r="BL58" i="9"/>
  <c r="AR58" i="9"/>
  <c r="CE58" i="9"/>
  <c r="W58" i="9"/>
  <c r="CO58" i="9"/>
  <c r="AZ58" i="9"/>
  <c r="DW58" i="9"/>
  <c r="HP58" i="9"/>
  <c r="U58" i="9"/>
  <c r="CA58" i="9"/>
  <c r="AA58" i="9"/>
  <c r="EF58" i="9"/>
  <c r="GJ58" i="9"/>
  <c r="DX58" i="9"/>
  <c r="CT58" i="9"/>
  <c r="BE58" i="9"/>
  <c r="DV58" i="9"/>
  <c r="HD58" i="9"/>
  <c r="AW58" i="9"/>
  <c r="CU58" i="9"/>
  <c r="EZ58" i="9"/>
  <c r="BZ58" i="9"/>
  <c r="CV58" i="9"/>
  <c r="FE58" i="9"/>
  <c r="GP58" i="9"/>
  <c r="IZ58" i="9"/>
  <c r="EE58" i="9"/>
  <c r="GQ58" i="9"/>
  <c r="IN58" i="9"/>
  <c r="DD58" i="9"/>
  <c r="ID58" i="9"/>
  <c r="AS58" i="9"/>
  <c r="FO58" i="9"/>
  <c r="X58" i="9"/>
  <c r="BU58" i="9"/>
  <c r="ER58" i="9"/>
  <c r="DI58" i="9"/>
  <c r="ES58" i="9"/>
  <c r="CN58" i="9"/>
  <c r="CM58" i="9"/>
  <c r="CI58" i="9"/>
  <c r="HC58" i="9"/>
  <c r="BM58" i="9"/>
  <c r="DY58" i="9"/>
  <c r="HE58" i="9"/>
  <c r="FY58" i="9"/>
  <c r="IQ58" i="9"/>
  <c r="FS58" i="9"/>
  <c r="GA58" i="9"/>
  <c r="FR58" i="9"/>
  <c r="AD58" i="9"/>
  <c r="BC58" i="9"/>
  <c r="JI58" i="9"/>
  <c r="EC58" i="9"/>
  <c r="BK58" i="9"/>
  <c r="HL58" i="9"/>
  <c r="HX58" i="9"/>
  <c r="CZ58" i="9"/>
  <c r="JH58" i="9"/>
  <c r="AH58" i="9"/>
  <c r="GN58" i="9"/>
  <c r="GI58" i="9"/>
  <c r="EP58" i="9"/>
  <c r="BD58" i="9"/>
  <c r="CL58" i="9"/>
  <c r="FU58" i="9"/>
  <c r="DQ58" i="9"/>
  <c r="AK58" i="9"/>
  <c r="HW58" i="9"/>
  <c r="EM58" i="9"/>
  <c r="DJ58" i="9"/>
  <c r="GV58" i="9"/>
  <c r="FN58" i="9"/>
  <c r="AV58" i="9"/>
  <c r="HV58" i="9"/>
  <c r="BR58" i="9"/>
  <c r="IK58" i="9"/>
  <c r="GC58" i="9"/>
  <c r="M58" i="9"/>
  <c r="EY58" i="9"/>
  <c r="AP58" i="9"/>
  <c r="HI58" i="9"/>
  <c r="EQ58" i="9"/>
  <c r="DO58" i="9"/>
  <c r="FZ58" i="9"/>
  <c r="GF58" i="9"/>
  <c r="T58" i="9"/>
  <c r="JG58" i="9"/>
  <c r="V58" i="9"/>
  <c r="CG58" i="9"/>
  <c r="CP58" i="9"/>
  <c r="HS58" i="9"/>
  <c r="FA58" i="9"/>
  <c r="IM58" i="9"/>
  <c r="JF58" i="9"/>
  <c r="DR58" i="9"/>
  <c r="IU58" i="9"/>
  <c r="AB58" i="9"/>
  <c r="CS58" i="9"/>
  <c r="EL58" i="9"/>
  <c r="FD58" i="9"/>
  <c r="DC58" i="9"/>
  <c r="IC58" i="9"/>
  <c r="DK58" i="9"/>
  <c r="DA58" i="9"/>
  <c r="FG58" i="9"/>
  <c r="DB58" i="9"/>
  <c r="ED58" i="9"/>
  <c r="BY58" i="9"/>
  <c r="AQ58" i="9"/>
  <c r="CF58" i="9"/>
  <c r="ET58" i="9"/>
  <c r="HA58" i="9"/>
  <c r="HY58" i="9"/>
  <c r="P58" i="9"/>
  <c r="EX58" i="9"/>
  <c r="AX58" i="9"/>
  <c r="CB58" i="9"/>
  <c r="IG58" i="9"/>
  <c r="EJ58" i="9"/>
  <c r="IY58" i="9"/>
  <c r="FK58" i="9"/>
  <c r="O58" i="9"/>
  <c r="HJ58" i="9"/>
  <c r="FH58" i="9"/>
  <c r="IE58" i="9"/>
  <c r="CW58" i="9"/>
  <c r="AC58" i="9"/>
  <c r="GM58" i="9"/>
  <c r="JE58" i="9"/>
  <c r="GO58" i="9"/>
  <c r="N58" i="9"/>
  <c r="GH58" i="9"/>
  <c r="HK58" i="9"/>
  <c r="IR58" i="9"/>
  <c r="AJ58" i="9"/>
  <c r="FT58" i="9"/>
  <c r="DU58" i="9"/>
  <c r="HQ58" i="9"/>
  <c r="GT58" i="9"/>
  <c r="JA58" i="9"/>
  <c r="BG58" i="9"/>
  <c r="BQ58" i="9"/>
  <c r="G59" i="9"/>
  <c r="F60" i="9" s="1"/>
  <c r="J60" i="9" s="1"/>
  <c r="K60" i="9" s="1"/>
  <c r="L60" i="9" s="1"/>
  <c r="IT58" i="9"/>
  <c r="IX58" i="9"/>
  <c r="DG58" i="9"/>
  <c r="AO58" i="9"/>
  <c r="DN58" i="9"/>
  <c r="BF58" i="9"/>
  <c r="HO58" i="9"/>
  <c r="HB58" i="9"/>
  <c r="BX58" i="9"/>
  <c r="EB58" i="9"/>
  <c r="BT58" i="9"/>
  <c r="GB58" i="9"/>
  <c r="FV58" i="9"/>
  <c r="HR58" i="9"/>
  <c r="DH58" i="9"/>
  <c r="BS58" i="9"/>
  <c r="DP58" i="9"/>
  <c r="FF58" i="9"/>
  <c r="JB58" i="9"/>
  <c r="AY58" i="9"/>
  <c r="EK58" i="9"/>
  <c r="HZ58" i="9"/>
  <c r="HH58" i="9"/>
  <c r="GG58" i="9"/>
  <c r="GW58" i="9"/>
  <c r="AL58" i="9"/>
  <c r="AI58" i="9"/>
  <c r="EI58" i="9"/>
  <c r="CH58" i="9"/>
  <c r="Q58" i="9"/>
  <c r="FM58" i="9"/>
  <c r="IS58" i="9"/>
  <c r="BN58" i="9"/>
  <c r="FL58" i="9"/>
  <c r="IL58" i="9"/>
  <c r="EW58" i="9"/>
  <c r="IF58" i="9"/>
  <c r="BJ58" i="9"/>
  <c r="GU58" i="9"/>
  <c r="GX58" i="9"/>
  <c r="AL59" i="9" l="1"/>
  <c r="CA59" i="9"/>
  <c r="JB59" i="9"/>
  <c r="W59" i="9"/>
  <c r="ET59" i="9"/>
  <c r="FF59" i="9"/>
  <c r="EW59" i="9"/>
  <c r="GG59" i="9"/>
  <c r="FL59" i="9"/>
  <c r="GO59" i="9"/>
  <c r="BQ59" i="9"/>
  <c r="FZ59" i="9"/>
  <c r="FG59" i="9"/>
  <c r="HI59" i="9"/>
  <c r="IF59" i="9"/>
  <c r="HB59" i="9"/>
  <c r="EY59" i="9"/>
  <c r="CW59" i="9"/>
  <c r="FT59" i="9"/>
  <c r="CN59" i="9"/>
  <c r="BZ59" i="9"/>
  <c r="CT59" i="9"/>
  <c r="FY59" i="9"/>
  <c r="HY59" i="9"/>
  <c r="GW59" i="9"/>
  <c r="AI59" i="9"/>
  <c r="GF59" i="9"/>
  <c r="IU59" i="9"/>
  <c r="ER59" i="9"/>
  <c r="HA59" i="9"/>
  <c r="FS59" i="9"/>
  <c r="FU59" i="9"/>
  <c r="AY59" i="9"/>
  <c r="HZ59" i="9"/>
  <c r="T59" i="9"/>
  <c r="ID59" i="9"/>
  <c r="FH59" i="9"/>
  <c r="BL59" i="9"/>
  <c r="CF59" i="9"/>
  <c r="HK59" i="9"/>
  <c r="EC59" i="9"/>
  <c r="EX59" i="9"/>
  <c r="AZ59" i="9"/>
  <c r="IT59" i="9"/>
  <c r="HP59" i="9"/>
  <c r="BE59" i="9"/>
  <c r="GT59" i="9"/>
  <c r="EF59" i="9"/>
  <c r="FM59" i="9"/>
  <c r="BN59" i="9"/>
  <c r="CU59" i="9"/>
  <c r="IG59" i="9"/>
  <c r="CH59" i="9"/>
  <c r="AD59" i="9"/>
  <c r="DD59" i="9"/>
  <c r="HR59" i="9"/>
  <c r="CB59" i="9"/>
  <c r="O59" i="9"/>
  <c r="EM59" i="9"/>
  <c r="AX59" i="9"/>
  <c r="HW59" i="9"/>
  <c r="AB59" i="9"/>
  <c r="BS59" i="9"/>
  <c r="EE59" i="9"/>
  <c r="Q59" i="9"/>
  <c r="FN59" i="9"/>
  <c r="HX59" i="9"/>
  <c r="AV59" i="9"/>
  <c r="BG59" i="9"/>
  <c r="BC59" i="9"/>
  <c r="DK59" i="9"/>
  <c r="IX59" i="9"/>
  <c r="HE59" i="9"/>
  <c r="JF59" i="9"/>
  <c r="X59" i="9"/>
  <c r="BK59" i="9"/>
  <c r="FK59" i="9"/>
  <c r="IL59" i="9"/>
  <c r="GJ59" i="9"/>
  <c r="GU59" i="9"/>
  <c r="HJ59" i="9"/>
  <c r="FA59" i="9"/>
  <c r="AP59" i="9"/>
  <c r="FV59" i="9"/>
  <c r="DX59" i="9"/>
  <c r="CL59" i="9"/>
  <c r="CZ59" i="9"/>
  <c r="CM59" i="9"/>
  <c r="HS59" i="9"/>
  <c r="N59" i="9"/>
  <c r="EL59" i="9"/>
  <c r="FE59" i="9"/>
  <c r="DI59" i="9"/>
  <c r="BX59" i="9"/>
  <c r="BJ59" i="9"/>
  <c r="BR59" i="9"/>
  <c r="IE59" i="9"/>
  <c r="IK59" i="9"/>
  <c r="FR59" i="9"/>
  <c r="AC59" i="9"/>
  <c r="HL59" i="9"/>
  <c r="U59" i="9"/>
  <c r="DQ59" i="9"/>
  <c r="HH59" i="9"/>
  <c r="CS59" i="9"/>
  <c r="IJ59" i="9"/>
  <c r="IC59" i="9"/>
  <c r="DP59" i="9"/>
  <c r="DA59" i="9"/>
  <c r="GQ59" i="9"/>
  <c r="AE59" i="9"/>
  <c r="DO59" i="9"/>
  <c r="DN59" i="9"/>
  <c r="BD59" i="9"/>
  <c r="HC59" i="9"/>
  <c r="HO59" i="9"/>
  <c r="BT59" i="9"/>
  <c r="FO59" i="9"/>
  <c r="AS59" i="9"/>
  <c r="V59" i="9"/>
  <c r="HQ59" i="9"/>
  <c r="IQ59" i="9"/>
  <c r="AR59" i="9"/>
  <c r="FD59" i="9"/>
  <c r="GC59" i="9"/>
  <c r="JI59" i="9"/>
  <c r="EQ59" i="9"/>
  <c r="M59" i="9"/>
  <c r="AJ59" i="9"/>
  <c r="IY59" i="9"/>
  <c r="AK59" i="9"/>
  <c r="G60" i="9"/>
  <c r="F61" i="9" s="1"/>
  <c r="J61" i="9" s="1"/>
  <c r="K61" i="9" s="1"/>
  <c r="CI59" i="9"/>
  <c r="DY59" i="9"/>
  <c r="AW59" i="9"/>
  <c r="BF59" i="9"/>
  <c r="IM59" i="9"/>
  <c r="CO59" i="9"/>
  <c r="DC59" i="9"/>
  <c r="DV59" i="9"/>
  <c r="JE59" i="9"/>
  <c r="GB59" i="9"/>
  <c r="GH59" i="9"/>
  <c r="HV59" i="9"/>
  <c r="GX59" i="9"/>
  <c r="P59" i="9"/>
  <c r="JA59" i="9"/>
  <c r="AH59" i="9"/>
  <c r="IZ59" i="9"/>
  <c r="CE59" i="9"/>
  <c r="GV59" i="9"/>
  <c r="IR59" i="9"/>
  <c r="ES59" i="9"/>
  <c r="DH59" i="9"/>
  <c r="DW59" i="9"/>
  <c r="BM59" i="9"/>
  <c r="IS59" i="9"/>
  <c r="EJ59" i="9"/>
  <c r="BU59" i="9"/>
  <c r="ED59" i="9"/>
  <c r="DR59" i="9"/>
  <c r="IN59" i="9"/>
  <c r="EB59" i="9"/>
  <c r="DG59" i="9"/>
  <c r="GI59" i="9"/>
  <c r="DJ59" i="9"/>
  <c r="EZ59" i="9"/>
  <c r="EK59" i="9"/>
  <c r="JG59" i="9"/>
  <c r="BY59" i="9"/>
  <c r="HD59" i="9"/>
  <c r="GA59" i="9"/>
  <c r="GN59" i="9"/>
  <c r="AQ59" i="9"/>
  <c r="DB59" i="9"/>
  <c r="AA59" i="9"/>
  <c r="CP59" i="9"/>
  <c r="JH59" i="9"/>
  <c r="DU59" i="9"/>
  <c r="CG59" i="9"/>
  <c r="EP59" i="9"/>
  <c r="GP59" i="9"/>
  <c r="CV59" i="9"/>
  <c r="EI59" i="9"/>
  <c r="GM59" i="9"/>
  <c r="AO59" i="9"/>
  <c r="L61" i="9" l="1"/>
  <c r="B4" i="14" s="1"/>
  <c r="B6" i="14" s="1"/>
  <c r="CI60" i="9"/>
  <c r="BD60" i="9"/>
  <c r="HX60" i="9"/>
  <c r="FL60" i="9"/>
  <c r="DX60" i="9"/>
  <c r="FK60" i="9"/>
  <c r="M60" i="9"/>
  <c r="GI60" i="9"/>
  <c r="DO60" i="9"/>
  <c r="ES60" i="9"/>
  <c r="HH60" i="9"/>
  <c r="ER60" i="9"/>
  <c r="BG60" i="9"/>
  <c r="AA60" i="9"/>
  <c r="AL60" i="9"/>
  <c r="IK60" i="9"/>
  <c r="JI60" i="9"/>
  <c r="FU60" i="9"/>
  <c r="HL60" i="9"/>
  <c r="X60" i="9"/>
  <c r="DJ60" i="9"/>
  <c r="BQ60" i="9"/>
  <c r="N60" i="9"/>
  <c r="ET60" i="9"/>
  <c r="GM60" i="9"/>
  <c r="CF60" i="9"/>
  <c r="BT60" i="9"/>
  <c r="GO60" i="9"/>
  <c r="CM60" i="9"/>
  <c r="FE60" i="9"/>
  <c r="AJ60" i="9"/>
  <c r="AI60" i="9"/>
  <c r="CG60" i="9"/>
  <c r="IF60" i="9"/>
  <c r="DC60" i="9"/>
  <c r="DI60" i="9"/>
  <c r="DD60" i="9"/>
  <c r="DY60" i="9"/>
  <c r="FA60" i="9"/>
  <c r="DH60" i="9"/>
  <c r="FG60" i="9"/>
  <c r="BL60" i="9"/>
  <c r="O60" i="9"/>
  <c r="CA60" i="9"/>
  <c r="JE60" i="9"/>
  <c r="AW60" i="9"/>
  <c r="GB60" i="9"/>
  <c r="GX60" i="9"/>
  <c r="EK60" i="9"/>
  <c r="FZ60" i="9"/>
  <c r="IL60" i="9"/>
  <c r="DA60" i="9"/>
  <c r="AV60" i="9"/>
  <c r="BN60" i="9"/>
  <c r="GP60" i="9"/>
  <c r="BE60" i="9"/>
  <c r="U60" i="9"/>
  <c r="EC60" i="9"/>
  <c r="AK60" i="9"/>
  <c r="FO60" i="9"/>
  <c r="EQ60" i="9"/>
  <c r="EE60" i="9"/>
  <c r="IQ60" i="9"/>
  <c r="EI60" i="9"/>
  <c r="GQ60" i="9"/>
  <c r="CH60" i="9"/>
  <c r="FR60" i="9"/>
  <c r="IE60" i="9"/>
  <c r="AD60" i="9"/>
  <c r="BR60" i="9"/>
  <c r="DG60" i="9"/>
  <c r="DK60" i="9"/>
  <c r="GW60" i="9"/>
  <c r="EW60" i="9"/>
  <c r="HK60" i="9"/>
  <c r="HY60" i="9"/>
  <c r="GF60" i="9"/>
  <c r="EL60" i="9"/>
  <c r="GG60" i="9"/>
  <c r="IJ60" i="9"/>
  <c r="EX60" i="9"/>
  <c r="BJ60" i="9"/>
  <c r="EY60" i="9"/>
  <c r="IS60" i="9"/>
  <c r="AE60" i="9"/>
  <c r="CN60" i="9"/>
  <c r="IX60" i="9"/>
  <c r="HJ60" i="9"/>
  <c r="CB60" i="9"/>
  <c r="JH60" i="9"/>
  <c r="ID60" i="9"/>
  <c r="CP60" i="9"/>
  <c r="HW60" i="9"/>
  <c r="HS60" i="9"/>
  <c r="HI60" i="9"/>
  <c r="GN60" i="9"/>
  <c r="AO60" i="9"/>
  <c r="GA60" i="9"/>
  <c r="FF60" i="9"/>
  <c r="EP60" i="9"/>
  <c r="AY60" i="9"/>
  <c r="IM60" i="9"/>
  <c r="FN60" i="9"/>
  <c r="GC60" i="9"/>
  <c r="CL60" i="9"/>
  <c r="CE60" i="9"/>
  <c r="IZ60" i="9"/>
  <c r="HC60" i="9"/>
  <c r="CU60" i="9"/>
  <c r="AB60" i="9"/>
  <c r="HA60" i="9"/>
  <c r="DB60" i="9"/>
  <c r="BU60" i="9"/>
  <c r="DV60" i="9"/>
  <c r="FM60" i="9"/>
  <c r="BZ60" i="9"/>
  <c r="AC60" i="9"/>
  <c r="IR60" i="9"/>
  <c r="DQ60" i="9"/>
  <c r="CT60" i="9"/>
  <c r="HV60" i="9"/>
  <c r="EM60" i="9"/>
  <c r="HE60" i="9"/>
  <c r="IU60" i="9"/>
  <c r="AR60" i="9"/>
  <c r="T60" i="9"/>
  <c r="AX60" i="9"/>
  <c r="CS60" i="9"/>
  <c r="IN60" i="9"/>
  <c r="HZ60" i="9"/>
  <c r="JA60" i="9"/>
  <c r="GH60" i="9"/>
  <c r="GU60" i="9"/>
  <c r="Q60" i="9"/>
  <c r="CO60" i="9"/>
  <c r="W60" i="9"/>
  <c r="DR60" i="9"/>
  <c r="DP60" i="9"/>
  <c r="JB60" i="9"/>
  <c r="FD60" i="9"/>
  <c r="BM60" i="9"/>
  <c r="AS60" i="9"/>
  <c r="HD60" i="9"/>
  <c r="GJ60" i="9"/>
  <c r="IG60" i="9"/>
  <c r="IC60" i="9"/>
  <c r="CZ60" i="9"/>
  <c r="FY60" i="9"/>
  <c r="DU60" i="9"/>
  <c r="BF60" i="9"/>
  <c r="EZ60" i="9"/>
  <c r="HO60" i="9"/>
  <c r="P60" i="9"/>
  <c r="AZ60" i="9"/>
  <c r="IY60" i="9"/>
  <c r="HP60" i="9"/>
  <c r="FS60" i="9"/>
  <c r="AH60" i="9"/>
  <c r="HQ60" i="9"/>
  <c r="BY60" i="9"/>
  <c r="IT60" i="9"/>
  <c r="BC60" i="9"/>
  <c r="BX60" i="9"/>
  <c r="EJ60" i="9"/>
  <c r="HR60" i="9"/>
  <c r="DN60" i="9"/>
  <c r="GV60" i="9"/>
  <c r="V60" i="9"/>
  <c r="DW60" i="9"/>
  <c r="G61" i="9"/>
  <c r="IQ61" i="9" s="1"/>
  <c r="FH60" i="9"/>
  <c r="FV60" i="9"/>
  <c r="BS60" i="9"/>
  <c r="CW60" i="9"/>
  <c r="EF60" i="9"/>
  <c r="ED60" i="9"/>
  <c r="EB60" i="9"/>
  <c r="AP60" i="9"/>
  <c r="HB60" i="9"/>
  <c r="CV60" i="9"/>
  <c r="BK60" i="9"/>
  <c r="FT60" i="9"/>
  <c r="GT60" i="9"/>
  <c r="JG60" i="9"/>
  <c r="AQ60" i="9"/>
  <c r="JF60" i="9"/>
  <c r="B5" i="14" l="1"/>
  <c r="FS61" i="9"/>
  <c r="IC61" i="9"/>
  <c r="FF61" i="9"/>
  <c r="HJ61" i="9"/>
  <c r="EF61" i="9"/>
  <c r="CN61" i="9"/>
  <c r="BX61" i="9"/>
  <c r="IE61" i="9"/>
  <c r="BT61" i="9"/>
  <c r="DV61" i="9"/>
  <c r="IM61" i="9"/>
  <c r="DQ61" i="9"/>
  <c r="DB61" i="9"/>
  <c r="AB61" i="9"/>
  <c r="JI61" i="9"/>
  <c r="GH61" i="9"/>
  <c r="JA61" i="9"/>
  <c r="BC61" i="9"/>
  <c r="DG61" i="9"/>
  <c r="AJ61" i="9"/>
  <c r="EM61" i="9"/>
  <c r="DW61" i="9"/>
  <c r="IU61" i="9"/>
  <c r="BE61" i="9"/>
  <c r="GM61" i="9"/>
  <c r="IJ61" i="9"/>
  <c r="ED61" i="9"/>
  <c r="N61" i="9"/>
  <c r="BU61" i="9"/>
  <c r="IK61" i="9"/>
  <c r="HS61" i="9"/>
  <c r="BM61" i="9"/>
  <c r="GW61" i="9"/>
  <c r="BL61" i="9"/>
  <c r="GT61" i="9"/>
  <c r="IX61" i="9"/>
  <c r="EX61" i="9"/>
  <c r="BY61" i="9"/>
  <c r="HI61" i="9"/>
  <c r="HL61" i="9"/>
  <c r="FO61" i="9"/>
  <c r="BG61" i="9"/>
  <c r="HP61" i="9"/>
  <c r="GU61" i="9"/>
  <c r="AA61" i="9"/>
  <c r="DX61" i="9"/>
  <c r="FK61" i="9"/>
  <c r="EZ61" i="9"/>
  <c r="EI61" i="9"/>
  <c r="FT61" i="9"/>
  <c r="Q61" i="9"/>
  <c r="HY61" i="9"/>
  <c r="CT61" i="9"/>
  <c r="HQ61" i="9"/>
  <c r="CV61" i="9"/>
  <c r="AP61" i="9"/>
  <c r="IZ61" i="9"/>
  <c r="HZ61" i="9"/>
  <c r="DO61" i="9"/>
  <c r="DC61" i="9"/>
  <c r="IS61" i="9"/>
  <c r="FH61" i="9"/>
  <c r="HX61" i="9"/>
  <c r="CI61" i="9"/>
  <c r="HA61" i="9"/>
  <c r="GJ61" i="9"/>
  <c r="EP61" i="9"/>
  <c r="AZ61" i="9"/>
  <c r="AY61" i="9"/>
  <c r="DN61" i="9"/>
  <c r="CM61" i="9"/>
  <c r="GV61" i="9"/>
  <c r="AE61" i="9"/>
  <c r="HW61" i="9"/>
  <c r="HC61" i="9"/>
  <c r="HH61" i="9"/>
  <c r="T61" i="9"/>
  <c r="DD61" i="9"/>
  <c r="FM61" i="9"/>
  <c r="GG61" i="9"/>
  <c r="FA61" i="9"/>
  <c r="CO61" i="9"/>
  <c r="DH61" i="9"/>
  <c r="HO61" i="9"/>
  <c r="FV61" i="9"/>
  <c r="BR61" i="9"/>
  <c r="BF61" i="9"/>
  <c r="W61" i="9"/>
  <c r="DJ61" i="9"/>
  <c r="ET61" i="9"/>
  <c r="AI61" i="9"/>
  <c r="AC61" i="9"/>
  <c r="CZ61" i="9"/>
  <c r="AR61" i="9"/>
  <c r="U61" i="9"/>
  <c r="EC61" i="9"/>
  <c r="EY61" i="9"/>
  <c r="GA61" i="9"/>
  <c r="DI61" i="9"/>
  <c r="JF61" i="9"/>
  <c r="AL61" i="9"/>
  <c r="HD61" i="9"/>
  <c r="GX61" i="9"/>
  <c r="FY61" i="9"/>
  <c r="AQ61" i="9"/>
  <c r="EL61" i="9"/>
  <c r="AK61" i="9"/>
  <c r="HK61" i="9"/>
  <c r="IR61" i="9"/>
  <c r="BD61" i="9"/>
  <c r="BZ61" i="9"/>
  <c r="HE61" i="9"/>
  <c r="CE61" i="9"/>
  <c r="HR61" i="9"/>
  <c r="GP61" i="9"/>
  <c r="FR61" i="9"/>
  <c r="GO61" i="9"/>
  <c r="EK61" i="9"/>
  <c r="DK61" i="9"/>
  <c r="AD61" i="9"/>
  <c r="V61" i="9"/>
  <c r="IG61" i="9"/>
  <c r="AW61" i="9"/>
  <c r="IN61" i="9"/>
  <c r="BQ61" i="9"/>
  <c r="EW61" i="9"/>
  <c r="HV61" i="9"/>
  <c r="IY61" i="9"/>
  <c r="GN61" i="9"/>
  <c r="M61" i="9"/>
  <c r="BK61" i="9"/>
  <c r="CU61" i="9"/>
  <c r="ID61" i="9"/>
  <c r="FD61" i="9"/>
  <c r="FN61" i="9"/>
  <c r="X61" i="9"/>
  <c r="BN61" i="9"/>
  <c r="FE61" i="9"/>
  <c r="AH61" i="9"/>
  <c r="JE61" i="9"/>
  <c r="JB61" i="9"/>
  <c r="EB61" i="9"/>
  <c r="CL61" i="9"/>
  <c r="ER61" i="9"/>
  <c r="FU61" i="9"/>
  <c r="CB61" i="9"/>
  <c r="CP61" i="9"/>
  <c r="FL61" i="9"/>
  <c r="BS61" i="9"/>
  <c r="IT61" i="9"/>
  <c r="GB61" i="9"/>
  <c r="GQ61" i="9"/>
  <c r="FZ61" i="9"/>
  <c r="DU61" i="9"/>
  <c r="GC61" i="9"/>
  <c r="DY61" i="9"/>
  <c r="DP61" i="9"/>
  <c r="DR61" i="9"/>
  <c r="EJ61" i="9"/>
  <c r="FG61" i="9"/>
  <c r="ES61" i="9"/>
  <c r="GI61" i="9"/>
  <c r="CW61" i="9"/>
  <c r="DA61" i="9"/>
  <c r="EQ61" i="9"/>
  <c r="HB61" i="9"/>
  <c r="AO61" i="9"/>
  <c r="O61" i="9"/>
  <c r="AV61" i="9"/>
  <c r="CS61" i="9"/>
  <c r="AS61" i="9"/>
  <c r="IF61" i="9"/>
  <c r="CG61" i="9"/>
  <c r="IL61" i="9"/>
  <c r="AX61" i="9"/>
  <c r="P61" i="9"/>
  <c r="JH61" i="9"/>
  <c r="EE61" i="9"/>
  <c r="BJ61" i="9"/>
  <c r="CF61" i="9"/>
  <c r="GF61" i="9"/>
  <c r="JG61" i="9"/>
  <c r="CH61" i="9"/>
  <c r="CA61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tc={3845FBB8-76C0-46D9-A226-D2C816780140}</author>
  </authors>
  <commentList>
    <comment ref="D3" authorId="0" shapeId="0" xr:uid="{3845FBB8-76C0-46D9-A226-D2C816780140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Shoule we separate human resources , equipment, IT, etc ?</t>
      </text>
    </comment>
  </commentList>
</comments>
</file>

<file path=xl/sharedStrings.xml><?xml version="1.0" encoding="utf-8"?>
<sst xmlns="http://schemas.openxmlformats.org/spreadsheetml/2006/main" count="467" uniqueCount="273">
  <si>
    <t>Swapnil Wale</t>
  </si>
  <si>
    <t>Project BRMS Tech</t>
  </si>
  <si>
    <r>
      <t xml:space="preserve">Open Risks </t>
    </r>
    <r>
      <rPr>
        <sz val="9"/>
        <color theme="1"/>
        <rFont val="Arial"/>
        <family val="2"/>
      </rPr>
      <t>(Rating)</t>
    </r>
  </si>
  <si>
    <r>
      <t>Open Issues</t>
    </r>
    <r>
      <rPr>
        <sz val="9"/>
        <color theme="1"/>
        <rFont val="Arial"/>
        <family val="2"/>
      </rPr>
      <t xml:space="preserve"> (Severity)</t>
    </r>
  </si>
  <si>
    <t>Open Action Items</t>
  </si>
  <si>
    <t>Open Change Requests</t>
  </si>
  <si>
    <t>Pending Decisions</t>
  </si>
  <si>
    <t>BRMS Implementation</t>
  </si>
  <si>
    <t xml:space="preserve">View Start </t>
  </si>
  <si>
    <t>Timeline</t>
  </si>
  <si>
    <t>days</t>
  </si>
  <si>
    <t>#</t>
  </si>
  <si>
    <t>Task Name</t>
  </si>
  <si>
    <t>Resource</t>
  </si>
  <si>
    <t>Pre</t>
  </si>
  <si>
    <t>Start</t>
  </si>
  <si>
    <t>Finish</t>
  </si>
  <si>
    <t>Effort
(days)</t>
  </si>
  <si>
    <t>%</t>
  </si>
  <si>
    <t>Status</t>
  </si>
  <si>
    <t>Auto</t>
  </si>
  <si>
    <t>Act</t>
  </si>
  <si>
    <t>Plan</t>
  </si>
  <si>
    <t>Requirement Gathering</t>
  </si>
  <si>
    <t>John</t>
  </si>
  <si>
    <t>Draft Business Requirements</t>
  </si>
  <si>
    <t>Sign Off Business Requirements</t>
  </si>
  <si>
    <t>Draft Functional Requirements</t>
  </si>
  <si>
    <t>Sign Off Functional Requirements</t>
  </si>
  <si>
    <t>Requirements Discussions</t>
  </si>
  <si>
    <t>High Level Design</t>
  </si>
  <si>
    <t>Developer</t>
  </si>
  <si>
    <t>Detailed Design</t>
  </si>
  <si>
    <t>Mich</t>
  </si>
  <si>
    <t>Detailed Design Review</t>
  </si>
  <si>
    <t>Design Sign Off</t>
  </si>
  <si>
    <t>Design Review</t>
  </si>
  <si>
    <t>Design handover</t>
  </si>
  <si>
    <t>Analysis</t>
  </si>
  <si>
    <t>Bob</t>
  </si>
  <si>
    <t>Build Component 1</t>
  </si>
  <si>
    <t>Build Component 2</t>
  </si>
  <si>
    <t>Build Component 3</t>
  </si>
  <si>
    <t>Build Component 4</t>
  </si>
  <si>
    <t>Build Component 5</t>
  </si>
  <si>
    <t>Build Component 6</t>
  </si>
  <si>
    <t>Build Component 7</t>
  </si>
  <si>
    <t>Build Component 8</t>
  </si>
  <si>
    <t>Build Component 9</t>
  </si>
  <si>
    <t>Build Component 10</t>
  </si>
  <si>
    <t>Integration Testing</t>
  </si>
  <si>
    <t>Analysis &amp; test plan</t>
  </si>
  <si>
    <t>Raven</t>
  </si>
  <si>
    <t>Create test cases</t>
  </si>
  <si>
    <t>Review test cases</t>
  </si>
  <si>
    <t>Create test steps</t>
  </si>
  <si>
    <t>Test Plan sign off</t>
  </si>
  <si>
    <t>Test Component 1</t>
  </si>
  <si>
    <t>Jhoti</t>
  </si>
  <si>
    <t>Test Component 2</t>
  </si>
  <si>
    <t>Test Component 3</t>
  </si>
  <si>
    <t>Test Component 4</t>
  </si>
  <si>
    <t>Test Component 5</t>
  </si>
  <si>
    <t>Test Component 6</t>
  </si>
  <si>
    <t>Test Component 7</t>
  </si>
  <si>
    <t>Test Component 8</t>
  </si>
  <si>
    <t>Test Component 9</t>
  </si>
  <si>
    <t>Test Component 10</t>
  </si>
  <si>
    <t>Test Component 11</t>
  </si>
  <si>
    <t>Performace Testing 1</t>
  </si>
  <si>
    <t>Performance Testing 2</t>
  </si>
  <si>
    <t>Components 1,2</t>
  </si>
  <si>
    <t>Components 3,4</t>
  </si>
  <si>
    <t>Components 5,6</t>
  </si>
  <si>
    <t>Components 7,8</t>
  </si>
  <si>
    <t>Components 9,10</t>
  </si>
  <si>
    <t>Draft a plan</t>
  </si>
  <si>
    <t>Conduct a dry run</t>
  </si>
  <si>
    <t>Fix the issues</t>
  </si>
  <si>
    <t>Report</t>
  </si>
  <si>
    <t>Resource Costs</t>
  </si>
  <si>
    <t>Equipment Costs</t>
  </si>
  <si>
    <t>Other Costs</t>
  </si>
  <si>
    <t>Item</t>
  </si>
  <si>
    <t>Estimated</t>
  </si>
  <si>
    <t>Actual</t>
  </si>
  <si>
    <t>Resourcing Costs</t>
  </si>
  <si>
    <t>Pump Supplies</t>
  </si>
  <si>
    <t>Wet Weather Delay</t>
  </si>
  <si>
    <t>Consulting Costs</t>
  </si>
  <si>
    <t>Truck hire</t>
  </si>
  <si>
    <t>Stakeholder Meeting</t>
  </si>
  <si>
    <t>Training Costs</t>
  </si>
  <si>
    <t>Professional Service Fees</t>
  </si>
  <si>
    <t>Marketing Plan</t>
  </si>
  <si>
    <t>IT Costs</t>
  </si>
  <si>
    <t>Conference Room Hire</t>
  </si>
  <si>
    <t>Labor Cost</t>
  </si>
  <si>
    <t>Testing Tool Licensing Cost</t>
  </si>
  <si>
    <t>Developer Tool Cost</t>
  </si>
  <si>
    <t>Total Cost</t>
  </si>
  <si>
    <t>Type</t>
  </si>
  <si>
    <t>Rate</t>
  </si>
  <si>
    <t>Days</t>
  </si>
  <si>
    <t>Tasks</t>
  </si>
  <si>
    <t>Cost</t>
  </si>
  <si>
    <t>Analyst</t>
  </si>
  <si>
    <t>SME</t>
  </si>
  <si>
    <t>Tester</t>
  </si>
  <si>
    <t xml:space="preserve">Matt </t>
  </si>
  <si>
    <t>Sam</t>
  </si>
  <si>
    <t xml:space="preserve">Risk Title </t>
  </si>
  <si>
    <t>Risk Description / Impact</t>
  </si>
  <si>
    <t xml:space="preserve">Status </t>
  </si>
  <si>
    <t xml:space="preserve">Owner </t>
  </si>
  <si>
    <t xml:space="preserve">Identified 
Date </t>
  </si>
  <si>
    <t xml:space="preserve">Risk Category </t>
  </si>
  <si>
    <t>Risk Rating</t>
  </si>
  <si>
    <t>Possible Mitigation</t>
  </si>
  <si>
    <t xml:space="preserve">Date Closed </t>
  </si>
  <si>
    <t>001</t>
  </si>
  <si>
    <t>Tool License Expiry</t>
  </si>
  <si>
    <t>Tool license expires in 3 months. This can halt development work. Cost not factored in the budget.</t>
  </si>
  <si>
    <t>New</t>
  </si>
  <si>
    <t>SRK</t>
  </si>
  <si>
    <t>Project</t>
  </si>
  <si>
    <t>High</t>
  </si>
  <si>
    <t>002</t>
  </si>
  <si>
    <t xml:space="preserve">Equipment Supplies </t>
  </si>
  <si>
    <t>The supplier has indicated that all supplies cannot be delivered by project dates due to delivery delays post COVID. Development phase could be delayed.</t>
  </si>
  <si>
    <t>WIP</t>
  </si>
  <si>
    <t>MSD</t>
  </si>
  <si>
    <t>Organizational</t>
  </si>
  <si>
    <t>003</t>
  </si>
  <si>
    <t>Design Issues</t>
  </si>
  <si>
    <t>The application design was not reviewed by the traffic manager</t>
  </si>
  <si>
    <t>On Hold</t>
  </si>
  <si>
    <t>RNW</t>
  </si>
  <si>
    <t>Medium</t>
  </si>
  <si>
    <t>004</t>
  </si>
  <si>
    <t>Stakeholder Involvement</t>
  </si>
  <si>
    <t xml:space="preserve">Our customers are not ready for the change. </t>
  </si>
  <si>
    <t>SRW</t>
  </si>
  <si>
    <t>Environment</t>
  </si>
  <si>
    <t>Low</t>
  </si>
  <si>
    <t>Issue Title</t>
  </si>
  <si>
    <t>Issue Description</t>
  </si>
  <si>
    <t>Reported 
On</t>
  </si>
  <si>
    <t>Reported 
By</t>
  </si>
  <si>
    <t>Owner</t>
  </si>
  <si>
    <t>Severity</t>
  </si>
  <si>
    <t>Priority</t>
  </si>
  <si>
    <t>Comments</t>
  </si>
  <si>
    <t>Code Module Issue</t>
  </si>
  <si>
    <t>An issue with code module was recently identified. The user is not able to make changes to the rates.</t>
  </si>
  <si>
    <t>25/2/2020</t>
  </si>
  <si>
    <t>Neel</t>
  </si>
  <si>
    <t>Julie</t>
  </si>
  <si>
    <r>
      <rPr>
        <b/>
        <sz val="10"/>
        <color rgb="FF000000"/>
        <rFont val="Arial"/>
        <family val="2"/>
      </rPr>
      <t xml:space="preserve">SRW 07-Feb </t>
    </r>
    <r>
      <rPr>
        <sz val="10"/>
        <color rgb="FF000000"/>
        <rFont val="Arial"/>
        <family val="2"/>
      </rPr>
      <t>: New Issue logged today.</t>
    </r>
  </si>
  <si>
    <t>User Access Issue</t>
  </si>
  <si>
    <t>Some of the users are not able to login.</t>
  </si>
  <si>
    <t>Swapnil</t>
  </si>
  <si>
    <t>Kamel</t>
  </si>
  <si>
    <t>Urgent</t>
  </si>
  <si>
    <r>
      <rPr>
        <b/>
        <sz val="10"/>
        <color rgb="FF000000"/>
        <rFont val="Arial"/>
        <family val="2"/>
      </rPr>
      <t>SRW 25-Mar</t>
    </r>
    <r>
      <rPr>
        <sz val="10"/>
        <color rgb="FF000000"/>
        <rFont val="Arial"/>
        <family val="2"/>
      </rPr>
      <t xml:space="preserve"> : Issue is affecting service levels.</t>
    </r>
  </si>
  <si>
    <t>Server Memory Issue</t>
  </si>
  <si>
    <t>One of the server mmx0013 has memory issues and needs to be looked at. This memory issue is causing a performance issue with the application.</t>
  </si>
  <si>
    <t>26/3/2020</t>
  </si>
  <si>
    <t>Jack</t>
  </si>
  <si>
    <t>Cathy</t>
  </si>
  <si>
    <t>User Interface Issue</t>
  </si>
  <si>
    <t>Users are not able to make changes to certain fields when updating.</t>
  </si>
  <si>
    <t>Critical</t>
  </si>
  <si>
    <t>OnHold</t>
  </si>
  <si>
    <r>
      <rPr>
        <b/>
        <sz val="10"/>
        <color rgb="FF000000"/>
        <rFont val="Arial"/>
        <family val="2"/>
      </rPr>
      <t>SRW 05-Apr</t>
    </r>
    <r>
      <rPr>
        <sz val="10"/>
        <color rgb="FF000000"/>
        <rFont val="Arial"/>
        <family val="2"/>
      </rPr>
      <t xml:space="preserve"> : On Hold due to business confirmation.</t>
    </r>
  </si>
  <si>
    <t>Spelling Error</t>
  </si>
  <si>
    <t>One of the fields has a spelling error.</t>
  </si>
  <si>
    <t>Jim</t>
  </si>
  <si>
    <r>
      <rPr>
        <b/>
        <sz val="10"/>
        <color rgb="FF000000"/>
        <rFont val="Arial"/>
        <family val="2"/>
      </rPr>
      <t>SRW 04-Apr</t>
    </r>
    <r>
      <rPr>
        <sz val="10"/>
        <color rgb="FF000000"/>
        <rFont val="Arial"/>
        <family val="2"/>
      </rPr>
      <t xml:space="preserve"> : New Issue.</t>
    </r>
  </si>
  <si>
    <t>Action Item</t>
  </si>
  <si>
    <t>Due Date</t>
  </si>
  <si>
    <t>Take Backup of the files</t>
  </si>
  <si>
    <t>Closed</t>
  </si>
  <si>
    <t>This is critical for the project.</t>
  </si>
  <si>
    <t>Check with SME for QA results</t>
  </si>
  <si>
    <t>Talk to Sponsor for extra funding</t>
  </si>
  <si>
    <t>Open</t>
  </si>
  <si>
    <t>Process the invoices with Finance</t>
  </si>
  <si>
    <t>PCK</t>
  </si>
  <si>
    <t>Change Description</t>
  </si>
  <si>
    <t>Requester</t>
  </si>
  <si>
    <t>Date Raised</t>
  </si>
  <si>
    <t>Decision</t>
  </si>
  <si>
    <t>Decision Date</t>
  </si>
  <si>
    <t>0001</t>
  </si>
  <si>
    <t>Component not estimated.</t>
  </si>
  <si>
    <t>XYZ</t>
  </si>
  <si>
    <t>Schedule impact of 2 months and budget impact of $150,000.</t>
  </si>
  <si>
    <t>0002</t>
  </si>
  <si>
    <t>UI Design Contract</t>
  </si>
  <si>
    <t>ZDB</t>
  </si>
  <si>
    <t>Approved</t>
  </si>
  <si>
    <t>N/A</t>
  </si>
  <si>
    <t>Budget Impact of $20,000.</t>
  </si>
  <si>
    <t>0003</t>
  </si>
  <si>
    <t>New Workflow Option</t>
  </si>
  <si>
    <t>DFG</t>
  </si>
  <si>
    <t>Schedule impact of 1 week.</t>
  </si>
  <si>
    <t>0004</t>
  </si>
  <si>
    <t>New Field Needed</t>
  </si>
  <si>
    <t>Rejected</t>
  </si>
  <si>
    <t>Dev effort of 1 day.</t>
  </si>
  <si>
    <t>Decision Details</t>
  </si>
  <si>
    <t>Impact</t>
  </si>
  <si>
    <t>Proposed Date</t>
  </si>
  <si>
    <t>Proposed By</t>
  </si>
  <si>
    <t>Approved By</t>
  </si>
  <si>
    <t>Date</t>
  </si>
  <si>
    <t>Resulting Action/Comments</t>
  </si>
  <si>
    <t>Increase the scope of the project to include UI testing. The initial scope of the project did not include UI Testing.</t>
  </si>
  <si>
    <t>The project go live will be delayed by 3 weeks.</t>
  </si>
  <si>
    <t>Team</t>
  </si>
  <si>
    <t>Manager</t>
  </si>
  <si>
    <t>The project plan will be changed to include additional effort of 3 weeks. Action item assigned to project manager.</t>
  </si>
  <si>
    <t>Additional requirements added to the project scope. Change Request #002.</t>
  </si>
  <si>
    <t>No material impact on the project delivery date.</t>
  </si>
  <si>
    <t>Project Control</t>
  </si>
  <si>
    <t>Approved as no material impact.</t>
  </si>
  <si>
    <t>Logo design cost of $5,000 not included in the initial budget. The logo design is needed as a standard.</t>
  </si>
  <si>
    <t>The project cost will go up by $5,000.</t>
  </si>
  <si>
    <t>Marketing</t>
  </si>
  <si>
    <t>Waiting Approval</t>
  </si>
  <si>
    <t>The HR Module from the application will be descoped as the business requirements are not finalized.</t>
  </si>
  <si>
    <t>The HR team will have to use the legacy system. A separate project will need to be initiated to build the HR System.</t>
  </si>
  <si>
    <t>Project Manager</t>
  </si>
  <si>
    <t>Abandoned as not needed.</t>
  </si>
  <si>
    <t>Add additional resources to bring in the project go live date. 3 developers and one tester will be needed to get the go live date to 3rd Sep.</t>
  </si>
  <si>
    <t>Resources will need to be contracted which will cost the project additional $45,000.</t>
  </si>
  <si>
    <t>The decision recommendation was declined as no additional funding is available.</t>
  </si>
  <si>
    <t>Sl. No</t>
  </si>
  <si>
    <t>Public Holidays</t>
  </si>
  <si>
    <t>Risk Category</t>
  </si>
  <si>
    <t xml:space="preserve">Approval </t>
  </si>
  <si>
    <t>Resource Type</t>
  </si>
  <si>
    <t>Test</t>
  </si>
  <si>
    <t>DBA</t>
  </si>
  <si>
    <t>DO NOT EDIT ANYTHING IN THIS SHEET</t>
  </si>
  <si>
    <t>Task Count</t>
  </si>
  <si>
    <t>Task %  Complete</t>
  </si>
  <si>
    <t xml:space="preserve">Budget </t>
  </si>
  <si>
    <t>Total</t>
  </si>
  <si>
    <t>Not Started</t>
  </si>
  <si>
    <t>Costs</t>
  </si>
  <si>
    <t>Planned</t>
  </si>
  <si>
    <t>Spend</t>
  </si>
  <si>
    <t>Remaining</t>
  </si>
  <si>
    <t>Utilized</t>
  </si>
  <si>
    <t>Delay</t>
  </si>
  <si>
    <t>Half Done</t>
  </si>
  <si>
    <t>Availability</t>
  </si>
  <si>
    <t>On Track</t>
  </si>
  <si>
    <t>Almost There</t>
  </si>
  <si>
    <t xml:space="preserve">Software and HW </t>
  </si>
  <si>
    <t>Worry</t>
  </si>
  <si>
    <t>Done</t>
  </si>
  <si>
    <t xml:space="preserve">Other Costs </t>
  </si>
  <si>
    <t>Totals</t>
  </si>
  <si>
    <t xml:space="preserve">Open Risks </t>
  </si>
  <si>
    <t xml:space="preserve">Open Issues </t>
  </si>
  <si>
    <t xml:space="preserve">Open Actions </t>
  </si>
  <si>
    <t>Change Requests</t>
  </si>
  <si>
    <t xml:space="preserve">Open Decisions </t>
  </si>
  <si>
    <t xml:space="preserve">Urgent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</si>
</sst>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d"/>
    <numFmt numFmtId="165" formatCode="[$-409]d\-mmm;@"/>
    <numFmt numFmtId="166" formatCode="&quot;$&quot;#,##0"/>
    <numFmt numFmtId="167" formatCode="[$-409]d\-mmm\-yy;@"/>
    <numFmt numFmtId="168" formatCode="m/d/yy;@"/>
  </numFmts>
  <fonts count="23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sz val="8"/>
      <color rgb="FFD02800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sz val="11"/>
      <color theme="1"/>
      <name val="Arial"/>
      <family val="2"/>
    </font>
    <font>
      <sz val="9"/>
      <name val="Arial"/>
      <family val="2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theme="0"/>
      <name val="Arial"/>
      <family val="2"/>
    </font>
    <font>
      <b/>
      <sz val="11"/>
      <color theme="1"/>
      <name val="Arial"/>
      <family val="2"/>
    </font>
    <font>
      <b/>
      <sz val="72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2">
    <xf numFmtId="0" fontId="0" fillId="0" borderId="0" xfId="0"/>
    <xf numFmtId="16" fontId="2" fillId="3" borderId="4" xfId="0" applyNumberFormat="1" applyFont="1" applyFill="1" applyBorder="1" applyAlignment="1">
      <alignment horizontal="center" vertical="center"/>
    </xf>
    <xf numFmtId="1" fontId="2" fillId="3" borderId="4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top"/>
    </xf>
    <xf numFmtId="0" fontId="2" fillId="5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vertical="top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/>
    </xf>
    <xf numFmtId="16" fontId="2" fillId="0" borderId="0" xfId="0" applyNumberFormat="1" applyFon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left" vertical="top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2" fillId="7" borderId="0" xfId="0" applyFont="1" applyFill="1" applyAlignment="1">
      <alignment horizontal="left" vertical="top"/>
    </xf>
    <xf numFmtId="0" fontId="1" fillId="4" borderId="4" xfId="0" applyFont="1" applyFill="1" applyBorder="1" applyAlignment="1">
      <alignment horizontal="center" vertical="center" wrapText="1"/>
    </xf>
    <xf numFmtId="165" fontId="2" fillId="2" borderId="4" xfId="0" applyNumberFormat="1" applyFont="1" applyFill="1" applyBorder="1" applyAlignment="1">
      <alignment horizontal="center" textRotation="90"/>
    </xf>
    <xf numFmtId="0" fontId="1" fillId="5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8" fillId="8" borderId="4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/>
    </xf>
    <xf numFmtId="0" fontId="6" fillId="0" borderId="4" xfId="0" applyFont="1" applyBorder="1" applyAlignment="1">
      <alignment vertical="center"/>
    </xf>
    <xf numFmtId="0" fontId="7" fillId="5" borderId="4" xfId="0" applyFont="1" applyFill="1" applyBorder="1"/>
    <xf numFmtId="166" fontId="7" fillId="5" borderId="4" xfId="0" applyNumberFormat="1" applyFont="1" applyFill="1" applyBorder="1"/>
    <xf numFmtId="166" fontId="6" fillId="0" borderId="1" xfId="0" applyNumberFormat="1" applyFont="1" applyBorder="1" applyAlignment="1">
      <alignment vertical="center"/>
    </xf>
    <xf numFmtId="166" fontId="6" fillId="0" borderId="4" xfId="0" applyNumberFormat="1" applyFont="1" applyBorder="1" applyAlignment="1">
      <alignment vertical="center"/>
    </xf>
    <xf numFmtId="0" fontId="7" fillId="2" borderId="4" xfId="0" applyFont="1" applyFill="1" applyBorder="1"/>
    <xf numFmtId="0" fontId="7" fillId="2" borderId="1" xfId="0" applyFont="1" applyFill="1" applyBorder="1"/>
    <xf numFmtId="166" fontId="1" fillId="5" borderId="4" xfId="0" applyNumberFormat="1" applyFont="1" applyFill="1" applyBorder="1" applyAlignment="1">
      <alignment horizontal="center" vertical="center" wrapText="1"/>
    </xf>
    <xf numFmtId="0" fontId="11" fillId="0" borderId="0" xfId="0" applyFont="1"/>
    <xf numFmtId="0" fontId="6" fillId="0" borderId="0" xfId="0" applyFont="1"/>
    <xf numFmtId="166" fontId="11" fillId="0" borderId="0" xfId="0" applyNumberFormat="1" applyFont="1"/>
    <xf numFmtId="0" fontId="11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166" fontId="6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/>
    </xf>
    <xf numFmtId="0" fontId="2" fillId="10" borderId="4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/>
    <xf numFmtId="16" fontId="2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2" fillId="11" borderId="7" xfId="0" applyFont="1" applyFill="1" applyBorder="1" applyAlignment="1">
      <alignment horizontal="center"/>
    </xf>
    <xf numFmtId="0" fontId="2" fillId="3" borderId="4" xfId="0" applyFont="1" applyFill="1" applyBorder="1"/>
    <xf numFmtId="0" fontId="14" fillId="0" borderId="0" xfId="0" applyFont="1"/>
    <xf numFmtId="49" fontId="7" fillId="4" borderId="4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167" fontId="1" fillId="2" borderId="4" xfId="0" applyNumberFormat="1" applyFont="1" applyFill="1" applyBorder="1" applyAlignment="1">
      <alignment horizontal="center" vertical="center" wrapText="1"/>
    </xf>
    <xf numFmtId="167" fontId="2" fillId="0" borderId="0" xfId="0" applyNumberFormat="1" applyFont="1"/>
    <xf numFmtId="0" fontId="15" fillId="0" borderId="0" xfId="0" applyFont="1"/>
    <xf numFmtId="0" fontId="15" fillId="0" borderId="0" xfId="0" applyFont="1" applyAlignment="1">
      <alignment horizontal="center" vertical="center"/>
    </xf>
    <xf numFmtId="167" fontId="15" fillId="0" borderId="0" xfId="0" applyNumberFormat="1" applyFont="1"/>
    <xf numFmtId="0" fontId="3" fillId="0" borderId="0" xfId="0" applyFont="1" applyAlignment="1">
      <alignment vertical="top" wrapText="1"/>
    </xf>
    <xf numFmtId="0" fontId="7" fillId="5" borderId="4" xfId="0" applyFont="1" applyFill="1" applyBorder="1" applyAlignment="1">
      <alignment horizontal="center" vertical="center"/>
    </xf>
    <xf numFmtId="167" fontId="7" fillId="5" borderId="4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167" fontId="3" fillId="0" borderId="0" xfId="0" applyNumberFormat="1" applyFont="1"/>
    <xf numFmtId="0" fontId="3" fillId="4" borderId="4" xfId="0" applyFont="1" applyFill="1" applyBorder="1"/>
    <xf numFmtId="9" fontId="3" fillId="4" borderId="4" xfId="0" applyNumberFormat="1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/>
    </xf>
    <xf numFmtId="166" fontId="3" fillId="0" borderId="4" xfId="0" applyNumberFormat="1" applyFont="1" applyBorder="1" applyAlignment="1">
      <alignment horizontal="right"/>
    </xf>
    <xf numFmtId="0" fontId="3" fillId="0" borderId="4" xfId="0" applyFont="1" applyBorder="1"/>
    <xf numFmtId="166" fontId="3" fillId="0" borderId="0" xfId="0" applyNumberFormat="1" applyFont="1"/>
    <xf numFmtId="166" fontId="7" fillId="13" borderId="4" xfId="0" applyNumberFormat="1" applyFont="1" applyFill="1" applyBorder="1"/>
    <xf numFmtId="0" fontId="2" fillId="2" borderId="2" xfId="0" applyFont="1" applyFill="1" applyBorder="1" applyAlignment="1">
      <alignment horizontal="center" vertical="center" wrapText="1"/>
    </xf>
    <xf numFmtId="0" fontId="19" fillId="14" borderId="11" xfId="0" applyFont="1" applyFill="1" applyBorder="1"/>
    <xf numFmtId="0" fontId="19" fillId="14" borderId="10" xfId="0" applyFont="1" applyFill="1" applyBorder="1"/>
    <xf numFmtId="0" fontId="19" fillId="14" borderId="13" xfId="0" applyFont="1" applyFill="1" applyBorder="1"/>
    <xf numFmtId="0" fontId="19" fillId="14" borderId="8" xfId="0" applyFont="1" applyFill="1" applyBorder="1"/>
    <xf numFmtId="0" fontId="19" fillId="14" borderId="0" xfId="0" applyFont="1" applyFill="1"/>
    <xf numFmtId="0" fontId="19" fillId="14" borderId="14" xfId="0" applyFont="1" applyFill="1" applyBorder="1"/>
    <xf numFmtId="0" fontId="2" fillId="2" borderId="1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7" fillId="0" borderId="4" xfId="0" applyFont="1" applyBorder="1"/>
    <xf numFmtId="0" fontId="11" fillId="14" borderId="0" xfId="0" applyFont="1" applyFill="1"/>
    <xf numFmtId="0" fontId="2" fillId="14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left" vertical="top"/>
    </xf>
    <xf numFmtId="0" fontId="3" fillId="14" borderId="0" xfId="0" applyFont="1" applyFill="1" applyAlignment="1">
      <alignment horizontal="left" vertical="top"/>
    </xf>
    <xf numFmtId="0" fontId="2" fillId="14" borderId="4" xfId="0" applyFont="1" applyFill="1" applyBorder="1" applyAlignment="1">
      <alignment vertical="top"/>
    </xf>
    <xf numFmtId="0" fontId="0" fillId="14" borderId="0" xfId="0" applyFill="1"/>
    <xf numFmtId="166" fontId="11" fillId="14" borderId="0" xfId="0" applyNumberFormat="1" applyFont="1" applyFill="1"/>
    <xf numFmtId="0" fontId="11" fillId="14" borderId="0" xfId="0" applyFont="1" applyFill="1" applyAlignment="1">
      <alignment horizontal="center"/>
    </xf>
    <xf numFmtId="0" fontId="2" fillId="14" borderId="0" xfId="0" applyFont="1" applyFill="1"/>
    <xf numFmtId="0" fontId="14" fillId="14" borderId="0" xfId="0" applyFont="1" applyFill="1"/>
    <xf numFmtId="0" fontId="15" fillId="14" borderId="0" xfId="0" applyFont="1" applyFill="1" applyAlignment="1">
      <alignment horizontal="center" vertical="center"/>
    </xf>
    <xf numFmtId="0" fontId="15" fillId="14" borderId="0" xfId="0" applyFont="1" applyFill="1"/>
    <xf numFmtId="167" fontId="15" fillId="14" borderId="0" xfId="0" applyNumberFormat="1" applyFont="1" applyFill="1"/>
    <xf numFmtId="0" fontId="3" fillId="14" borderId="0" xfId="0" applyFont="1" applyFill="1"/>
    <xf numFmtId="0" fontId="3" fillId="14" borderId="0" xfId="0" applyFont="1" applyFill="1" applyAlignment="1">
      <alignment horizontal="center"/>
    </xf>
    <xf numFmtId="167" fontId="3" fillId="14" borderId="0" xfId="0" applyNumberFormat="1" applyFont="1" applyFill="1"/>
    <xf numFmtId="0" fontId="3" fillId="14" borderId="0" xfId="0" applyFont="1" applyFill="1" applyAlignment="1">
      <alignment wrapText="1"/>
    </xf>
    <xf numFmtId="0" fontId="3" fillId="14" borderId="0" xfId="0" applyFont="1" applyFill="1" applyAlignment="1">
      <alignment vertical="top" wrapText="1"/>
    </xf>
    <xf numFmtId="0" fontId="3" fillId="0" borderId="4" xfId="0" applyFont="1" applyBorder="1" applyAlignment="1">
      <alignment horizontal="left" vertical="top" wrapText="1"/>
    </xf>
    <xf numFmtId="16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wrapText="1"/>
    </xf>
    <xf numFmtId="16" fontId="3" fillId="0" borderId="4" xfId="0" applyNumberFormat="1" applyFont="1" applyBorder="1" applyAlignment="1">
      <alignment horizontal="center" wrapText="1"/>
    </xf>
    <xf numFmtId="0" fontId="3" fillId="0" borderId="4" xfId="0" applyFont="1" applyBorder="1" applyAlignment="1">
      <alignment horizontal="left" vertical="center" wrapText="1"/>
    </xf>
    <xf numFmtId="49" fontId="3" fillId="0" borderId="4" xfId="0" applyNumberFormat="1" applyFont="1" applyBorder="1" applyAlignment="1">
      <alignment horizontal="center" vertical="top"/>
    </xf>
    <xf numFmtId="167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wrapText="1"/>
    </xf>
    <xf numFmtId="0" fontId="9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vertical="center"/>
    </xf>
    <xf numFmtId="0" fontId="9" fillId="0" borderId="4" xfId="0" applyFont="1" applyBorder="1" applyAlignment="1">
      <alignment vertical="top" wrapText="1"/>
    </xf>
    <xf numFmtId="14" fontId="9" fillId="0" borderId="4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9" fillId="0" borderId="4" xfId="0" applyFont="1" applyBorder="1" applyAlignment="1">
      <alignment horizontal="center"/>
    </xf>
    <xf numFmtId="0" fontId="9" fillId="0" borderId="4" xfId="0" applyFont="1" applyBorder="1"/>
    <xf numFmtId="49" fontId="7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left" vertical="top"/>
    </xf>
    <xf numFmtId="0" fontId="2" fillId="0" borderId="4" xfId="0" applyFont="1" applyBorder="1" applyAlignment="1">
      <alignment horizontal="center" vertical="center"/>
    </xf>
    <xf numFmtId="167" fontId="2" fillId="0" borderId="4" xfId="0" applyNumberFormat="1" applyFont="1" applyBorder="1" applyAlignment="1">
      <alignment horizontal="center"/>
    </xf>
    <xf numFmtId="0" fontId="3" fillId="14" borderId="0" xfId="0" applyFont="1" applyFill="1" applyAlignment="1">
      <alignment vertical="center"/>
    </xf>
    <xf numFmtId="167" fontId="2" fillId="14" borderId="0" xfId="0" applyNumberFormat="1" applyFont="1" applyFill="1"/>
    <xf numFmtId="0" fontId="2" fillId="4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/>
    </xf>
    <xf numFmtId="168" fontId="9" fillId="0" borderId="4" xfId="0" applyNumberFormat="1" applyFont="1" applyBorder="1" applyAlignment="1">
      <alignment horizontal="center" vertical="center"/>
    </xf>
    <xf numFmtId="49" fontId="7" fillId="15" borderId="4" xfId="0" applyNumberFormat="1" applyFont="1" applyFill="1" applyBorder="1" applyAlignment="1">
      <alignment horizontal="center" vertical="center"/>
    </xf>
    <xf numFmtId="0" fontId="21" fillId="15" borderId="4" xfId="0" applyFont="1" applyFill="1" applyBorder="1" applyAlignment="1">
      <alignment horizontal="center" vertical="center"/>
    </xf>
    <xf numFmtId="0" fontId="21" fillId="15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top"/>
    </xf>
    <xf numFmtId="0" fontId="0" fillId="0" borderId="4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22" fillId="0" borderId="4" xfId="0" applyFont="1" applyBorder="1" applyAlignment="1">
      <alignment vertical="top" wrapText="1"/>
    </xf>
    <xf numFmtId="0" fontId="19" fillId="13" borderId="4" xfId="0" applyFont="1" applyFill="1" applyBorder="1" applyAlignment="1">
      <alignment horizontal="center" vertical="center"/>
    </xf>
    <xf numFmtId="14" fontId="11" fillId="13" borderId="4" xfId="0" applyNumberFormat="1" applyFont="1" applyFill="1" applyBorder="1" applyAlignment="1">
      <alignment horizontal="center" vertical="center"/>
    </xf>
    <xf numFmtId="0" fontId="11" fillId="13" borderId="4" xfId="0" applyFont="1" applyFill="1" applyBorder="1" applyAlignment="1">
      <alignment horizontal="center" vertical="center"/>
    </xf>
    <xf numFmtId="0" fontId="19" fillId="10" borderId="4" xfId="0" applyFont="1" applyFill="1" applyBorder="1" applyAlignment="1">
      <alignment horizontal="center" vertical="center"/>
    </xf>
    <xf numFmtId="0" fontId="7" fillId="10" borderId="4" xfId="0" applyFont="1" applyFill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20" fillId="15" borderId="4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7" fillId="15" borderId="3" xfId="0" applyFont="1" applyFill="1" applyBorder="1" applyAlignment="1">
      <alignment horizontal="center" vertical="center"/>
    </xf>
    <xf numFmtId="0" fontId="7" fillId="15" borderId="2" xfId="0" applyFont="1" applyFill="1" applyBorder="1" applyAlignment="1">
      <alignment horizontal="center" vertical="center"/>
    </xf>
    <xf numFmtId="0" fontId="7" fillId="15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" fontId="2" fillId="0" borderId="11" xfId="0" applyNumberFormat="1" applyFont="1" applyBorder="1" applyAlignment="1">
      <alignment horizontal="center" textRotation="90"/>
    </xf>
    <xf numFmtId="16" fontId="2" fillId="0" borderId="12" xfId="0" applyNumberFormat="1" applyFont="1" applyBorder="1" applyAlignment="1">
      <alignment horizontal="center" textRotation="90"/>
    </xf>
    <xf numFmtId="16" fontId="2" fillId="0" borderId="10" xfId="0" applyNumberFormat="1" applyFont="1" applyBorder="1" applyAlignment="1">
      <alignment horizontal="center" textRotation="90"/>
    </xf>
    <xf numFmtId="16" fontId="2" fillId="0" borderId="9" xfId="0" applyNumberFormat="1" applyFont="1" applyBorder="1" applyAlignment="1">
      <alignment horizontal="center" textRotation="90"/>
    </xf>
    <xf numFmtId="0" fontId="2" fillId="4" borderId="4" xfId="0" applyFont="1" applyFill="1" applyBorder="1" applyAlignment="1">
      <alignment horizontal="center" vertical="center"/>
    </xf>
    <xf numFmtId="16" fontId="2" fillId="0" borderId="13" xfId="0" applyNumberFormat="1" applyFont="1" applyBorder="1" applyAlignment="1">
      <alignment horizontal="center" textRotation="90"/>
    </xf>
    <xf numFmtId="16" fontId="2" fillId="0" borderId="15" xfId="0" applyNumberFormat="1" applyFont="1" applyBorder="1" applyAlignment="1">
      <alignment horizontal="center" textRotation="90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18" fillId="12" borderId="0" xfId="0" applyFont="1" applyFill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 vertical="center"/>
    </xf>
    <xf numFmtId="0" fontId="7" fillId="13" borderId="4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left"/>
    </xf>
  </cellXfs>
  <cellStyles count="1">
    <cellStyle name="Normal" xfId="0" builtinId="0"/>
  </cellStyles>
  <dxfs count="225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59996337778862885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ill>
        <patternFill>
          <bgColor rgb="FFFF505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505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5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505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5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3300"/>
      </font>
    </dxf>
    <dxf>
      <font>
        <color theme="0"/>
      </font>
      <fill>
        <patternFill>
          <bgColor rgb="FFFF0000"/>
        </patternFill>
      </fill>
    </dxf>
    <dxf>
      <font>
        <color rgb="FFFF3300"/>
      </font>
    </dxf>
    <dxf>
      <font>
        <color theme="0"/>
      </font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66"/>
        </patternFill>
      </fill>
    </dxf>
    <dxf>
      <fill>
        <patternFill>
          <bgColor theme="4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FFFF66"/>
        </patternFill>
      </fill>
    </dxf>
    <dxf>
      <fill>
        <patternFill>
          <bgColor theme="4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FFFF66"/>
        </patternFill>
      </fill>
    </dxf>
    <dxf>
      <fill>
        <patternFill>
          <bgColor theme="4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FFFF66"/>
        </patternFill>
      </fill>
    </dxf>
    <dxf>
      <fill>
        <patternFill>
          <bgColor theme="4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FFFF66"/>
        </patternFill>
      </fill>
    </dxf>
    <dxf>
      <fill>
        <patternFill>
          <bgColor theme="4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FFFF66"/>
        </patternFill>
      </fill>
    </dxf>
    <dxf>
      <fill>
        <patternFill>
          <bgColor theme="4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FFFF66"/>
        </patternFill>
      </fill>
    </dxf>
    <dxf>
      <fill>
        <patternFill>
          <bgColor theme="4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FFFF66"/>
        </patternFill>
      </fill>
    </dxf>
    <dxf>
      <fill>
        <patternFill>
          <bgColor theme="4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FFFF66"/>
        </patternFill>
      </fill>
    </dxf>
    <dxf>
      <fill>
        <patternFill>
          <bgColor theme="4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FFFF66"/>
        </patternFill>
      </fill>
    </dxf>
    <dxf>
      <fill>
        <patternFill>
          <bgColor theme="4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FFFF66"/>
        </patternFill>
      </fill>
    </dxf>
    <dxf>
      <fill>
        <patternFill>
          <bgColor theme="4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66"/>
        </patternFill>
      </fill>
    </dxf>
    <dxf>
      <fill>
        <patternFill>
          <bgColor theme="4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152E-4C6A-AB6A-DE151A52658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5D8-4167-9AE2-4EE6249C7B9C}"/>
              </c:ext>
            </c:extLst>
          </c:dPt>
          <c:dPt>
            <c:idx val="2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5D8-4167-9AE2-4EE6249C7B9C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5D8-4167-9AE2-4EE6249C7B9C}"/>
              </c:ext>
            </c:extLst>
          </c:dPt>
          <c:dLbls>
            <c:dLbl>
              <c:idx val="3"/>
              <c:layout>
                <c:manualLayout>
                  <c:x val="0.14502923976608187"/>
                  <c:y val="-2.308801259478356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5D8-4167-9AE2-4EE6249C7B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Data!$A$3:$A$6</c15:sqref>
                  </c15:fullRef>
                </c:ext>
              </c:extLst>
              <c:f>Data!$A$4:$A$6</c:f>
              <c:strCache>
                <c:ptCount val="3"/>
                <c:pt idx="0">
                  <c:v>Delay</c:v>
                </c:pt>
                <c:pt idx="1">
                  <c:v>On Track</c:v>
                </c:pt>
                <c:pt idx="2">
                  <c:v>Worry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Data!$B$3:$B$6</c15:sqref>
                  </c15:fullRef>
                </c:ext>
              </c:extLst>
              <c:f>Data!$B$4:$B$6</c:f>
              <c:numCache>
                <c:formatCode>0</c:formatCode>
                <c:ptCount val="3"/>
                <c:pt idx="0">
                  <c:v>48</c:v>
                </c:pt>
                <c:pt idx="1" formatCode="General">
                  <c:v>4</c:v>
                </c:pt>
                <c:pt idx="2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6-A5D8-4167-9AE2-4EE6249C7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88"/>
        <c:holeSize val="62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5">
                      <a:shade val="5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hade val="5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shade val="5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CDED-4277-B426-C68CECCD0EDB}"/>
              </c:ext>
            </c:extLst>
          </c:dPt>
          <c:dPt>
            <c:idx val="1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CDED-4277-B426-C68CECCD0ED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tint val="8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tint val="8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tint val="8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DED-4277-B426-C68CECCD0ED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5">
                      <a:tint val="5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tint val="5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tint val="5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DED-4277-B426-C68CECCD0EDB}"/>
              </c:ext>
            </c:extLst>
          </c:dPt>
          <c:dLbls>
            <c:dLbl>
              <c:idx val="0"/>
              <c:layout>
                <c:manualLayout>
                  <c:x val="0.21445221445221446"/>
                  <c:y val="0.1034482758620689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DED-4277-B426-C68CECCD0EDB}"/>
                </c:ext>
              </c:extLst>
            </c:dLbl>
            <c:dLbl>
              <c:idx val="1"/>
              <c:layout>
                <c:manualLayout>
                  <c:x val="-0.17249417249417248"/>
                  <c:y val="0.261494252873563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9696969696969696"/>
                      <c:h val="0.2412068965517241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CDED-4277-B426-C68CECCD0EDB}"/>
                </c:ext>
              </c:extLst>
            </c:dLbl>
            <c:dLbl>
              <c:idx val="2"/>
              <c:layout>
                <c:manualLayout>
                  <c:x val="-0.20046620046620051"/>
                  <c:y val="-0.1839080459770114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DED-4277-B426-C68CECCD0E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Data!$D$3:$D$6</c:f>
              <c:strCache>
                <c:ptCount val="4"/>
                <c:pt idx="0">
                  <c:v>Not Started</c:v>
                </c:pt>
                <c:pt idx="1">
                  <c:v>Half Done</c:v>
                </c:pt>
                <c:pt idx="2">
                  <c:v>Almost There</c:v>
                </c:pt>
                <c:pt idx="3">
                  <c:v>Done</c:v>
                </c:pt>
              </c:strCache>
            </c:strRef>
          </c:cat>
          <c:val>
            <c:numRef>
              <c:f>Data!$E$3:$E$6</c:f>
              <c:numCache>
                <c:formatCode>General</c:formatCode>
                <c:ptCount val="4"/>
                <c:pt idx="0">
                  <c:v>39</c:v>
                </c:pt>
                <c:pt idx="1">
                  <c:v>3</c:v>
                </c:pt>
                <c:pt idx="2">
                  <c:v>9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66-4CCB-B267-E462422A32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2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A39-42EB-B3BB-C19758F8AF6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A39-42EB-B3BB-C19758F8AF6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A39-42EB-B3BB-C19758F8AF65}"/>
              </c:ext>
            </c:extLst>
          </c:dPt>
          <c:dLbls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5-CA39-42EB-B3BB-C19758F8AF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Data!$I$3:$K$3</c:f>
              <c:strCache>
                <c:ptCount val="3"/>
                <c:pt idx="0">
                  <c:v>Planned</c:v>
                </c:pt>
                <c:pt idx="1">
                  <c:v>Spend</c:v>
                </c:pt>
                <c:pt idx="2">
                  <c:v>Remaining</c:v>
                </c:pt>
              </c:strCache>
            </c:strRef>
          </c:cat>
          <c:val>
            <c:numRef>
              <c:f>Data!$I$7:$K$7</c:f>
              <c:numCache>
                <c:formatCode>"$"#,##0</c:formatCode>
                <c:ptCount val="3"/>
                <c:pt idx="0">
                  <c:v>940500</c:v>
                </c:pt>
                <c:pt idx="1">
                  <c:v>340400</c:v>
                </c:pt>
                <c:pt idx="2">
                  <c:v>600100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A39-42EB-B3BB-C19758F8AF6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holeSize val="64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545-4C8A-A469-B6C51A16D017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545-4C8A-A469-B6C51A16D017}"/>
              </c:ext>
            </c:extLst>
          </c:dPt>
          <c:dPt>
            <c:idx val="2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545-4C8A-A469-B6C51A16D017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545-4C8A-A469-B6C51A16D017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Data!$M$3:$M$5</c:f>
              <c:strCache>
                <c:ptCount val="3"/>
                <c:pt idx="0">
                  <c:v>Utilized</c:v>
                </c:pt>
                <c:pt idx="1">
                  <c:v>Availability</c:v>
                </c:pt>
                <c:pt idx="2">
                  <c:v>Total</c:v>
                </c:pt>
              </c:strCache>
            </c:strRef>
          </c:cat>
          <c:val>
            <c:numRef>
              <c:f>Data!$O$3:$O$5</c:f>
              <c:numCache>
                <c:formatCode>General</c:formatCode>
                <c:ptCount val="3"/>
                <c:pt idx="0">
                  <c:v>20</c:v>
                </c:pt>
                <c:pt idx="1">
                  <c:v>80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45-4C8A-A469-B6C51A16D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0E9-4E7C-85CB-030658A6171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0E9-4E7C-85CB-030658A61715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0E9-4E7C-85CB-030658A61715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0E9-4E7C-85CB-030658A6171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Data!$A$12:$A$15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Data!$B$12:$B$15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0E9-4E7C-85CB-030658A617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9329728"/>
        <c:axId val="589328088"/>
      </c:barChart>
      <c:catAx>
        <c:axId val="589329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328088"/>
        <c:crosses val="autoZero"/>
        <c:auto val="1"/>
        <c:lblAlgn val="ctr"/>
        <c:lblOffset val="100"/>
        <c:noMultiLvlLbl val="0"/>
      </c:catAx>
      <c:valAx>
        <c:axId val="58932808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8932972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79DA-4AAC-8215-9647F6034BE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79DA-4AAC-8215-9647F6034BE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79DA-4AAC-8215-9647F6034BEA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79DA-4AAC-8215-9647F6034BE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Data!$D$12:$D$15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Data!$E$12:$E$15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DA-4AAC-8215-9647F6034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0582640"/>
        <c:axId val="300582312"/>
      </c:barChart>
      <c:catAx>
        <c:axId val="30058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582312"/>
        <c:crosses val="autoZero"/>
        <c:auto val="1"/>
        <c:lblAlgn val="ctr"/>
        <c:lblOffset val="100"/>
        <c:noMultiLvlLbl val="0"/>
      </c:catAx>
      <c:valAx>
        <c:axId val="30058231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00582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3" Type="http://schemas.openxmlformats.org/officeDocument/2006/relationships/chart" Target="../charts/chart3.xml"/><Relationship Id="rId7" Type="http://schemas.openxmlformats.org/officeDocument/2006/relationships/image" Target="../media/image1.jpe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20052</xdr:colOff>
      <xdr:row>6</xdr:row>
      <xdr:rowOff>104776</xdr:rowOff>
    </xdr:from>
    <xdr:to>
      <xdr:col>5</xdr:col>
      <xdr:colOff>457200</xdr:colOff>
      <xdr:row>19</xdr:row>
      <xdr:rowOff>30080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</xdr:col>
      <xdr:colOff>257175</xdr:colOff>
      <xdr:row>6</xdr:row>
      <xdr:rowOff>76200</xdr:rowOff>
    </xdr:from>
    <xdr:ext cx="1182375" cy="23980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876300" y="314325"/>
          <a:ext cx="1182375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00" b="1">
              <a:latin typeface="Arial" panose="020B0604020202020204" pitchFamily="34" charset="0"/>
              <a:cs typeface="Arial" panose="020B0604020202020204" pitchFamily="34" charset="0"/>
            </a:rPr>
            <a:t>Schedule Health</a:t>
          </a:r>
        </a:p>
      </xdr:txBody>
    </xdr:sp>
    <xdr:clientData/>
  </xdr:oneCellAnchor>
  <xdr:twoCellAnchor>
    <xdr:from>
      <xdr:col>5</xdr:col>
      <xdr:colOff>439153</xdr:colOff>
      <xdr:row>6</xdr:row>
      <xdr:rowOff>55645</xdr:rowOff>
    </xdr:from>
    <xdr:to>
      <xdr:col>10</xdr:col>
      <xdr:colOff>610603</xdr:colOff>
      <xdr:row>19</xdr:row>
      <xdr:rowOff>27070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7</xdr:col>
      <xdr:colOff>276225</xdr:colOff>
      <xdr:row>6</xdr:row>
      <xdr:rowOff>57150</xdr:rowOff>
    </xdr:from>
    <xdr:ext cx="904478" cy="239809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3990975" y="295275"/>
          <a:ext cx="904478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00" b="1">
              <a:latin typeface="Arial" panose="020B0604020202020204" pitchFamily="34" charset="0"/>
              <a:cs typeface="Arial" panose="020B0604020202020204" pitchFamily="34" charset="0"/>
            </a:rPr>
            <a:t>Task Status</a:t>
          </a:r>
        </a:p>
      </xdr:txBody>
    </xdr:sp>
    <xdr:clientData/>
  </xdr:oneCellAnchor>
  <xdr:twoCellAnchor>
    <xdr:from>
      <xdr:col>10</xdr:col>
      <xdr:colOff>561975</xdr:colOff>
      <xdr:row>6</xdr:row>
      <xdr:rowOff>27072</xdr:rowOff>
    </xdr:from>
    <xdr:to>
      <xdr:col>15</xdr:col>
      <xdr:colOff>485775</xdr:colOff>
      <xdr:row>19</xdr:row>
      <xdr:rowOff>27071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12</xdr:col>
      <xdr:colOff>219075</xdr:colOff>
      <xdr:row>6</xdr:row>
      <xdr:rowOff>38100</xdr:rowOff>
    </xdr:from>
    <xdr:ext cx="1053878" cy="23980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029450" y="276225"/>
          <a:ext cx="1053878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00" b="1">
              <a:latin typeface="Arial" panose="020B0604020202020204" pitchFamily="34" charset="0"/>
              <a:cs typeface="Arial" panose="020B0604020202020204" pitchFamily="34" charset="0"/>
            </a:rPr>
            <a:t>Budget Health</a:t>
          </a:r>
        </a:p>
      </xdr:txBody>
    </xdr:sp>
    <xdr:clientData/>
  </xdr:oneCellAnchor>
  <xdr:oneCellAnchor>
    <xdr:from>
      <xdr:col>17</xdr:col>
      <xdr:colOff>190500</xdr:colOff>
      <xdr:row>6</xdr:row>
      <xdr:rowOff>66675</xdr:rowOff>
    </xdr:from>
    <xdr:ext cx="1196610" cy="239809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0096500" y="304800"/>
          <a:ext cx="1196610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00" b="1">
              <a:latin typeface="Arial" panose="020B0604020202020204" pitchFamily="34" charset="0"/>
              <a:cs typeface="Arial" panose="020B0604020202020204" pitchFamily="34" charset="0"/>
            </a:rPr>
            <a:t>Resource Health</a:t>
          </a:r>
        </a:p>
      </xdr:txBody>
    </xdr:sp>
    <xdr:clientData/>
  </xdr:oneCellAnchor>
  <xdr:twoCellAnchor>
    <xdr:from>
      <xdr:col>15</xdr:col>
      <xdr:colOff>485776</xdr:colOff>
      <xdr:row>7</xdr:row>
      <xdr:rowOff>46122</xdr:rowOff>
    </xdr:from>
    <xdr:to>
      <xdr:col>21</xdr:col>
      <xdr:colOff>2</xdr:colOff>
      <xdr:row>19</xdr:row>
      <xdr:rowOff>27072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104775</xdr:colOff>
      <xdr:row>21</xdr:row>
      <xdr:rowOff>57150</xdr:rowOff>
    </xdr:from>
    <xdr:to>
      <xdr:col>6</xdr:col>
      <xdr:colOff>400050</xdr:colOff>
      <xdr:row>27</xdr:row>
      <xdr:rowOff>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95250</xdr:colOff>
      <xdr:row>21</xdr:row>
      <xdr:rowOff>85725</xdr:rowOff>
    </xdr:from>
    <xdr:to>
      <xdr:col>12</xdr:col>
      <xdr:colOff>581025</xdr:colOff>
      <xdr:row>27</xdr:row>
      <xdr:rowOff>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300789</xdr:colOff>
      <xdr:row>0</xdr:row>
      <xdr:rowOff>230605</xdr:rowOff>
    </xdr:from>
    <xdr:to>
      <xdr:col>4</xdr:col>
      <xdr:colOff>153903</xdr:colOff>
      <xdr:row>3</xdr:row>
      <xdr:rowOff>109119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9EDA6E0C-467E-4E51-9E0A-DECFB981186E}"/>
            </a:ext>
          </a:extLst>
        </xdr:cNvPr>
        <xdr:cNvGrpSpPr>
          <a:grpSpLocks noChangeAspect="1"/>
        </xdr:cNvGrpSpPr>
      </xdr:nvGrpSpPr>
      <xdr:grpSpPr>
        <a:xfrm>
          <a:off x="300789" y="230605"/>
          <a:ext cx="2024814" cy="507164"/>
          <a:chOff x="0" y="0"/>
          <a:chExt cx="2061635" cy="539750"/>
        </a:xfrm>
      </xdr:grpSpPr>
      <xdr:pic>
        <xdr:nvPicPr>
          <xdr:cNvPr id="23" name="Picture 22">
            <a:extLst>
              <a:ext uri="{FF2B5EF4-FFF2-40B4-BE49-F238E27FC236}">
                <a16:creationId xmlns:a16="http://schemas.microsoft.com/office/drawing/2014/main" id="{EA349C8F-535E-41D0-971E-3B88016AEF1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511175" cy="539750"/>
          </a:xfrm>
          <a:prstGeom prst="rect">
            <a:avLst/>
          </a:prstGeom>
        </xdr:spPr>
      </xdr:pic>
      <xdr:pic>
        <xdr:nvPicPr>
          <xdr:cNvPr id="24" name="Picture 23">
            <a:extLst>
              <a:ext uri="{FF2B5EF4-FFF2-40B4-BE49-F238E27FC236}">
                <a16:creationId xmlns:a16="http://schemas.microsoft.com/office/drawing/2014/main" id="{44263BE5-9462-489A-A4DE-928020B2DF9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48426" y="125397"/>
            <a:ext cx="1113209" cy="414103"/>
          </a:xfrm>
          <a:prstGeom prst="rect">
            <a:avLst/>
          </a:prstGeom>
        </xdr:spPr>
      </xdr:pic>
      <xdr:cxnSp macro="">
        <xdr:nvCxnSpPr>
          <xdr:cNvPr id="25" name="Straight Connector 24">
            <a:extLst>
              <a:ext uri="{FF2B5EF4-FFF2-40B4-BE49-F238E27FC236}">
                <a16:creationId xmlns:a16="http://schemas.microsoft.com/office/drawing/2014/main" id="{8C0CEC46-87D0-4B99-BBCB-AB2322CF8B8B}"/>
              </a:ext>
            </a:extLst>
          </xdr:cNvPr>
          <xdr:cNvCxnSpPr/>
        </xdr:nvCxnSpPr>
        <xdr:spPr>
          <a:xfrm>
            <a:off x="729574" y="0"/>
            <a:ext cx="0" cy="539285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257</xdr:col>
      <xdr:colOff>0</xdr:colOff>
      <xdr:row>3</xdr:row>
      <xdr:rowOff>0</xdr:rowOff>
    </xdr:from>
    <xdr:to>
      <xdr:col>270</xdr:col>
      <xdr:colOff>47625</xdr:colOff>
      <xdr:row>5</xdr:row>
      <xdr:rowOff>177800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2AE37E85-C826-4E26-9A2A-CB28FEDB2368}"/>
            </a:ext>
          </a:extLst>
        </xdr:cNvPr>
        <xdr:cNvGrpSpPr>
          <a:grpSpLocks noChangeAspect="1"/>
        </xdr:cNvGrpSpPr>
      </xdr:nvGrpSpPr>
      <xdr:grpSpPr>
        <a:xfrm>
          <a:off x="42900600" y="495300"/>
          <a:ext cx="2028825" cy="520700"/>
          <a:chOff x="0" y="0"/>
          <a:chExt cx="2061635" cy="539750"/>
        </a:xfrm>
      </xdr:grpSpPr>
      <xdr:pic>
        <xdr:nvPicPr>
          <xdr:cNvPr id="7" name="Picture 6">
            <a:extLst>
              <a:ext uri="{FF2B5EF4-FFF2-40B4-BE49-F238E27FC236}">
                <a16:creationId xmlns:a16="http://schemas.microsoft.com/office/drawing/2014/main" id="{84D97D64-54D2-457A-905E-0B0DFDCAFAD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511175" cy="539750"/>
          </a:xfrm>
          <a:prstGeom prst="rect">
            <a:avLst/>
          </a:prstGeom>
        </xdr:spPr>
      </xdr:pic>
      <xdr:pic>
        <xdr:nvPicPr>
          <xdr:cNvPr id="8" name="Picture 7">
            <a:extLst>
              <a:ext uri="{FF2B5EF4-FFF2-40B4-BE49-F238E27FC236}">
                <a16:creationId xmlns:a16="http://schemas.microsoft.com/office/drawing/2014/main" id="{BBBB0115-D4FC-4384-AB45-243F6C6863A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48426" y="125397"/>
            <a:ext cx="1113209" cy="414103"/>
          </a:xfrm>
          <a:prstGeom prst="rect">
            <a:avLst/>
          </a:prstGeom>
        </xdr:spPr>
      </xdr:pic>
      <xdr:cxnSp macro="">
        <xdr:nvCxnSpPr>
          <xdr:cNvPr id="9" name="Straight Connector 8">
            <a:extLst>
              <a:ext uri="{FF2B5EF4-FFF2-40B4-BE49-F238E27FC236}">
                <a16:creationId xmlns:a16="http://schemas.microsoft.com/office/drawing/2014/main" id="{6F4CD0AA-A5BC-46E6-86B7-C59563AC9554}"/>
              </a:ext>
            </a:extLst>
          </xdr:cNvPr>
          <xdr:cNvCxnSpPr/>
        </xdr:nvCxnSpPr>
        <xdr:spPr>
          <a:xfrm>
            <a:off x="729574" y="0"/>
            <a:ext cx="0" cy="539285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0</xdr:colOff>
      <xdr:row>0</xdr:row>
      <xdr:rowOff>133350</xdr:rowOff>
    </xdr:from>
    <xdr:to>
      <xdr:col>3</xdr:col>
      <xdr:colOff>95250</xdr:colOff>
      <xdr:row>3</xdr:row>
      <xdr:rowOff>149225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13A915C1-88C3-404B-9B5C-5185E4B8EB35}"/>
            </a:ext>
          </a:extLst>
        </xdr:cNvPr>
        <xdr:cNvGrpSpPr>
          <a:grpSpLocks noChangeAspect="1"/>
        </xdr:cNvGrpSpPr>
      </xdr:nvGrpSpPr>
      <xdr:grpSpPr>
        <a:xfrm>
          <a:off x="228600" y="133350"/>
          <a:ext cx="2028825" cy="511175"/>
          <a:chOff x="0" y="0"/>
          <a:chExt cx="2061635" cy="539750"/>
        </a:xfrm>
      </xdr:grpSpPr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6063CD3E-8F5C-4BD0-B6AD-37455BB7452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511175" cy="539750"/>
          </a:xfrm>
          <a:prstGeom prst="rect">
            <a:avLst/>
          </a:prstGeom>
        </xdr:spPr>
      </xdr:pic>
      <xdr:pic>
        <xdr:nvPicPr>
          <xdr:cNvPr id="12" name="Picture 11">
            <a:extLst>
              <a:ext uri="{FF2B5EF4-FFF2-40B4-BE49-F238E27FC236}">
                <a16:creationId xmlns:a16="http://schemas.microsoft.com/office/drawing/2014/main" id="{1E0D01EC-B595-4C1F-A4D9-B8E67CEFD88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48426" y="125397"/>
            <a:ext cx="1113209" cy="414103"/>
          </a:xfrm>
          <a:prstGeom prst="rect">
            <a:avLst/>
          </a:prstGeom>
        </xdr:spPr>
      </xdr:pic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A5AF477F-8255-478C-BF29-D04E31B104C7}"/>
              </a:ext>
            </a:extLst>
          </xdr:cNvPr>
          <xdr:cNvCxnSpPr/>
        </xdr:nvCxnSpPr>
        <xdr:spPr>
          <a:xfrm>
            <a:off x="729574" y="0"/>
            <a:ext cx="0" cy="539285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152400</xdr:rowOff>
    </xdr:from>
    <xdr:to>
      <xdr:col>2</xdr:col>
      <xdr:colOff>219075</xdr:colOff>
      <xdr:row>3</xdr:row>
      <xdr:rowOff>111125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B6552640-2286-4CFB-AB32-2CA0CAC31231}"/>
            </a:ext>
          </a:extLst>
        </xdr:cNvPr>
        <xdr:cNvGrpSpPr>
          <a:grpSpLocks noChangeAspect="1"/>
        </xdr:cNvGrpSpPr>
      </xdr:nvGrpSpPr>
      <xdr:grpSpPr>
        <a:xfrm>
          <a:off x="247650" y="152400"/>
          <a:ext cx="2028825" cy="501650"/>
          <a:chOff x="0" y="0"/>
          <a:chExt cx="2061635" cy="539750"/>
        </a:xfrm>
      </xdr:grpSpPr>
      <xdr:pic>
        <xdr:nvPicPr>
          <xdr:cNvPr id="7" name="Picture 6">
            <a:extLst>
              <a:ext uri="{FF2B5EF4-FFF2-40B4-BE49-F238E27FC236}">
                <a16:creationId xmlns:a16="http://schemas.microsoft.com/office/drawing/2014/main" id="{A7EEFEBA-36BD-420F-81A7-6A418E449C5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511175" cy="539750"/>
          </a:xfrm>
          <a:prstGeom prst="rect">
            <a:avLst/>
          </a:prstGeom>
        </xdr:spPr>
      </xdr:pic>
      <xdr:pic>
        <xdr:nvPicPr>
          <xdr:cNvPr id="8" name="Picture 7">
            <a:extLst>
              <a:ext uri="{FF2B5EF4-FFF2-40B4-BE49-F238E27FC236}">
                <a16:creationId xmlns:a16="http://schemas.microsoft.com/office/drawing/2014/main" id="{8CD1333A-868F-4417-B127-AC03797A88A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48426" y="125397"/>
            <a:ext cx="1113209" cy="414103"/>
          </a:xfrm>
          <a:prstGeom prst="rect">
            <a:avLst/>
          </a:prstGeom>
        </xdr:spPr>
      </xdr:pic>
      <xdr:cxnSp macro="">
        <xdr:nvCxnSpPr>
          <xdr:cNvPr id="9" name="Straight Connector 8">
            <a:extLst>
              <a:ext uri="{FF2B5EF4-FFF2-40B4-BE49-F238E27FC236}">
                <a16:creationId xmlns:a16="http://schemas.microsoft.com/office/drawing/2014/main" id="{7DF71E5A-4A8E-40DD-B319-EB3B2441895A}"/>
              </a:ext>
            </a:extLst>
          </xdr:cNvPr>
          <xdr:cNvCxnSpPr/>
        </xdr:nvCxnSpPr>
        <xdr:spPr>
          <a:xfrm>
            <a:off x="729574" y="0"/>
            <a:ext cx="0" cy="539285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180975</xdr:rowOff>
    </xdr:from>
    <xdr:to>
      <xdr:col>3</xdr:col>
      <xdr:colOff>266700</xdr:colOff>
      <xdr:row>3</xdr:row>
      <xdr:rowOff>139700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14956BEF-E6FB-457F-8553-D735B0948F18}"/>
            </a:ext>
          </a:extLst>
        </xdr:cNvPr>
        <xdr:cNvGrpSpPr>
          <a:grpSpLocks noChangeAspect="1"/>
        </xdr:cNvGrpSpPr>
      </xdr:nvGrpSpPr>
      <xdr:grpSpPr>
        <a:xfrm>
          <a:off x="266700" y="180975"/>
          <a:ext cx="2028825" cy="511175"/>
          <a:chOff x="0" y="0"/>
          <a:chExt cx="2061635" cy="539750"/>
        </a:xfrm>
      </xdr:grpSpPr>
      <xdr:pic>
        <xdr:nvPicPr>
          <xdr:cNvPr id="7" name="Picture 6">
            <a:extLst>
              <a:ext uri="{FF2B5EF4-FFF2-40B4-BE49-F238E27FC236}">
                <a16:creationId xmlns:a16="http://schemas.microsoft.com/office/drawing/2014/main" id="{2C89B70E-1F65-4FB4-A7C5-CDC548B97EA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511175" cy="539750"/>
          </a:xfrm>
          <a:prstGeom prst="rect">
            <a:avLst/>
          </a:prstGeom>
        </xdr:spPr>
      </xdr:pic>
      <xdr:pic>
        <xdr:nvPicPr>
          <xdr:cNvPr id="8" name="Picture 7">
            <a:extLst>
              <a:ext uri="{FF2B5EF4-FFF2-40B4-BE49-F238E27FC236}">
                <a16:creationId xmlns:a16="http://schemas.microsoft.com/office/drawing/2014/main" id="{DF4ED730-253D-4CD3-8A87-3F0316B30C8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48426" y="125397"/>
            <a:ext cx="1113209" cy="414103"/>
          </a:xfrm>
          <a:prstGeom prst="rect">
            <a:avLst/>
          </a:prstGeom>
        </xdr:spPr>
      </xdr:pic>
      <xdr:cxnSp macro="">
        <xdr:nvCxnSpPr>
          <xdr:cNvPr id="9" name="Straight Connector 8">
            <a:extLst>
              <a:ext uri="{FF2B5EF4-FFF2-40B4-BE49-F238E27FC236}">
                <a16:creationId xmlns:a16="http://schemas.microsoft.com/office/drawing/2014/main" id="{0FE676DD-EE48-4B3C-8770-71F4960AE709}"/>
              </a:ext>
            </a:extLst>
          </xdr:cNvPr>
          <xdr:cNvCxnSpPr/>
        </xdr:nvCxnSpPr>
        <xdr:spPr>
          <a:xfrm>
            <a:off x="729574" y="0"/>
            <a:ext cx="0" cy="539285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152400</xdr:rowOff>
    </xdr:from>
    <xdr:to>
      <xdr:col>3</xdr:col>
      <xdr:colOff>66675</xdr:colOff>
      <xdr:row>3</xdr:row>
      <xdr:rowOff>139700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D97E7388-1A88-4BDE-8273-B5E360E902C8}"/>
            </a:ext>
          </a:extLst>
        </xdr:cNvPr>
        <xdr:cNvGrpSpPr>
          <a:grpSpLocks noChangeAspect="1"/>
        </xdr:cNvGrpSpPr>
      </xdr:nvGrpSpPr>
      <xdr:grpSpPr>
        <a:xfrm>
          <a:off x="247650" y="152400"/>
          <a:ext cx="2028825" cy="530225"/>
          <a:chOff x="0" y="0"/>
          <a:chExt cx="2061635" cy="539750"/>
        </a:xfrm>
      </xdr:grpSpPr>
      <xdr:pic>
        <xdr:nvPicPr>
          <xdr:cNvPr id="15" name="Picture 14">
            <a:extLst>
              <a:ext uri="{FF2B5EF4-FFF2-40B4-BE49-F238E27FC236}">
                <a16:creationId xmlns:a16="http://schemas.microsoft.com/office/drawing/2014/main" id="{30B17C45-F007-4621-9C18-F07EF577495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511175" cy="539750"/>
          </a:xfrm>
          <a:prstGeom prst="rect">
            <a:avLst/>
          </a:prstGeom>
        </xdr:spPr>
      </xdr:pic>
      <xdr:pic>
        <xdr:nvPicPr>
          <xdr:cNvPr id="16" name="Picture 15">
            <a:extLst>
              <a:ext uri="{FF2B5EF4-FFF2-40B4-BE49-F238E27FC236}">
                <a16:creationId xmlns:a16="http://schemas.microsoft.com/office/drawing/2014/main" id="{BC3343E9-988A-48C5-8F57-053B464EFC9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48426" y="125397"/>
            <a:ext cx="1113209" cy="414103"/>
          </a:xfrm>
          <a:prstGeom prst="rect">
            <a:avLst/>
          </a:prstGeom>
        </xdr:spPr>
      </xdr:pic>
      <xdr:cxnSp macro="">
        <xdr:nvCxnSpPr>
          <xdr:cNvPr id="17" name="Straight Connector 16">
            <a:extLst>
              <a:ext uri="{FF2B5EF4-FFF2-40B4-BE49-F238E27FC236}">
                <a16:creationId xmlns:a16="http://schemas.microsoft.com/office/drawing/2014/main" id="{E74D0EB5-F3EF-43B6-82CD-7E8AFA8D3B99}"/>
              </a:ext>
            </a:extLst>
          </xdr:cNvPr>
          <xdr:cNvCxnSpPr/>
        </xdr:nvCxnSpPr>
        <xdr:spPr>
          <a:xfrm>
            <a:off x="729574" y="0"/>
            <a:ext cx="0" cy="539285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1</xdr:row>
      <xdr:rowOff>9525</xdr:rowOff>
    </xdr:from>
    <xdr:to>
      <xdr:col>2</xdr:col>
      <xdr:colOff>1666875</xdr:colOff>
      <xdr:row>3</xdr:row>
      <xdr:rowOff>158750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55DCD76A-45BE-4029-AAFB-A44CF45F12FB}"/>
            </a:ext>
          </a:extLst>
        </xdr:cNvPr>
        <xdr:cNvGrpSpPr>
          <a:grpSpLocks noChangeAspect="1"/>
        </xdr:cNvGrpSpPr>
      </xdr:nvGrpSpPr>
      <xdr:grpSpPr>
        <a:xfrm>
          <a:off x="238125" y="190500"/>
          <a:ext cx="2028825" cy="511175"/>
          <a:chOff x="0" y="0"/>
          <a:chExt cx="2061635" cy="539750"/>
        </a:xfrm>
      </xdr:grpSpPr>
      <xdr:pic>
        <xdr:nvPicPr>
          <xdr:cNvPr id="7" name="Picture 6">
            <a:extLst>
              <a:ext uri="{FF2B5EF4-FFF2-40B4-BE49-F238E27FC236}">
                <a16:creationId xmlns:a16="http://schemas.microsoft.com/office/drawing/2014/main" id="{1B0394F3-520B-41FA-AA2E-9CC18E99667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511175" cy="539750"/>
          </a:xfrm>
          <a:prstGeom prst="rect">
            <a:avLst/>
          </a:prstGeom>
        </xdr:spPr>
      </xdr:pic>
      <xdr:pic>
        <xdr:nvPicPr>
          <xdr:cNvPr id="8" name="Picture 7">
            <a:extLst>
              <a:ext uri="{FF2B5EF4-FFF2-40B4-BE49-F238E27FC236}">
                <a16:creationId xmlns:a16="http://schemas.microsoft.com/office/drawing/2014/main" id="{5511FBB5-A488-4BD4-831A-64E0BB75F0A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48426" y="125397"/>
            <a:ext cx="1113209" cy="414103"/>
          </a:xfrm>
          <a:prstGeom prst="rect">
            <a:avLst/>
          </a:prstGeom>
        </xdr:spPr>
      </xdr:pic>
      <xdr:cxnSp macro="">
        <xdr:nvCxnSpPr>
          <xdr:cNvPr id="9" name="Straight Connector 8">
            <a:extLst>
              <a:ext uri="{FF2B5EF4-FFF2-40B4-BE49-F238E27FC236}">
                <a16:creationId xmlns:a16="http://schemas.microsoft.com/office/drawing/2014/main" id="{C65492E9-827A-4EE3-B513-F6151CB61094}"/>
              </a:ext>
            </a:extLst>
          </xdr:cNvPr>
          <xdr:cNvCxnSpPr/>
        </xdr:nvCxnSpPr>
        <xdr:spPr>
          <a:xfrm>
            <a:off x="729574" y="0"/>
            <a:ext cx="0" cy="539285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0</xdr:row>
      <xdr:rowOff>171450</xdr:rowOff>
    </xdr:from>
    <xdr:to>
      <xdr:col>2</xdr:col>
      <xdr:colOff>1771650</xdr:colOff>
      <xdr:row>4</xdr:row>
      <xdr:rowOff>15875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1ED3DF27-4D3D-4E88-B14C-FB358B9FAD63}"/>
            </a:ext>
          </a:extLst>
        </xdr:cNvPr>
        <xdr:cNvGrpSpPr>
          <a:grpSpLocks noChangeAspect="1"/>
        </xdr:cNvGrpSpPr>
      </xdr:nvGrpSpPr>
      <xdr:grpSpPr>
        <a:xfrm>
          <a:off x="257175" y="171450"/>
          <a:ext cx="2028825" cy="511175"/>
          <a:chOff x="0" y="0"/>
          <a:chExt cx="2061635" cy="539750"/>
        </a:xfrm>
      </xdr:grpSpPr>
      <xdr:pic>
        <xdr:nvPicPr>
          <xdr:cNvPr id="7" name="Picture 6">
            <a:extLst>
              <a:ext uri="{FF2B5EF4-FFF2-40B4-BE49-F238E27FC236}">
                <a16:creationId xmlns:a16="http://schemas.microsoft.com/office/drawing/2014/main" id="{55C1B41D-9046-4C6D-AF92-E15909F6487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511175" cy="539750"/>
          </a:xfrm>
          <a:prstGeom prst="rect">
            <a:avLst/>
          </a:prstGeom>
        </xdr:spPr>
      </xdr:pic>
      <xdr:pic>
        <xdr:nvPicPr>
          <xdr:cNvPr id="8" name="Picture 7">
            <a:extLst>
              <a:ext uri="{FF2B5EF4-FFF2-40B4-BE49-F238E27FC236}">
                <a16:creationId xmlns:a16="http://schemas.microsoft.com/office/drawing/2014/main" id="{EF49CCB3-B797-43D7-A9B3-9BBD6881DA8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48426" y="125397"/>
            <a:ext cx="1113209" cy="414103"/>
          </a:xfrm>
          <a:prstGeom prst="rect">
            <a:avLst/>
          </a:prstGeom>
        </xdr:spPr>
      </xdr:pic>
      <xdr:cxnSp macro="">
        <xdr:nvCxnSpPr>
          <xdr:cNvPr id="9" name="Straight Connector 8">
            <a:extLst>
              <a:ext uri="{FF2B5EF4-FFF2-40B4-BE49-F238E27FC236}">
                <a16:creationId xmlns:a16="http://schemas.microsoft.com/office/drawing/2014/main" id="{54069B2E-76FD-4E63-AF03-BE05DC635362}"/>
              </a:ext>
            </a:extLst>
          </xdr:cNvPr>
          <xdr:cNvCxnSpPr/>
        </xdr:nvCxnSpPr>
        <xdr:spPr>
          <a:xfrm>
            <a:off x="729574" y="0"/>
            <a:ext cx="0" cy="539285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1019175</xdr:colOff>
      <xdr:row>0</xdr:row>
      <xdr:rowOff>152400</xdr:rowOff>
    </xdr:from>
    <xdr:to>
      <xdr:col>9</xdr:col>
      <xdr:colOff>47625</xdr:colOff>
      <xdr:row>3</xdr:row>
      <xdr:rowOff>149225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A5FD4510-5B2E-4C82-8D3E-94B24CD61903}"/>
            </a:ext>
          </a:extLst>
        </xdr:cNvPr>
        <xdr:cNvGrpSpPr>
          <a:grpSpLocks noChangeAspect="1"/>
        </xdr:cNvGrpSpPr>
      </xdr:nvGrpSpPr>
      <xdr:grpSpPr>
        <a:xfrm>
          <a:off x="10115550" y="152400"/>
          <a:ext cx="2028825" cy="511175"/>
          <a:chOff x="0" y="0"/>
          <a:chExt cx="2061635" cy="539750"/>
        </a:xfrm>
      </xdr:grpSpPr>
      <xdr:pic>
        <xdr:nvPicPr>
          <xdr:cNvPr id="7" name="Picture 6">
            <a:extLst>
              <a:ext uri="{FF2B5EF4-FFF2-40B4-BE49-F238E27FC236}">
                <a16:creationId xmlns:a16="http://schemas.microsoft.com/office/drawing/2014/main" id="{DFEF4984-1D44-4645-AE69-6B9A327BDC1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511175" cy="539750"/>
          </a:xfrm>
          <a:prstGeom prst="rect">
            <a:avLst/>
          </a:prstGeom>
        </xdr:spPr>
      </xdr:pic>
      <xdr:pic>
        <xdr:nvPicPr>
          <xdr:cNvPr id="8" name="Picture 7">
            <a:extLst>
              <a:ext uri="{FF2B5EF4-FFF2-40B4-BE49-F238E27FC236}">
                <a16:creationId xmlns:a16="http://schemas.microsoft.com/office/drawing/2014/main" id="{C0B1B7C7-DECA-48A9-8BCD-FCC69D2810F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48426" y="125397"/>
            <a:ext cx="1113209" cy="414103"/>
          </a:xfrm>
          <a:prstGeom prst="rect">
            <a:avLst/>
          </a:prstGeom>
        </xdr:spPr>
      </xdr:pic>
      <xdr:cxnSp macro="">
        <xdr:nvCxnSpPr>
          <xdr:cNvPr id="9" name="Straight Connector 8">
            <a:extLst>
              <a:ext uri="{FF2B5EF4-FFF2-40B4-BE49-F238E27FC236}">
                <a16:creationId xmlns:a16="http://schemas.microsoft.com/office/drawing/2014/main" id="{2A4BE16A-EC0F-420C-998F-58AB679ED93D}"/>
              </a:ext>
            </a:extLst>
          </xdr:cNvPr>
          <xdr:cNvCxnSpPr/>
        </xdr:nvCxnSpPr>
        <xdr:spPr>
          <a:xfrm>
            <a:off x="729574" y="0"/>
            <a:ext cx="0" cy="539285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1733550</xdr:colOff>
      <xdr:row>3</xdr:row>
      <xdr:rowOff>149225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67E7BF9A-CFBD-49A1-B282-83B182E2AADD}"/>
            </a:ext>
          </a:extLst>
        </xdr:cNvPr>
        <xdr:cNvGrpSpPr>
          <a:grpSpLocks noChangeAspect="1"/>
        </xdr:cNvGrpSpPr>
      </xdr:nvGrpSpPr>
      <xdr:grpSpPr>
        <a:xfrm>
          <a:off x="247650" y="209550"/>
          <a:ext cx="2028825" cy="511175"/>
          <a:chOff x="0" y="0"/>
          <a:chExt cx="2061635" cy="539750"/>
        </a:xfrm>
      </xdr:grpSpPr>
      <xdr:pic>
        <xdr:nvPicPr>
          <xdr:cNvPr id="7" name="Picture 6">
            <a:extLst>
              <a:ext uri="{FF2B5EF4-FFF2-40B4-BE49-F238E27FC236}">
                <a16:creationId xmlns:a16="http://schemas.microsoft.com/office/drawing/2014/main" id="{50083A39-4D77-4C9C-96AE-E07CDC96BF7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511175" cy="539750"/>
          </a:xfrm>
          <a:prstGeom prst="rect">
            <a:avLst/>
          </a:prstGeom>
        </xdr:spPr>
      </xdr:pic>
      <xdr:pic>
        <xdr:nvPicPr>
          <xdr:cNvPr id="8" name="Picture 7">
            <a:extLst>
              <a:ext uri="{FF2B5EF4-FFF2-40B4-BE49-F238E27FC236}">
                <a16:creationId xmlns:a16="http://schemas.microsoft.com/office/drawing/2014/main" id="{D02CE1D8-D5A1-4436-A62A-3CC325C70E2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48426" y="125397"/>
            <a:ext cx="1113209" cy="414103"/>
          </a:xfrm>
          <a:prstGeom prst="rect">
            <a:avLst/>
          </a:prstGeom>
        </xdr:spPr>
      </xdr:pic>
      <xdr:cxnSp macro="">
        <xdr:nvCxnSpPr>
          <xdr:cNvPr id="9" name="Straight Connector 8">
            <a:extLst>
              <a:ext uri="{FF2B5EF4-FFF2-40B4-BE49-F238E27FC236}">
                <a16:creationId xmlns:a16="http://schemas.microsoft.com/office/drawing/2014/main" id="{D2DFC354-AA78-475C-91FE-152ED43EC1AE}"/>
              </a:ext>
            </a:extLst>
          </xdr:cNvPr>
          <xdr:cNvCxnSpPr/>
        </xdr:nvCxnSpPr>
        <xdr:spPr>
          <a:xfrm>
            <a:off x="729574" y="0"/>
            <a:ext cx="0" cy="539285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4</xdr:col>
      <xdr:colOff>85725</xdr:colOff>
      <xdr:row>3</xdr:row>
      <xdr:rowOff>149225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01ED8372-55F4-4AC8-9F66-893DB5E34EB3}"/>
            </a:ext>
          </a:extLst>
        </xdr:cNvPr>
        <xdr:cNvGrpSpPr>
          <a:grpSpLocks noChangeAspect="1"/>
        </xdr:cNvGrpSpPr>
      </xdr:nvGrpSpPr>
      <xdr:grpSpPr>
        <a:xfrm>
          <a:off x="247650" y="209550"/>
          <a:ext cx="2028825" cy="511175"/>
          <a:chOff x="0" y="0"/>
          <a:chExt cx="2061635" cy="539750"/>
        </a:xfrm>
      </xdr:grpSpPr>
      <xdr:pic>
        <xdr:nvPicPr>
          <xdr:cNvPr id="7" name="Picture 6">
            <a:extLst>
              <a:ext uri="{FF2B5EF4-FFF2-40B4-BE49-F238E27FC236}">
                <a16:creationId xmlns:a16="http://schemas.microsoft.com/office/drawing/2014/main" id="{781003A5-B675-4126-8987-DDE61BEFE46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511175" cy="539750"/>
          </a:xfrm>
          <a:prstGeom prst="rect">
            <a:avLst/>
          </a:prstGeom>
        </xdr:spPr>
      </xdr:pic>
      <xdr:pic>
        <xdr:nvPicPr>
          <xdr:cNvPr id="8" name="Picture 7">
            <a:extLst>
              <a:ext uri="{FF2B5EF4-FFF2-40B4-BE49-F238E27FC236}">
                <a16:creationId xmlns:a16="http://schemas.microsoft.com/office/drawing/2014/main" id="{C91C9A32-F206-431B-83A9-2208473881A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48426" y="125397"/>
            <a:ext cx="1113209" cy="414103"/>
          </a:xfrm>
          <a:prstGeom prst="rect">
            <a:avLst/>
          </a:prstGeom>
        </xdr:spPr>
      </xdr:pic>
      <xdr:cxnSp macro="">
        <xdr:nvCxnSpPr>
          <xdr:cNvPr id="9" name="Straight Connector 8">
            <a:extLst>
              <a:ext uri="{FF2B5EF4-FFF2-40B4-BE49-F238E27FC236}">
                <a16:creationId xmlns:a16="http://schemas.microsoft.com/office/drawing/2014/main" id="{D2E31399-344D-48F0-8134-BB6D4705C31E}"/>
              </a:ext>
            </a:extLst>
          </xdr:cNvPr>
          <xdr:cNvCxnSpPr/>
        </xdr:nvCxnSpPr>
        <xdr:spPr>
          <a:xfrm>
            <a:off x="729574" y="0"/>
            <a:ext cx="0" cy="539285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wapnil\OneDrive\techno-pm\eBook\eBook%20techno-pm\Templates\Issue%20Regi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" dT="2022-08-19T04:24:05.49" personId="{00000000-0000-0000-0000-000000000000}" id="{3845FBB8-76C0-46D9-A226-D2C816780140}">
    <text>Shoule we separate human resources , equipment, IT, etc ?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V29"/>
  <sheetViews>
    <sheetView tabSelected="1" topLeftCell="B3" zoomScale="85" zoomScaleNormal="85" workbookViewId="0">
      <selection activeCell="V16" sqref="V16"/>
    </sheetView>
  </sheetViews>
  <sheetFormatPr defaultColWidth="9.140625" defaultRowHeight="14.1"/>
  <cols>
    <col min="1" max="1" width="4.7109375" style="39" customWidth="1"/>
    <col min="2" max="20" width="9.28515625" style="39" customWidth="1"/>
    <col min="21" max="21" width="11.85546875" style="39" customWidth="1"/>
    <col min="22" max="16384" width="9.140625" style="39"/>
  </cols>
  <sheetData>
    <row r="1" spans="1:22" ht="22.5" customHeight="1">
      <c r="A1" s="93"/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</row>
    <row r="2" spans="1:22">
      <c r="A2" s="93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</row>
    <row r="3" spans="1:22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</row>
    <row r="4" spans="1:22">
      <c r="A4" s="93"/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</row>
    <row r="5" spans="1:22" ht="18.75" customHeight="1">
      <c r="A5" s="93"/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</row>
    <row r="6" spans="1:22" ht="18.75" customHeight="1">
      <c r="A6" s="93"/>
      <c r="B6" s="149" t="s">
        <v>0</v>
      </c>
      <c r="C6" s="149"/>
      <c r="D6" s="149"/>
      <c r="E6" s="152" t="s">
        <v>1</v>
      </c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0">
        <f ca="1">TODAY()</f>
        <v>44835</v>
      </c>
      <c r="T6" s="151"/>
      <c r="U6" s="151"/>
      <c r="V6" s="93"/>
    </row>
    <row r="7" spans="1:22" ht="18" customHeight="1">
      <c r="A7" s="93"/>
      <c r="B7" s="81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3"/>
      <c r="V7" s="93"/>
    </row>
    <row r="8" spans="1:22">
      <c r="A8" s="93"/>
      <c r="B8" s="84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6"/>
      <c r="V8" s="93"/>
    </row>
    <row r="9" spans="1:22">
      <c r="A9" s="93"/>
      <c r="B9" s="84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6"/>
      <c r="V9" s="93"/>
    </row>
    <row r="10" spans="1:22">
      <c r="A10" s="93"/>
      <c r="B10" s="84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6"/>
      <c r="V10" s="93"/>
    </row>
    <row r="11" spans="1:22">
      <c r="A11" s="93"/>
      <c r="B11" s="84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6"/>
      <c r="V11" s="93"/>
    </row>
    <row r="12" spans="1:22">
      <c r="A12" s="93"/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6"/>
      <c r="V12" s="93"/>
    </row>
    <row r="13" spans="1:22">
      <c r="A13" s="93"/>
      <c r="B13" s="84"/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6"/>
      <c r="V13" s="93"/>
    </row>
    <row r="14" spans="1:22">
      <c r="A14" s="93"/>
      <c r="B14" s="84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6"/>
      <c r="V14" s="93"/>
    </row>
    <row r="15" spans="1:22">
      <c r="A15" s="93"/>
      <c r="B15" s="84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6"/>
      <c r="V15" s="93"/>
    </row>
    <row r="16" spans="1:22">
      <c r="A16" s="93"/>
      <c r="B16" s="84"/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6"/>
      <c r="V16" s="93"/>
    </row>
    <row r="17" spans="1:22">
      <c r="A17" s="93"/>
      <c r="B17" s="84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6"/>
      <c r="V17" s="93"/>
    </row>
    <row r="18" spans="1:22">
      <c r="A18" s="93"/>
      <c r="B18" s="84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6"/>
      <c r="V18" s="93"/>
    </row>
    <row r="19" spans="1:22">
      <c r="A19" s="93"/>
      <c r="B19" s="84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6"/>
      <c r="V19" s="93"/>
    </row>
    <row r="20" spans="1:22" ht="12.75" customHeight="1">
      <c r="A20" s="93"/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3"/>
      <c r="N20" s="153"/>
      <c r="O20" s="153"/>
      <c r="P20" s="153"/>
      <c r="Q20" s="153"/>
      <c r="R20" s="153"/>
      <c r="S20" s="153"/>
      <c r="T20" s="153"/>
      <c r="U20" s="153"/>
      <c r="V20" s="93"/>
    </row>
    <row r="21" spans="1:22" ht="15" customHeight="1">
      <c r="A21" s="93"/>
      <c r="B21" s="164" t="s">
        <v>2</v>
      </c>
      <c r="C21" s="164"/>
      <c r="D21" s="164"/>
      <c r="E21" s="164"/>
      <c r="F21" s="164"/>
      <c r="G21" s="164"/>
      <c r="H21" s="164" t="s">
        <v>3</v>
      </c>
      <c r="I21" s="164"/>
      <c r="J21" s="164"/>
      <c r="K21" s="164"/>
      <c r="L21" s="164"/>
      <c r="M21" s="161"/>
      <c r="N21" s="161" t="s">
        <v>4</v>
      </c>
      <c r="O21" s="162"/>
      <c r="P21" s="163"/>
      <c r="Q21" s="161" t="s">
        <v>5</v>
      </c>
      <c r="R21" s="162"/>
      <c r="S21" s="163"/>
      <c r="T21" s="161" t="s">
        <v>6</v>
      </c>
      <c r="U21" s="163"/>
      <c r="V21" s="93"/>
    </row>
    <row r="22" spans="1:22">
      <c r="A22" s="93"/>
      <c r="B22" s="154"/>
      <c r="C22" s="155"/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60">
        <f>Data!H16</f>
        <v>4</v>
      </c>
      <c r="O22" s="160"/>
      <c r="P22" s="160"/>
      <c r="Q22" s="160">
        <f>Data!K17</f>
        <v>2</v>
      </c>
      <c r="R22" s="160"/>
      <c r="S22" s="160"/>
      <c r="T22" s="160">
        <f>Data!N17</f>
        <v>1</v>
      </c>
      <c r="U22" s="160"/>
      <c r="V22" s="93"/>
    </row>
    <row r="23" spans="1:22">
      <c r="A23" s="93"/>
      <c r="B23" s="156"/>
      <c r="C23" s="157"/>
      <c r="D23" s="157"/>
      <c r="E23" s="157"/>
      <c r="F23" s="157"/>
      <c r="G23" s="157"/>
      <c r="H23" s="157"/>
      <c r="I23" s="157"/>
      <c r="J23" s="157"/>
      <c r="K23" s="157"/>
      <c r="L23" s="157"/>
      <c r="M23" s="157"/>
      <c r="N23" s="160"/>
      <c r="O23" s="160"/>
      <c r="P23" s="160"/>
      <c r="Q23" s="160"/>
      <c r="R23" s="160"/>
      <c r="S23" s="160"/>
      <c r="T23" s="160"/>
      <c r="U23" s="160"/>
      <c r="V23" s="93"/>
    </row>
    <row r="24" spans="1:22">
      <c r="A24" s="93"/>
      <c r="B24" s="156"/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57"/>
      <c r="N24" s="160"/>
      <c r="O24" s="160"/>
      <c r="P24" s="160"/>
      <c r="Q24" s="160"/>
      <c r="R24" s="160"/>
      <c r="S24" s="160"/>
      <c r="T24" s="160"/>
      <c r="U24" s="160"/>
      <c r="V24" s="93"/>
    </row>
    <row r="25" spans="1:22">
      <c r="A25" s="93"/>
      <c r="B25" s="156"/>
      <c r="C25" s="157"/>
      <c r="D25" s="157"/>
      <c r="E25" s="157"/>
      <c r="F25" s="157"/>
      <c r="G25" s="157"/>
      <c r="H25" s="157"/>
      <c r="I25" s="157"/>
      <c r="J25" s="157"/>
      <c r="K25" s="157"/>
      <c r="L25" s="157"/>
      <c r="M25" s="157"/>
      <c r="N25" s="160"/>
      <c r="O25" s="160"/>
      <c r="P25" s="160"/>
      <c r="Q25" s="160"/>
      <c r="R25" s="160"/>
      <c r="S25" s="160"/>
      <c r="T25" s="160"/>
      <c r="U25" s="160"/>
      <c r="V25" s="93"/>
    </row>
    <row r="26" spans="1:22">
      <c r="A26" s="93"/>
      <c r="B26" s="156"/>
      <c r="C26" s="157"/>
      <c r="D26" s="157"/>
      <c r="E26" s="157"/>
      <c r="F26" s="157"/>
      <c r="G26" s="157"/>
      <c r="H26" s="157"/>
      <c r="I26" s="157"/>
      <c r="J26" s="157"/>
      <c r="K26" s="157"/>
      <c r="L26" s="157"/>
      <c r="M26" s="157"/>
      <c r="N26" s="160"/>
      <c r="O26" s="160"/>
      <c r="P26" s="160"/>
      <c r="Q26" s="160"/>
      <c r="R26" s="160"/>
      <c r="S26" s="160"/>
      <c r="T26" s="160"/>
      <c r="U26" s="160"/>
      <c r="V26" s="93"/>
    </row>
    <row r="27" spans="1:22">
      <c r="A27" s="93"/>
      <c r="B27" s="158"/>
      <c r="C27" s="159"/>
      <c r="D27" s="159"/>
      <c r="E27" s="159"/>
      <c r="F27" s="159"/>
      <c r="G27" s="159"/>
      <c r="H27" s="159"/>
      <c r="I27" s="159"/>
      <c r="J27" s="159"/>
      <c r="K27" s="159"/>
      <c r="L27" s="159"/>
      <c r="M27" s="159"/>
      <c r="N27" s="160"/>
      <c r="O27" s="160"/>
      <c r="P27" s="160"/>
      <c r="Q27" s="160"/>
      <c r="R27" s="160"/>
      <c r="S27" s="160"/>
      <c r="T27" s="160"/>
      <c r="U27" s="160"/>
      <c r="V27" s="93"/>
    </row>
    <row r="28" spans="1:22">
      <c r="A28" s="93"/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</row>
    <row r="29" spans="1:22">
      <c r="A29" s="93"/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</row>
  </sheetData>
  <mergeCells count="14">
    <mergeCell ref="B6:D6"/>
    <mergeCell ref="S6:U6"/>
    <mergeCell ref="E6:R6"/>
    <mergeCell ref="B20:U20"/>
    <mergeCell ref="B22:G27"/>
    <mergeCell ref="H22:M27"/>
    <mergeCell ref="N22:P27"/>
    <mergeCell ref="Q22:S27"/>
    <mergeCell ref="T22:U27"/>
    <mergeCell ref="N21:P21"/>
    <mergeCell ref="Q21:S21"/>
    <mergeCell ref="T21:U21"/>
    <mergeCell ref="B21:G21"/>
    <mergeCell ref="H21:M21"/>
  </mergeCells>
  <conditionalFormatting sqref="N22:U27">
    <cfRule type="colorScale" priority="2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JK215"/>
  <sheetViews>
    <sheetView zoomScaleNormal="100" workbookViewId="0">
      <pane xSplit="12" ySplit="8" topLeftCell="M9" activePane="bottomRight" state="frozen"/>
      <selection pane="bottomRight" activeCell="C309" sqref="C309"/>
      <selection pane="bottomLeft" activeCell="A2" sqref="A2"/>
      <selection pane="topRight" activeCell="A2" sqref="A2"/>
    </sheetView>
  </sheetViews>
  <sheetFormatPr defaultColWidth="9.140625" defaultRowHeight="12.6"/>
  <cols>
    <col min="1" max="1" width="3.42578125" style="3" customWidth="1"/>
    <col min="2" max="2" width="3" style="10" customWidth="1"/>
    <col min="3" max="3" width="26" style="11" customWidth="1"/>
    <col min="4" max="4" width="7.5703125" style="11" customWidth="1"/>
    <col min="5" max="5" width="3.28515625" style="10" bestFit="1" customWidth="1"/>
    <col min="6" max="6" width="6.140625" style="10" bestFit="1" customWidth="1"/>
    <col min="7" max="7" width="6" style="10" customWidth="1"/>
    <col min="8" max="8" width="6.28515625" style="10" customWidth="1"/>
    <col min="9" max="9" width="5" style="10" customWidth="1"/>
    <col min="10" max="10" width="6.5703125" style="10" hidden="1" customWidth="1"/>
    <col min="11" max="11" width="5" style="10" bestFit="1" customWidth="1"/>
    <col min="12" max="12" width="11" style="10" customWidth="1"/>
    <col min="13" max="13" width="3" style="11" bestFit="1" customWidth="1"/>
    <col min="14" max="17" width="2.28515625" style="11" customWidth="1"/>
    <col min="18" max="19" width="2.28515625" style="18" customWidth="1"/>
    <col min="20" max="24" width="2.28515625" style="11" customWidth="1"/>
    <col min="25" max="26" width="2.28515625" style="18" customWidth="1"/>
    <col min="27" max="31" width="2.28515625" style="11" customWidth="1"/>
    <col min="32" max="33" width="2.28515625" style="18" customWidth="1"/>
    <col min="34" max="38" width="2.28515625" style="11" customWidth="1"/>
    <col min="39" max="40" width="2.28515625" style="18" customWidth="1"/>
    <col min="41" max="45" width="2.28515625" style="11" customWidth="1"/>
    <col min="46" max="47" width="2.28515625" style="18" customWidth="1"/>
    <col min="48" max="52" width="2.28515625" style="11" customWidth="1"/>
    <col min="53" max="54" width="2.28515625" style="18" customWidth="1"/>
    <col min="55" max="59" width="2.28515625" style="11" customWidth="1"/>
    <col min="60" max="61" width="2.28515625" style="18" customWidth="1"/>
    <col min="62" max="66" width="2.28515625" style="11" customWidth="1"/>
    <col min="67" max="68" width="2.28515625" style="18" customWidth="1"/>
    <col min="69" max="73" width="2.28515625" style="11" customWidth="1"/>
    <col min="74" max="75" width="2.28515625" style="18" customWidth="1"/>
    <col min="76" max="80" width="2.28515625" style="11" customWidth="1"/>
    <col min="81" max="82" width="2.28515625" style="18" customWidth="1"/>
    <col min="83" max="87" width="2.28515625" style="11" customWidth="1"/>
    <col min="88" max="89" width="2.28515625" style="18" customWidth="1"/>
    <col min="90" max="94" width="2.28515625" style="11" customWidth="1"/>
    <col min="95" max="96" width="2.28515625" style="18" customWidth="1"/>
    <col min="97" max="100" width="2.28515625" style="11" customWidth="1"/>
    <col min="101" max="101" width="2.28515625" style="3" customWidth="1"/>
    <col min="102" max="103" width="2.28515625" style="15" customWidth="1"/>
    <col min="104" max="107" width="2.28515625" style="11" customWidth="1"/>
    <col min="108" max="108" width="2.28515625" style="3" customWidth="1"/>
    <col min="109" max="110" width="2.28515625" style="15" customWidth="1"/>
    <col min="111" max="114" width="2.28515625" style="11" customWidth="1"/>
    <col min="115" max="115" width="2.28515625" style="3" customWidth="1"/>
    <col min="116" max="117" width="2.28515625" style="15" customWidth="1"/>
    <col min="118" max="121" width="2.28515625" style="11" customWidth="1"/>
    <col min="122" max="122" width="2.28515625" style="3" customWidth="1"/>
    <col min="123" max="124" width="2.28515625" style="15" customWidth="1"/>
    <col min="125" max="128" width="2.28515625" style="11" customWidth="1"/>
    <col min="129" max="129" width="2.28515625" style="3" customWidth="1"/>
    <col min="130" max="131" width="2.28515625" style="15" customWidth="1"/>
    <col min="132" max="135" width="2.28515625" style="11" customWidth="1"/>
    <col min="136" max="136" width="2.28515625" style="3" customWidth="1"/>
    <col min="137" max="138" width="2.28515625" style="15" customWidth="1"/>
    <col min="139" max="142" width="2.28515625" style="11" customWidth="1"/>
    <col min="143" max="143" width="2.28515625" style="3" customWidth="1"/>
    <col min="144" max="145" width="2.28515625" style="15" customWidth="1"/>
    <col min="146" max="149" width="2.28515625" style="11" customWidth="1"/>
    <col min="150" max="150" width="2.28515625" style="3" customWidth="1"/>
    <col min="151" max="152" width="2.28515625" style="15" customWidth="1"/>
    <col min="153" max="156" width="2.28515625" style="11" customWidth="1"/>
    <col min="157" max="157" width="2.28515625" style="3" customWidth="1"/>
    <col min="158" max="159" width="2.28515625" style="15" customWidth="1"/>
    <col min="160" max="163" width="2.28515625" style="11" customWidth="1"/>
    <col min="164" max="164" width="2.28515625" style="3" customWidth="1"/>
    <col min="165" max="166" width="2.28515625" style="15" customWidth="1"/>
    <col min="167" max="170" width="2.28515625" style="11" customWidth="1"/>
    <col min="171" max="171" width="2.28515625" style="3" customWidth="1"/>
    <col min="172" max="173" width="2.28515625" style="15" customWidth="1"/>
    <col min="174" max="177" width="2.28515625" style="11" customWidth="1"/>
    <col min="178" max="178" width="2.28515625" style="3" customWidth="1"/>
    <col min="179" max="180" width="2.28515625" style="15" customWidth="1"/>
    <col min="181" max="184" width="2.28515625" style="11" customWidth="1"/>
    <col min="185" max="185" width="2.28515625" style="3" customWidth="1"/>
    <col min="186" max="187" width="2.28515625" style="15" customWidth="1"/>
    <col min="188" max="191" width="2.28515625" style="11" customWidth="1"/>
    <col min="192" max="192" width="2.28515625" style="3" customWidth="1"/>
    <col min="193" max="194" width="2.28515625" style="15" customWidth="1"/>
    <col min="195" max="198" width="2.28515625" style="11" customWidth="1"/>
    <col min="199" max="199" width="2.28515625" style="3" customWidth="1"/>
    <col min="200" max="201" width="2.28515625" style="15" customWidth="1"/>
    <col min="202" max="205" width="2.28515625" style="11" customWidth="1"/>
    <col min="206" max="206" width="2.28515625" style="3" customWidth="1"/>
    <col min="207" max="208" width="2.28515625" style="15" customWidth="1"/>
    <col min="209" max="212" width="2.28515625" style="11" customWidth="1"/>
    <col min="213" max="213" width="2.28515625" style="3" customWidth="1"/>
    <col min="214" max="215" width="2.28515625" style="15" customWidth="1"/>
    <col min="216" max="219" width="2.28515625" style="11" customWidth="1"/>
    <col min="220" max="220" width="2.28515625" style="3" customWidth="1"/>
    <col min="221" max="222" width="2.28515625" style="15" customWidth="1"/>
    <col min="223" max="226" width="2.28515625" style="11" customWidth="1"/>
    <col min="227" max="227" width="2.28515625" style="3" customWidth="1"/>
    <col min="228" max="229" width="2.28515625" style="15" customWidth="1"/>
    <col min="230" max="233" width="2.28515625" style="11" customWidth="1"/>
    <col min="234" max="234" width="2.28515625" style="3" customWidth="1"/>
    <col min="235" max="236" width="2.28515625" style="15" customWidth="1"/>
    <col min="237" max="240" width="2.28515625" style="11" customWidth="1"/>
    <col min="241" max="241" width="2.28515625" style="3" customWidth="1"/>
    <col min="242" max="243" width="2.28515625" style="15" customWidth="1"/>
    <col min="244" max="247" width="2.28515625" style="11" customWidth="1"/>
    <col min="248" max="248" width="2.28515625" style="3" customWidth="1"/>
    <col min="249" max="250" width="2.28515625" style="15" customWidth="1"/>
    <col min="251" max="254" width="2.28515625" style="11" customWidth="1"/>
    <col min="255" max="255" width="2.28515625" style="3" customWidth="1"/>
    <col min="256" max="257" width="2.28515625" style="15" customWidth="1"/>
    <col min="258" max="261" width="2.28515625" style="11" customWidth="1"/>
    <col min="262" max="262" width="2.28515625" style="3" customWidth="1"/>
    <col min="263" max="264" width="2.28515625" style="15" customWidth="1"/>
    <col min="265" max="268" width="2.28515625" style="11" customWidth="1"/>
    <col min="269" max="269" width="2.28515625" style="3" customWidth="1"/>
    <col min="270" max="271" width="2.28515625" style="15" customWidth="1"/>
    <col min="272" max="16384" width="9.140625" style="3"/>
  </cols>
  <sheetData>
    <row r="1" spans="1:271" s="96" customFormat="1" ht="15" customHeight="1">
      <c r="B1" s="94"/>
      <c r="C1" s="95"/>
      <c r="D1" s="95"/>
      <c r="E1" s="94"/>
      <c r="F1" s="94"/>
      <c r="G1" s="94"/>
      <c r="H1" s="94"/>
      <c r="I1" s="94"/>
      <c r="J1" s="94"/>
      <c r="K1" s="94"/>
      <c r="L1" s="94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5"/>
      <c r="AW1" s="95"/>
      <c r="AX1" s="95"/>
      <c r="AY1" s="95"/>
      <c r="AZ1" s="95"/>
      <c r="BA1" s="95"/>
      <c r="BB1" s="95"/>
      <c r="BC1" s="95"/>
      <c r="BD1" s="95"/>
      <c r="BE1" s="95"/>
      <c r="BF1" s="95"/>
      <c r="BG1" s="95"/>
      <c r="BH1" s="95"/>
      <c r="BI1" s="95"/>
      <c r="BJ1" s="95"/>
      <c r="BK1" s="95"/>
      <c r="BL1" s="95"/>
      <c r="BM1" s="95"/>
      <c r="BN1" s="95"/>
      <c r="BO1" s="95"/>
      <c r="BP1" s="95"/>
      <c r="BQ1" s="95"/>
      <c r="BR1" s="95"/>
      <c r="BS1" s="95"/>
      <c r="BT1" s="95"/>
      <c r="BU1" s="95"/>
      <c r="BV1" s="95"/>
      <c r="BW1" s="95"/>
      <c r="BX1" s="95"/>
      <c r="BY1" s="95"/>
      <c r="BZ1" s="95"/>
      <c r="CA1" s="95"/>
      <c r="CB1" s="95"/>
      <c r="CC1" s="95"/>
      <c r="CD1" s="95"/>
      <c r="CE1" s="95"/>
      <c r="CF1" s="95"/>
      <c r="CG1" s="95"/>
      <c r="CH1" s="95"/>
      <c r="CI1" s="95"/>
      <c r="CJ1" s="95"/>
      <c r="CK1" s="95"/>
      <c r="CL1" s="95"/>
      <c r="CM1" s="95"/>
      <c r="CN1" s="95"/>
      <c r="CO1" s="95"/>
      <c r="CP1" s="95"/>
      <c r="CQ1" s="95"/>
      <c r="CR1" s="95"/>
      <c r="CS1" s="95"/>
      <c r="CT1" s="95"/>
      <c r="CU1" s="95"/>
      <c r="CV1" s="95"/>
      <c r="CZ1" s="95"/>
      <c r="DA1" s="95"/>
      <c r="DB1" s="95"/>
      <c r="DC1" s="95"/>
      <c r="DG1" s="95"/>
      <c r="DH1" s="95"/>
      <c r="DI1" s="95"/>
      <c r="DJ1" s="95"/>
      <c r="DN1" s="95"/>
      <c r="DO1" s="95"/>
      <c r="DP1" s="95"/>
      <c r="DQ1" s="95"/>
      <c r="DU1" s="95"/>
      <c r="DV1" s="95"/>
      <c r="DW1" s="95"/>
      <c r="DX1" s="95"/>
      <c r="EB1" s="95"/>
      <c r="EC1" s="95"/>
      <c r="ED1" s="95"/>
      <c r="EE1" s="95"/>
      <c r="EI1" s="95"/>
      <c r="EJ1" s="95"/>
      <c r="EK1" s="95"/>
      <c r="EL1" s="95"/>
      <c r="EP1" s="95"/>
      <c r="EQ1" s="95"/>
      <c r="ER1" s="95"/>
      <c r="ES1" s="95"/>
      <c r="EW1" s="95"/>
      <c r="EX1" s="95"/>
      <c r="EY1" s="95"/>
      <c r="EZ1" s="95"/>
      <c r="FD1" s="95"/>
      <c r="FE1" s="95"/>
      <c r="FF1" s="95"/>
      <c r="FG1" s="95"/>
      <c r="FK1" s="95"/>
      <c r="FL1" s="95"/>
      <c r="FM1" s="95"/>
      <c r="FN1" s="95"/>
      <c r="FR1" s="95"/>
      <c r="FS1" s="95"/>
      <c r="FT1" s="95"/>
      <c r="FU1" s="95"/>
      <c r="FY1" s="95"/>
      <c r="FZ1" s="95"/>
      <c r="GA1" s="95"/>
      <c r="GB1" s="95"/>
      <c r="GF1" s="95"/>
      <c r="GG1" s="95"/>
      <c r="GH1" s="95"/>
      <c r="GI1" s="95"/>
      <c r="GM1" s="95"/>
      <c r="GN1" s="95"/>
      <c r="GO1" s="95"/>
      <c r="GP1" s="95"/>
      <c r="GT1" s="95"/>
      <c r="GU1" s="95"/>
      <c r="GV1" s="95"/>
      <c r="GW1" s="95"/>
      <c r="HA1" s="95"/>
      <c r="HB1" s="95"/>
      <c r="HC1" s="95"/>
      <c r="HD1" s="95"/>
      <c r="HH1" s="95"/>
      <c r="HI1" s="95"/>
      <c r="HJ1" s="95"/>
      <c r="HK1" s="95"/>
      <c r="HO1" s="95"/>
      <c r="HP1" s="95"/>
      <c r="HQ1" s="95"/>
      <c r="HR1" s="95"/>
      <c r="HV1" s="95"/>
      <c r="HW1" s="95"/>
      <c r="HX1" s="95"/>
      <c r="HY1" s="95"/>
      <c r="IC1" s="95"/>
      <c r="ID1" s="95"/>
      <c r="IE1" s="95"/>
      <c r="IF1" s="95"/>
      <c r="IJ1" s="95"/>
      <c r="IK1" s="95"/>
      <c r="IL1" s="95"/>
      <c r="IM1" s="95"/>
      <c r="IQ1" s="95"/>
      <c r="IR1" s="95"/>
      <c r="IS1" s="95"/>
      <c r="IT1" s="95"/>
      <c r="IX1" s="95"/>
      <c r="IY1" s="95"/>
      <c r="IZ1" s="95"/>
      <c r="JA1" s="95"/>
      <c r="JE1" s="95"/>
      <c r="JF1" s="95"/>
      <c r="JG1" s="95"/>
      <c r="JH1" s="95"/>
    </row>
    <row r="2" spans="1:271" s="96" customFormat="1">
      <c r="B2" s="94"/>
      <c r="C2" s="95"/>
      <c r="D2" s="95"/>
      <c r="E2" s="94"/>
      <c r="F2" s="94"/>
      <c r="G2" s="94"/>
      <c r="H2" s="94"/>
      <c r="I2" s="94"/>
      <c r="J2" s="94"/>
      <c r="K2" s="94"/>
      <c r="L2" s="94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  <c r="AJ2" s="95"/>
      <c r="AK2" s="95"/>
      <c r="AL2" s="95"/>
      <c r="AM2" s="95"/>
      <c r="AN2" s="95"/>
      <c r="AO2" s="95"/>
      <c r="AP2" s="95"/>
      <c r="AQ2" s="95"/>
      <c r="AR2" s="95"/>
      <c r="AS2" s="95"/>
      <c r="AT2" s="95"/>
      <c r="AU2" s="95"/>
      <c r="AV2" s="95"/>
      <c r="AW2" s="95"/>
      <c r="AX2" s="95"/>
      <c r="AY2" s="95"/>
      <c r="AZ2" s="95"/>
      <c r="BA2" s="95"/>
      <c r="BB2" s="95"/>
      <c r="BC2" s="95"/>
      <c r="BD2" s="95"/>
      <c r="BE2" s="95"/>
      <c r="BF2" s="95"/>
      <c r="BG2" s="95"/>
      <c r="BH2" s="95"/>
      <c r="BI2" s="95"/>
      <c r="BJ2" s="95"/>
      <c r="BK2" s="95"/>
      <c r="BL2" s="95"/>
      <c r="BM2" s="95"/>
      <c r="BN2" s="95"/>
      <c r="BO2" s="95"/>
      <c r="BP2" s="95"/>
      <c r="BQ2" s="95"/>
      <c r="BR2" s="95"/>
      <c r="BS2" s="95"/>
      <c r="BT2" s="95"/>
      <c r="BU2" s="95"/>
      <c r="BV2" s="95"/>
      <c r="BW2" s="95"/>
      <c r="BX2" s="95"/>
      <c r="BY2" s="95"/>
      <c r="BZ2" s="95"/>
      <c r="CA2" s="95"/>
      <c r="CB2" s="95"/>
      <c r="CC2" s="95"/>
      <c r="CD2" s="95"/>
      <c r="CE2" s="95"/>
      <c r="CF2" s="95"/>
      <c r="CG2" s="95"/>
      <c r="CH2" s="95"/>
      <c r="CI2" s="95"/>
      <c r="CJ2" s="95"/>
      <c r="CK2" s="95"/>
      <c r="CL2" s="95"/>
      <c r="CM2" s="95"/>
      <c r="CN2" s="95"/>
      <c r="CO2" s="95"/>
      <c r="CP2" s="95"/>
      <c r="CQ2" s="95"/>
      <c r="CR2" s="95"/>
      <c r="CS2" s="95"/>
      <c r="CT2" s="95"/>
      <c r="CU2" s="95"/>
      <c r="CV2" s="95"/>
      <c r="CZ2" s="95"/>
      <c r="DA2" s="95"/>
      <c r="DB2" s="95"/>
      <c r="DC2" s="95"/>
      <c r="DG2" s="95"/>
      <c r="DH2" s="95"/>
      <c r="DI2" s="95"/>
      <c r="DJ2" s="95"/>
      <c r="DN2" s="95"/>
      <c r="DO2" s="95"/>
      <c r="DP2" s="95"/>
      <c r="DQ2" s="95"/>
      <c r="DU2" s="95"/>
      <c r="DV2" s="95"/>
      <c r="DW2" s="95"/>
      <c r="DX2" s="95"/>
      <c r="EB2" s="95"/>
      <c r="EC2" s="95"/>
      <c r="ED2" s="95"/>
      <c r="EE2" s="95"/>
      <c r="EI2" s="95"/>
      <c r="EJ2" s="95"/>
      <c r="EK2" s="95"/>
      <c r="EL2" s="95"/>
      <c r="EP2" s="95"/>
      <c r="EQ2" s="95"/>
      <c r="ER2" s="95"/>
      <c r="ES2" s="95"/>
      <c r="EW2" s="95"/>
      <c r="EX2" s="95"/>
      <c r="EY2" s="95"/>
      <c r="EZ2" s="95"/>
      <c r="FD2" s="95"/>
      <c r="FE2" s="95"/>
      <c r="FF2" s="95"/>
      <c r="FG2" s="95"/>
      <c r="FK2" s="95"/>
      <c r="FL2" s="95"/>
      <c r="FM2" s="95"/>
      <c r="FN2" s="95"/>
      <c r="FR2" s="95"/>
      <c r="FS2" s="95"/>
      <c r="FT2" s="95"/>
      <c r="FU2" s="95"/>
      <c r="FY2" s="95"/>
      <c r="FZ2" s="95"/>
      <c r="GA2" s="95"/>
      <c r="GB2" s="95"/>
      <c r="GF2" s="95"/>
      <c r="GG2" s="95"/>
      <c r="GH2" s="95"/>
      <c r="GI2" s="95"/>
      <c r="GM2" s="95"/>
      <c r="GN2" s="95"/>
      <c r="GO2" s="95"/>
      <c r="GP2" s="95"/>
      <c r="GT2" s="95"/>
      <c r="GU2" s="95"/>
      <c r="GV2" s="95"/>
      <c r="GW2" s="95"/>
      <c r="HA2" s="95"/>
      <c r="HB2" s="95"/>
      <c r="HC2" s="95"/>
      <c r="HD2" s="95"/>
      <c r="HH2" s="95"/>
      <c r="HI2" s="95"/>
      <c r="HJ2" s="95"/>
      <c r="HK2" s="95"/>
      <c r="HO2" s="95"/>
      <c r="HP2" s="95"/>
      <c r="HQ2" s="95"/>
      <c r="HR2" s="95"/>
      <c r="HV2" s="95"/>
      <c r="HW2" s="95"/>
      <c r="HX2" s="95"/>
      <c r="HY2" s="95"/>
      <c r="IC2" s="95"/>
      <c r="ID2" s="95"/>
      <c r="IE2" s="95"/>
      <c r="IF2" s="95"/>
      <c r="IJ2" s="95"/>
      <c r="IK2" s="95"/>
      <c r="IL2" s="95"/>
      <c r="IM2" s="95"/>
      <c r="IQ2" s="95"/>
      <c r="IR2" s="95"/>
      <c r="IS2" s="95"/>
      <c r="IT2" s="95"/>
      <c r="IX2" s="95"/>
      <c r="IY2" s="95"/>
      <c r="IZ2" s="95"/>
      <c r="JA2" s="95"/>
      <c r="JE2" s="95"/>
      <c r="JF2" s="95"/>
      <c r="JG2" s="95"/>
      <c r="JH2" s="95"/>
    </row>
    <row r="3" spans="1:271" s="96" customFormat="1">
      <c r="B3" s="94"/>
      <c r="C3" s="95"/>
      <c r="D3" s="95"/>
      <c r="E3" s="94"/>
      <c r="F3" s="94"/>
      <c r="G3" s="94"/>
      <c r="H3" s="94"/>
      <c r="I3" s="94"/>
      <c r="J3" s="94"/>
      <c r="K3" s="94"/>
      <c r="L3" s="94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  <c r="AO3" s="95"/>
      <c r="AP3" s="95"/>
      <c r="AQ3" s="95"/>
      <c r="AR3" s="95"/>
      <c r="AS3" s="95"/>
      <c r="AT3" s="95"/>
      <c r="AU3" s="95"/>
      <c r="AV3" s="95"/>
      <c r="AW3" s="95"/>
      <c r="AX3" s="95"/>
      <c r="AY3" s="95"/>
      <c r="AZ3" s="95"/>
      <c r="BA3" s="95"/>
      <c r="BB3" s="95"/>
      <c r="BC3" s="95"/>
      <c r="BD3" s="95"/>
      <c r="BE3" s="95"/>
      <c r="BF3" s="95"/>
      <c r="BG3" s="95"/>
      <c r="BH3" s="95"/>
      <c r="BI3" s="95"/>
      <c r="BJ3" s="95"/>
      <c r="BK3" s="95"/>
      <c r="BL3" s="95"/>
      <c r="BM3" s="95"/>
      <c r="BN3" s="95"/>
      <c r="BO3" s="95"/>
      <c r="BP3" s="95"/>
      <c r="BQ3" s="95"/>
      <c r="BR3" s="95"/>
      <c r="BS3" s="95"/>
      <c r="BT3" s="95"/>
      <c r="BU3" s="95"/>
      <c r="BV3" s="95"/>
      <c r="BW3" s="95"/>
      <c r="BX3" s="95"/>
      <c r="BY3" s="95"/>
      <c r="BZ3" s="95"/>
      <c r="CA3" s="95"/>
      <c r="CB3" s="95"/>
      <c r="CC3" s="95"/>
      <c r="CD3" s="95"/>
      <c r="CE3" s="95"/>
      <c r="CF3" s="95"/>
      <c r="CG3" s="95"/>
      <c r="CH3" s="95"/>
      <c r="CI3" s="95"/>
      <c r="CJ3" s="95"/>
      <c r="CK3" s="95"/>
      <c r="CL3" s="95"/>
      <c r="CM3" s="95"/>
      <c r="CN3" s="95"/>
      <c r="CO3" s="95"/>
      <c r="CP3" s="95"/>
      <c r="CQ3" s="95"/>
      <c r="CR3" s="95"/>
      <c r="CS3" s="95"/>
      <c r="CT3" s="95"/>
      <c r="CU3" s="95"/>
      <c r="CV3" s="95"/>
      <c r="CZ3" s="95"/>
      <c r="DA3" s="95"/>
      <c r="DB3" s="95"/>
      <c r="DC3" s="95"/>
      <c r="DG3" s="95"/>
      <c r="DH3" s="95"/>
      <c r="DI3" s="95"/>
      <c r="DJ3" s="95"/>
      <c r="DN3" s="95"/>
      <c r="DO3" s="95"/>
      <c r="DP3" s="95"/>
      <c r="DQ3" s="95"/>
      <c r="DU3" s="95"/>
      <c r="DV3" s="95"/>
      <c r="DW3" s="95"/>
      <c r="DX3" s="95"/>
      <c r="EB3" s="95"/>
      <c r="EC3" s="95"/>
      <c r="ED3" s="95"/>
      <c r="EE3" s="95"/>
      <c r="EI3" s="95"/>
      <c r="EJ3" s="95"/>
      <c r="EK3" s="95"/>
      <c r="EL3" s="95"/>
      <c r="EP3" s="95"/>
      <c r="EQ3" s="95"/>
      <c r="ER3" s="95"/>
      <c r="ES3" s="95"/>
      <c r="EW3" s="95"/>
      <c r="EX3" s="95"/>
      <c r="EY3" s="95"/>
      <c r="EZ3" s="95"/>
      <c r="FD3" s="95"/>
      <c r="FE3" s="95"/>
      <c r="FF3" s="95"/>
      <c r="FG3" s="95"/>
      <c r="FK3" s="95"/>
      <c r="FL3" s="95"/>
      <c r="FM3" s="95"/>
      <c r="FN3" s="95"/>
      <c r="FR3" s="95"/>
      <c r="FS3" s="95"/>
      <c r="FT3" s="95"/>
      <c r="FU3" s="95"/>
      <c r="FY3" s="95"/>
      <c r="FZ3" s="95"/>
      <c r="GA3" s="95"/>
      <c r="GB3" s="95"/>
      <c r="GF3" s="95"/>
      <c r="GG3" s="95"/>
      <c r="GH3" s="95"/>
      <c r="GI3" s="95"/>
      <c r="GM3" s="95"/>
      <c r="GN3" s="95"/>
      <c r="GO3" s="95"/>
      <c r="GP3" s="95"/>
      <c r="GT3" s="95"/>
      <c r="GU3" s="95"/>
      <c r="GV3" s="95"/>
      <c r="GW3" s="95"/>
      <c r="HA3" s="95"/>
      <c r="HB3" s="95"/>
      <c r="HC3" s="95"/>
      <c r="HD3" s="95"/>
      <c r="HH3" s="95"/>
      <c r="HI3" s="95"/>
      <c r="HJ3" s="95"/>
      <c r="HK3" s="95"/>
      <c r="HO3" s="95"/>
      <c r="HP3" s="95"/>
      <c r="HQ3" s="95"/>
      <c r="HR3" s="95"/>
      <c r="HV3" s="95"/>
      <c r="HW3" s="95"/>
      <c r="HX3" s="95"/>
      <c r="HY3" s="95"/>
      <c r="IC3" s="95"/>
      <c r="ID3" s="95"/>
      <c r="IE3" s="95"/>
      <c r="IF3" s="95"/>
      <c r="IJ3" s="95"/>
      <c r="IK3" s="95"/>
      <c r="IL3" s="95"/>
      <c r="IM3" s="95"/>
      <c r="IQ3" s="95"/>
      <c r="IR3" s="95"/>
      <c r="IS3" s="95"/>
      <c r="IT3" s="95"/>
      <c r="IX3" s="95"/>
      <c r="IY3" s="95"/>
      <c r="IZ3" s="95"/>
      <c r="JA3" s="95"/>
      <c r="JE3" s="95"/>
      <c r="JF3" s="95"/>
      <c r="JG3" s="95"/>
      <c r="JH3" s="95"/>
    </row>
    <row r="4" spans="1:271" s="96" customFormat="1">
      <c r="B4" s="94"/>
      <c r="C4" s="95"/>
      <c r="D4" s="95"/>
      <c r="E4" s="94"/>
      <c r="F4" s="94"/>
      <c r="G4" s="94"/>
      <c r="H4" s="94"/>
      <c r="I4" s="94"/>
      <c r="J4" s="94"/>
      <c r="K4" s="94"/>
      <c r="L4" s="94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5"/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5"/>
      <c r="BF4" s="95"/>
      <c r="BG4" s="95"/>
      <c r="BH4" s="95"/>
      <c r="BI4" s="95"/>
      <c r="BJ4" s="95"/>
      <c r="BK4" s="95"/>
      <c r="BL4" s="95"/>
      <c r="BM4" s="95"/>
      <c r="BN4" s="95"/>
      <c r="BO4" s="95"/>
      <c r="BP4" s="95"/>
      <c r="BQ4" s="95"/>
      <c r="BR4" s="95"/>
      <c r="BS4" s="95"/>
      <c r="BT4" s="95"/>
      <c r="BU4" s="95"/>
      <c r="BV4" s="95"/>
      <c r="BW4" s="95"/>
      <c r="BX4" s="95"/>
      <c r="BY4" s="95"/>
      <c r="BZ4" s="95"/>
      <c r="CA4" s="95"/>
      <c r="CB4" s="95"/>
      <c r="CC4" s="95"/>
      <c r="CD4" s="95"/>
      <c r="CE4" s="95"/>
      <c r="CF4" s="95"/>
      <c r="CG4" s="95"/>
      <c r="CH4" s="95"/>
      <c r="CI4" s="95"/>
      <c r="CJ4" s="95"/>
      <c r="CK4" s="95"/>
      <c r="CL4" s="95"/>
      <c r="CM4" s="95"/>
      <c r="CN4" s="95"/>
      <c r="CO4" s="95"/>
      <c r="CP4" s="95"/>
      <c r="CQ4" s="95"/>
      <c r="CR4" s="95"/>
      <c r="CS4" s="95"/>
      <c r="CT4" s="95"/>
      <c r="CU4" s="95"/>
      <c r="CV4" s="95"/>
      <c r="CZ4" s="95"/>
      <c r="DA4" s="95"/>
      <c r="DB4" s="95"/>
      <c r="DC4" s="95"/>
      <c r="DG4" s="95"/>
      <c r="DH4" s="95"/>
      <c r="DI4" s="95"/>
      <c r="DJ4" s="95"/>
      <c r="DN4" s="95"/>
      <c r="DO4" s="95"/>
      <c r="DP4" s="95"/>
      <c r="DQ4" s="95"/>
      <c r="DU4" s="95"/>
      <c r="DV4" s="95"/>
      <c r="DW4" s="95"/>
      <c r="DX4" s="95"/>
      <c r="EB4" s="95"/>
      <c r="EC4" s="95"/>
      <c r="ED4" s="95"/>
      <c r="EE4" s="95"/>
      <c r="EI4" s="95"/>
      <c r="EJ4" s="95"/>
      <c r="EK4" s="95"/>
      <c r="EL4" s="95"/>
      <c r="EP4" s="95"/>
      <c r="EQ4" s="95"/>
      <c r="ER4" s="95"/>
      <c r="ES4" s="95"/>
      <c r="EW4" s="95"/>
      <c r="EX4" s="95"/>
      <c r="EY4" s="95"/>
      <c r="EZ4" s="95"/>
      <c r="FD4" s="95"/>
      <c r="FE4" s="95"/>
      <c r="FF4" s="95"/>
      <c r="FG4" s="95"/>
      <c r="FK4" s="95"/>
      <c r="FL4" s="95"/>
      <c r="FM4" s="95"/>
      <c r="FN4" s="95"/>
      <c r="FR4" s="95"/>
      <c r="FS4" s="95"/>
      <c r="FT4" s="95"/>
      <c r="FU4" s="95"/>
      <c r="FY4" s="95"/>
      <c r="FZ4" s="95"/>
      <c r="GA4" s="95"/>
      <c r="GB4" s="95"/>
      <c r="GF4" s="95"/>
      <c r="GG4" s="95"/>
      <c r="GH4" s="95"/>
      <c r="GI4" s="95"/>
      <c r="GM4" s="95"/>
      <c r="GN4" s="95"/>
      <c r="GO4" s="95"/>
      <c r="GP4" s="95"/>
      <c r="GT4" s="95"/>
      <c r="GU4" s="95"/>
      <c r="GV4" s="95"/>
      <c r="GW4" s="95"/>
      <c r="HA4" s="95"/>
      <c r="HB4" s="95"/>
      <c r="HC4" s="95"/>
      <c r="HD4" s="95"/>
      <c r="HH4" s="95"/>
      <c r="HI4" s="95"/>
      <c r="HJ4" s="95"/>
      <c r="HK4" s="95"/>
      <c r="HO4" s="95"/>
      <c r="HP4" s="95"/>
      <c r="HQ4" s="95"/>
      <c r="HR4" s="95"/>
      <c r="HV4" s="95"/>
      <c r="HW4" s="95"/>
      <c r="HX4" s="95"/>
      <c r="HY4" s="95"/>
      <c r="IC4" s="95"/>
      <c r="ID4" s="95"/>
      <c r="IE4" s="95"/>
      <c r="IF4" s="95"/>
      <c r="IJ4" s="95"/>
      <c r="IK4" s="95"/>
      <c r="IL4" s="95"/>
      <c r="IM4" s="95"/>
      <c r="IQ4" s="95"/>
      <c r="IR4" s="95"/>
      <c r="IS4" s="95"/>
      <c r="IT4" s="95"/>
      <c r="IX4" s="95"/>
      <c r="IY4" s="95"/>
      <c r="IZ4" s="95"/>
      <c r="JA4" s="95"/>
      <c r="JE4" s="95"/>
      <c r="JF4" s="95"/>
      <c r="JG4" s="95"/>
      <c r="JH4" s="95"/>
    </row>
    <row r="5" spans="1:271" s="96" customFormat="1" ht="15" customHeight="1">
      <c r="B5" s="94"/>
      <c r="C5" s="95"/>
      <c r="D5" s="95"/>
      <c r="E5" s="94"/>
      <c r="F5" s="94"/>
      <c r="G5" s="94"/>
      <c r="H5" s="94"/>
      <c r="I5" s="94"/>
      <c r="J5" s="94"/>
      <c r="K5" s="94"/>
      <c r="L5" s="94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5"/>
      <c r="AQ5" s="95"/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5"/>
      <c r="BF5" s="95"/>
      <c r="BG5" s="95"/>
      <c r="BH5" s="95"/>
      <c r="BI5" s="95"/>
      <c r="BJ5" s="95"/>
      <c r="BK5" s="95"/>
      <c r="BL5" s="95"/>
      <c r="BM5" s="95"/>
      <c r="BN5" s="95"/>
      <c r="BO5" s="95"/>
      <c r="BP5" s="95"/>
      <c r="BQ5" s="95"/>
      <c r="BR5" s="95"/>
      <c r="BS5" s="95"/>
      <c r="BT5" s="95"/>
      <c r="BU5" s="95"/>
      <c r="BV5" s="95"/>
      <c r="BW5" s="95"/>
      <c r="BX5" s="95"/>
      <c r="BY5" s="95"/>
      <c r="BZ5" s="95"/>
      <c r="CA5" s="95"/>
      <c r="CB5" s="95"/>
      <c r="CC5" s="95"/>
      <c r="CD5" s="95"/>
      <c r="CE5" s="95"/>
      <c r="CF5" s="95"/>
      <c r="CG5" s="95"/>
      <c r="CH5" s="95"/>
      <c r="CI5" s="95"/>
      <c r="CJ5" s="95"/>
      <c r="CK5" s="95"/>
      <c r="CL5" s="95"/>
      <c r="CM5" s="95"/>
      <c r="CN5" s="95"/>
      <c r="CO5" s="95"/>
      <c r="CP5" s="95"/>
      <c r="CQ5" s="95"/>
      <c r="CR5" s="95"/>
      <c r="CS5" s="95"/>
      <c r="CT5" s="95"/>
      <c r="CU5" s="95"/>
      <c r="CV5" s="95"/>
      <c r="CZ5" s="95"/>
      <c r="DA5" s="95"/>
      <c r="DB5" s="95"/>
      <c r="DC5" s="95"/>
      <c r="DG5" s="95"/>
      <c r="DH5" s="95"/>
      <c r="DI5" s="95"/>
      <c r="DJ5" s="95"/>
      <c r="DN5" s="95"/>
      <c r="DO5" s="95"/>
      <c r="DP5" s="95"/>
      <c r="DQ5" s="95"/>
      <c r="DU5" s="95"/>
      <c r="DV5" s="95"/>
      <c r="DW5" s="95"/>
      <c r="DX5" s="95"/>
      <c r="EB5" s="95"/>
      <c r="EC5" s="95"/>
      <c r="ED5" s="95"/>
      <c r="EE5" s="95"/>
      <c r="EI5" s="95"/>
      <c r="EJ5" s="95"/>
      <c r="EK5" s="95"/>
      <c r="EL5" s="95"/>
      <c r="EP5" s="95"/>
      <c r="EQ5" s="95"/>
      <c r="ER5" s="95"/>
      <c r="ES5" s="95"/>
      <c r="EW5" s="95"/>
      <c r="EX5" s="95"/>
      <c r="EY5" s="95"/>
      <c r="EZ5" s="95"/>
      <c r="FD5" s="95"/>
      <c r="FE5" s="95"/>
      <c r="FF5" s="95"/>
      <c r="FG5" s="95"/>
      <c r="FK5" s="95"/>
      <c r="FL5" s="95"/>
      <c r="FM5" s="95"/>
      <c r="FN5" s="95"/>
      <c r="FR5" s="95"/>
      <c r="FS5" s="95"/>
      <c r="FT5" s="95"/>
      <c r="FU5" s="95"/>
      <c r="FY5" s="95"/>
      <c r="FZ5" s="95"/>
      <c r="GA5" s="95"/>
      <c r="GB5" s="95"/>
      <c r="GF5" s="95"/>
      <c r="GG5" s="95"/>
      <c r="GH5" s="95"/>
      <c r="GI5" s="95"/>
      <c r="GM5" s="95"/>
      <c r="GN5" s="95"/>
      <c r="GO5" s="95"/>
      <c r="GP5" s="95"/>
      <c r="GT5" s="95"/>
      <c r="GU5" s="95"/>
      <c r="GV5" s="95"/>
      <c r="GW5" s="95"/>
      <c r="HA5" s="95"/>
      <c r="HB5" s="95"/>
      <c r="HC5" s="95"/>
      <c r="HD5" s="95"/>
      <c r="HH5" s="95"/>
      <c r="HI5" s="95"/>
      <c r="HJ5" s="95"/>
      <c r="HK5" s="95"/>
      <c r="HO5" s="95"/>
      <c r="HP5" s="95"/>
      <c r="HQ5" s="95"/>
      <c r="HR5" s="95"/>
      <c r="HV5" s="95"/>
      <c r="HW5" s="95"/>
      <c r="HX5" s="95"/>
      <c r="HY5" s="95"/>
      <c r="IC5" s="95"/>
      <c r="ID5" s="95"/>
      <c r="IE5" s="95"/>
      <c r="IF5" s="95"/>
      <c r="IJ5" s="95"/>
      <c r="IK5" s="95"/>
      <c r="IL5" s="95"/>
      <c r="IM5" s="95"/>
      <c r="IQ5" s="95"/>
      <c r="IR5" s="95"/>
      <c r="IS5" s="95"/>
      <c r="IT5" s="95"/>
      <c r="IX5" s="95"/>
      <c r="IY5" s="95"/>
      <c r="IZ5" s="95"/>
      <c r="JA5" s="95"/>
      <c r="JE5" s="95"/>
      <c r="JF5" s="95"/>
      <c r="JG5" s="95"/>
      <c r="JH5" s="95"/>
    </row>
    <row r="6" spans="1:271" ht="17.25" customHeight="1">
      <c r="A6" s="96"/>
      <c r="B6" s="165" t="s">
        <v>7</v>
      </c>
      <c r="C6" s="166"/>
      <c r="D6" s="87" t="s">
        <v>8</v>
      </c>
      <c r="E6" s="88"/>
      <c r="F6" s="89"/>
      <c r="G6" s="1">
        <v>42495</v>
      </c>
      <c r="H6" s="90" t="s">
        <v>9</v>
      </c>
      <c r="I6" s="91"/>
      <c r="J6" s="91"/>
      <c r="K6" s="80" t="s">
        <v>10</v>
      </c>
      <c r="L6" s="2">
        <v>1</v>
      </c>
      <c r="M6" s="167">
        <f>G6</f>
        <v>42495</v>
      </c>
      <c r="N6" s="169">
        <f>M6+$L$6</f>
        <v>42496</v>
      </c>
      <c r="O6" s="169">
        <f t="shared" ref="O6:BZ6" si="0">N6+$L$6</f>
        <v>42497</v>
      </c>
      <c r="P6" s="169">
        <f t="shared" si="0"/>
        <v>42498</v>
      </c>
      <c r="Q6" s="169">
        <f t="shared" si="0"/>
        <v>42499</v>
      </c>
      <c r="R6" s="169">
        <f t="shared" si="0"/>
        <v>42500</v>
      </c>
      <c r="S6" s="169">
        <f t="shared" si="0"/>
        <v>42501</v>
      </c>
      <c r="T6" s="169">
        <f t="shared" si="0"/>
        <v>42502</v>
      </c>
      <c r="U6" s="169">
        <f t="shared" si="0"/>
        <v>42503</v>
      </c>
      <c r="V6" s="169">
        <f t="shared" si="0"/>
        <v>42504</v>
      </c>
      <c r="W6" s="169">
        <f t="shared" si="0"/>
        <v>42505</v>
      </c>
      <c r="X6" s="169">
        <f t="shared" si="0"/>
        <v>42506</v>
      </c>
      <c r="Y6" s="169">
        <f t="shared" si="0"/>
        <v>42507</v>
      </c>
      <c r="Z6" s="169">
        <f t="shared" si="0"/>
        <v>42508</v>
      </c>
      <c r="AA6" s="169">
        <f t="shared" si="0"/>
        <v>42509</v>
      </c>
      <c r="AB6" s="169">
        <f t="shared" si="0"/>
        <v>42510</v>
      </c>
      <c r="AC6" s="169">
        <f t="shared" si="0"/>
        <v>42511</v>
      </c>
      <c r="AD6" s="169">
        <f t="shared" si="0"/>
        <v>42512</v>
      </c>
      <c r="AE6" s="169">
        <f t="shared" si="0"/>
        <v>42513</v>
      </c>
      <c r="AF6" s="169">
        <f t="shared" si="0"/>
        <v>42514</v>
      </c>
      <c r="AG6" s="169">
        <f t="shared" si="0"/>
        <v>42515</v>
      </c>
      <c r="AH6" s="169">
        <f t="shared" si="0"/>
        <v>42516</v>
      </c>
      <c r="AI6" s="169">
        <f t="shared" si="0"/>
        <v>42517</v>
      </c>
      <c r="AJ6" s="169">
        <f t="shared" si="0"/>
        <v>42518</v>
      </c>
      <c r="AK6" s="169">
        <f t="shared" si="0"/>
        <v>42519</v>
      </c>
      <c r="AL6" s="169">
        <f t="shared" si="0"/>
        <v>42520</v>
      </c>
      <c r="AM6" s="169">
        <f t="shared" si="0"/>
        <v>42521</v>
      </c>
      <c r="AN6" s="169">
        <f t="shared" si="0"/>
        <v>42522</v>
      </c>
      <c r="AO6" s="169">
        <f t="shared" si="0"/>
        <v>42523</v>
      </c>
      <c r="AP6" s="169">
        <f t="shared" si="0"/>
        <v>42524</v>
      </c>
      <c r="AQ6" s="169">
        <f t="shared" si="0"/>
        <v>42525</v>
      </c>
      <c r="AR6" s="169">
        <f t="shared" si="0"/>
        <v>42526</v>
      </c>
      <c r="AS6" s="169">
        <f t="shared" si="0"/>
        <v>42527</v>
      </c>
      <c r="AT6" s="169">
        <f t="shared" si="0"/>
        <v>42528</v>
      </c>
      <c r="AU6" s="169">
        <f t="shared" si="0"/>
        <v>42529</v>
      </c>
      <c r="AV6" s="169">
        <f t="shared" si="0"/>
        <v>42530</v>
      </c>
      <c r="AW6" s="169">
        <f t="shared" si="0"/>
        <v>42531</v>
      </c>
      <c r="AX6" s="169">
        <f t="shared" si="0"/>
        <v>42532</v>
      </c>
      <c r="AY6" s="169">
        <f t="shared" si="0"/>
        <v>42533</v>
      </c>
      <c r="AZ6" s="169">
        <f t="shared" si="0"/>
        <v>42534</v>
      </c>
      <c r="BA6" s="169">
        <f t="shared" si="0"/>
        <v>42535</v>
      </c>
      <c r="BB6" s="169">
        <f t="shared" si="0"/>
        <v>42536</v>
      </c>
      <c r="BC6" s="169">
        <f t="shared" si="0"/>
        <v>42537</v>
      </c>
      <c r="BD6" s="169">
        <f t="shared" si="0"/>
        <v>42538</v>
      </c>
      <c r="BE6" s="169">
        <f t="shared" si="0"/>
        <v>42539</v>
      </c>
      <c r="BF6" s="169">
        <f t="shared" si="0"/>
        <v>42540</v>
      </c>
      <c r="BG6" s="169">
        <f t="shared" si="0"/>
        <v>42541</v>
      </c>
      <c r="BH6" s="169">
        <f t="shared" si="0"/>
        <v>42542</v>
      </c>
      <c r="BI6" s="169">
        <f t="shared" si="0"/>
        <v>42543</v>
      </c>
      <c r="BJ6" s="169">
        <f t="shared" si="0"/>
        <v>42544</v>
      </c>
      <c r="BK6" s="169">
        <f t="shared" si="0"/>
        <v>42545</v>
      </c>
      <c r="BL6" s="169">
        <f t="shared" si="0"/>
        <v>42546</v>
      </c>
      <c r="BM6" s="169">
        <f t="shared" si="0"/>
        <v>42547</v>
      </c>
      <c r="BN6" s="169">
        <f t="shared" si="0"/>
        <v>42548</v>
      </c>
      <c r="BO6" s="169">
        <f t="shared" si="0"/>
        <v>42549</v>
      </c>
      <c r="BP6" s="169">
        <f t="shared" si="0"/>
        <v>42550</v>
      </c>
      <c r="BQ6" s="169">
        <f t="shared" si="0"/>
        <v>42551</v>
      </c>
      <c r="BR6" s="169">
        <f t="shared" si="0"/>
        <v>42552</v>
      </c>
      <c r="BS6" s="169">
        <f t="shared" si="0"/>
        <v>42553</v>
      </c>
      <c r="BT6" s="169">
        <f t="shared" si="0"/>
        <v>42554</v>
      </c>
      <c r="BU6" s="169">
        <f t="shared" si="0"/>
        <v>42555</v>
      </c>
      <c r="BV6" s="169">
        <f t="shared" si="0"/>
        <v>42556</v>
      </c>
      <c r="BW6" s="169">
        <f t="shared" si="0"/>
        <v>42557</v>
      </c>
      <c r="BX6" s="169">
        <f t="shared" si="0"/>
        <v>42558</v>
      </c>
      <c r="BY6" s="169">
        <f t="shared" si="0"/>
        <v>42559</v>
      </c>
      <c r="BZ6" s="169">
        <f t="shared" si="0"/>
        <v>42560</v>
      </c>
      <c r="CA6" s="169">
        <f t="shared" ref="CA6:EL6" si="1">BZ6+$L$6</f>
        <v>42561</v>
      </c>
      <c r="CB6" s="169">
        <f t="shared" si="1"/>
        <v>42562</v>
      </c>
      <c r="CC6" s="169">
        <f t="shared" si="1"/>
        <v>42563</v>
      </c>
      <c r="CD6" s="169">
        <f t="shared" si="1"/>
        <v>42564</v>
      </c>
      <c r="CE6" s="169">
        <f t="shared" si="1"/>
        <v>42565</v>
      </c>
      <c r="CF6" s="169">
        <f t="shared" si="1"/>
        <v>42566</v>
      </c>
      <c r="CG6" s="169">
        <f t="shared" si="1"/>
        <v>42567</v>
      </c>
      <c r="CH6" s="169">
        <f t="shared" si="1"/>
        <v>42568</v>
      </c>
      <c r="CI6" s="169">
        <f t="shared" si="1"/>
        <v>42569</v>
      </c>
      <c r="CJ6" s="169">
        <f t="shared" si="1"/>
        <v>42570</v>
      </c>
      <c r="CK6" s="169">
        <f t="shared" si="1"/>
        <v>42571</v>
      </c>
      <c r="CL6" s="169">
        <f t="shared" si="1"/>
        <v>42572</v>
      </c>
      <c r="CM6" s="169">
        <f t="shared" si="1"/>
        <v>42573</v>
      </c>
      <c r="CN6" s="169">
        <f t="shared" si="1"/>
        <v>42574</v>
      </c>
      <c r="CO6" s="169">
        <f t="shared" si="1"/>
        <v>42575</v>
      </c>
      <c r="CP6" s="169">
        <f t="shared" si="1"/>
        <v>42576</v>
      </c>
      <c r="CQ6" s="169">
        <f t="shared" si="1"/>
        <v>42577</v>
      </c>
      <c r="CR6" s="169">
        <f t="shared" si="1"/>
        <v>42578</v>
      </c>
      <c r="CS6" s="169">
        <f t="shared" si="1"/>
        <v>42579</v>
      </c>
      <c r="CT6" s="169">
        <f t="shared" si="1"/>
        <v>42580</v>
      </c>
      <c r="CU6" s="169">
        <f t="shared" si="1"/>
        <v>42581</v>
      </c>
      <c r="CV6" s="169">
        <f t="shared" si="1"/>
        <v>42582</v>
      </c>
      <c r="CW6" s="169">
        <f t="shared" si="1"/>
        <v>42583</v>
      </c>
      <c r="CX6" s="169">
        <f t="shared" si="1"/>
        <v>42584</v>
      </c>
      <c r="CY6" s="169">
        <f t="shared" si="1"/>
        <v>42585</v>
      </c>
      <c r="CZ6" s="169">
        <f t="shared" si="1"/>
        <v>42586</v>
      </c>
      <c r="DA6" s="169">
        <f t="shared" si="1"/>
        <v>42587</v>
      </c>
      <c r="DB6" s="169">
        <f t="shared" si="1"/>
        <v>42588</v>
      </c>
      <c r="DC6" s="169">
        <f t="shared" si="1"/>
        <v>42589</v>
      </c>
      <c r="DD6" s="169">
        <f t="shared" si="1"/>
        <v>42590</v>
      </c>
      <c r="DE6" s="169">
        <f t="shared" si="1"/>
        <v>42591</v>
      </c>
      <c r="DF6" s="169">
        <f t="shared" si="1"/>
        <v>42592</v>
      </c>
      <c r="DG6" s="169">
        <f t="shared" si="1"/>
        <v>42593</v>
      </c>
      <c r="DH6" s="169">
        <f t="shared" si="1"/>
        <v>42594</v>
      </c>
      <c r="DI6" s="169">
        <f t="shared" si="1"/>
        <v>42595</v>
      </c>
      <c r="DJ6" s="169">
        <f t="shared" si="1"/>
        <v>42596</v>
      </c>
      <c r="DK6" s="169">
        <f t="shared" si="1"/>
        <v>42597</v>
      </c>
      <c r="DL6" s="169">
        <f t="shared" si="1"/>
        <v>42598</v>
      </c>
      <c r="DM6" s="169">
        <f t="shared" si="1"/>
        <v>42599</v>
      </c>
      <c r="DN6" s="169">
        <f t="shared" si="1"/>
        <v>42600</v>
      </c>
      <c r="DO6" s="169">
        <f t="shared" si="1"/>
        <v>42601</v>
      </c>
      <c r="DP6" s="169">
        <f t="shared" si="1"/>
        <v>42602</v>
      </c>
      <c r="DQ6" s="169">
        <f t="shared" si="1"/>
        <v>42603</v>
      </c>
      <c r="DR6" s="169">
        <f t="shared" si="1"/>
        <v>42604</v>
      </c>
      <c r="DS6" s="169">
        <f t="shared" si="1"/>
        <v>42605</v>
      </c>
      <c r="DT6" s="169">
        <f t="shared" si="1"/>
        <v>42606</v>
      </c>
      <c r="DU6" s="169">
        <f t="shared" si="1"/>
        <v>42607</v>
      </c>
      <c r="DV6" s="169">
        <f t="shared" si="1"/>
        <v>42608</v>
      </c>
      <c r="DW6" s="169">
        <f t="shared" si="1"/>
        <v>42609</v>
      </c>
      <c r="DX6" s="169">
        <f t="shared" si="1"/>
        <v>42610</v>
      </c>
      <c r="DY6" s="169">
        <f t="shared" si="1"/>
        <v>42611</v>
      </c>
      <c r="DZ6" s="169">
        <f t="shared" si="1"/>
        <v>42612</v>
      </c>
      <c r="EA6" s="169">
        <f t="shared" si="1"/>
        <v>42613</v>
      </c>
      <c r="EB6" s="169">
        <f t="shared" si="1"/>
        <v>42614</v>
      </c>
      <c r="EC6" s="169">
        <f t="shared" si="1"/>
        <v>42615</v>
      </c>
      <c r="ED6" s="169">
        <f t="shared" si="1"/>
        <v>42616</v>
      </c>
      <c r="EE6" s="169">
        <f t="shared" si="1"/>
        <v>42617</v>
      </c>
      <c r="EF6" s="169">
        <f t="shared" si="1"/>
        <v>42618</v>
      </c>
      <c r="EG6" s="169">
        <f t="shared" si="1"/>
        <v>42619</v>
      </c>
      <c r="EH6" s="169">
        <f t="shared" si="1"/>
        <v>42620</v>
      </c>
      <c r="EI6" s="169">
        <f t="shared" si="1"/>
        <v>42621</v>
      </c>
      <c r="EJ6" s="169">
        <f t="shared" si="1"/>
        <v>42622</v>
      </c>
      <c r="EK6" s="169">
        <f t="shared" si="1"/>
        <v>42623</v>
      </c>
      <c r="EL6" s="169">
        <f t="shared" si="1"/>
        <v>42624</v>
      </c>
      <c r="EM6" s="169">
        <f t="shared" ref="EM6:GX6" si="2">EL6+$L$6</f>
        <v>42625</v>
      </c>
      <c r="EN6" s="169">
        <f t="shared" si="2"/>
        <v>42626</v>
      </c>
      <c r="EO6" s="169">
        <f t="shared" si="2"/>
        <v>42627</v>
      </c>
      <c r="EP6" s="169">
        <f t="shared" si="2"/>
        <v>42628</v>
      </c>
      <c r="EQ6" s="169">
        <f t="shared" si="2"/>
        <v>42629</v>
      </c>
      <c r="ER6" s="169">
        <f t="shared" si="2"/>
        <v>42630</v>
      </c>
      <c r="ES6" s="169">
        <f t="shared" si="2"/>
        <v>42631</v>
      </c>
      <c r="ET6" s="169">
        <f t="shared" si="2"/>
        <v>42632</v>
      </c>
      <c r="EU6" s="169">
        <f t="shared" si="2"/>
        <v>42633</v>
      </c>
      <c r="EV6" s="169">
        <f t="shared" si="2"/>
        <v>42634</v>
      </c>
      <c r="EW6" s="169">
        <f t="shared" si="2"/>
        <v>42635</v>
      </c>
      <c r="EX6" s="169">
        <f t="shared" si="2"/>
        <v>42636</v>
      </c>
      <c r="EY6" s="169">
        <f t="shared" si="2"/>
        <v>42637</v>
      </c>
      <c r="EZ6" s="169">
        <f t="shared" si="2"/>
        <v>42638</v>
      </c>
      <c r="FA6" s="169">
        <f t="shared" si="2"/>
        <v>42639</v>
      </c>
      <c r="FB6" s="169">
        <f t="shared" si="2"/>
        <v>42640</v>
      </c>
      <c r="FC6" s="169">
        <f t="shared" si="2"/>
        <v>42641</v>
      </c>
      <c r="FD6" s="169">
        <f t="shared" si="2"/>
        <v>42642</v>
      </c>
      <c r="FE6" s="169">
        <f t="shared" si="2"/>
        <v>42643</v>
      </c>
      <c r="FF6" s="169">
        <f t="shared" si="2"/>
        <v>42644</v>
      </c>
      <c r="FG6" s="169">
        <f t="shared" si="2"/>
        <v>42645</v>
      </c>
      <c r="FH6" s="169">
        <f t="shared" si="2"/>
        <v>42646</v>
      </c>
      <c r="FI6" s="169">
        <f t="shared" si="2"/>
        <v>42647</v>
      </c>
      <c r="FJ6" s="169">
        <f t="shared" si="2"/>
        <v>42648</v>
      </c>
      <c r="FK6" s="169">
        <f t="shared" si="2"/>
        <v>42649</v>
      </c>
      <c r="FL6" s="169">
        <f t="shared" si="2"/>
        <v>42650</v>
      </c>
      <c r="FM6" s="169">
        <f t="shared" si="2"/>
        <v>42651</v>
      </c>
      <c r="FN6" s="169">
        <f t="shared" si="2"/>
        <v>42652</v>
      </c>
      <c r="FO6" s="169">
        <f t="shared" si="2"/>
        <v>42653</v>
      </c>
      <c r="FP6" s="169">
        <f t="shared" si="2"/>
        <v>42654</v>
      </c>
      <c r="FQ6" s="169">
        <f t="shared" si="2"/>
        <v>42655</v>
      </c>
      <c r="FR6" s="169">
        <f t="shared" si="2"/>
        <v>42656</v>
      </c>
      <c r="FS6" s="169">
        <f t="shared" si="2"/>
        <v>42657</v>
      </c>
      <c r="FT6" s="169">
        <f t="shared" si="2"/>
        <v>42658</v>
      </c>
      <c r="FU6" s="169">
        <f t="shared" si="2"/>
        <v>42659</v>
      </c>
      <c r="FV6" s="169">
        <f t="shared" si="2"/>
        <v>42660</v>
      </c>
      <c r="FW6" s="169">
        <f t="shared" si="2"/>
        <v>42661</v>
      </c>
      <c r="FX6" s="169">
        <f t="shared" si="2"/>
        <v>42662</v>
      </c>
      <c r="FY6" s="169">
        <f t="shared" si="2"/>
        <v>42663</v>
      </c>
      <c r="FZ6" s="169">
        <f t="shared" si="2"/>
        <v>42664</v>
      </c>
      <c r="GA6" s="169">
        <f t="shared" si="2"/>
        <v>42665</v>
      </c>
      <c r="GB6" s="169">
        <f t="shared" si="2"/>
        <v>42666</v>
      </c>
      <c r="GC6" s="169">
        <f t="shared" si="2"/>
        <v>42667</v>
      </c>
      <c r="GD6" s="169">
        <f t="shared" si="2"/>
        <v>42668</v>
      </c>
      <c r="GE6" s="169">
        <f t="shared" si="2"/>
        <v>42669</v>
      </c>
      <c r="GF6" s="169">
        <f t="shared" si="2"/>
        <v>42670</v>
      </c>
      <c r="GG6" s="169">
        <f t="shared" si="2"/>
        <v>42671</v>
      </c>
      <c r="GH6" s="169">
        <f t="shared" si="2"/>
        <v>42672</v>
      </c>
      <c r="GI6" s="169">
        <f t="shared" si="2"/>
        <v>42673</v>
      </c>
      <c r="GJ6" s="169">
        <f t="shared" si="2"/>
        <v>42674</v>
      </c>
      <c r="GK6" s="169">
        <f t="shared" si="2"/>
        <v>42675</v>
      </c>
      <c r="GL6" s="169">
        <f t="shared" si="2"/>
        <v>42676</v>
      </c>
      <c r="GM6" s="169">
        <f t="shared" si="2"/>
        <v>42677</v>
      </c>
      <c r="GN6" s="169">
        <f t="shared" si="2"/>
        <v>42678</v>
      </c>
      <c r="GO6" s="169">
        <f t="shared" si="2"/>
        <v>42679</v>
      </c>
      <c r="GP6" s="169">
        <f t="shared" si="2"/>
        <v>42680</v>
      </c>
      <c r="GQ6" s="169">
        <f t="shared" si="2"/>
        <v>42681</v>
      </c>
      <c r="GR6" s="169">
        <f t="shared" si="2"/>
        <v>42682</v>
      </c>
      <c r="GS6" s="169">
        <f t="shared" si="2"/>
        <v>42683</v>
      </c>
      <c r="GT6" s="169">
        <f t="shared" si="2"/>
        <v>42684</v>
      </c>
      <c r="GU6" s="169">
        <f t="shared" si="2"/>
        <v>42685</v>
      </c>
      <c r="GV6" s="169">
        <f t="shared" si="2"/>
        <v>42686</v>
      </c>
      <c r="GW6" s="169">
        <f t="shared" si="2"/>
        <v>42687</v>
      </c>
      <c r="GX6" s="169">
        <f t="shared" si="2"/>
        <v>42688</v>
      </c>
      <c r="GY6" s="169">
        <f t="shared" ref="GY6:JJ6" si="3">GX6+$L$6</f>
        <v>42689</v>
      </c>
      <c r="GZ6" s="169">
        <f t="shared" si="3"/>
        <v>42690</v>
      </c>
      <c r="HA6" s="169">
        <f t="shared" si="3"/>
        <v>42691</v>
      </c>
      <c r="HB6" s="169">
        <f t="shared" si="3"/>
        <v>42692</v>
      </c>
      <c r="HC6" s="169">
        <f t="shared" si="3"/>
        <v>42693</v>
      </c>
      <c r="HD6" s="169">
        <f t="shared" si="3"/>
        <v>42694</v>
      </c>
      <c r="HE6" s="169">
        <f t="shared" si="3"/>
        <v>42695</v>
      </c>
      <c r="HF6" s="169">
        <f t="shared" si="3"/>
        <v>42696</v>
      </c>
      <c r="HG6" s="169">
        <f t="shared" si="3"/>
        <v>42697</v>
      </c>
      <c r="HH6" s="169">
        <f t="shared" si="3"/>
        <v>42698</v>
      </c>
      <c r="HI6" s="169">
        <f t="shared" si="3"/>
        <v>42699</v>
      </c>
      <c r="HJ6" s="169">
        <f t="shared" si="3"/>
        <v>42700</v>
      </c>
      <c r="HK6" s="169">
        <f t="shared" si="3"/>
        <v>42701</v>
      </c>
      <c r="HL6" s="169">
        <f t="shared" si="3"/>
        <v>42702</v>
      </c>
      <c r="HM6" s="169">
        <f t="shared" si="3"/>
        <v>42703</v>
      </c>
      <c r="HN6" s="169">
        <f t="shared" si="3"/>
        <v>42704</v>
      </c>
      <c r="HO6" s="169">
        <f t="shared" si="3"/>
        <v>42705</v>
      </c>
      <c r="HP6" s="169">
        <f t="shared" si="3"/>
        <v>42706</v>
      </c>
      <c r="HQ6" s="169">
        <f t="shared" si="3"/>
        <v>42707</v>
      </c>
      <c r="HR6" s="169">
        <f t="shared" si="3"/>
        <v>42708</v>
      </c>
      <c r="HS6" s="169">
        <f t="shared" si="3"/>
        <v>42709</v>
      </c>
      <c r="HT6" s="169">
        <f t="shared" si="3"/>
        <v>42710</v>
      </c>
      <c r="HU6" s="169">
        <f t="shared" si="3"/>
        <v>42711</v>
      </c>
      <c r="HV6" s="169">
        <f t="shared" si="3"/>
        <v>42712</v>
      </c>
      <c r="HW6" s="169">
        <f t="shared" si="3"/>
        <v>42713</v>
      </c>
      <c r="HX6" s="169">
        <f t="shared" si="3"/>
        <v>42714</v>
      </c>
      <c r="HY6" s="169">
        <f t="shared" si="3"/>
        <v>42715</v>
      </c>
      <c r="HZ6" s="169">
        <f t="shared" si="3"/>
        <v>42716</v>
      </c>
      <c r="IA6" s="169">
        <f t="shared" si="3"/>
        <v>42717</v>
      </c>
      <c r="IB6" s="169">
        <f t="shared" si="3"/>
        <v>42718</v>
      </c>
      <c r="IC6" s="169">
        <f t="shared" si="3"/>
        <v>42719</v>
      </c>
      <c r="ID6" s="169">
        <f t="shared" si="3"/>
        <v>42720</v>
      </c>
      <c r="IE6" s="169">
        <f t="shared" si="3"/>
        <v>42721</v>
      </c>
      <c r="IF6" s="169">
        <f t="shared" si="3"/>
        <v>42722</v>
      </c>
      <c r="IG6" s="169">
        <f t="shared" si="3"/>
        <v>42723</v>
      </c>
      <c r="IH6" s="169">
        <f t="shared" si="3"/>
        <v>42724</v>
      </c>
      <c r="II6" s="169">
        <f t="shared" si="3"/>
        <v>42725</v>
      </c>
      <c r="IJ6" s="169">
        <f t="shared" si="3"/>
        <v>42726</v>
      </c>
      <c r="IK6" s="169">
        <f t="shared" si="3"/>
        <v>42727</v>
      </c>
      <c r="IL6" s="169">
        <f t="shared" si="3"/>
        <v>42728</v>
      </c>
      <c r="IM6" s="169">
        <f t="shared" si="3"/>
        <v>42729</v>
      </c>
      <c r="IN6" s="169">
        <f t="shared" si="3"/>
        <v>42730</v>
      </c>
      <c r="IO6" s="169">
        <f t="shared" si="3"/>
        <v>42731</v>
      </c>
      <c r="IP6" s="169">
        <f t="shared" si="3"/>
        <v>42732</v>
      </c>
      <c r="IQ6" s="169">
        <f t="shared" si="3"/>
        <v>42733</v>
      </c>
      <c r="IR6" s="169">
        <f t="shared" si="3"/>
        <v>42734</v>
      </c>
      <c r="IS6" s="169">
        <f t="shared" si="3"/>
        <v>42735</v>
      </c>
      <c r="IT6" s="169">
        <f t="shared" si="3"/>
        <v>42736</v>
      </c>
      <c r="IU6" s="169">
        <f t="shared" si="3"/>
        <v>42737</v>
      </c>
      <c r="IV6" s="169">
        <f t="shared" si="3"/>
        <v>42738</v>
      </c>
      <c r="IW6" s="169">
        <f t="shared" si="3"/>
        <v>42739</v>
      </c>
      <c r="IX6" s="169">
        <f t="shared" si="3"/>
        <v>42740</v>
      </c>
      <c r="IY6" s="169">
        <f t="shared" si="3"/>
        <v>42741</v>
      </c>
      <c r="IZ6" s="169">
        <f t="shared" si="3"/>
        <v>42742</v>
      </c>
      <c r="JA6" s="169">
        <f t="shared" si="3"/>
        <v>42743</v>
      </c>
      <c r="JB6" s="169">
        <f t="shared" si="3"/>
        <v>42744</v>
      </c>
      <c r="JC6" s="169">
        <f t="shared" si="3"/>
        <v>42745</v>
      </c>
      <c r="JD6" s="169">
        <f t="shared" si="3"/>
        <v>42746</v>
      </c>
      <c r="JE6" s="169">
        <f t="shared" si="3"/>
        <v>42747</v>
      </c>
      <c r="JF6" s="169">
        <f t="shared" si="3"/>
        <v>42748</v>
      </c>
      <c r="JG6" s="169">
        <f t="shared" si="3"/>
        <v>42749</v>
      </c>
      <c r="JH6" s="169">
        <f t="shared" si="3"/>
        <v>42750</v>
      </c>
      <c r="JI6" s="169">
        <f t="shared" si="3"/>
        <v>42751</v>
      </c>
      <c r="JJ6" s="169">
        <f t="shared" si="3"/>
        <v>42752</v>
      </c>
      <c r="JK6" s="172">
        <f t="shared" ref="JK6" si="4">JJ6+$L$6</f>
        <v>42753</v>
      </c>
    </row>
    <row r="7" spans="1:271" ht="13.5" customHeight="1">
      <c r="A7" s="96"/>
      <c r="B7" s="171" t="s">
        <v>11</v>
      </c>
      <c r="C7" s="171" t="s">
        <v>12</v>
      </c>
      <c r="D7" s="171" t="s">
        <v>13</v>
      </c>
      <c r="E7" s="174" t="s">
        <v>14</v>
      </c>
      <c r="F7" s="171" t="s">
        <v>15</v>
      </c>
      <c r="G7" s="4" t="s">
        <v>16</v>
      </c>
      <c r="H7" s="176" t="s">
        <v>17</v>
      </c>
      <c r="I7" s="136" t="s">
        <v>18</v>
      </c>
      <c r="J7" s="4" t="s">
        <v>18</v>
      </c>
      <c r="K7" s="4" t="s">
        <v>18</v>
      </c>
      <c r="L7" s="171" t="s">
        <v>19</v>
      </c>
      <c r="M7" s="168"/>
      <c r="N7" s="170"/>
      <c r="O7" s="170"/>
      <c r="P7" s="170"/>
      <c r="Q7" s="170"/>
      <c r="R7" s="170"/>
      <c r="S7" s="170"/>
      <c r="T7" s="170"/>
      <c r="U7" s="170"/>
      <c r="V7" s="170"/>
      <c r="W7" s="170"/>
      <c r="X7" s="170"/>
      <c r="Y7" s="170"/>
      <c r="Z7" s="170"/>
      <c r="AA7" s="170"/>
      <c r="AB7" s="170"/>
      <c r="AC7" s="170"/>
      <c r="AD7" s="170"/>
      <c r="AE7" s="170"/>
      <c r="AF7" s="170"/>
      <c r="AG7" s="170"/>
      <c r="AH7" s="170"/>
      <c r="AI7" s="170"/>
      <c r="AJ7" s="170"/>
      <c r="AK7" s="170"/>
      <c r="AL7" s="170"/>
      <c r="AM7" s="170"/>
      <c r="AN7" s="170"/>
      <c r="AO7" s="170"/>
      <c r="AP7" s="170"/>
      <c r="AQ7" s="170"/>
      <c r="AR7" s="170"/>
      <c r="AS7" s="170"/>
      <c r="AT7" s="170"/>
      <c r="AU7" s="170"/>
      <c r="AV7" s="170"/>
      <c r="AW7" s="170"/>
      <c r="AX7" s="170"/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N7" s="170"/>
      <c r="BO7" s="170"/>
      <c r="BP7" s="170"/>
      <c r="BQ7" s="170"/>
      <c r="BR7" s="170"/>
      <c r="BS7" s="170"/>
      <c r="BT7" s="170"/>
      <c r="BU7" s="170"/>
      <c r="BV7" s="170"/>
      <c r="BW7" s="170"/>
      <c r="BX7" s="170"/>
      <c r="BY7" s="170"/>
      <c r="BZ7" s="170"/>
      <c r="CA7" s="170"/>
      <c r="CB7" s="170"/>
      <c r="CC7" s="170"/>
      <c r="CD7" s="170"/>
      <c r="CE7" s="170"/>
      <c r="CF7" s="170"/>
      <c r="CG7" s="170"/>
      <c r="CH7" s="170"/>
      <c r="CI7" s="170"/>
      <c r="CJ7" s="170"/>
      <c r="CK7" s="170"/>
      <c r="CL7" s="170"/>
      <c r="CM7" s="170"/>
      <c r="CN7" s="170"/>
      <c r="CO7" s="170"/>
      <c r="CP7" s="170"/>
      <c r="CQ7" s="170"/>
      <c r="CR7" s="170"/>
      <c r="CS7" s="170"/>
      <c r="CT7" s="170"/>
      <c r="CU7" s="170"/>
      <c r="CV7" s="170"/>
      <c r="CW7" s="170"/>
      <c r="CX7" s="170"/>
      <c r="CY7" s="170"/>
      <c r="CZ7" s="170"/>
      <c r="DA7" s="170"/>
      <c r="DB7" s="170"/>
      <c r="DC7" s="170"/>
      <c r="DD7" s="170"/>
      <c r="DE7" s="170"/>
      <c r="DF7" s="170"/>
      <c r="DG7" s="170"/>
      <c r="DH7" s="170"/>
      <c r="DI7" s="170"/>
      <c r="DJ7" s="170"/>
      <c r="DK7" s="170"/>
      <c r="DL7" s="170"/>
      <c r="DM7" s="170"/>
      <c r="DN7" s="170"/>
      <c r="DO7" s="170"/>
      <c r="DP7" s="170"/>
      <c r="DQ7" s="170"/>
      <c r="DR7" s="170"/>
      <c r="DS7" s="170"/>
      <c r="DT7" s="170"/>
      <c r="DU7" s="170"/>
      <c r="DV7" s="170"/>
      <c r="DW7" s="170"/>
      <c r="DX7" s="170"/>
      <c r="DY7" s="170"/>
      <c r="DZ7" s="170"/>
      <c r="EA7" s="170"/>
      <c r="EB7" s="170"/>
      <c r="EC7" s="170"/>
      <c r="ED7" s="170"/>
      <c r="EE7" s="170"/>
      <c r="EF7" s="170"/>
      <c r="EG7" s="170"/>
      <c r="EH7" s="170"/>
      <c r="EI7" s="170"/>
      <c r="EJ7" s="170"/>
      <c r="EK7" s="170"/>
      <c r="EL7" s="170"/>
      <c r="EM7" s="170"/>
      <c r="EN7" s="170"/>
      <c r="EO7" s="170"/>
      <c r="EP7" s="170"/>
      <c r="EQ7" s="170"/>
      <c r="ER7" s="170"/>
      <c r="ES7" s="170"/>
      <c r="ET7" s="170"/>
      <c r="EU7" s="170"/>
      <c r="EV7" s="170"/>
      <c r="EW7" s="170"/>
      <c r="EX7" s="170"/>
      <c r="EY7" s="170"/>
      <c r="EZ7" s="170"/>
      <c r="FA7" s="170"/>
      <c r="FB7" s="170"/>
      <c r="FC7" s="170"/>
      <c r="FD7" s="170"/>
      <c r="FE7" s="170"/>
      <c r="FF7" s="170"/>
      <c r="FG7" s="170"/>
      <c r="FH7" s="170"/>
      <c r="FI7" s="170"/>
      <c r="FJ7" s="170"/>
      <c r="FK7" s="170"/>
      <c r="FL7" s="170"/>
      <c r="FM7" s="170"/>
      <c r="FN7" s="170"/>
      <c r="FO7" s="170"/>
      <c r="FP7" s="170"/>
      <c r="FQ7" s="170"/>
      <c r="FR7" s="170"/>
      <c r="FS7" s="170"/>
      <c r="FT7" s="170"/>
      <c r="FU7" s="170"/>
      <c r="FV7" s="170"/>
      <c r="FW7" s="170"/>
      <c r="FX7" s="170"/>
      <c r="FY7" s="170"/>
      <c r="FZ7" s="170"/>
      <c r="GA7" s="170"/>
      <c r="GB7" s="170"/>
      <c r="GC7" s="170"/>
      <c r="GD7" s="170"/>
      <c r="GE7" s="170"/>
      <c r="GF7" s="170"/>
      <c r="GG7" s="170"/>
      <c r="GH7" s="170"/>
      <c r="GI7" s="170"/>
      <c r="GJ7" s="170"/>
      <c r="GK7" s="170"/>
      <c r="GL7" s="170"/>
      <c r="GM7" s="170"/>
      <c r="GN7" s="170"/>
      <c r="GO7" s="170"/>
      <c r="GP7" s="170"/>
      <c r="GQ7" s="170"/>
      <c r="GR7" s="170"/>
      <c r="GS7" s="170"/>
      <c r="GT7" s="170"/>
      <c r="GU7" s="170"/>
      <c r="GV7" s="170"/>
      <c r="GW7" s="170"/>
      <c r="GX7" s="170"/>
      <c r="GY7" s="170"/>
      <c r="GZ7" s="170"/>
      <c r="HA7" s="170"/>
      <c r="HB7" s="170"/>
      <c r="HC7" s="170"/>
      <c r="HD7" s="170"/>
      <c r="HE7" s="170"/>
      <c r="HF7" s="170"/>
      <c r="HG7" s="170"/>
      <c r="HH7" s="170"/>
      <c r="HI7" s="170"/>
      <c r="HJ7" s="170"/>
      <c r="HK7" s="170"/>
      <c r="HL7" s="170"/>
      <c r="HM7" s="170"/>
      <c r="HN7" s="170"/>
      <c r="HO7" s="170"/>
      <c r="HP7" s="170"/>
      <c r="HQ7" s="170"/>
      <c r="HR7" s="170"/>
      <c r="HS7" s="170"/>
      <c r="HT7" s="170"/>
      <c r="HU7" s="170"/>
      <c r="HV7" s="170"/>
      <c r="HW7" s="170"/>
      <c r="HX7" s="170"/>
      <c r="HY7" s="170"/>
      <c r="HZ7" s="170"/>
      <c r="IA7" s="170"/>
      <c r="IB7" s="170"/>
      <c r="IC7" s="170"/>
      <c r="ID7" s="170"/>
      <c r="IE7" s="170"/>
      <c r="IF7" s="170"/>
      <c r="IG7" s="170"/>
      <c r="IH7" s="170"/>
      <c r="II7" s="170"/>
      <c r="IJ7" s="170"/>
      <c r="IK7" s="170"/>
      <c r="IL7" s="170"/>
      <c r="IM7" s="170"/>
      <c r="IN7" s="170"/>
      <c r="IO7" s="170"/>
      <c r="IP7" s="170"/>
      <c r="IQ7" s="170"/>
      <c r="IR7" s="170"/>
      <c r="IS7" s="170"/>
      <c r="IT7" s="170"/>
      <c r="IU7" s="170"/>
      <c r="IV7" s="170"/>
      <c r="IW7" s="170"/>
      <c r="IX7" s="170"/>
      <c r="IY7" s="170"/>
      <c r="IZ7" s="170"/>
      <c r="JA7" s="170"/>
      <c r="JB7" s="170"/>
      <c r="JC7" s="170"/>
      <c r="JD7" s="170"/>
      <c r="JE7" s="170"/>
      <c r="JF7" s="170"/>
      <c r="JG7" s="170"/>
      <c r="JH7" s="170"/>
      <c r="JI7" s="170"/>
      <c r="JJ7" s="170"/>
      <c r="JK7" s="173"/>
    </row>
    <row r="8" spans="1:271" s="9" customFormat="1" ht="9.9499999999999993">
      <c r="A8" s="97"/>
      <c r="B8" s="171"/>
      <c r="C8" s="171"/>
      <c r="D8" s="171"/>
      <c r="E8" s="175"/>
      <c r="F8" s="171"/>
      <c r="G8" s="5" t="s">
        <v>20</v>
      </c>
      <c r="H8" s="171"/>
      <c r="I8" s="135" t="s">
        <v>21</v>
      </c>
      <c r="J8" s="5" t="s">
        <v>22</v>
      </c>
      <c r="K8" s="5" t="s">
        <v>22</v>
      </c>
      <c r="L8" s="171"/>
      <c r="M8" s="6" t="str">
        <f>LEFT(TEXT(M6,"ddd"))</f>
        <v>T</v>
      </c>
      <c r="N8" s="7" t="str">
        <f t="shared" ref="N8:BY8" si="5">LEFT(TEXT(N6,"ddd"))</f>
        <v>F</v>
      </c>
      <c r="O8" s="7" t="str">
        <f t="shared" si="5"/>
        <v>S</v>
      </c>
      <c r="P8" s="7" t="str">
        <f t="shared" si="5"/>
        <v>S</v>
      </c>
      <c r="Q8" s="7" t="str">
        <f t="shared" si="5"/>
        <v>M</v>
      </c>
      <c r="R8" s="7" t="str">
        <f t="shared" si="5"/>
        <v>T</v>
      </c>
      <c r="S8" s="7" t="str">
        <f t="shared" si="5"/>
        <v>W</v>
      </c>
      <c r="T8" s="7" t="str">
        <f t="shared" si="5"/>
        <v>T</v>
      </c>
      <c r="U8" s="7" t="str">
        <f t="shared" si="5"/>
        <v>F</v>
      </c>
      <c r="V8" s="7" t="str">
        <f t="shared" si="5"/>
        <v>S</v>
      </c>
      <c r="W8" s="7" t="str">
        <f t="shared" si="5"/>
        <v>S</v>
      </c>
      <c r="X8" s="7" t="str">
        <f t="shared" si="5"/>
        <v>M</v>
      </c>
      <c r="Y8" s="7" t="str">
        <f t="shared" si="5"/>
        <v>T</v>
      </c>
      <c r="Z8" s="7" t="str">
        <f t="shared" si="5"/>
        <v>W</v>
      </c>
      <c r="AA8" s="7" t="str">
        <f t="shared" si="5"/>
        <v>T</v>
      </c>
      <c r="AB8" s="7" t="str">
        <f t="shared" si="5"/>
        <v>F</v>
      </c>
      <c r="AC8" s="7" t="str">
        <f t="shared" si="5"/>
        <v>S</v>
      </c>
      <c r="AD8" s="7" t="str">
        <f t="shared" si="5"/>
        <v>S</v>
      </c>
      <c r="AE8" s="7" t="str">
        <f t="shared" si="5"/>
        <v>M</v>
      </c>
      <c r="AF8" s="7" t="str">
        <f t="shared" si="5"/>
        <v>T</v>
      </c>
      <c r="AG8" s="7" t="str">
        <f t="shared" si="5"/>
        <v>W</v>
      </c>
      <c r="AH8" s="7" t="str">
        <f t="shared" si="5"/>
        <v>T</v>
      </c>
      <c r="AI8" s="7" t="str">
        <f t="shared" si="5"/>
        <v>F</v>
      </c>
      <c r="AJ8" s="7" t="str">
        <f t="shared" si="5"/>
        <v>S</v>
      </c>
      <c r="AK8" s="7" t="str">
        <f t="shared" si="5"/>
        <v>S</v>
      </c>
      <c r="AL8" s="7" t="str">
        <f t="shared" si="5"/>
        <v>M</v>
      </c>
      <c r="AM8" s="7" t="str">
        <f t="shared" si="5"/>
        <v>T</v>
      </c>
      <c r="AN8" s="7" t="str">
        <f t="shared" si="5"/>
        <v>W</v>
      </c>
      <c r="AO8" s="7" t="str">
        <f t="shared" si="5"/>
        <v>T</v>
      </c>
      <c r="AP8" s="7" t="str">
        <f t="shared" si="5"/>
        <v>F</v>
      </c>
      <c r="AQ8" s="7" t="str">
        <f t="shared" si="5"/>
        <v>S</v>
      </c>
      <c r="AR8" s="7" t="str">
        <f t="shared" si="5"/>
        <v>S</v>
      </c>
      <c r="AS8" s="7" t="str">
        <f t="shared" si="5"/>
        <v>M</v>
      </c>
      <c r="AT8" s="7" t="str">
        <f t="shared" si="5"/>
        <v>T</v>
      </c>
      <c r="AU8" s="7" t="str">
        <f t="shared" si="5"/>
        <v>W</v>
      </c>
      <c r="AV8" s="7" t="str">
        <f t="shared" si="5"/>
        <v>T</v>
      </c>
      <c r="AW8" s="7" t="str">
        <f t="shared" si="5"/>
        <v>F</v>
      </c>
      <c r="AX8" s="7" t="str">
        <f t="shared" si="5"/>
        <v>S</v>
      </c>
      <c r="AY8" s="7" t="str">
        <f t="shared" si="5"/>
        <v>S</v>
      </c>
      <c r="AZ8" s="7" t="str">
        <f t="shared" si="5"/>
        <v>M</v>
      </c>
      <c r="BA8" s="7" t="str">
        <f t="shared" si="5"/>
        <v>T</v>
      </c>
      <c r="BB8" s="7" t="str">
        <f t="shared" si="5"/>
        <v>W</v>
      </c>
      <c r="BC8" s="7" t="str">
        <f t="shared" si="5"/>
        <v>T</v>
      </c>
      <c r="BD8" s="7" t="str">
        <f t="shared" si="5"/>
        <v>F</v>
      </c>
      <c r="BE8" s="7" t="str">
        <f t="shared" si="5"/>
        <v>S</v>
      </c>
      <c r="BF8" s="7" t="str">
        <f t="shared" si="5"/>
        <v>S</v>
      </c>
      <c r="BG8" s="7" t="str">
        <f t="shared" si="5"/>
        <v>M</v>
      </c>
      <c r="BH8" s="7" t="str">
        <f t="shared" si="5"/>
        <v>T</v>
      </c>
      <c r="BI8" s="7" t="str">
        <f t="shared" si="5"/>
        <v>W</v>
      </c>
      <c r="BJ8" s="7" t="str">
        <f t="shared" si="5"/>
        <v>T</v>
      </c>
      <c r="BK8" s="7" t="str">
        <f t="shared" si="5"/>
        <v>F</v>
      </c>
      <c r="BL8" s="7" t="str">
        <f t="shared" si="5"/>
        <v>S</v>
      </c>
      <c r="BM8" s="7" t="str">
        <f t="shared" si="5"/>
        <v>S</v>
      </c>
      <c r="BN8" s="7" t="str">
        <f t="shared" si="5"/>
        <v>M</v>
      </c>
      <c r="BO8" s="7" t="str">
        <f t="shared" si="5"/>
        <v>T</v>
      </c>
      <c r="BP8" s="7" t="str">
        <f t="shared" si="5"/>
        <v>W</v>
      </c>
      <c r="BQ8" s="7" t="str">
        <f t="shared" si="5"/>
        <v>T</v>
      </c>
      <c r="BR8" s="7" t="str">
        <f t="shared" si="5"/>
        <v>F</v>
      </c>
      <c r="BS8" s="7" t="str">
        <f t="shared" si="5"/>
        <v>S</v>
      </c>
      <c r="BT8" s="7" t="str">
        <f t="shared" si="5"/>
        <v>S</v>
      </c>
      <c r="BU8" s="7" t="str">
        <f t="shared" si="5"/>
        <v>M</v>
      </c>
      <c r="BV8" s="7" t="str">
        <f t="shared" si="5"/>
        <v>T</v>
      </c>
      <c r="BW8" s="7" t="str">
        <f t="shared" si="5"/>
        <v>W</v>
      </c>
      <c r="BX8" s="7" t="str">
        <f t="shared" si="5"/>
        <v>T</v>
      </c>
      <c r="BY8" s="7" t="str">
        <f t="shared" si="5"/>
        <v>F</v>
      </c>
      <c r="BZ8" s="7" t="str">
        <f t="shared" ref="BZ8:EK8" si="6">LEFT(TEXT(BZ6,"ddd"))</f>
        <v>S</v>
      </c>
      <c r="CA8" s="7" t="str">
        <f t="shared" si="6"/>
        <v>S</v>
      </c>
      <c r="CB8" s="7" t="str">
        <f t="shared" si="6"/>
        <v>M</v>
      </c>
      <c r="CC8" s="7" t="str">
        <f t="shared" si="6"/>
        <v>T</v>
      </c>
      <c r="CD8" s="7" t="str">
        <f t="shared" si="6"/>
        <v>W</v>
      </c>
      <c r="CE8" s="7" t="str">
        <f t="shared" si="6"/>
        <v>T</v>
      </c>
      <c r="CF8" s="7" t="str">
        <f t="shared" si="6"/>
        <v>F</v>
      </c>
      <c r="CG8" s="7" t="str">
        <f t="shared" si="6"/>
        <v>S</v>
      </c>
      <c r="CH8" s="7" t="str">
        <f t="shared" si="6"/>
        <v>S</v>
      </c>
      <c r="CI8" s="7" t="str">
        <f t="shared" si="6"/>
        <v>M</v>
      </c>
      <c r="CJ8" s="7" t="str">
        <f t="shared" si="6"/>
        <v>T</v>
      </c>
      <c r="CK8" s="7" t="str">
        <f t="shared" si="6"/>
        <v>W</v>
      </c>
      <c r="CL8" s="7" t="str">
        <f t="shared" si="6"/>
        <v>T</v>
      </c>
      <c r="CM8" s="7" t="str">
        <f t="shared" si="6"/>
        <v>F</v>
      </c>
      <c r="CN8" s="7" t="str">
        <f t="shared" si="6"/>
        <v>S</v>
      </c>
      <c r="CO8" s="7" t="str">
        <f t="shared" si="6"/>
        <v>S</v>
      </c>
      <c r="CP8" s="7" t="str">
        <f t="shared" si="6"/>
        <v>M</v>
      </c>
      <c r="CQ8" s="7" t="str">
        <f t="shared" si="6"/>
        <v>T</v>
      </c>
      <c r="CR8" s="7" t="str">
        <f t="shared" si="6"/>
        <v>W</v>
      </c>
      <c r="CS8" s="7" t="str">
        <f t="shared" si="6"/>
        <v>T</v>
      </c>
      <c r="CT8" s="7" t="str">
        <f t="shared" si="6"/>
        <v>F</v>
      </c>
      <c r="CU8" s="7" t="str">
        <f t="shared" si="6"/>
        <v>S</v>
      </c>
      <c r="CV8" s="7" t="str">
        <f t="shared" si="6"/>
        <v>S</v>
      </c>
      <c r="CW8" s="7" t="str">
        <f t="shared" si="6"/>
        <v>M</v>
      </c>
      <c r="CX8" s="7" t="str">
        <f t="shared" si="6"/>
        <v>T</v>
      </c>
      <c r="CY8" s="8" t="str">
        <f t="shared" si="6"/>
        <v>W</v>
      </c>
      <c r="CZ8" s="7" t="str">
        <f t="shared" si="6"/>
        <v>T</v>
      </c>
      <c r="DA8" s="7" t="str">
        <f t="shared" si="6"/>
        <v>F</v>
      </c>
      <c r="DB8" s="7" t="str">
        <f t="shared" si="6"/>
        <v>S</v>
      </c>
      <c r="DC8" s="7" t="str">
        <f t="shared" si="6"/>
        <v>S</v>
      </c>
      <c r="DD8" s="7" t="str">
        <f t="shared" si="6"/>
        <v>M</v>
      </c>
      <c r="DE8" s="7" t="str">
        <f t="shared" si="6"/>
        <v>T</v>
      </c>
      <c r="DF8" s="8" t="str">
        <f t="shared" si="6"/>
        <v>W</v>
      </c>
      <c r="DG8" s="7" t="str">
        <f t="shared" si="6"/>
        <v>T</v>
      </c>
      <c r="DH8" s="7" t="str">
        <f t="shared" si="6"/>
        <v>F</v>
      </c>
      <c r="DI8" s="7" t="str">
        <f t="shared" si="6"/>
        <v>S</v>
      </c>
      <c r="DJ8" s="7" t="str">
        <f t="shared" si="6"/>
        <v>S</v>
      </c>
      <c r="DK8" s="7" t="str">
        <f t="shared" si="6"/>
        <v>M</v>
      </c>
      <c r="DL8" s="7" t="str">
        <f t="shared" si="6"/>
        <v>T</v>
      </c>
      <c r="DM8" s="8" t="str">
        <f t="shared" si="6"/>
        <v>W</v>
      </c>
      <c r="DN8" s="7" t="str">
        <f t="shared" si="6"/>
        <v>T</v>
      </c>
      <c r="DO8" s="7" t="str">
        <f t="shared" si="6"/>
        <v>F</v>
      </c>
      <c r="DP8" s="7" t="str">
        <f t="shared" si="6"/>
        <v>S</v>
      </c>
      <c r="DQ8" s="7" t="str">
        <f t="shared" si="6"/>
        <v>S</v>
      </c>
      <c r="DR8" s="7" t="str">
        <f t="shared" si="6"/>
        <v>M</v>
      </c>
      <c r="DS8" s="7" t="str">
        <f t="shared" si="6"/>
        <v>T</v>
      </c>
      <c r="DT8" s="8" t="str">
        <f t="shared" si="6"/>
        <v>W</v>
      </c>
      <c r="DU8" s="7" t="str">
        <f t="shared" si="6"/>
        <v>T</v>
      </c>
      <c r="DV8" s="7" t="str">
        <f t="shared" si="6"/>
        <v>F</v>
      </c>
      <c r="DW8" s="7" t="str">
        <f t="shared" si="6"/>
        <v>S</v>
      </c>
      <c r="DX8" s="7" t="str">
        <f t="shared" si="6"/>
        <v>S</v>
      </c>
      <c r="DY8" s="7" t="str">
        <f t="shared" si="6"/>
        <v>M</v>
      </c>
      <c r="DZ8" s="7" t="str">
        <f t="shared" si="6"/>
        <v>T</v>
      </c>
      <c r="EA8" s="8" t="str">
        <f t="shared" si="6"/>
        <v>W</v>
      </c>
      <c r="EB8" s="7" t="str">
        <f t="shared" si="6"/>
        <v>T</v>
      </c>
      <c r="EC8" s="7" t="str">
        <f t="shared" si="6"/>
        <v>F</v>
      </c>
      <c r="ED8" s="7" t="str">
        <f t="shared" si="6"/>
        <v>S</v>
      </c>
      <c r="EE8" s="7" t="str">
        <f t="shared" si="6"/>
        <v>S</v>
      </c>
      <c r="EF8" s="7" t="str">
        <f t="shared" si="6"/>
        <v>M</v>
      </c>
      <c r="EG8" s="7" t="str">
        <f t="shared" si="6"/>
        <v>T</v>
      </c>
      <c r="EH8" s="8" t="str">
        <f t="shared" si="6"/>
        <v>W</v>
      </c>
      <c r="EI8" s="7" t="str">
        <f t="shared" si="6"/>
        <v>T</v>
      </c>
      <c r="EJ8" s="7" t="str">
        <f t="shared" si="6"/>
        <v>F</v>
      </c>
      <c r="EK8" s="7" t="str">
        <f t="shared" si="6"/>
        <v>S</v>
      </c>
      <c r="EL8" s="7" t="str">
        <f t="shared" ref="EL8:GW8" si="7">LEFT(TEXT(EL6,"ddd"))</f>
        <v>S</v>
      </c>
      <c r="EM8" s="7" t="str">
        <f t="shared" si="7"/>
        <v>M</v>
      </c>
      <c r="EN8" s="7" t="str">
        <f t="shared" si="7"/>
        <v>T</v>
      </c>
      <c r="EO8" s="8" t="str">
        <f t="shared" si="7"/>
        <v>W</v>
      </c>
      <c r="EP8" s="7" t="str">
        <f t="shared" si="7"/>
        <v>T</v>
      </c>
      <c r="EQ8" s="7" t="str">
        <f t="shared" si="7"/>
        <v>F</v>
      </c>
      <c r="ER8" s="7" t="str">
        <f t="shared" si="7"/>
        <v>S</v>
      </c>
      <c r="ES8" s="7" t="str">
        <f t="shared" si="7"/>
        <v>S</v>
      </c>
      <c r="ET8" s="7" t="str">
        <f t="shared" si="7"/>
        <v>M</v>
      </c>
      <c r="EU8" s="7" t="str">
        <f t="shared" si="7"/>
        <v>T</v>
      </c>
      <c r="EV8" s="8" t="str">
        <f t="shared" si="7"/>
        <v>W</v>
      </c>
      <c r="EW8" s="7" t="str">
        <f t="shared" si="7"/>
        <v>T</v>
      </c>
      <c r="EX8" s="7" t="str">
        <f t="shared" si="7"/>
        <v>F</v>
      </c>
      <c r="EY8" s="7" t="str">
        <f t="shared" si="7"/>
        <v>S</v>
      </c>
      <c r="EZ8" s="7" t="str">
        <f t="shared" si="7"/>
        <v>S</v>
      </c>
      <c r="FA8" s="7" t="str">
        <f t="shared" si="7"/>
        <v>M</v>
      </c>
      <c r="FB8" s="7" t="str">
        <f t="shared" si="7"/>
        <v>T</v>
      </c>
      <c r="FC8" s="8" t="str">
        <f t="shared" si="7"/>
        <v>W</v>
      </c>
      <c r="FD8" s="7" t="str">
        <f t="shared" si="7"/>
        <v>T</v>
      </c>
      <c r="FE8" s="7" t="str">
        <f t="shared" si="7"/>
        <v>F</v>
      </c>
      <c r="FF8" s="7" t="str">
        <f t="shared" si="7"/>
        <v>S</v>
      </c>
      <c r="FG8" s="7" t="str">
        <f t="shared" si="7"/>
        <v>S</v>
      </c>
      <c r="FH8" s="7" t="str">
        <f t="shared" si="7"/>
        <v>M</v>
      </c>
      <c r="FI8" s="7" t="str">
        <f t="shared" si="7"/>
        <v>T</v>
      </c>
      <c r="FJ8" s="8" t="str">
        <f t="shared" si="7"/>
        <v>W</v>
      </c>
      <c r="FK8" s="7" t="str">
        <f t="shared" si="7"/>
        <v>T</v>
      </c>
      <c r="FL8" s="7" t="str">
        <f t="shared" si="7"/>
        <v>F</v>
      </c>
      <c r="FM8" s="7" t="str">
        <f t="shared" si="7"/>
        <v>S</v>
      </c>
      <c r="FN8" s="7" t="str">
        <f t="shared" si="7"/>
        <v>S</v>
      </c>
      <c r="FO8" s="7" t="str">
        <f t="shared" si="7"/>
        <v>M</v>
      </c>
      <c r="FP8" s="7" t="str">
        <f t="shared" si="7"/>
        <v>T</v>
      </c>
      <c r="FQ8" s="8" t="str">
        <f t="shared" si="7"/>
        <v>W</v>
      </c>
      <c r="FR8" s="7" t="str">
        <f t="shared" si="7"/>
        <v>T</v>
      </c>
      <c r="FS8" s="7" t="str">
        <f t="shared" si="7"/>
        <v>F</v>
      </c>
      <c r="FT8" s="7" t="str">
        <f t="shared" si="7"/>
        <v>S</v>
      </c>
      <c r="FU8" s="7" t="str">
        <f t="shared" si="7"/>
        <v>S</v>
      </c>
      <c r="FV8" s="7" t="str">
        <f t="shared" si="7"/>
        <v>M</v>
      </c>
      <c r="FW8" s="7" t="str">
        <f t="shared" si="7"/>
        <v>T</v>
      </c>
      <c r="FX8" s="8" t="str">
        <f t="shared" si="7"/>
        <v>W</v>
      </c>
      <c r="FY8" s="7" t="str">
        <f t="shared" si="7"/>
        <v>T</v>
      </c>
      <c r="FZ8" s="7" t="str">
        <f t="shared" si="7"/>
        <v>F</v>
      </c>
      <c r="GA8" s="7" t="str">
        <f t="shared" si="7"/>
        <v>S</v>
      </c>
      <c r="GB8" s="7" t="str">
        <f t="shared" si="7"/>
        <v>S</v>
      </c>
      <c r="GC8" s="7" t="str">
        <f t="shared" si="7"/>
        <v>M</v>
      </c>
      <c r="GD8" s="7" t="str">
        <f t="shared" si="7"/>
        <v>T</v>
      </c>
      <c r="GE8" s="8" t="str">
        <f t="shared" si="7"/>
        <v>W</v>
      </c>
      <c r="GF8" s="7" t="str">
        <f t="shared" si="7"/>
        <v>T</v>
      </c>
      <c r="GG8" s="7" t="str">
        <f t="shared" si="7"/>
        <v>F</v>
      </c>
      <c r="GH8" s="7" t="str">
        <f t="shared" si="7"/>
        <v>S</v>
      </c>
      <c r="GI8" s="7" t="str">
        <f t="shared" si="7"/>
        <v>S</v>
      </c>
      <c r="GJ8" s="7" t="str">
        <f t="shared" si="7"/>
        <v>M</v>
      </c>
      <c r="GK8" s="7" t="str">
        <f t="shared" si="7"/>
        <v>T</v>
      </c>
      <c r="GL8" s="8" t="str">
        <f t="shared" si="7"/>
        <v>W</v>
      </c>
      <c r="GM8" s="7" t="str">
        <f t="shared" si="7"/>
        <v>T</v>
      </c>
      <c r="GN8" s="7" t="str">
        <f t="shared" si="7"/>
        <v>F</v>
      </c>
      <c r="GO8" s="7" t="str">
        <f t="shared" si="7"/>
        <v>S</v>
      </c>
      <c r="GP8" s="7" t="str">
        <f t="shared" si="7"/>
        <v>S</v>
      </c>
      <c r="GQ8" s="7" t="str">
        <f t="shared" si="7"/>
        <v>M</v>
      </c>
      <c r="GR8" s="7" t="str">
        <f t="shared" si="7"/>
        <v>T</v>
      </c>
      <c r="GS8" s="8" t="str">
        <f t="shared" si="7"/>
        <v>W</v>
      </c>
      <c r="GT8" s="7" t="str">
        <f t="shared" si="7"/>
        <v>T</v>
      </c>
      <c r="GU8" s="7" t="str">
        <f t="shared" si="7"/>
        <v>F</v>
      </c>
      <c r="GV8" s="7" t="str">
        <f t="shared" si="7"/>
        <v>S</v>
      </c>
      <c r="GW8" s="7" t="str">
        <f t="shared" si="7"/>
        <v>S</v>
      </c>
      <c r="GX8" s="7" t="str">
        <f t="shared" ref="GX8:JI8" si="8">LEFT(TEXT(GX6,"ddd"))</f>
        <v>M</v>
      </c>
      <c r="GY8" s="7" t="str">
        <f t="shared" si="8"/>
        <v>T</v>
      </c>
      <c r="GZ8" s="8" t="str">
        <f t="shared" si="8"/>
        <v>W</v>
      </c>
      <c r="HA8" s="7" t="str">
        <f t="shared" si="8"/>
        <v>T</v>
      </c>
      <c r="HB8" s="7" t="str">
        <f t="shared" si="8"/>
        <v>F</v>
      </c>
      <c r="HC8" s="7" t="str">
        <f t="shared" si="8"/>
        <v>S</v>
      </c>
      <c r="HD8" s="7" t="str">
        <f t="shared" si="8"/>
        <v>S</v>
      </c>
      <c r="HE8" s="7" t="str">
        <f t="shared" si="8"/>
        <v>M</v>
      </c>
      <c r="HF8" s="7" t="str">
        <f t="shared" si="8"/>
        <v>T</v>
      </c>
      <c r="HG8" s="8" t="str">
        <f t="shared" si="8"/>
        <v>W</v>
      </c>
      <c r="HH8" s="7" t="str">
        <f t="shared" si="8"/>
        <v>T</v>
      </c>
      <c r="HI8" s="7" t="str">
        <f t="shared" si="8"/>
        <v>F</v>
      </c>
      <c r="HJ8" s="7" t="str">
        <f t="shared" si="8"/>
        <v>S</v>
      </c>
      <c r="HK8" s="7" t="str">
        <f t="shared" si="8"/>
        <v>S</v>
      </c>
      <c r="HL8" s="7" t="str">
        <f t="shared" si="8"/>
        <v>M</v>
      </c>
      <c r="HM8" s="7" t="str">
        <f t="shared" si="8"/>
        <v>T</v>
      </c>
      <c r="HN8" s="8" t="str">
        <f t="shared" si="8"/>
        <v>W</v>
      </c>
      <c r="HO8" s="7" t="str">
        <f t="shared" si="8"/>
        <v>T</v>
      </c>
      <c r="HP8" s="7" t="str">
        <f t="shared" si="8"/>
        <v>F</v>
      </c>
      <c r="HQ8" s="7" t="str">
        <f t="shared" si="8"/>
        <v>S</v>
      </c>
      <c r="HR8" s="7" t="str">
        <f t="shared" si="8"/>
        <v>S</v>
      </c>
      <c r="HS8" s="7" t="str">
        <f t="shared" si="8"/>
        <v>M</v>
      </c>
      <c r="HT8" s="7" t="str">
        <f t="shared" si="8"/>
        <v>T</v>
      </c>
      <c r="HU8" s="8" t="str">
        <f t="shared" si="8"/>
        <v>W</v>
      </c>
      <c r="HV8" s="7" t="str">
        <f t="shared" si="8"/>
        <v>T</v>
      </c>
      <c r="HW8" s="7" t="str">
        <f t="shared" si="8"/>
        <v>F</v>
      </c>
      <c r="HX8" s="7" t="str">
        <f t="shared" si="8"/>
        <v>S</v>
      </c>
      <c r="HY8" s="7" t="str">
        <f t="shared" si="8"/>
        <v>S</v>
      </c>
      <c r="HZ8" s="7" t="str">
        <f t="shared" si="8"/>
        <v>M</v>
      </c>
      <c r="IA8" s="7" t="str">
        <f t="shared" si="8"/>
        <v>T</v>
      </c>
      <c r="IB8" s="8" t="str">
        <f t="shared" si="8"/>
        <v>W</v>
      </c>
      <c r="IC8" s="7" t="str">
        <f t="shared" si="8"/>
        <v>T</v>
      </c>
      <c r="ID8" s="7" t="str">
        <f t="shared" si="8"/>
        <v>F</v>
      </c>
      <c r="IE8" s="7" t="str">
        <f t="shared" si="8"/>
        <v>S</v>
      </c>
      <c r="IF8" s="7" t="str">
        <f t="shared" si="8"/>
        <v>S</v>
      </c>
      <c r="IG8" s="7" t="str">
        <f t="shared" si="8"/>
        <v>M</v>
      </c>
      <c r="IH8" s="7" t="str">
        <f t="shared" si="8"/>
        <v>T</v>
      </c>
      <c r="II8" s="8" t="str">
        <f t="shared" si="8"/>
        <v>W</v>
      </c>
      <c r="IJ8" s="7" t="str">
        <f t="shared" si="8"/>
        <v>T</v>
      </c>
      <c r="IK8" s="7" t="str">
        <f t="shared" si="8"/>
        <v>F</v>
      </c>
      <c r="IL8" s="7" t="str">
        <f t="shared" si="8"/>
        <v>S</v>
      </c>
      <c r="IM8" s="7" t="str">
        <f t="shared" si="8"/>
        <v>S</v>
      </c>
      <c r="IN8" s="7" t="str">
        <f t="shared" si="8"/>
        <v>M</v>
      </c>
      <c r="IO8" s="7" t="str">
        <f t="shared" si="8"/>
        <v>T</v>
      </c>
      <c r="IP8" s="8" t="str">
        <f t="shared" si="8"/>
        <v>W</v>
      </c>
      <c r="IQ8" s="7" t="str">
        <f t="shared" si="8"/>
        <v>T</v>
      </c>
      <c r="IR8" s="7" t="str">
        <f t="shared" si="8"/>
        <v>F</v>
      </c>
      <c r="IS8" s="7" t="str">
        <f t="shared" si="8"/>
        <v>S</v>
      </c>
      <c r="IT8" s="7" t="str">
        <f t="shared" si="8"/>
        <v>S</v>
      </c>
      <c r="IU8" s="7" t="str">
        <f t="shared" si="8"/>
        <v>M</v>
      </c>
      <c r="IV8" s="7" t="str">
        <f t="shared" si="8"/>
        <v>T</v>
      </c>
      <c r="IW8" s="8" t="str">
        <f t="shared" si="8"/>
        <v>W</v>
      </c>
      <c r="IX8" s="7" t="str">
        <f t="shared" si="8"/>
        <v>T</v>
      </c>
      <c r="IY8" s="7" t="str">
        <f t="shared" si="8"/>
        <v>F</v>
      </c>
      <c r="IZ8" s="7" t="str">
        <f t="shared" si="8"/>
        <v>S</v>
      </c>
      <c r="JA8" s="7" t="str">
        <f t="shared" si="8"/>
        <v>S</v>
      </c>
      <c r="JB8" s="7" t="str">
        <f t="shared" si="8"/>
        <v>M</v>
      </c>
      <c r="JC8" s="7" t="str">
        <f t="shared" si="8"/>
        <v>T</v>
      </c>
      <c r="JD8" s="8" t="str">
        <f t="shared" si="8"/>
        <v>W</v>
      </c>
      <c r="JE8" s="7" t="str">
        <f t="shared" si="8"/>
        <v>T</v>
      </c>
      <c r="JF8" s="7" t="str">
        <f t="shared" si="8"/>
        <v>F</v>
      </c>
      <c r="JG8" s="7" t="str">
        <f t="shared" si="8"/>
        <v>S</v>
      </c>
      <c r="JH8" s="7" t="str">
        <f t="shared" si="8"/>
        <v>S</v>
      </c>
      <c r="JI8" s="7" t="str">
        <f t="shared" si="8"/>
        <v>M</v>
      </c>
      <c r="JJ8" s="7" t="str">
        <f t="shared" ref="JJ8:JK8" si="9">LEFT(TEXT(JJ6,"ddd"))</f>
        <v>T</v>
      </c>
      <c r="JK8" s="8" t="str">
        <f t="shared" si="9"/>
        <v>W</v>
      </c>
    </row>
    <row r="9" spans="1:271">
      <c r="A9" s="96"/>
      <c r="B9" s="10">
        <v>1</v>
      </c>
      <c r="C9" s="11" t="s">
        <v>23</v>
      </c>
      <c r="D9" s="11" t="s">
        <v>24</v>
      </c>
      <c r="F9" s="12">
        <v>42495</v>
      </c>
      <c r="G9" s="12">
        <f>WORKDAY(F9,H9-1,Config!D7:D26)</f>
        <v>42529</v>
      </c>
      <c r="H9" s="10">
        <v>25</v>
      </c>
      <c r="I9" s="13">
        <v>0.94</v>
      </c>
      <c r="J9" s="13">
        <f ca="1">IF(((NETWORKDAYS(F9,TODAY(),Data!C2:C21)*100)/H9)/100 &gt; 0,((NETWORKDAYS(F9,TODAY(),Data!C2:C21)*100)/H9)/100,0)</f>
        <v>66.88</v>
      </c>
      <c r="K9" s="13" t="str">
        <f ca="1">IF(J9&gt;1, "100%",$J9)</f>
        <v>100%</v>
      </c>
      <c r="L9" s="13">
        <f ca="1">K9-I9</f>
        <v>6.0000000000000053E-2</v>
      </c>
      <c r="M9" s="10" t="str">
        <f>IF(AND(M$6&gt;=$F9,M$6&lt;=$G9),"."," ")</f>
        <v>.</v>
      </c>
      <c r="N9" s="10" t="str">
        <f t="shared" ref="N9:Q14" si="10">IF(AND(N$6&gt;=$F9,N$6&lt;=$G9),"."," ")</f>
        <v>.</v>
      </c>
      <c r="O9" s="10" t="str">
        <f t="shared" si="10"/>
        <v>.</v>
      </c>
      <c r="P9" s="10" t="str">
        <f t="shared" si="10"/>
        <v>.</v>
      </c>
      <c r="Q9" s="10" t="str">
        <f t="shared" si="10"/>
        <v>.</v>
      </c>
      <c r="R9" s="14"/>
      <c r="S9" s="14"/>
      <c r="T9" s="10" t="str">
        <f>IF(AND(T$6&gt;=$F9,T$6&lt;=$G9),"."," ")</f>
        <v>.</v>
      </c>
      <c r="U9" s="10" t="str">
        <f t="shared" ref="U9:X14" si="11">IF(AND(U$6&gt;=$F9,U$6&lt;=$G9),"."," ")</f>
        <v>.</v>
      </c>
      <c r="V9" s="10" t="str">
        <f t="shared" si="11"/>
        <v>.</v>
      </c>
      <c r="W9" s="10" t="str">
        <f t="shared" si="11"/>
        <v>.</v>
      </c>
      <c r="X9" s="10" t="str">
        <f t="shared" si="11"/>
        <v>.</v>
      </c>
      <c r="Y9" s="14"/>
      <c r="Z9" s="14"/>
      <c r="AA9" s="10" t="str">
        <f>IF(AND(AA$6&gt;=$F9,AA$6&lt;=$G9),"."," ")</f>
        <v>.</v>
      </c>
      <c r="AB9" s="10" t="str">
        <f t="shared" ref="AB9:AE14" si="12">IF(AND(AB$6&gt;=$F9,AB$6&lt;=$G9),"."," ")</f>
        <v>.</v>
      </c>
      <c r="AC9" s="10" t="str">
        <f t="shared" si="12"/>
        <v>.</v>
      </c>
      <c r="AD9" s="10" t="str">
        <f t="shared" si="12"/>
        <v>.</v>
      </c>
      <c r="AE9" s="10" t="str">
        <f t="shared" si="12"/>
        <v>.</v>
      </c>
      <c r="AF9" s="14"/>
      <c r="AG9" s="14"/>
      <c r="AH9" s="10" t="str">
        <f>IF(AND(AH$6&gt;=$F9,AH$6&lt;=$G9),"."," ")</f>
        <v>.</v>
      </c>
      <c r="AI9" s="10" t="str">
        <f t="shared" ref="AI9:AL14" si="13">IF(AND(AI$6&gt;=$F9,AI$6&lt;=$G9),"."," ")</f>
        <v>.</v>
      </c>
      <c r="AJ9" s="10" t="str">
        <f t="shared" si="13"/>
        <v>.</v>
      </c>
      <c r="AK9" s="10" t="str">
        <f t="shared" si="13"/>
        <v>.</v>
      </c>
      <c r="AL9" s="10" t="str">
        <f t="shared" si="13"/>
        <v>.</v>
      </c>
      <c r="AM9" s="14"/>
      <c r="AN9" s="14"/>
      <c r="AO9" s="10" t="str">
        <f>IF(AND(AO$6&gt;=$F9,AO$6&lt;=$G9),"."," ")</f>
        <v>.</v>
      </c>
      <c r="AP9" s="10" t="str">
        <f t="shared" ref="AP9:AS14" si="14">IF(AND(AP$6&gt;=$F9,AP$6&lt;=$G9),"."," ")</f>
        <v>.</v>
      </c>
      <c r="AQ9" s="10" t="str">
        <f t="shared" si="14"/>
        <v>.</v>
      </c>
      <c r="AR9" s="10" t="str">
        <f t="shared" si="14"/>
        <v>.</v>
      </c>
      <c r="AS9" s="10" t="str">
        <f t="shared" si="14"/>
        <v>.</v>
      </c>
      <c r="AT9" s="14"/>
      <c r="AU9" s="14"/>
      <c r="AV9" s="10" t="str">
        <f>IF(AND(AV$6&gt;=$F9,AV$6&lt;=$G9),"."," ")</f>
        <v xml:space="preserve"> </v>
      </c>
      <c r="AW9" s="10" t="str">
        <f t="shared" ref="AW9:AZ14" si="15">IF(AND(AW$6&gt;=$F9,AW$6&lt;=$G9),"."," ")</f>
        <v xml:space="preserve"> </v>
      </c>
      <c r="AX9" s="10" t="str">
        <f t="shared" si="15"/>
        <v xml:space="preserve"> </v>
      </c>
      <c r="AY9" s="10" t="str">
        <f t="shared" si="15"/>
        <v xml:space="preserve"> </v>
      </c>
      <c r="AZ9" s="10" t="str">
        <f t="shared" si="15"/>
        <v xml:space="preserve"> </v>
      </c>
      <c r="BA9" s="14"/>
      <c r="BB9" s="14"/>
      <c r="BC9" s="10" t="str">
        <f>IF(AND(BC$6&gt;=$F9,BC$6&lt;=$G9),"."," ")</f>
        <v xml:space="preserve"> </v>
      </c>
      <c r="BD9" s="10" t="str">
        <f t="shared" ref="BD9:BG14" si="16">IF(AND(BD$6&gt;=$F9,BD$6&lt;=$G9),"."," ")</f>
        <v xml:space="preserve"> </v>
      </c>
      <c r="BE9" s="10" t="str">
        <f t="shared" si="16"/>
        <v xml:space="preserve"> </v>
      </c>
      <c r="BF9" s="10" t="str">
        <f t="shared" si="16"/>
        <v xml:space="preserve"> </v>
      </c>
      <c r="BG9" s="10" t="str">
        <f t="shared" si="16"/>
        <v xml:space="preserve"> </v>
      </c>
      <c r="BH9" s="14"/>
      <c r="BI9" s="14"/>
      <c r="BJ9" s="10" t="str">
        <f>IF(AND(BJ$6&gt;=$F9,BJ$6&lt;=$G9),"."," ")</f>
        <v xml:space="preserve"> </v>
      </c>
      <c r="BK9" s="10" t="str">
        <f t="shared" ref="BK9:BN14" si="17">IF(AND(BK$6&gt;=$F9,BK$6&lt;=$G9),"."," ")</f>
        <v xml:space="preserve"> </v>
      </c>
      <c r="BL9" s="10" t="str">
        <f t="shared" si="17"/>
        <v xml:space="preserve"> </v>
      </c>
      <c r="BM9" s="10" t="str">
        <f t="shared" si="17"/>
        <v xml:space="preserve"> </v>
      </c>
      <c r="BN9" s="10" t="str">
        <f t="shared" si="17"/>
        <v xml:space="preserve"> </v>
      </c>
      <c r="BO9" s="14"/>
      <c r="BP9" s="14"/>
      <c r="BQ9" s="10" t="str">
        <f>IF(AND(BQ$6&gt;=$F9,BQ$6&lt;=$G9),"."," ")</f>
        <v xml:space="preserve"> </v>
      </c>
      <c r="BR9" s="10" t="str">
        <f t="shared" ref="BR9:BU14" si="18">IF(AND(BR$6&gt;=$F9,BR$6&lt;=$G9),"."," ")</f>
        <v xml:space="preserve"> </v>
      </c>
      <c r="BS9" s="10" t="str">
        <f t="shared" si="18"/>
        <v xml:space="preserve"> </v>
      </c>
      <c r="BT9" s="10" t="str">
        <f t="shared" si="18"/>
        <v xml:space="preserve"> </v>
      </c>
      <c r="BU9" s="10" t="str">
        <f t="shared" si="18"/>
        <v xml:space="preserve"> </v>
      </c>
      <c r="BV9" s="14"/>
      <c r="BW9" s="14"/>
      <c r="BX9" s="10" t="str">
        <f>IF(AND(BX$6&gt;=$F9,BX$6&lt;=$G9),"."," ")</f>
        <v xml:space="preserve"> </v>
      </c>
      <c r="BY9" s="10" t="str">
        <f t="shared" ref="BY9:CB14" si="19">IF(AND(BY$6&gt;=$F9,BY$6&lt;=$G9),"."," ")</f>
        <v xml:space="preserve"> </v>
      </c>
      <c r="BZ9" s="10" t="str">
        <f t="shared" si="19"/>
        <v xml:space="preserve"> </v>
      </c>
      <c r="CA9" s="10" t="str">
        <f t="shared" si="19"/>
        <v xml:space="preserve"> </v>
      </c>
      <c r="CB9" s="10" t="str">
        <f t="shared" si="19"/>
        <v xml:space="preserve"> </v>
      </c>
      <c r="CC9" s="14"/>
      <c r="CD9" s="14"/>
      <c r="CE9" s="10" t="str">
        <f>IF(AND(CE$6&gt;=$F9,CE$6&lt;=$G9),"."," ")</f>
        <v xml:space="preserve"> </v>
      </c>
      <c r="CF9" s="10" t="str">
        <f t="shared" ref="CF9:CI14" si="20">IF(AND(CF$6&gt;=$F9,CF$6&lt;=$G9),"."," ")</f>
        <v xml:space="preserve"> </v>
      </c>
      <c r="CG9" s="10" t="str">
        <f t="shared" si="20"/>
        <v xml:space="preserve"> </v>
      </c>
      <c r="CH9" s="10" t="str">
        <f t="shared" si="20"/>
        <v xml:space="preserve"> </v>
      </c>
      <c r="CI9" s="10" t="str">
        <f t="shared" si="20"/>
        <v xml:space="preserve"> </v>
      </c>
      <c r="CJ9" s="14"/>
      <c r="CK9" s="14"/>
      <c r="CL9" s="10" t="str">
        <f>IF(AND(CL$6&gt;=$F9,CL$6&lt;=$G9),"."," ")</f>
        <v xml:space="preserve"> </v>
      </c>
      <c r="CM9" s="10" t="str">
        <f t="shared" ref="CM9:CP14" si="21">IF(AND(CM$6&gt;=$F9,CM$6&lt;=$G9),"."," ")</f>
        <v xml:space="preserve"> </v>
      </c>
      <c r="CN9" s="10" t="str">
        <f t="shared" si="21"/>
        <v xml:space="preserve"> </v>
      </c>
      <c r="CO9" s="10" t="str">
        <f t="shared" si="21"/>
        <v xml:space="preserve"> </v>
      </c>
      <c r="CP9" s="10" t="str">
        <f t="shared" si="21"/>
        <v xml:space="preserve"> </v>
      </c>
      <c r="CQ9" s="14"/>
      <c r="CR9" s="14"/>
      <c r="CS9" s="10" t="str">
        <f>IF(AND(CS$6&gt;=$F9,CS$6&lt;=$G9),"."," ")</f>
        <v xml:space="preserve"> </v>
      </c>
      <c r="CT9" s="10" t="str">
        <f t="shared" ref="CT9:CW14" si="22">IF(AND(CT$6&gt;=$F9,CT$6&lt;=$G9),"."," ")</f>
        <v xml:space="preserve"> </v>
      </c>
      <c r="CU9" s="10" t="str">
        <f t="shared" si="22"/>
        <v xml:space="preserve"> </v>
      </c>
      <c r="CV9" s="10" t="str">
        <f t="shared" si="22"/>
        <v xml:space="preserve"> </v>
      </c>
      <c r="CW9" s="10" t="str">
        <f t="shared" si="22"/>
        <v xml:space="preserve"> </v>
      </c>
      <c r="CZ9" s="10" t="str">
        <f>IF(AND(CZ$6&gt;=$F9,CZ$6&lt;=$G9),"."," ")</f>
        <v xml:space="preserve"> </v>
      </c>
      <c r="DA9" s="10" t="str">
        <f t="shared" ref="DA9:DD14" si="23">IF(AND(DA$6&gt;=$F9,DA$6&lt;=$G9),"."," ")</f>
        <v xml:space="preserve"> </v>
      </c>
      <c r="DB9" s="10" t="str">
        <f t="shared" si="23"/>
        <v xml:space="preserve"> </v>
      </c>
      <c r="DC9" s="10" t="str">
        <f t="shared" si="23"/>
        <v xml:space="preserve"> </v>
      </c>
      <c r="DD9" s="10" t="str">
        <f t="shared" si="23"/>
        <v xml:space="preserve"> </v>
      </c>
      <c r="DG9" s="10" t="str">
        <f>IF(AND(DG$6&gt;=$F9,DG$6&lt;=$G9),"."," ")</f>
        <v xml:space="preserve"> </v>
      </c>
      <c r="DH9" s="10" t="str">
        <f t="shared" ref="DH9:DK14" si="24">IF(AND(DH$6&gt;=$F9,DH$6&lt;=$G9),"."," ")</f>
        <v xml:space="preserve"> </v>
      </c>
      <c r="DI9" s="10" t="str">
        <f t="shared" si="24"/>
        <v xml:space="preserve"> </v>
      </c>
      <c r="DJ9" s="10" t="str">
        <f t="shared" si="24"/>
        <v xml:space="preserve"> </v>
      </c>
      <c r="DK9" s="10" t="str">
        <f t="shared" si="24"/>
        <v xml:space="preserve"> </v>
      </c>
      <c r="DN9" s="10" t="str">
        <f>IF(AND(DN$6&gt;=$F9,DN$6&lt;=$G9),"."," ")</f>
        <v xml:space="preserve"> </v>
      </c>
      <c r="DO9" s="10" t="str">
        <f t="shared" ref="DO9:DR14" si="25">IF(AND(DO$6&gt;=$F9,DO$6&lt;=$G9),"."," ")</f>
        <v xml:space="preserve"> </v>
      </c>
      <c r="DP9" s="10" t="str">
        <f t="shared" si="25"/>
        <v xml:space="preserve"> </v>
      </c>
      <c r="DQ9" s="10" t="str">
        <f t="shared" si="25"/>
        <v xml:space="preserve"> </v>
      </c>
      <c r="DR9" s="10" t="str">
        <f t="shared" si="25"/>
        <v xml:space="preserve"> </v>
      </c>
      <c r="DU9" s="10" t="str">
        <f>IF(AND(DU$6&gt;=$F9,DU$6&lt;=$G9),"."," ")</f>
        <v xml:space="preserve"> </v>
      </c>
      <c r="DV9" s="10" t="str">
        <f t="shared" ref="DV9:DY14" si="26">IF(AND(DV$6&gt;=$F9,DV$6&lt;=$G9),"."," ")</f>
        <v xml:space="preserve"> </v>
      </c>
      <c r="DW9" s="10" t="str">
        <f t="shared" si="26"/>
        <v xml:space="preserve"> </v>
      </c>
      <c r="DX9" s="10" t="str">
        <f t="shared" si="26"/>
        <v xml:space="preserve"> </v>
      </c>
      <c r="DY9" s="10" t="str">
        <f t="shared" si="26"/>
        <v xml:space="preserve"> </v>
      </c>
      <c r="EB9" s="10" t="str">
        <f>IF(AND(EB$6&gt;=$F9,EB$6&lt;=$G9),"."," ")</f>
        <v xml:space="preserve"> </v>
      </c>
      <c r="EC9" s="10" t="str">
        <f t="shared" ref="EC9:EF14" si="27">IF(AND(EC$6&gt;=$F9,EC$6&lt;=$G9),"."," ")</f>
        <v xml:space="preserve"> </v>
      </c>
      <c r="ED9" s="10" t="str">
        <f t="shared" si="27"/>
        <v xml:space="preserve"> </v>
      </c>
      <c r="EE9" s="10" t="str">
        <f t="shared" si="27"/>
        <v xml:space="preserve"> </v>
      </c>
      <c r="EF9" s="10" t="str">
        <f t="shared" si="27"/>
        <v xml:space="preserve"> </v>
      </c>
      <c r="EI9" s="10" t="str">
        <f>IF(AND(EI$6&gt;=$F9,EI$6&lt;=$G9),"."," ")</f>
        <v xml:space="preserve"> </v>
      </c>
      <c r="EJ9" s="10" t="str">
        <f t="shared" ref="EJ9:EM14" si="28">IF(AND(EJ$6&gt;=$F9,EJ$6&lt;=$G9),"."," ")</f>
        <v xml:space="preserve"> </v>
      </c>
      <c r="EK9" s="10" t="str">
        <f t="shared" si="28"/>
        <v xml:space="preserve"> </v>
      </c>
      <c r="EL9" s="10" t="str">
        <f t="shared" si="28"/>
        <v xml:space="preserve"> </v>
      </c>
      <c r="EM9" s="10" t="str">
        <f t="shared" si="28"/>
        <v xml:space="preserve"> </v>
      </c>
      <c r="EP9" s="10" t="str">
        <f>IF(AND(EP$6&gt;=$F9,EP$6&lt;=$G9),"."," ")</f>
        <v xml:space="preserve"> </v>
      </c>
      <c r="EQ9" s="10" t="str">
        <f t="shared" ref="EQ9:ET14" si="29">IF(AND(EQ$6&gt;=$F9,EQ$6&lt;=$G9),"."," ")</f>
        <v xml:space="preserve"> </v>
      </c>
      <c r="ER9" s="10" t="str">
        <f t="shared" si="29"/>
        <v xml:space="preserve"> </v>
      </c>
      <c r="ES9" s="10" t="str">
        <f t="shared" si="29"/>
        <v xml:space="preserve"> </v>
      </c>
      <c r="ET9" s="10" t="str">
        <f t="shared" si="29"/>
        <v xml:space="preserve"> </v>
      </c>
      <c r="EW9" s="10" t="str">
        <f>IF(AND(EW$6&gt;=$F9,EW$6&lt;=$G9),"."," ")</f>
        <v xml:space="preserve"> </v>
      </c>
      <c r="EX9" s="10" t="str">
        <f t="shared" ref="EX9:FA14" si="30">IF(AND(EX$6&gt;=$F9,EX$6&lt;=$G9),"."," ")</f>
        <v xml:space="preserve"> </v>
      </c>
      <c r="EY9" s="10" t="str">
        <f t="shared" si="30"/>
        <v xml:space="preserve"> </v>
      </c>
      <c r="EZ9" s="10" t="str">
        <f t="shared" si="30"/>
        <v xml:space="preserve"> </v>
      </c>
      <c r="FA9" s="10" t="str">
        <f t="shared" si="30"/>
        <v xml:space="preserve"> </v>
      </c>
      <c r="FD9" s="10" t="str">
        <f>IF(AND(FD$6&gt;=$F9,FD$6&lt;=$G9),"."," ")</f>
        <v xml:space="preserve"> </v>
      </c>
      <c r="FE9" s="10" t="str">
        <f t="shared" ref="FE9:FH14" si="31">IF(AND(FE$6&gt;=$F9,FE$6&lt;=$G9),"."," ")</f>
        <v xml:space="preserve"> </v>
      </c>
      <c r="FF9" s="10" t="str">
        <f t="shared" si="31"/>
        <v xml:space="preserve"> </v>
      </c>
      <c r="FG9" s="10" t="str">
        <f t="shared" si="31"/>
        <v xml:space="preserve"> </v>
      </c>
      <c r="FH9" s="10" t="str">
        <f t="shared" si="31"/>
        <v xml:space="preserve"> </v>
      </c>
      <c r="FK9" s="10" t="str">
        <f>IF(AND(FK$6&gt;=$F9,FK$6&lt;=$G9),"."," ")</f>
        <v xml:space="preserve"> </v>
      </c>
      <c r="FL9" s="10" t="str">
        <f t="shared" ref="FL9:FO14" si="32">IF(AND(FL$6&gt;=$F9,FL$6&lt;=$G9),"."," ")</f>
        <v xml:space="preserve"> </v>
      </c>
      <c r="FM9" s="10" t="str">
        <f t="shared" si="32"/>
        <v xml:space="preserve"> </v>
      </c>
      <c r="FN9" s="10" t="str">
        <f t="shared" si="32"/>
        <v xml:space="preserve"> </v>
      </c>
      <c r="FO9" s="10" t="str">
        <f t="shared" si="32"/>
        <v xml:space="preserve"> </v>
      </c>
      <c r="FR9" s="10" t="str">
        <f>IF(AND(FR$6&gt;=$F9,FR$6&lt;=$G9),"."," ")</f>
        <v xml:space="preserve"> </v>
      </c>
      <c r="FS9" s="10" t="str">
        <f t="shared" ref="FS9:FV14" si="33">IF(AND(FS$6&gt;=$F9,FS$6&lt;=$G9),"."," ")</f>
        <v xml:space="preserve"> </v>
      </c>
      <c r="FT9" s="10" t="str">
        <f t="shared" si="33"/>
        <v xml:space="preserve"> </v>
      </c>
      <c r="FU9" s="10" t="str">
        <f t="shared" si="33"/>
        <v xml:space="preserve"> </v>
      </c>
      <c r="FV9" s="10" t="str">
        <f t="shared" si="33"/>
        <v xml:space="preserve"> </v>
      </c>
      <c r="FY9" s="10" t="str">
        <f>IF(AND(FY$6&gt;=$F9,FY$6&lt;=$G9),"."," ")</f>
        <v xml:space="preserve"> </v>
      </c>
      <c r="FZ9" s="10" t="str">
        <f t="shared" ref="FZ9:GC14" si="34">IF(AND(FZ$6&gt;=$F9,FZ$6&lt;=$G9),"."," ")</f>
        <v xml:space="preserve"> </v>
      </c>
      <c r="GA9" s="10" t="str">
        <f t="shared" si="34"/>
        <v xml:space="preserve"> </v>
      </c>
      <c r="GB9" s="10" t="str">
        <f t="shared" si="34"/>
        <v xml:space="preserve"> </v>
      </c>
      <c r="GC9" s="10" t="str">
        <f t="shared" si="34"/>
        <v xml:space="preserve"> </v>
      </c>
      <c r="GF9" s="10" t="str">
        <f>IF(AND(GF$6&gt;=$F9,GF$6&lt;=$G9),"."," ")</f>
        <v xml:space="preserve"> </v>
      </c>
      <c r="GG9" s="10" t="str">
        <f t="shared" ref="GG9:GJ14" si="35">IF(AND(GG$6&gt;=$F9,GG$6&lt;=$G9),"."," ")</f>
        <v xml:space="preserve"> </v>
      </c>
      <c r="GH9" s="10" t="str">
        <f t="shared" si="35"/>
        <v xml:space="preserve"> </v>
      </c>
      <c r="GI9" s="10" t="str">
        <f t="shared" si="35"/>
        <v xml:space="preserve"> </v>
      </c>
      <c r="GJ9" s="10" t="str">
        <f t="shared" si="35"/>
        <v xml:space="preserve"> </v>
      </c>
      <c r="GM9" s="10" t="str">
        <f>IF(AND(GM$6&gt;=$F9,GM$6&lt;=$G9),"."," ")</f>
        <v xml:space="preserve"> </v>
      </c>
      <c r="GN9" s="10" t="str">
        <f t="shared" ref="GN9:GQ14" si="36">IF(AND(GN$6&gt;=$F9,GN$6&lt;=$G9),"."," ")</f>
        <v xml:space="preserve"> </v>
      </c>
      <c r="GO9" s="10" t="str">
        <f t="shared" si="36"/>
        <v xml:space="preserve"> </v>
      </c>
      <c r="GP9" s="10" t="str">
        <f t="shared" si="36"/>
        <v xml:space="preserve"> </v>
      </c>
      <c r="GQ9" s="10" t="str">
        <f t="shared" si="36"/>
        <v xml:space="preserve"> </v>
      </c>
      <c r="GT9" s="10" t="str">
        <f>IF(AND(GT$6&gt;=$F9,GT$6&lt;=$G9),"."," ")</f>
        <v xml:space="preserve"> </v>
      </c>
      <c r="GU9" s="10" t="str">
        <f t="shared" ref="GU9:GX14" si="37">IF(AND(GU$6&gt;=$F9,GU$6&lt;=$G9),"."," ")</f>
        <v xml:space="preserve"> </v>
      </c>
      <c r="GV9" s="10" t="str">
        <f t="shared" si="37"/>
        <v xml:space="preserve"> </v>
      </c>
      <c r="GW9" s="10" t="str">
        <f t="shared" si="37"/>
        <v xml:space="preserve"> </v>
      </c>
      <c r="GX9" s="10" t="str">
        <f t="shared" si="37"/>
        <v xml:space="preserve"> </v>
      </c>
      <c r="HA9" s="10" t="str">
        <f>IF(AND(HA$6&gt;=$F9,HA$6&lt;=$G9),"."," ")</f>
        <v xml:space="preserve"> </v>
      </c>
      <c r="HB9" s="10" t="str">
        <f t="shared" ref="HB9:HE14" si="38">IF(AND(HB$6&gt;=$F9,HB$6&lt;=$G9),"."," ")</f>
        <v xml:space="preserve"> </v>
      </c>
      <c r="HC9" s="10" t="str">
        <f t="shared" si="38"/>
        <v xml:space="preserve"> </v>
      </c>
      <c r="HD9" s="10" t="str">
        <f t="shared" si="38"/>
        <v xml:space="preserve"> </v>
      </c>
      <c r="HE9" s="10" t="str">
        <f t="shared" si="38"/>
        <v xml:space="preserve"> </v>
      </c>
      <c r="HH9" s="10" t="str">
        <f>IF(AND(HH$6&gt;=$F9,HH$6&lt;=$G9),"."," ")</f>
        <v xml:space="preserve"> </v>
      </c>
      <c r="HI9" s="10" t="str">
        <f t="shared" ref="HI9:HL14" si="39">IF(AND(HI$6&gt;=$F9,HI$6&lt;=$G9),"."," ")</f>
        <v xml:space="preserve"> </v>
      </c>
      <c r="HJ9" s="10" t="str">
        <f t="shared" si="39"/>
        <v xml:space="preserve"> </v>
      </c>
      <c r="HK9" s="10" t="str">
        <f t="shared" si="39"/>
        <v xml:space="preserve"> </v>
      </c>
      <c r="HL9" s="10" t="str">
        <f t="shared" si="39"/>
        <v xml:space="preserve"> </v>
      </c>
      <c r="HO9" s="10" t="str">
        <f>IF(AND(HO$6&gt;=$F9,HO$6&lt;=$G9),"."," ")</f>
        <v xml:space="preserve"> </v>
      </c>
      <c r="HP9" s="10" t="str">
        <f t="shared" ref="HP9:HS14" si="40">IF(AND(HP$6&gt;=$F9,HP$6&lt;=$G9),"."," ")</f>
        <v xml:space="preserve"> </v>
      </c>
      <c r="HQ9" s="10" t="str">
        <f t="shared" si="40"/>
        <v xml:space="preserve"> </v>
      </c>
      <c r="HR9" s="10" t="str">
        <f t="shared" si="40"/>
        <v xml:space="preserve"> </v>
      </c>
      <c r="HS9" s="10" t="str">
        <f t="shared" si="40"/>
        <v xml:space="preserve"> </v>
      </c>
      <c r="HV9" s="10" t="str">
        <f>IF(AND(HV$6&gt;=$F9,HV$6&lt;=$G9),"."," ")</f>
        <v xml:space="preserve"> </v>
      </c>
      <c r="HW9" s="10" t="str">
        <f t="shared" ref="HW9:HZ14" si="41">IF(AND(HW$6&gt;=$F9,HW$6&lt;=$G9),"."," ")</f>
        <v xml:space="preserve"> </v>
      </c>
      <c r="HX9" s="10" t="str">
        <f t="shared" si="41"/>
        <v xml:space="preserve"> </v>
      </c>
      <c r="HY9" s="10" t="str">
        <f t="shared" si="41"/>
        <v xml:space="preserve"> </v>
      </c>
      <c r="HZ9" s="10" t="str">
        <f t="shared" si="41"/>
        <v xml:space="preserve"> </v>
      </c>
      <c r="IC9" s="10" t="str">
        <f>IF(AND(IC$6&gt;=$F9,IC$6&lt;=$G9),"."," ")</f>
        <v xml:space="preserve"> </v>
      </c>
      <c r="ID9" s="10" t="str">
        <f t="shared" ref="ID9:IG14" si="42">IF(AND(ID$6&gt;=$F9,ID$6&lt;=$G9),"."," ")</f>
        <v xml:space="preserve"> </v>
      </c>
      <c r="IE9" s="10" t="str">
        <f t="shared" si="42"/>
        <v xml:space="preserve"> </v>
      </c>
      <c r="IF9" s="10" t="str">
        <f t="shared" si="42"/>
        <v xml:space="preserve"> </v>
      </c>
      <c r="IG9" s="10" t="str">
        <f t="shared" si="42"/>
        <v xml:space="preserve"> </v>
      </c>
      <c r="IJ9" s="10" t="str">
        <f>IF(AND(IJ$6&gt;=$F9,IJ$6&lt;=$G9),"."," ")</f>
        <v xml:space="preserve"> </v>
      </c>
      <c r="IK9" s="10" t="str">
        <f t="shared" ref="IK9:IN14" si="43">IF(AND(IK$6&gt;=$F9,IK$6&lt;=$G9),"."," ")</f>
        <v xml:space="preserve"> </v>
      </c>
      <c r="IL9" s="10" t="str">
        <f t="shared" si="43"/>
        <v xml:space="preserve"> </v>
      </c>
      <c r="IM9" s="10" t="str">
        <f t="shared" si="43"/>
        <v xml:space="preserve"> </v>
      </c>
      <c r="IN9" s="10" t="str">
        <f t="shared" si="43"/>
        <v xml:space="preserve"> </v>
      </c>
      <c r="IQ9" s="10" t="str">
        <f>IF(AND(IQ$6&gt;=$F9,IQ$6&lt;=$G9),"."," ")</f>
        <v xml:space="preserve"> </v>
      </c>
      <c r="IR9" s="10" t="str">
        <f t="shared" ref="IR9:IU14" si="44">IF(AND(IR$6&gt;=$F9,IR$6&lt;=$G9),"."," ")</f>
        <v xml:space="preserve"> </v>
      </c>
      <c r="IS9" s="10" t="str">
        <f t="shared" si="44"/>
        <v xml:space="preserve"> </v>
      </c>
      <c r="IT9" s="10" t="str">
        <f t="shared" si="44"/>
        <v xml:space="preserve"> </v>
      </c>
      <c r="IU9" s="10" t="str">
        <f t="shared" si="44"/>
        <v xml:space="preserve"> </v>
      </c>
      <c r="IX9" s="10" t="str">
        <f>IF(AND(IX$6&gt;=$F9,IX$6&lt;=$G9),"."," ")</f>
        <v xml:space="preserve"> </v>
      </c>
      <c r="IY9" s="10" t="str">
        <f t="shared" ref="IY9:JB14" si="45">IF(AND(IY$6&gt;=$F9,IY$6&lt;=$G9),"."," ")</f>
        <v xml:space="preserve"> </v>
      </c>
      <c r="IZ9" s="10" t="str">
        <f t="shared" si="45"/>
        <v xml:space="preserve"> </v>
      </c>
      <c r="JA9" s="10" t="str">
        <f t="shared" si="45"/>
        <v xml:space="preserve"> </v>
      </c>
      <c r="JB9" s="10" t="str">
        <f t="shared" si="45"/>
        <v xml:space="preserve"> </v>
      </c>
      <c r="JE9" s="10" t="str">
        <f>IF(AND(JE$6&gt;=$F9,JE$6&lt;=$G9),"."," ")</f>
        <v xml:space="preserve"> </v>
      </c>
      <c r="JF9" s="10" t="str">
        <f t="shared" ref="JF9:JI14" si="46">IF(AND(JF$6&gt;=$F9,JF$6&lt;=$G9),"."," ")</f>
        <v xml:space="preserve"> </v>
      </c>
      <c r="JG9" s="10" t="str">
        <f t="shared" si="46"/>
        <v xml:space="preserve"> </v>
      </c>
      <c r="JH9" s="10" t="str">
        <f t="shared" si="46"/>
        <v xml:space="preserve"> </v>
      </c>
      <c r="JI9" s="10" t="str">
        <f t="shared" si="46"/>
        <v xml:space="preserve"> </v>
      </c>
    </row>
    <row r="10" spans="1:271">
      <c r="A10" s="96"/>
      <c r="B10" s="10">
        <f>B9+1</f>
        <v>2</v>
      </c>
      <c r="C10" s="11" t="s">
        <v>25</v>
      </c>
      <c r="D10" s="11" t="s">
        <v>24</v>
      </c>
      <c r="E10" s="10">
        <v>1</v>
      </c>
      <c r="F10" s="12">
        <v>42502</v>
      </c>
      <c r="G10" s="12">
        <f>WORKDAY(F10,H10-1,Config!D8:D27)</f>
        <v>42506</v>
      </c>
      <c r="H10" s="10">
        <v>3</v>
      </c>
      <c r="I10" s="13">
        <v>0.94</v>
      </c>
      <c r="J10" s="13">
        <f ca="1">IF(((NETWORKDAYS(F10,TODAY(),Data!C3:C22)*100)/H10)/100 &gt; 0,((NETWORKDAYS(F10,TODAY(),Data!C3:C22)*100)/H10)/100,0)</f>
        <v>555.66666666666663</v>
      </c>
      <c r="K10" s="13" t="str">
        <f t="shared" ref="K10:K20" ca="1" si="47">IF(J10&gt;1, "100%",$J10)</f>
        <v>100%</v>
      </c>
      <c r="L10" s="13">
        <f t="shared" ref="L10:L20" ca="1" si="48">K10-I10</f>
        <v>6.0000000000000053E-2</v>
      </c>
      <c r="M10" s="10" t="str">
        <f t="shared" ref="M10:M14" si="49">IF(AND(M$6&gt;=$F10,M$6&lt;=$G10),"."," ")</f>
        <v xml:space="preserve"> </v>
      </c>
      <c r="N10" s="10" t="str">
        <f t="shared" si="10"/>
        <v xml:space="preserve"> </v>
      </c>
      <c r="O10" s="10" t="str">
        <f t="shared" si="10"/>
        <v xml:space="preserve"> </v>
      </c>
      <c r="P10" s="10" t="str">
        <f t="shared" si="10"/>
        <v xml:space="preserve"> </v>
      </c>
      <c r="Q10" s="10" t="str">
        <f t="shared" si="10"/>
        <v xml:space="preserve"> </v>
      </c>
      <c r="R10" s="14"/>
      <c r="S10" s="14"/>
      <c r="T10" s="10" t="str">
        <f t="shared" ref="T10:T14" si="50">IF(AND(T$6&gt;=$F10,T$6&lt;=$G10),"."," ")</f>
        <v>.</v>
      </c>
      <c r="U10" s="10" t="str">
        <f t="shared" si="11"/>
        <v>.</v>
      </c>
      <c r="V10" s="10" t="str">
        <f t="shared" si="11"/>
        <v>.</v>
      </c>
      <c r="W10" s="10" t="str">
        <f t="shared" si="11"/>
        <v>.</v>
      </c>
      <c r="X10" s="10" t="str">
        <f t="shared" si="11"/>
        <v>.</v>
      </c>
      <c r="Y10" s="14"/>
      <c r="Z10" s="14"/>
      <c r="AA10" s="10" t="str">
        <f t="shared" ref="AA10:AA14" si="51">IF(AND(AA$6&gt;=$F10,AA$6&lt;=$G10),"."," ")</f>
        <v xml:space="preserve"> </v>
      </c>
      <c r="AB10" s="10" t="str">
        <f t="shared" si="12"/>
        <v xml:space="preserve"> </v>
      </c>
      <c r="AC10" s="10" t="str">
        <f t="shared" si="12"/>
        <v xml:space="preserve"> </v>
      </c>
      <c r="AD10" s="10" t="str">
        <f t="shared" si="12"/>
        <v xml:space="preserve"> </v>
      </c>
      <c r="AE10" s="10" t="str">
        <f t="shared" si="12"/>
        <v xml:space="preserve"> </v>
      </c>
      <c r="AF10" s="14"/>
      <c r="AG10" s="14"/>
      <c r="AH10" s="10" t="str">
        <f t="shared" ref="AH10:AH14" si="52">IF(AND(AH$6&gt;=$F10,AH$6&lt;=$G10),"."," ")</f>
        <v xml:space="preserve"> </v>
      </c>
      <c r="AI10" s="10" t="str">
        <f t="shared" si="13"/>
        <v xml:space="preserve"> </v>
      </c>
      <c r="AJ10" s="10" t="str">
        <f t="shared" si="13"/>
        <v xml:space="preserve"> </v>
      </c>
      <c r="AK10" s="10" t="str">
        <f t="shared" si="13"/>
        <v xml:space="preserve"> </v>
      </c>
      <c r="AL10" s="10" t="str">
        <f t="shared" si="13"/>
        <v xml:space="preserve"> </v>
      </c>
      <c r="AM10" s="14"/>
      <c r="AN10" s="14"/>
      <c r="AO10" s="10" t="str">
        <f t="shared" ref="AO10:AO14" si="53">IF(AND(AO$6&gt;=$F10,AO$6&lt;=$G10),"."," ")</f>
        <v xml:space="preserve"> </v>
      </c>
      <c r="AP10" s="10" t="str">
        <f t="shared" si="14"/>
        <v xml:space="preserve"> </v>
      </c>
      <c r="AQ10" s="10" t="str">
        <f t="shared" si="14"/>
        <v xml:space="preserve"> </v>
      </c>
      <c r="AR10" s="10" t="str">
        <f t="shared" si="14"/>
        <v xml:space="preserve"> </v>
      </c>
      <c r="AS10" s="10" t="str">
        <f t="shared" si="14"/>
        <v xml:space="preserve"> </v>
      </c>
      <c r="AT10" s="14"/>
      <c r="AU10" s="14"/>
      <c r="AV10" s="10" t="str">
        <f t="shared" ref="AV10:AV14" si="54">IF(AND(AV$6&gt;=$F10,AV$6&lt;=$G10),"."," ")</f>
        <v xml:space="preserve"> </v>
      </c>
      <c r="AW10" s="10" t="str">
        <f t="shared" si="15"/>
        <v xml:space="preserve"> </v>
      </c>
      <c r="AX10" s="10" t="str">
        <f t="shared" si="15"/>
        <v xml:space="preserve"> </v>
      </c>
      <c r="AY10" s="10" t="str">
        <f t="shared" si="15"/>
        <v xml:space="preserve"> </v>
      </c>
      <c r="AZ10" s="10" t="str">
        <f t="shared" si="15"/>
        <v xml:space="preserve"> </v>
      </c>
      <c r="BA10" s="14"/>
      <c r="BB10" s="14"/>
      <c r="BC10" s="10" t="str">
        <f t="shared" ref="BC10:BC14" si="55">IF(AND(BC$6&gt;=$F10,BC$6&lt;=$G10),"."," ")</f>
        <v xml:space="preserve"> </v>
      </c>
      <c r="BD10" s="10" t="str">
        <f t="shared" si="16"/>
        <v xml:space="preserve"> </v>
      </c>
      <c r="BE10" s="10" t="str">
        <f t="shared" si="16"/>
        <v xml:space="preserve"> </v>
      </c>
      <c r="BF10" s="10" t="str">
        <f t="shared" si="16"/>
        <v xml:space="preserve"> </v>
      </c>
      <c r="BG10" s="10" t="str">
        <f t="shared" si="16"/>
        <v xml:space="preserve"> </v>
      </c>
      <c r="BH10" s="14"/>
      <c r="BI10" s="14"/>
      <c r="BJ10" s="10" t="str">
        <f t="shared" ref="BJ10:BJ14" si="56">IF(AND(BJ$6&gt;=$F10,BJ$6&lt;=$G10),"."," ")</f>
        <v xml:space="preserve"> </v>
      </c>
      <c r="BK10" s="10" t="str">
        <f t="shared" si="17"/>
        <v xml:space="preserve"> </v>
      </c>
      <c r="BL10" s="10" t="str">
        <f t="shared" si="17"/>
        <v xml:space="preserve"> </v>
      </c>
      <c r="BM10" s="10" t="str">
        <f t="shared" si="17"/>
        <v xml:space="preserve"> </v>
      </c>
      <c r="BN10" s="10" t="str">
        <f t="shared" si="17"/>
        <v xml:space="preserve"> </v>
      </c>
      <c r="BO10" s="14"/>
      <c r="BP10" s="14"/>
      <c r="BQ10" s="10" t="str">
        <f t="shared" ref="BQ10:BQ14" si="57">IF(AND(BQ$6&gt;=$F10,BQ$6&lt;=$G10),"."," ")</f>
        <v xml:space="preserve"> </v>
      </c>
      <c r="BR10" s="10" t="str">
        <f t="shared" si="18"/>
        <v xml:space="preserve"> </v>
      </c>
      <c r="BS10" s="10" t="str">
        <f t="shared" si="18"/>
        <v xml:space="preserve"> </v>
      </c>
      <c r="BT10" s="10" t="str">
        <f t="shared" si="18"/>
        <v xml:space="preserve"> </v>
      </c>
      <c r="BU10" s="10" t="str">
        <f t="shared" si="18"/>
        <v xml:space="preserve"> </v>
      </c>
      <c r="BV10" s="14"/>
      <c r="BW10" s="14"/>
      <c r="BX10" s="10" t="str">
        <f t="shared" ref="BX10:BX14" si="58">IF(AND(BX$6&gt;=$F10,BX$6&lt;=$G10),"."," ")</f>
        <v xml:space="preserve"> </v>
      </c>
      <c r="BY10" s="10" t="str">
        <f t="shared" si="19"/>
        <v xml:space="preserve"> </v>
      </c>
      <c r="BZ10" s="10" t="str">
        <f t="shared" si="19"/>
        <v xml:space="preserve"> </v>
      </c>
      <c r="CA10" s="10" t="str">
        <f t="shared" si="19"/>
        <v xml:space="preserve"> </v>
      </c>
      <c r="CB10" s="10" t="str">
        <f t="shared" si="19"/>
        <v xml:space="preserve"> </v>
      </c>
      <c r="CC10" s="14"/>
      <c r="CD10" s="14"/>
      <c r="CE10" s="10" t="str">
        <f t="shared" ref="CE10:CE14" si="59">IF(AND(CE$6&gt;=$F10,CE$6&lt;=$G10),"."," ")</f>
        <v xml:space="preserve"> </v>
      </c>
      <c r="CF10" s="10" t="str">
        <f t="shared" si="20"/>
        <v xml:space="preserve"> </v>
      </c>
      <c r="CG10" s="10" t="str">
        <f t="shared" si="20"/>
        <v xml:space="preserve"> </v>
      </c>
      <c r="CH10" s="10" t="str">
        <f t="shared" si="20"/>
        <v xml:space="preserve"> </v>
      </c>
      <c r="CI10" s="10" t="str">
        <f t="shared" si="20"/>
        <v xml:space="preserve"> </v>
      </c>
      <c r="CJ10" s="14"/>
      <c r="CK10" s="14"/>
      <c r="CL10" s="10" t="str">
        <f t="shared" ref="CL10:CL14" si="60">IF(AND(CL$6&gt;=$F10,CL$6&lt;=$G10),"."," ")</f>
        <v xml:space="preserve"> </v>
      </c>
      <c r="CM10" s="10" t="str">
        <f t="shared" si="21"/>
        <v xml:space="preserve"> </v>
      </c>
      <c r="CN10" s="10" t="str">
        <f t="shared" si="21"/>
        <v xml:space="preserve"> </v>
      </c>
      <c r="CO10" s="10" t="str">
        <f t="shared" si="21"/>
        <v xml:space="preserve"> </v>
      </c>
      <c r="CP10" s="10" t="str">
        <f t="shared" si="21"/>
        <v xml:space="preserve"> </v>
      </c>
      <c r="CQ10" s="14"/>
      <c r="CR10" s="14"/>
      <c r="CS10" s="10" t="str">
        <f t="shared" ref="CS10:CS14" si="61">IF(AND(CS$6&gt;=$F10,CS$6&lt;=$G10),"."," ")</f>
        <v xml:space="preserve"> </v>
      </c>
      <c r="CT10" s="10" t="str">
        <f t="shared" si="22"/>
        <v xml:space="preserve"> </v>
      </c>
      <c r="CU10" s="10" t="str">
        <f t="shared" si="22"/>
        <v xml:space="preserve"> </v>
      </c>
      <c r="CV10" s="10" t="str">
        <f t="shared" si="22"/>
        <v xml:space="preserve"> </v>
      </c>
      <c r="CW10" s="10" t="str">
        <f t="shared" si="22"/>
        <v xml:space="preserve"> </v>
      </c>
      <c r="CZ10" s="10" t="str">
        <f t="shared" ref="CZ10:CZ14" si="62">IF(AND(CZ$6&gt;=$F10,CZ$6&lt;=$G10),"."," ")</f>
        <v xml:space="preserve"> </v>
      </c>
      <c r="DA10" s="10" t="str">
        <f t="shared" si="23"/>
        <v xml:space="preserve"> </v>
      </c>
      <c r="DB10" s="10" t="str">
        <f t="shared" si="23"/>
        <v xml:space="preserve"> </v>
      </c>
      <c r="DC10" s="10" t="str">
        <f t="shared" si="23"/>
        <v xml:space="preserve"> </v>
      </c>
      <c r="DD10" s="10" t="str">
        <f t="shared" si="23"/>
        <v xml:space="preserve"> </v>
      </c>
      <c r="DG10" s="10" t="str">
        <f t="shared" ref="DG10:DG14" si="63">IF(AND(DG$6&gt;=$F10,DG$6&lt;=$G10),"."," ")</f>
        <v xml:space="preserve"> </v>
      </c>
      <c r="DH10" s="10" t="str">
        <f t="shared" si="24"/>
        <v xml:space="preserve"> </v>
      </c>
      <c r="DI10" s="10" t="str">
        <f t="shared" si="24"/>
        <v xml:space="preserve"> </v>
      </c>
      <c r="DJ10" s="10" t="str">
        <f t="shared" si="24"/>
        <v xml:space="preserve"> </v>
      </c>
      <c r="DK10" s="10" t="str">
        <f t="shared" si="24"/>
        <v xml:space="preserve"> </v>
      </c>
      <c r="DN10" s="10" t="str">
        <f t="shared" ref="DN10:DN14" si="64">IF(AND(DN$6&gt;=$F10,DN$6&lt;=$G10),"."," ")</f>
        <v xml:space="preserve"> </v>
      </c>
      <c r="DO10" s="10" t="str">
        <f t="shared" si="25"/>
        <v xml:space="preserve"> </v>
      </c>
      <c r="DP10" s="10" t="str">
        <f t="shared" si="25"/>
        <v xml:space="preserve"> </v>
      </c>
      <c r="DQ10" s="10" t="str">
        <f t="shared" si="25"/>
        <v xml:space="preserve"> </v>
      </c>
      <c r="DR10" s="10" t="str">
        <f t="shared" si="25"/>
        <v xml:space="preserve"> </v>
      </c>
      <c r="DU10" s="10" t="str">
        <f t="shared" ref="DU10:DU14" si="65">IF(AND(DU$6&gt;=$F10,DU$6&lt;=$G10),"."," ")</f>
        <v xml:space="preserve"> </v>
      </c>
      <c r="DV10" s="10" t="str">
        <f t="shared" si="26"/>
        <v xml:space="preserve"> </v>
      </c>
      <c r="DW10" s="10" t="str">
        <f t="shared" si="26"/>
        <v xml:space="preserve"> </v>
      </c>
      <c r="DX10" s="10" t="str">
        <f t="shared" si="26"/>
        <v xml:space="preserve"> </v>
      </c>
      <c r="DY10" s="10" t="str">
        <f t="shared" si="26"/>
        <v xml:space="preserve"> </v>
      </c>
      <c r="EB10" s="10" t="str">
        <f t="shared" ref="EB10:EB14" si="66">IF(AND(EB$6&gt;=$F10,EB$6&lt;=$G10),"."," ")</f>
        <v xml:space="preserve"> </v>
      </c>
      <c r="EC10" s="10" t="str">
        <f t="shared" si="27"/>
        <v xml:space="preserve"> </v>
      </c>
      <c r="ED10" s="10" t="str">
        <f t="shared" si="27"/>
        <v xml:space="preserve"> </v>
      </c>
      <c r="EE10" s="10" t="str">
        <f t="shared" si="27"/>
        <v xml:space="preserve"> </v>
      </c>
      <c r="EF10" s="10" t="str">
        <f t="shared" si="27"/>
        <v xml:space="preserve"> </v>
      </c>
      <c r="EI10" s="10" t="str">
        <f t="shared" ref="EI10:EI14" si="67">IF(AND(EI$6&gt;=$F10,EI$6&lt;=$G10),"."," ")</f>
        <v xml:space="preserve"> </v>
      </c>
      <c r="EJ10" s="10" t="str">
        <f t="shared" si="28"/>
        <v xml:space="preserve"> </v>
      </c>
      <c r="EK10" s="10" t="str">
        <f t="shared" si="28"/>
        <v xml:space="preserve"> </v>
      </c>
      <c r="EL10" s="10" t="str">
        <f t="shared" si="28"/>
        <v xml:space="preserve"> </v>
      </c>
      <c r="EM10" s="10" t="str">
        <f t="shared" si="28"/>
        <v xml:space="preserve"> </v>
      </c>
      <c r="EP10" s="10" t="str">
        <f t="shared" ref="EP10:EP14" si="68">IF(AND(EP$6&gt;=$F10,EP$6&lt;=$G10),"."," ")</f>
        <v xml:space="preserve"> </v>
      </c>
      <c r="EQ10" s="10" t="str">
        <f t="shared" si="29"/>
        <v xml:space="preserve"> </v>
      </c>
      <c r="ER10" s="10" t="str">
        <f t="shared" si="29"/>
        <v xml:space="preserve"> </v>
      </c>
      <c r="ES10" s="10" t="str">
        <f t="shared" si="29"/>
        <v xml:space="preserve"> </v>
      </c>
      <c r="ET10" s="10" t="str">
        <f t="shared" si="29"/>
        <v xml:space="preserve"> </v>
      </c>
      <c r="EW10" s="10" t="str">
        <f t="shared" ref="EW10:EW14" si="69">IF(AND(EW$6&gt;=$F10,EW$6&lt;=$G10),"."," ")</f>
        <v xml:space="preserve"> </v>
      </c>
      <c r="EX10" s="10" t="str">
        <f t="shared" si="30"/>
        <v xml:space="preserve"> </v>
      </c>
      <c r="EY10" s="10" t="str">
        <f t="shared" si="30"/>
        <v xml:space="preserve"> </v>
      </c>
      <c r="EZ10" s="10" t="str">
        <f t="shared" si="30"/>
        <v xml:space="preserve"> </v>
      </c>
      <c r="FA10" s="10" t="str">
        <f t="shared" si="30"/>
        <v xml:space="preserve"> </v>
      </c>
      <c r="FD10" s="10" t="str">
        <f t="shared" ref="FD10:FD14" si="70">IF(AND(FD$6&gt;=$F10,FD$6&lt;=$G10),"."," ")</f>
        <v xml:space="preserve"> </v>
      </c>
      <c r="FE10" s="10" t="str">
        <f t="shared" si="31"/>
        <v xml:space="preserve"> </v>
      </c>
      <c r="FF10" s="10" t="str">
        <f t="shared" si="31"/>
        <v xml:space="preserve"> </v>
      </c>
      <c r="FG10" s="10" t="str">
        <f t="shared" si="31"/>
        <v xml:space="preserve"> </v>
      </c>
      <c r="FH10" s="10" t="str">
        <f t="shared" si="31"/>
        <v xml:space="preserve"> </v>
      </c>
      <c r="FK10" s="10" t="str">
        <f t="shared" ref="FK10:FK14" si="71">IF(AND(FK$6&gt;=$F10,FK$6&lt;=$G10),"."," ")</f>
        <v xml:space="preserve"> </v>
      </c>
      <c r="FL10" s="10" t="str">
        <f t="shared" si="32"/>
        <v xml:space="preserve"> </v>
      </c>
      <c r="FM10" s="10" t="str">
        <f t="shared" si="32"/>
        <v xml:space="preserve"> </v>
      </c>
      <c r="FN10" s="10" t="str">
        <f t="shared" si="32"/>
        <v xml:space="preserve"> </v>
      </c>
      <c r="FO10" s="10" t="str">
        <f t="shared" si="32"/>
        <v xml:space="preserve"> </v>
      </c>
      <c r="FR10" s="10" t="str">
        <f t="shared" ref="FR10:FR14" si="72">IF(AND(FR$6&gt;=$F10,FR$6&lt;=$G10),"."," ")</f>
        <v xml:space="preserve"> </v>
      </c>
      <c r="FS10" s="10" t="str">
        <f t="shared" si="33"/>
        <v xml:space="preserve"> </v>
      </c>
      <c r="FT10" s="10" t="str">
        <f t="shared" si="33"/>
        <v xml:space="preserve"> </v>
      </c>
      <c r="FU10" s="10" t="str">
        <f t="shared" si="33"/>
        <v xml:space="preserve"> </v>
      </c>
      <c r="FV10" s="10" t="str">
        <f t="shared" si="33"/>
        <v xml:space="preserve"> </v>
      </c>
      <c r="FY10" s="10" t="str">
        <f t="shared" ref="FY10:FY14" si="73">IF(AND(FY$6&gt;=$F10,FY$6&lt;=$G10),"."," ")</f>
        <v xml:space="preserve"> </v>
      </c>
      <c r="FZ10" s="10" t="str">
        <f t="shared" si="34"/>
        <v xml:space="preserve"> </v>
      </c>
      <c r="GA10" s="10" t="str">
        <f t="shared" si="34"/>
        <v xml:space="preserve"> </v>
      </c>
      <c r="GB10" s="10" t="str">
        <f t="shared" si="34"/>
        <v xml:space="preserve"> </v>
      </c>
      <c r="GC10" s="10" t="str">
        <f t="shared" si="34"/>
        <v xml:space="preserve"> </v>
      </c>
      <c r="GF10" s="10" t="str">
        <f t="shared" ref="GF10:GF14" si="74">IF(AND(GF$6&gt;=$F10,GF$6&lt;=$G10),"."," ")</f>
        <v xml:space="preserve"> </v>
      </c>
      <c r="GG10" s="10" t="str">
        <f t="shared" si="35"/>
        <v xml:space="preserve"> </v>
      </c>
      <c r="GH10" s="10" t="str">
        <f t="shared" si="35"/>
        <v xml:space="preserve"> </v>
      </c>
      <c r="GI10" s="10" t="str">
        <f t="shared" si="35"/>
        <v xml:space="preserve"> </v>
      </c>
      <c r="GJ10" s="10" t="str">
        <f t="shared" si="35"/>
        <v xml:space="preserve"> </v>
      </c>
      <c r="GM10" s="10" t="str">
        <f t="shared" ref="GM10:GM14" si="75">IF(AND(GM$6&gt;=$F10,GM$6&lt;=$G10),"."," ")</f>
        <v xml:space="preserve"> </v>
      </c>
      <c r="GN10" s="10" t="str">
        <f t="shared" si="36"/>
        <v xml:space="preserve"> </v>
      </c>
      <c r="GO10" s="10" t="str">
        <f t="shared" si="36"/>
        <v xml:space="preserve"> </v>
      </c>
      <c r="GP10" s="10" t="str">
        <f t="shared" si="36"/>
        <v xml:space="preserve"> </v>
      </c>
      <c r="GQ10" s="10" t="str">
        <f t="shared" si="36"/>
        <v xml:space="preserve"> </v>
      </c>
      <c r="GT10" s="10" t="str">
        <f t="shared" ref="GT10:GT14" si="76">IF(AND(GT$6&gt;=$F10,GT$6&lt;=$G10),"."," ")</f>
        <v xml:space="preserve"> </v>
      </c>
      <c r="GU10" s="10" t="str">
        <f t="shared" si="37"/>
        <v xml:space="preserve"> </v>
      </c>
      <c r="GV10" s="10" t="str">
        <f t="shared" si="37"/>
        <v xml:space="preserve"> </v>
      </c>
      <c r="GW10" s="10" t="str">
        <f t="shared" si="37"/>
        <v xml:space="preserve"> </v>
      </c>
      <c r="GX10" s="10" t="str">
        <f t="shared" si="37"/>
        <v xml:space="preserve"> </v>
      </c>
      <c r="HA10" s="10" t="str">
        <f t="shared" ref="HA10:HA14" si="77">IF(AND(HA$6&gt;=$F10,HA$6&lt;=$G10),"."," ")</f>
        <v xml:space="preserve"> </v>
      </c>
      <c r="HB10" s="10" t="str">
        <f t="shared" si="38"/>
        <v xml:space="preserve"> </v>
      </c>
      <c r="HC10" s="10" t="str">
        <f t="shared" si="38"/>
        <v xml:space="preserve"> </v>
      </c>
      <c r="HD10" s="10" t="str">
        <f t="shared" si="38"/>
        <v xml:space="preserve"> </v>
      </c>
      <c r="HE10" s="10" t="str">
        <f t="shared" si="38"/>
        <v xml:space="preserve"> </v>
      </c>
      <c r="HH10" s="10" t="str">
        <f t="shared" ref="HH10:HH14" si="78">IF(AND(HH$6&gt;=$F10,HH$6&lt;=$G10),"."," ")</f>
        <v xml:space="preserve"> </v>
      </c>
      <c r="HI10" s="10" t="str">
        <f t="shared" si="39"/>
        <v xml:space="preserve"> </v>
      </c>
      <c r="HJ10" s="10" t="str">
        <f t="shared" si="39"/>
        <v xml:space="preserve"> </v>
      </c>
      <c r="HK10" s="10" t="str">
        <f t="shared" si="39"/>
        <v xml:space="preserve"> </v>
      </c>
      <c r="HL10" s="10" t="str">
        <f t="shared" si="39"/>
        <v xml:space="preserve"> </v>
      </c>
      <c r="HO10" s="10" t="str">
        <f t="shared" ref="HO10:HO14" si="79">IF(AND(HO$6&gt;=$F10,HO$6&lt;=$G10),"."," ")</f>
        <v xml:space="preserve"> </v>
      </c>
      <c r="HP10" s="10" t="str">
        <f t="shared" si="40"/>
        <v xml:space="preserve"> </v>
      </c>
      <c r="HQ10" s="10" t="str">
        <f t="shared" si="40"/>
        <v xml:space="preserve"> </v>
      </c>
      <c r="HR10" s="10" t="str">
        <f t="shared" si="40"/>
        <v xml:space="preserve"> </v>
      </c>
      <c r="HS10" s="10" t="str">
        <f t="shared" si="40"/>
        <v xml:space="preserve"> </v>
      </c>
      <c r="HV10" s="10" t="str">
        <f t="shared" ref="HV10:HV14" si="80">IF(AND(HV$6&gt;=$F10,HV$6&lt;=$G10),"."," ")</f>
        <v xml:space="preserve"> </v>
      </c>
      <c r="HW10" s="10" t="str">
        <f t="shared" si="41"/>
        <v xml:space="preserve"> </v>
      </c>
      <c r="HX10" s="10" t="str">
        <f t="shared" si="41"/>
        <v xml:space="preserve"> </v>
      </c>
      <c r="HY10" s="10" t="str">
        <f t="shared" si="41"/>
        <v xml:space="preserve"> </v>
      </c>
      <c r="HZ10" s="10" t="str">
        <f t="shared" si="41"/>
        <v xml:space="preserve"> </v>
      </c>
      <c r="IC10" s="10" t="str">
        <f t="shared" ref="IC10:IC14" si="81">IF(AND(IC$6&gt;=$F10,IC$6&lt;=$G10),"."," ")</f>
        <v xml:space="preserve"> </v>
      </c>
      <c r="ID10" s="10" t="str">
        <f t="shared" si="42"/>
        <v xml:space="preserve"> </v>
      </c>
      <c r="IE10" s="10" t="str">
        <f t="shared" si="42"/>
        <v xml:space="preserve"> </v>
      </c>
      <c r="IF10" s="10" t="str">
        <f t="shared" si="42"/>
        <v xml:space="preserve"> </v>
      </c>
      <c r="IG10" s="10" t="str">
        <f t="shared" si="42"/>
        <v xml:space="preserve"> </v>
      </c>
      <c r="IJ10" s="10" t="str">
        <f t="shared" ref="IJ10:IJ14" si="82">IF(AND(IJ$6&gt;=$F10,IJ$6&lt;=$G10),"."," ")</f>
        <v xml:space="preserve"> </v>
      </c>
      <c r="IK10" s="10" t="str">
        <f t="shared" si="43"/>
        <v xml:space="preserve"> </v>
      </c>
      <c r="IL10" s="10" t="str">
        <f t="shared" si="43"/>
        <v xml:space="preserve"> </v>
      </c>
      <c r="IM10" s="10" t="str">
        <f t="shared" si="43"/>
        <v xml:space="preserve"> </v>
      </c>
      <c r="IN10" s="10" t="str">
        <f t="shared" si="43"/>
        <v xml:space="preserve"> </v>
      </c>
      <c r="IQ10" s="10" t="str">
        <f t="shared" ref="IQ10:IQ14" si="83">IF(AND(IQ$6&gt;=$F10,IQ$6&lt;=$G10),"."," ")</f>
        <v xml:space="preserve"> </v>
      </c>
      <c r="IR10" s="10" t="str">
        <f t="shared" si="44"/>
        <v xml:space="preserve"> </v>
      </c>
      <c r="IS10" s="10" t="str">
        <f t="shared" si="44"/>
        <v xml:space="preserve"> </v>
      </c>
      <c r="IT10" s="10" t="str">
        <f t="shared" si="44"/>
        <v xml:space="preserve"> </v>
      </c>
      <c r="IU10" s="10" t="str">
        <f t="shared" si="44"/>
        <v xml:space="preserve"> </v>
      </c>
      <c r="IX10" s="10" t="str">
        <f t="shared" ref="IX10:IX14" si="84">IF(AND(IX$6&gt;=$F10,IX$6&lt;=$G10),"."," ")</f>
        <v xml:space="preserve"> </v>
      </c>
      <c r="IY10" s="10" t="str">
        <f t="shared" si="45"/>
        <v xml:space="preserve"> </v>
      </c>
      <c r="IZ10" s="10" t="str">
        <f t="shared" si="45"/>
        <v xml:space="preserve"> </v>
      </c>
      <c r="JA10" s="10" t="str">
        <f t="shared" si="45"/>
        <v xml:space="preserve"> </v>
      </c>
      <c r="JB10" s="10" t="str">
        <f t="shared" si="45"/>
        <v xml:space="preserve"> </v>
      </c>
      <c r="JE10" s="10" t="str">
        <f t="shared" ref="JE10:JE14" si="85">IF(AND(JE$6&gt;=$F10,JE$6&lt;=$G10),"."," ")</f>
        <v xml:space="preserve"> </v>
      </c>
      <c r="JF10" s="10" t="str">
        <f t="shared" si="46"/>
        <v xml:space="preserve"> </v>
      </c>
      <c r="JG10" s="10" t="str">
        <f t="shared" si="46"/>
        <v xml:space="preserve"> </v>
      </c>
      <c r="JH10" s="10" t="str">
        <f t="shared" si="46"/>
        <v xml:space="preserve"> </v>
      </c>
      <c r="JI10" s="10" t="str">
        <f t="shared" si="46"/>
        <v xml:space="preserve"> </v>
      </c>
    </row>
    <row r="11" spans="1:271">
      <c r="A11" s="96"/>
      <c r="B11" s="10">
        <f t="shared" ref="B11:B14" si="86">B10+1</f>
        <v>3</v>
      </c>
      <c r="C11" s="11" t="s">
        <v>26</v>
      </c>
      <c r="D11" s="11" t="s">
        <v>24</v>
      </c>
      <c r="E11" s="10">
        <v>2</v>
      </c>
      <c r="F11" s="12">
        <f t="shared" ref="F11:F50" si="87">VLOOKUP(E11,$B$6:$G$150,6,FALSE) + 1</f>
        <v>42507</v>
      </c>
      <c r="G11" s="12">
        <f>WORKDAY(F11,H11-1,Config!D9:D28)</f>
        <v>42507</v>
      </c>
      <c r="H11" s="10">
        <v>1</v>
      </c>
      <c r="I11" s="13">
        <v>1</v>
      </c>
      <c r="J11" s="13">
        <f ca="1">IF(((NETWORKDAYS(F11,TODAY(),Data!C4:C23)*100)/H11)/100 &gt; 0,((NETWORKDAYS(F11,TODAY(),Data!C4:C23)*100)/H11)/100,0)</f>
        <v>1664</v>
      </c>
      <c r="K11" s="13" t="str">
        <f t="shared" ca="1" si="47"/>
        <v>100%</v>
      </c>
      <c r="L11" s="13">
        <f t="shared" ca="1" si="48"/>
        <v>0</v>
      </c>
      <c r="M11" s="10" t="str">
        <f t="shared" si="49"/>
        <v xml:space="preserve"> </v>
      </c>
      <c r="N11" s="10" t="str">
        <f t="shared" si="10"/>
        <v xml:space="preserve"> </v>
      </c>
      <c r="O11" s="10" t="str">
        <f t="shared" si="10"/>
        <v xml:space="preserve"> </v>
      </c>
      <c r="P11" s="10" t="str">
        <f t="shared" si="10"/>
        <v xml:space="preserve"> </v>
      </c>
      <c r="Q11" s="10" t="str">
        <f t="shared" si="10"/>
        <v xml:space="preserve"> </v>
      </c>
      <c r="R11" s="14"/>
      <c r="S11" s="14"/>
      <c r="T11" s="10" t="str">
        <f t="shared" si="50"/>
        <v xml:space="preserve"> </v>
      </c>
      <c r="U11" s="10" t="str">
        <f t="shared" si="11"/>
        <v xml:space="preserve"> </v>
      </c>
      <c r="V11" s="10" t="str">
        <f t="shared" si="11"/>
        <v xml:space="preserve"> </v>
      </c>
      <c r="W11" s="10" t="str">
        <f t="shared" si="11"/>
        <v xml:space="preserve"> </v>
      </c>
      <c r="X11" s="10" t="str">
        <f t="shared" si="11"/>
        <v xml:space="preserve"> </v>
      </c>
      <c r="Y11" s="14"/>
      <c r="Z11" s="14"/>
      <c r="AA11" s="10" t="str">
        <f t="shared" si="51"/>
        <v xml:space="preserve"> </v>
      </c>
      <c r="AB11" s="10" t="str">
        <f t="shared" si="12"/>
        <v xml:space="preserve"> </v>
      </c>
      <c r="AC11" s="10" t="str">
        <f t="shared" si="12"/>
        <v xml:space="preserve"> </v>
      </c>
      <c r="AD11" s="10" t="str">
        <f t="shared" si="12"/>
        <v xml:space="preserve"> </v>
      </c>
      <c r="AE11" s="10" t="str">
        <f t="shared" si="12"/>
        <v xml:space="preserve"> </v>
      </c>
      <c r="AF11" s="14"/>
      <c r="AG11" s="14"/>
      <c r="AH11" s="10" t="str">
        <f t="shared" si="52"/>
        <v xml:space="preserve"> </v>
      </c>
      <c r="AI11" s="10" t="str">
        <f t="shared" si="13"/>
        <v xml:space="preserve"> </v>
      </c>
      <c r="AJ11" s="10" t="str">
        <f t="shared" si="13"/>
        <v xml:space="preserve"> </v>
      </c>
      <c r="AK11" s="10" t="str">
        <f t="shared" si="13"/>
        <v xml:space="preserve"> </v>
      </c>
      <c r="AL11" s="10" t="str">
        <f t="shared" si="13"/>
        <v xml:space="preserve"> </v>
      </c>
      <c r="AM11" s="14"/>
      <c r="AN11" s="14"/>
      <c r="AO11" s="10" t="str">
        <f t="shared" si="53"/>
        <v xml:space="preserve"> </v>
      </c>
      <c r="AP11" s="10" t="str">
        <f t="shared" si="14"/>
        <v xml:space="preserve"> </v>
      </c>
      <c r="AQ11" s="10" t="str">
        <f t="shared" si="14"/>
        <v xml:space="preserve"> </v>
      </c>
      <c r="AR11" s="10" t="str">
        <f t="shared" si="14"/>
        <v xml:space="preserve"> </v>
      </c>
      <c r="AS11" s="10" t="str">
        <f t="shared" si="14"/>
        <v xml:space="preserve"> </v>
      </c>
      <c r="AT11" s="14"/>
      <c r="AU11" s="14"/>
      <c r="AV11" s="10" t="str">
        <f t="shared" si="54"/>
        <v xml:space="preserve"> </v>
      </c>
      <c r="AW11" s="10" t="str">
        <f t="shared" si="15"/>
        <v xml:space="preserve"> </v>
      </c>
      <c r="AX11" s="10" t="str">
        <f t="shared" si="15"/>
        <v xml:space="preserve"> </v>
      </c>
      <c r="AY11" s="10" t="str">
        <f t="shared" si="15"/>
        <v xml:space="preserve"> </v>
      </c>
      <c r="AZ11" s="10" t="str">
        <f t="shared" si="15"/>
        <v xml:space="preserve"> </v>
      </c>
      <c r="BA11" s="14"/>
      <c r="BB11" s="14"/>
      <c r="BC11" s="10" t="str">
        <f t="shared" si="55"/>
        <v xml:space="preserve"> </v>
      </c>
      <c r="BD11" s="10" t="str">
        <f t="shared" si="16"/>
        <v xml:space="preserve"> </v>
      </c>
      <c r="BE11" s="10" t="str">
        <f t="shared" si="16"/>
        <v xml:space="preserve"> </v>
      </c>
      <c r="BF11" s="10" t="str">
        <f t="shared" si="16"/>
        <v xml:space="preserve"> </v>
      </c>
      <c r="BG11" s="10" t="str">
        <f t="shared" si="16"/>
        <v xml:space="preserve"> </v>
      </c>
      <c r="BH11" s="14"/>
      <c r="BI11" s="14"/>
      <c r="BJ11" s="10" t="str">
        <f t="shared" si="56"/>
        <v xml:space="preserve"> </v>
      </c>
      <c r="BK11" s="10" t="str">
        <f t="shared" si="17"/>
        <v xml:space="preserve"> </v>
      </c>
      <c r="BL11" s="10" t="str">
        <f t="shared" si="17"/>
        <v xml:space="preserve"> </v>
      </c>
      <c r="BM11" s="10" t="str">
        <f t="shared" si="17"/>
        <v xml:space="preserve"> </v>
      </c>
      <c r="BN11" s="10" t="str">
        <f t="shared" si="17"/>
        <v xml:space="preserve"> </v>
      </c>
      <c r="BO11" s="14"/>
      <c r="BP11" s="14"/>
      <c r="BQ11" s="10" t="str">
        <f t="shared" si="57"/>
        <v xml:space="preserve"> </v>
      </c>
      <c r="BR11" s="10" t="str">
        <f t="shared" si="18"/>
        <v xml:space="preserve"> </v>
      </c>
      <c r="BS11" s="10" t="str">
        <f t="shared" si="18"/>
        <v xml:space="preserve"> </v>
      </c>
      <c r="BT11" s="10" t="str">
        <f t="shared" si="18"/>
        <v xml:space="preserve"> </v>
      </c>
      <c r="BU11" s="10" t="str">
        <f t="shared" si="18"/>
        <v xml:space="preserve"> </v>
      </c>
      <c r="BV11" s="14"/>
      <c r="BW11" s="14"/>
      <c r="BX11" s="10" t="str">
        <f t="shared" si="58"/>
        <v xml:space="preserve"> </v>
      </c>
      <c r="BY11" s="10" t="str">
        <f t="shared" si="19"/>
        <v xml:space="preserve"> </v>
      </c>
      <c r="BZ11" s="10" t="str">
        <f t="shared" si="19"/>
        <v xml:space="preserve"> </v>
      </c>
      <c r="CA11" s="10" t="str">
        <f t="shared" si="19"/>
        <v xml:space="preserve"> </v>
      </c>
      <c r="CB11" s="10" t="str">
        <f t="shared" si="19"/>
        <v xml:space="preserve"> </v>
      </c>
      <c r="CC11" s="14"/>
      <c r="CD11" s="14"/>
      <c r="CE11" s="10" t="str">
        <f t="shared" si="59"/>
        <v xml:space="preserve"> </v>
      </c>
      <c r="CF11" s="10" t="str">
        <f t="shared" si="20"/>
        <v xml:space="preserve"> </v>
      </c>
      <c r="CG11" s="10" t="str">
        <f t="shared" si="20"/>
        <v xml:space="preserve"> </v>
      </c>
      <c r="CH11" s="10" t="str">
        <f t="shared" si="20"/>
        <v xml:space="preserve"> </v>
      </c>
      <c r="CI11" s="10" t="str">
        <f t="shared" si="20"/>
        <v xml:space="preserve"> </v>
      </c>
      <c r="CJ11" s="14"/>
      <c r="CK11" s="14"/>
      <c r="CL11" s="10" t="str">
        <f t="shared" si="60"/>
        <v xml:space="preserve"> </v>
      </c>
      <c r="CM11" s="10" t="str">
        <f t="shared" si="21"/>
        <v xml:space="preserve"> </v>
      </c>
      <c r="CN11" s="10" t="str">
        <f t="shared" si="21"/>
        <v xml:space="preserve"> </v>
      </c>
      <c r="CO11" s="10" t="str">
        <f t="shared" si="21"/>
        <v xml:space="preserve"> </v>
      </c>
      <c r="CP11" s="10" t="str">
        <f t="shared" si="21"/>
        <v xml:space="preserve"> </v>
      </c>
      <c r="CQ11" s="14"/>
      <c r="CR11" s="14"/>
      <c r="CS11" s="10" t="str">
        <f t="shared" si="61"/>
        <v xml:space="preserve"> </v>
      </c>
      <c r="CT11" s="10" t="str">
        <f t="shared" si="22"/>
        <v xml:space="preserve"> </v>
      </c>
      <c r="CU11" s="10" t="str">
        <f t="shared" si="22"/>
        <v xml:space="preserve"> </v>
      </c>
      <c r="CV11" s="10" t="str">
        <f t="shared" si="22"/>
        <v xml:space="preserve"> </v>
      </c>
      <c r="CW11" s="10" t="str">
        <f t="shared" si="22"/>
        <v xml:space="preserve"> </v>
      </c>
      <c r="CZ11" s="10" t="str">
        <f t="shared" si="62"/>
        <v xml:space="preserve"> </v>
      </c>
      <c r="DA11" s="10" t="str">
        <f t="shared" si="23"/>
        <v xml:space="preserve"> </v>
      </c>
      <c r="DB11" s="10" t="str">
        <f t="shared" si="23"/>
        <v xml:space="preserve"> </v>
      </c>
      <c r="DC11" s="10" t="str">
        <f t="shared" si="23"/>
        <v xml:space="preserve"> </v>
      </c>
      <c r="DD11" s="10" t="str">
        <f t="shared" si="23"/>
        <v xml:space="preserve"> </v>
      </c>
      <c r="DG11" s="10" t="str">
        <f t="shared" si="63"/>
        <v xml:space="preserve"> </v>
      </c>
      <c r="DH11" s="10" t="str">
        <f t="shared" si="24"/>
        <v xml:space="preserve"> </v>
      </c>
      <c r="DI11" s="10" t="str">
        <f t="shared" si="24"/>
        <v xml:space="preserve"> </v>
      </c>
      <c r="DJ11" s="10" t="str">
        <f t="shared" si="24"/>
        <v xml:space="preserve"> </v>
      </c>
      <c r="DK11" s="10" t="str">
        <f t="shared" si="24"/>
        <v xml:space="preserve"> </v>
      </c>
      <c r="DN11" s="10" t="str">
        <f t="shared" si="64"/>
        <v xml:space="preserve"> </v>
      </c>
      <c r="DO11" s="10" t="str">
        <f t="shared" si="25"/>
        <v xml:space="preserve"> </v>
      </c>
      <c r="DP11" s="10" t="str">
        <f t="shared" si="25"/>
        <v xml:space="preserve"> </v>
      </c>
      <c r="DQ11" s="10" t="str">
        <f t="shared" si="25"/>
        <v xml:space="preserve"> </v>
      </c>
      <c r="DR11" s="10" t="str">
        <f t="shared" si="25"/>
        <v xml:space="preserve"> </v>
      </c>
      <c r="DU11" s="10" t="str">
        <f t="shared" si="65"/>
        <v xml:space="preserve"> </v>
      </c>
      <c r="DV11" s="10" t="str">
        <f t="shared" si="26"/>
        <v xml:space="preserve"> </v>
      </c>
      <c r="DW11" s="10" t="str">
        <f t="shared" si="26"/>
        <v xml:space="preserve"> </v>
      </c>
      <c r="DX11" s="10" t="str">
        <f t="shared" si="26"/>
        <v xml:space="preserve"> </v>
      </c>
      <c r="DY11" s="10" t="str">
        <f t="shared" si="26"/>
        <v xml:space="preserve"> </v>
      </c>
      <c r="EB11" s="10" t="str">
        <f t="shared" si="66"/>
        <v xml:space="preserve"> </v>
      </c>
      <c r="EC11" s="10" t="str">
        <f t="shared" si="27"/>
        <v xml:space="preserve"> </v>
      </c>
      <c r="ED11" s="10" t="str">
        <f t="shared" si="27"/>
        <v xml:space="preserve"> </v>
      </c>
      <c r="EE11" s="10" t="str">
        <f t="shared" si="27"/>
        <v xml:space="preserve"> </v>
      </c>
      <c r="EF11" s="10" t="str">
        <f t="shared" si="27"/>
        <v xml:space="preserve"> </v>
      </c>
      <c r="EI11" s="10" t="str">
        <f t="shared" si="67"/>
        <v xml:space="preserve"> </v>
      </c>
      <c r="EJ11" s="10" t="str">
        <f t="shared" si="28"/>
        <v xml:space="preserve"> </v>
      </c>
      <c r="EK11" s="10" t="str">
        <f t="shared" si="28"/>
        <v xml:space="preserve"> </v>
      </c>
      <c r="EL11" s="10" t="str">
        <f t="shared" si="28"/>
        <v xml:space="preserve"> </v>
      </c>
      <c r="EM11" s="10" t="str">
        <f t="shared" si="28"/>
        <v xml:space="preserve"> </v>
      </c>
      <c r="EP11" s="10" t="str">
        <f t="shared" si="68"/>
        <v xml:space="preserve"> </v>
      </c>
      <c r="EQ11" s="10" t="str">
        <f t="shared" si="29"/>
        <v xml:space="preserve"> </v>
      </c>
      <c r="ER11" s="10" t="str">
        <f t="shared" si="29"/>
        <v xml:space="preserve"> </v>
      </c>
      <c r="ES11" s="10" t="str">
        <f t="shared" si="29"/>
        <v xml:space="preserve"> </v>
      </c>
      <c r="ET11" s="10" t="str">
        <f t="shared" si="29"/>
        <v xml:space="preserve"> </v>
      </c>
      <c r="EW11" s="10" t="str">
        <f t="shared" si="69"/>
        <v xml:space="preserve"> </v>
      </c>
      <c r="EX11" s="10" t="str">
        <f t="shared" si="30"/>
        <v xml:space="preserve"> </v>
      </c>
      <c r="EY11" s="10" t="str">
        <f t="shared" si="30"/>
        <v xml:space="preserve"> </v>
      </c>
      <c r="EZ11" s="10" t="str">
        <f t="shared" si="30"/>
        <v xml:space="preserve"> </v>
      </c>
      <c r="FA11" s="10" t="str">
        <f t="shared" si="30"/>
        <v xml:space="preserve"> </v>
      </c>
      <c r="FD11" s="10" t="str">
        <f t="shared" si="70"/>
        <v xml:space="preserve"> </v>
      </c>
      <c r="FE11" s="10" t="str">
        <f t="shared" si="31"/>
        <v xml:space="preserve"> </v>
      </c>
      <c r="FF11" s="10" t="str">
        <f t="shared" si="31"/>
        <v xml:space="preserve"> </v>
      </c>
      <c r="FG11" s="10" t="str">
        <f t="shared" si="31"/>
        <v xml:space="preserve"> </v>
      </c>
      <c r="FH11" s="10" t="str">
        <f t="shared" si="31"/>
        <v xml:space="preserve"> </v>
      </c>
      <c r="FK11" s="10" t="str">
        <f t="shared" si="71"/>
        <v xml:space="preserve"> </v>
      </c>
      <c r="FL11" s="10" t="str">
        <f t="shared" si="32"/>
        <v xml:space="preserve"> </v>
      </c>
      <c r="FM11" s="10" t="str">
        <f t="shared" si="32"/>
        <v xml:space="preserve"> </v>
      </c>
      <c r="FN11" s="10" t="str">
        <f t="shared" si="32"/>
        <v xml:space="preserve"> </v>
      </c>
      <c r="FO11" s="10" t="str">
        <f t="shared" si="32"/>
        <v xml:space="preserve"> </v>
      </c>
      <c r="FR11" s="10" t="str">
        <f t="shared" si="72"/>
        <v xml:space="preserve"> </v>
      </c>
      <c r="FS11" s="10" t="str">
        <f t="shared" si="33"/>
        <v xml:space="preserve"> </v>
      </c>
      <c r="FT11" s="10" t="str">
        <f t="shared" si="33"/>
        <v xml:space="preserve"> </v>
      </c>
      <c r="FU11" s="10" t="str">
        <f t="shared" si="33"/>
        <v xml:space="preserve"> </v>
      </c>
      <c r="FV11" s="10" t="str">
        <f t="shared" si="33"/>
        <v xml:space="preserve"> </v>
      </c>
      <c r="FY11" s="10" t="str">
        <f t="shared" si="73"/>
        <v xml:space="preserve"> </v>
      </c>
      <c r="FZ11" s="10" t="str">
        <f t="shared" si="34"/>
        <v xml:space="preserve"> </v>
      </c>
      <c r="GA11" s="10" t="str">
        <f t="shared" si="34"/>
        <v xml:space="preserve"> </v>
      </c>
      <c r="GB11" s="10" t="str">
        <f t="shared" si="34"/>
        <v xml:space="preserve"> </v>
      </c>
      <c r="GC11" s="10" t="str">
        <f t="shared" si="34"/>
        <v xml:space="preserve"> </v>
      </c>
      <c r="GF11" s="10" t="str">
        <f t="shared" si="74"/>
        <v xml:space="preserve"> </v>
      </c>
      <c r="GG11" s="10" t="str">
        <f t="shared" si="35"/>
        <v xml:space="preserve"> </v>
      </c>
      <c r="GH11" s="10" t="str">
        <f t="shared" si="35"/>
        <v xml:space="preserve"> </v>
      </c>
      <c r="GI11" s="10" t="str">
        <f t="shared" si="35"/>
        <v xml:space="preserve"> </v>
      </c>
      <c r="GJ11" s="10" t="str">
        <f t="shared" si="35"/>
        <v xml:space="preserve"> </v>
      </c>
      <c r="GM11" s="10" t="str">
        <f t="shared" si="75"/>
        <v xml:space="preserve"> </v>
      </c>
      <c r="GN11" s="10" t="str">
        <f t="shared" si="36"/>
        <v xml:space="preserve"> </v>
      </c>
      <c r="GO11" s="10" t="str">
        <f t="shared" si="36"/>
        <v xml:space="preserve"> </v>
      </c>
      <c r="GP11" s="10" t="str">
        <f t="shared" si="36"/>
        <v xml:space="preserve"> </v>
      </c>
      <c r="GQ11" s="10" t="str">
        <f t="shared" si="36"/>
        <v xml:space="preserve"> </v>
      </c>
      <c r="GT11" s="10" t="str">
        <f t="shared" si="76"/>
        <v xml:space="preserve"> </v>
      </c>
      <c r="GU11" s="10" t="str">
        <f t="shared" si="37"/>
        <v xml:space="preserve"> </v>
      </c>
      <c r="GV11" s="10" t="str">
        <f t="shared" si="37"/>
        <v xml:space="preserve"> </v>
      </c>
      <c r="GW11" s="10" t="str">
        <f t="shared" si="37"/>
        <v xml:space="preserve"> </v>
      </c>
      <c r="GX11" s="10" t="str">
        <f t="shared" si="37"/>
        <v xml:space="preserve"> </v>
      </c>
      <c r="HA11" s="10" t="str">
        <f t="shared" si="77"/>
        <v xml:space="preserve"> </v>
      </c>
      <c r="HB11" s="10" t="str">
        <f t="shared" si="38"/>
        <v xml:space="preserve"> </v>
      </c>
      <c r="HC11" s="10" t="str">
        <f t="shared" si="38"/>
        <v xml:space="preserve"> </v>
      </c>
      <c r="HD11" s="10" t="str">
        <f t="shared" si="38"/>
        <v xml:space="preserve"> </v>
      </c>
      <c r="HE11" s="10" t="str">
        <f t="shared" si="38"/>
        <v xml:space="preserve"> </v>
      </c>
      <c r="HH11" s="10" t="str">
        <f t="shared" si="78"/>
        <v xml:space="preserve"> </v>
      </c>
      <c r="HI11" s="10" t="str">
        <f t="shared" si="39"/>
        <v xml:space="preserve"> </v>
      </c>
      <c r="HJ11" s="10" t="str">
        <f t="shared" si="39"/>
        <v xml:space="preserve"> </v>
      </c>
      <c r="HK11" s="10" t="str">
        <f t="shared" si="39"/>
        <v xml:space="preserve"> </v>
      </c>
      <c r="HL11" s="10" t="str">
        <f t="shared" si="39"/>
        <v xml:space="preserve"> </v>
      </c>
      <c r="HO11" s="10" t="str">
        <f t="shared" si="79"/>
        <v xml:space="preserve"> </v>
      </c>
      <c r="HP11" s="10" t="str">
        <f t="shared" si="40"/>
        <v xml:space="preserve"> </v>
      </c>
      <c r="HQ11" s="10" t="str">
        <f t="shared" si="40"/>
        <v xml:space="preserve"> </v>
      </c>
      <c r="HR11" s="10" t="str">
        <f t="shared" si="40"/>
        <v xml:space="preserve"> </v>
      </c>
      <c r="HS11" s="10" t="str">
        <f t="shared" si="40"/>
        <v xml:space="preserve"> </v>
      </c>
      <c r="HV11" s="10" t="str">
        <f t="shared" si="80"/>
        <v xml:space="preserve"> </v>
      </c>
      <c r="HW11" s="10" t="str">
        <f t="shared" si="41"/>
        <v xml:space="preserve"> </v>
      </c>
      <c r="HX11" s="10" t="str">
        <f t="shared" si="41"/>
        <v xml:space="preserve"> </v>
      </c>
      <c r="HY11" s="10" t="str">
        <f t="shared" si="41"/>
        <v xml:space="preserve"> </v>
      </c>
      <c r="HZ11" s="10" t="str">
        <f t="shared" si="41"/>
        <v xml:space="preserve"> </v>
      </c>
      <c r="IC11" s="10" t="str">
        <f t="shared" si="81"/>
        <v xml:space="preserve"> </v>
      </c>
      <c r="ID11" s="10" t="str">
        <f t="shared" si="42"/>
        <v xml:space="preserve"> </v>
      </c>
      <c r="IE11" s="10" t="str">
        <f t="shared" si="42"/>
        <v xml:space="preserve"> </v>
      </c>
      <c r="IF11" s="10" t="str">
        <f t="shared" si="42"/>
        <v xml:space="preserve"> </v>
      </c>
      <c r="IG11" s="10" t="str">
        <f t="shared" si="42"/>
        <v xml:space="preserve"> </v>
      </c>
      <c r="IJ11" s="10" t="str">
        <f t="shared" si="82"/>
        <v xml:space="preserve"> </v>
      </c>
      <c r="IK11" s="10" t="str">
        <f t="shared" si="43"/>
        <v xml:space="preserve"> </v>
      </c>
      <c r="IL11" s="10" t="str">
        <f t="shared" si="43"/>
        <v xml:space="preserve"> </v>
      </c>
      <c r="IM11" s="10" t="str">
        <f t="shared" si="43"/>
        <v xml:space="preserve"> </v>
      </c>
      <c r="IN11" s="10" t="str">
        <f t="shared" si="43"/>
        <v xml:space="preserve"> </v>
      </c>
      <c r="IQ11" s="10" t="str">
        <f t="shared" si="83"/>
        <v xml:space="preserve"> </v>
      </c>
      <c r="IR11" s="10" t="str">
        <f t="shared" si="44"/>
        <v xml:space="preserve"> </v>
      </c>
      <c r="IS11" s="10" t="str">
        <f t="shared" si="44"/>
        <v xml:space="preserve"> </v>
      </c>
      <c r="IT11" s="10" t="str">
        <f t="shared" si="44"/>
        <v xml:space="preserve"> </v>
      </c>
      <c r="IU11" s="10" t="str">
        <f t="shared" si="44"/>
        <v xml:space="preserve"> </v>
      </c>
      <c r="IX11" s="10" t="str">
        <f t="shared" si="84"/>
        <v xml:space="preserve"> </v>
      </c>
      <c r="IY11" s="10" t="str">
        <f t="shared" si="45"/>
        <v xml:space="preserve"> </v>
      </c>
      <c r="IZ11" s="10" t="str">
        <f t="shared" si="45"/>
        <v xml:space="preserve"> </v>
      </c>
      <c r="JA11" s="10" t="str">
        <f t="shared" si="45"/>
        <v xml:space="preserve"> </v>
      </c>
      <c r="JB11" s="10" t="str">
        <f t="shared" si="45"/>
        <v xml:space="preserve"> </v>
      </c>
      <c r="JE11" s="10" t="str">
        <f t="shared" si="85"/>
        <v xml:space="preserve"> </v>
      </c>
      <c r="JF11" s="10" t="str">
        <f t="shared" si="46"/>
        <v xml:space="preserve"> </v>
      </c>
      <c r="JG11" s="10" t="str">
        <f t="shared" si="46"/>
        <v xml:space="preserve"> </v>
      </c>
      <c r="JH11" s="10" t="str">
        <f t="shared" si="46"/>
        <v xml:space="preserve"> </v>
      </c>
      <c r="JI11" s="10" t="str">
        <f t="shared" si="46"/>
        <v xml:space="preserve"> </v>
      </c>
    </row>
    <row r="12" spans="1:271">
      <c r="A12" s="96"/>
      <c r="B12" s="10">
        <f t="shared" si="86"/>
        <v>4</v>
      </c>
      <c r="C12" s="11" t="s">
        <v>27</v>
      </c>
      <c r="D12" s="11" t="s">
        <v>24</v>
      </c>
      <c r="E12" s="10">
        <v>3</v>
      </c>
      <c r="F12" s="12">
        <f t="shared" si="87"/>
        <v>42508</v>
      </c>
      <c r="G12" s="12">
        <f>WORKDAY(F12,H12-1,Config!D10:D29)</f>
        <v>42509</v>
      </c>
      <c r="H12" s="10">
        <v>2</v>
      </c>
      <c r="I12" s="13">
        <v>1</v>
      </c>
      <c r="J12" s="13">
        <f ca="1">IF(((NETWORKDAYS(F12,TODAY(),Data!C5:C24)*100)/H12)/100 &gt; 0,((NETWORKDAYS(F12,TODAY(),Data!C5:C24)*100)/H12)/100,0)</f>
        <v>831.5</v>
      </c>
      <c r="K12" s="13" t="str">
        <f t="shared" ca="1" si="47"/>
        <v>100%</v>
      </c>
      <c r="L12" s="13">
        <f t="shared" ca="1" si="48"/>
        <v>0</v>
      </c>
      <c r="M12" s="10" t="str">
        <f t="shared" si="49"/>
        <v xml:space="preserve"> </v>
      </c>
      <c r="N12" s="10" t="str">
        <f t="shared" si="10"/>
        <v xml:space="preserve"> </v>
      </c>
      <c r="O12" s="10" t="str">
        <f t="shared" si="10"/>
        <v xml:space="preserve"> </v>
      </c>
      <c r="P12" s="10" t="str">
        <f t="shared" si="10"/>
        <v xml:space="preserve"> </v>
      </c>
      <c r="Q12" s="10" t="str">
        <f t="shared" si="10"/>
        <v xml:space="preserve"> </v>
      </c>
      <c r="R12" s="14"/>
      <c r="S12" s="14"/>
      <c r="T12" s="10" t="str">
        <f t="shared" si="50"/>
        <v xml:space="preserve"> </v>
      </c>
      <c r="U12" s="10" t="str">
        <f t="shared" si="11"/>
        <v xml:space="preserve"> </v>
      </c>
      <c r="V12" s="10" t="str">
        <f t="shared" si="11"/>
        <v xml:space="preserve"> </v>
      </c>
      <c r="W12" s="10" t="str">
        <f t="shared" si="11"/>
        <v xml:space="preserve"> </v>
      </c>
      <c r="X12" s="10" t="str">
        <f t="shared" si="11"/>
        <v xml:space="preserve"> </v>
      </c>
      <c r="Y12" s="14"/>
      <c r="Z12" s="14"/>
      <c r="AA12" s="10" t="str">
        <f t="shared" si="51"/>
        <v>.</v>
      </c>
      <c r="AB12" s="10" t="str">
        <f t="shared" si="12"/>
        <v xml:space="preserve"> </v>
      </c>
      <c r="AC12" s="10" t="str">
        <f t="shared" si="12"/>
        <v xml:space="preserve"> </v>
      </c>
      <c r="AD12" s="10" t="str">
        <f t="shared" si="12"/>
        <v xml:space="preserve"> </v>
      </c>
      <c r="AE12" s="10" t="str">
        <f t="shared" si="12"/>
        <v xml:space="preserve"> </v>
      </c>
      <c r="AF12" s="14"/>
      <c r="AG12" s="14"/>
      <c r="AH12" s="10" t="str">
        <f t="shared" si="52"/>
        <v xml:space="preserve"> </v>
      </c>
      <c r="AI12" s="10" t="str">
        <f t="shared" si="13"/>
        <v xml:space="preserve"> </v>
      </c>
      <c r="AJ12" s="10" t="str">
        <f t="shared" si="13"/>
        <v xml:space="preserve"> </v>
      </c>
      <c r="AK12" s="10" t="str">
        <f t="shared" si="13"/>
        <v xml:space="preserve"> </v>
      </c>
      <c r="AL12" s="10" t="str">
        <f t="shared" si="13"/>
        <v xml:space="preserve"> </v>
      </c>
      <c r="AM12" s="14"/>
      <c r="AN12" s="14"/>
      <c r="AO12" s="10" t="str">
        <f t="shared" si="53"/>
        <v xml:space="preserve"> </v>
      </c>
      <c r="AP12" s="10" t="str">
        <f t="shared" si="14"/>
        <v xml:space="preserve"> </v>
      </c>
      <c r="AQ12" s="10" t="str">
        <f t="shared" si="14"/>
        <v xml:space="preserve"> </v>
      </c>
      <c r="AR12" s="10" t="str">
        <f t="shared" si="14"/>
        <v xml:space="preserve"> </v>
      </c>
      <c r="AS12" s="10" t="str">
        <f t="shared" si="14"/>
        <v xml:space="preserve"> </v>
      </c>
      <c r="AT12" s="14"/>
      <c r="AU12" s="14"/>
      <c r="AV12" s="10" t="str">
        <f t="shared" si="54"/>
        <v xml:space="preserve"> </v>
      </c>
      <c r="AW12" s="10" t="str">
        <f t="shared" si="15"/>
        <v xml:space="preserve"> </v>
      </c>
      <c r="AX12" s="10" t="str">
        <f t="shared" si="15"/>
        <v xml:space="preserve"> </v>
      </c>
      <c r="AY12" s="10" t="str">
        <f t="shared" si="15"/>
        <v xml:space="preserve"> </v>
      </c>
      <c r="AZ12" s="10" t="str">
        <f t="shared" si="15"/>
        <v xml:space="preserve"> </v>
      </c>
      <c r="BA12" s="14"/>
      <c r="BB12" s="14"/>
      <c r="BC12" s="10" t="str">
        <f t="shared" si="55"/>
        <v xml:space="preserve"> </v>
      </c>
      <c r="BD12" s="10" t="str">
        <f t="shared" si="16"/>
        <v xml:space="preserve"> </v>
      </c>
      <c r="BE12" s="10" t="str">
        <f t="shared" si="16"/>
        <v xml:space="preserve"> </v>
      </c>
      <c r="BF12" s="10" t="str">
        <f t="shared" si="16"/>
        <v xml:space="preserve"> </v>
      </c>
      <c r="BG12" s="10" t="str">
        <f t="shared" si="16"/>
        <v xml:space="preserve"> </v>
      </c>
      <c r="BH12" s="14"/>
      <c r="BI12" s="14"/>
      <c r="BJ12" s="10" t="str">
        <f t="shared" si="56"/>
        <v xml:space="preserve"> </v>
      </c>
      <c r="BK12" s="10" t="str">
        <f t="shared" si="17"/>
        <v xml:space="preserve"> </v>
      </c>
      <c r="BL12" s="10" t="str">
        <f t="shared" si="17"/>
        <v xml:space="preserve"> </v>
      </c>
      <c r="BM12" s="10" t="str">
        <f t="shared" si="17"/>
        <v xml:space="preserve"> </v>
      </c>
      <c r="BN12" s="10" t="str">
        <f t="shared" si="17"/>
        <v xml:space="preserve"> </v>
      </c>
      <c r="BO12" s="14"/>
      <c r="BP12" s="14"/>
      <c r="BQ12" s="10" t="str">
        <f t="shared" si="57"/>
        <v xml:space="preserve"> </v>
      </c>
      <c r="BR12" s="10" t="str">
        <f t="shared" si="18"/>
        <v xml:space="preserve"> </v>
      </c>
      <c r="BS12" s="10" t="str">
        <f t="shared" si="18"/>
        <v xml:space="preserve"> </v>
      </c>
      <c r="BT12" s="10" t="str">
        <f t="shared" si="18"/>
        <v xml:space="preserve"> </v>
      </c>
      <c r="BU12" s="10" t="str">
        <f t="shared" si="18"/>
        <v xml:space="preserve"> </v>
      </c>
      <c r="BV12" s="14"/>
      <c r="BW12" s="14"/>
      <c r="BX12" s="10" t="str">
        <f t="shared" si="58"/>
        <v xml:space="preserve"> </v>
      </c>
      <c r="BY12" s="10" t="str">
        <f t="shared" si="19"/>
        <v xml:space="preserve"> </v>
      </c>
      <c r="BZ12" s="10" t="str">
        <f t="shared" si="19"/>
        <v xml:space="preserve"> </v>
      </c>
      <c r="CA12" s="10" t="str">
        <f t="shared" si="19"/>
        <v xml:space="preserve"> </v>
      </c>
      <c r="CB12" s="10" t="str">
        <f t="shared" si="19"/>
        <v xml:space="preserve"> </v>
      </c>
      <c r="CC12" s="14"/>
      <c r="CD12" s="14"/>
      <c r="CE12" s="10" t="str">
        <f t="shared" si="59"/>
        <v xml:space="preserve"> </v>
      </c>
      <c r="CF12" s="10" t="str">
        <f t="shared" si="20"/>
        <v xml:space="preserve"> </v>
      </c>
      <c r="CG12" s="10" t="str">
        <f t="shared" si="20"/>
        <v xml:space="preserve"> </v>
      </c>
      <c r="CH12" s="10" t="str">
        <f t="shared" si="20"/>
        <v xml:space="preserve"> </v>
      </c>
      <c r="CI12" s="10" t="str">
        <f t="shared" si="20"/>
        <v xml:space="preserve"> </v>
      </c>
      <c r="CJ12" s="14"/>
      <c r="CK12" s="14"/>
      <c r="CL12" s="10" t="str">
        <f t="shared" si="60"/>
        <v xml:space="preserve"> </v>
      </c>
      <c r="CM12" s="10" t="str">
        <f t="shared" si="21"/>
        <v xml:space="preserve"> </v>
      </c>
      <c r="CN12" s="10" t="str">
        <f t="shared" si="21"/>
        <v xml:space="preserve"> </v>
      </c>
      <c r="CO12" s="10" t="str">
        <f t="shared" si="21"/>
        <v xml:space="preserve"> </v>
      </c>
      <c r="CP12" s="10" t="str">
        <f t="shared" si="21"/>
        <v xml:space="preserve"> </v>
      </c>
      <c r="CQ12" s="14"/>
      <c r="CR12" s="14"/>
      <c r="CS12" s="10" t="str">
        <f t="shared" si="61"/>
        <v xml:space="preserve"> </v>
      </c>
      <c r="CT12" s="10" t="str">
        <f t="shared" si="22"/>
        <v xml:space="preserve"> </v>
      </c>
      <c r="CU12" s="10" t="str">
        <f t="shared" si="22"/>
        <v xml:space="preserve"> </v>
      </c>
      <c r="CV12" s="10" t="str">
        <f t="shared" si="22"/>
        <v xml:space="preserve"> </v>
      </c>
      <c r="CW12" s="10" t="str">
        <f t="shared" si="22"/>
        <v xml:space="preserve"> </v>
      </c>
      <c r="CZ12" s="10" t="str">
        <f t="shared" si="62"/>
        <v xml:space="preserve"> </v>
      </c>
      <c r="DA12" s="10" t="str">
        <f t="shared" si="23"/>
        <v xml:space="preserve"> </v>
      </c>
      <c r="DB12" s="10" t="str">
        <f t="shared" si="23"/>
        <v xml:space="preserve"> </v>
      </c>
      <c r="DC12" s="10" t="str">
        <f t="shared" si="23"/>
        <v xml:space="preserve"> </v>
      </c>
      <c r="DD12" s="10" t="str">
        <f t="shared" si="23"/>
        <v xml:space="preserve"> </v>
      </c>
      <c r="DG12" s="10" t="str">
        <f t="shared" si="63"/>
        <v xml:space="preserve"> </v>
      </c>
      <c r="DH12" s="10" t="str">
        <f t="shared" si="24"/>
        <v xml:space="preserve"> </v>
      </c>
      <c r="DI12" s="10" t="str">
        <f t="shared" si="24"/>
        <v xml:space="preserve"> </v>
      </c>
      <c r="DJ12" s="10" t="str">
        <f t="shared" si="24"/>
        <v xml:space="preserve"> </v>
      </c>
      <c r="DK12" s="10" t="str">
        <f t="shared" si="24"/>
        <v xml:space="preserve"> </v>
      </c>
      <c r="DN12" s="10" t="str">
        <f t="shared" si="64"/>
        <v xml:space="preserve"> </v>
      </c>
      <c r="DO12" s="10" t="str">
        <f t="shared" si="25"/>
        <v xml:space="preserve"> </v>
      </c>
      <c r="DP12" s="10" t="str">
        <f t="shared" si="25"/>
        <v xml:space="preserve"> </v>
      </c>
      <c r="DQ12" s="10" t="str">
        <f t="shared" si="25"/>
        <v xml:space="preserve"> </v>
      </c>
      <c r="DR12" s="10" t="str">
        <f t="shared" si="25"/>
        <v xml:space="preserve"> </v>
      </c>
      <c r="DU12" s="10" t="str">
        <f t="shared" si="65"/>
        <v xml:space="preserve"> </v>
      </c>
      <c r="DV12" s="10" t="str">
        <f t="shared" si="26"/>
        <v xml:space="preserve"> </v>
      </c>
      <c r="DW12" s="10" t="str">
        <f t="shared" si="26"/>
        <v xml:space="preserve"> </v>
      </c>
      <c r="DX12" s="10" t="str">
        <f t="shared" si="26"/>
        <v xml:space="preserve"> </v>
      </c>
      <c r="DY12" s="10" t="str">
        <f t="shared" si="26"/>
        <v xml:space="preserve"> </v>
      </c>
      <c r="EB12" s="10" t="str">
        <f t="shared" si="66"/>
        <v xml:space="preserve"> </v>
      </c>
      <c r="EC12" s="10" t="str">
        <f t="shared" si="27"/>
        <v xml:space="preserve"> </v>
      </c>
      <c r="ED12" s="10" t="str">
        <f t="shared" si="27"/>
        <v xml:space="preserve"> </v>
      </c>
      <c r="EE12" s="10" t="str">
        <f t="shared" si="27"/>
        <v xml:space="preserve"> </v>
      </c>
      <c r="EF12" s="10" t="str">
        <f t="shared" si="27"/>
        <v xml:space="preserve"> </v>
      </c>
      <c r="EI12" s="10" t="str">
        <f t="shared" si="67"/>
        <v xml:space="preserve"> </v>
      </c>
      <c r="EJ12" s="10" t="str">
        <f t="shared" si="28"/>
        <v xml:space="preserve"> </v>
      </c>
      <c r="EK12" s="10" t="str">
        <f t="shared" si="28"/>
        <v xml:space="preserve"> </v>
      </c>
      <c r="EL12" s="10" t="str">
        <f t="shared" si="28"/>
        <v xml:space="preserve"> </v>
      </c>
      <c r="EM12" s="10" t="str">
        <f t="shared" si="28"/>
        <v xml:space="preserve"> </v>
      </c>
      <c r="EP12" s="10" t="str">
        <f t="shared" si="68"/>
        <v xml:space="preserve"> </v>
      </c>
      <c r="EQ12" s="10" t="str">
        <f t="shared" si="29"/>
        <v xml:space="preserve"> </v>
      </c>
      <c r="ER12" s="10" t="str">
        <f t="shared" si="29"/>
        <v xml:space="preserve"> </v>
      </c>
      <c r="ES12" s="10" t="str">
        <f t="shared" si="29"/>
        <v xml:space="preserve"> </v>
      </c>
      <c r="ET12" s="10" t="str">
        <f t="shared" si="29"/>
        <v xml:space="preserve"> </v>
      </c>
      <c r="EW12" s="10" t="str">
        <f t="shared" si="69"/>
        <v xml:space="preserve"> </v>
      </c>
      <c r="EX12" s="10" t="str">
        <f t="shared" si="30"/>
        <v xml:space="preserve"> </v>
      </c>
      <c r="EY12" s="10" t="str">
        <f t="shared" si="30"/>
        <v xml:space="preserve"> </v>
      </c>
      <c r="EZ12" s="10" t="str">
        <f t="shared" si="30"/>
        <v xml:space="preserve"> </v>
      </c>
      <c r="FA12" s="10" t="str">
        <f t="shared" si="30"/>
        <v xml:space="preserve"> </v>
      </c>
      <c r="FD12" s="10" t="str">
        <f t="shared" si="70"/>
        <v xml:space="preserve"> </v>
      </c>
      <c r="FE12" s="10" t="str">
        <f t="shared" si="31"/>
        <v xml:space="preserve"> </v>
      </c>
      <c r="FF12" s="10" t="str">
        <f t="shared" si="31"/>
        <v xml:space="preserve"> </v>
      </c>
      <c r="FG12" s="10" t="str">
        <f t="shared" si="31"/>
        <v xml:space="preserve"> </v>
      </c>
      <c r="FH12" s="10" t="str">
        <f t="shared" si="31"/>
        <v xml:space="preserve"> </v>
      </c>
      <c r="FK12" s="10" t="str">
        <f t="shared" si="71"/>
        <v xml:space="preserve"> </v>
      </c>
      <c r="FL12" s="10" t="str">
        <f t="shared" si="32"/>
        <v xml:space="preserve"> </v>
      </c>
      <c r="FM12" s="10" t="str">
        <f t="shared" si="32"/>
        <v xml:space="preserve"> </v>
      </c>
      <c r="FN12" s="10" t="str">
        <f t="shared" si="32"/>
        <v xml:space="preserve"> </v>
      </c>
      <c r="FO12" s="10" t="str">
        <f t="shared" si="32"/>
        <v xml:space="preserve"> </v>
      </c>
      <c r="FR12" s="10" t="str">
        <f t="shared" si="72"/>
        <v xml:space="preserve"> </v>
      </c>
      <c r="FS12" s="10" t="str">
        <f t="shared" si="33"/>
        <v xml:space="preserve"> </v>
      </c>
      <c r="FT12" s="10" t="str">
        <f t="shared" si="33"/>
        <v xml:space="preserve"> </v>
      </c>
      <c r="FU12" s="10" t="str">
        <f t="shared" si="33"/>
        <v xml:space="preserve"> </v>
      </c>
      <c r="FV12" s="10" t="str">
        <f t="shared" si="33"/>
        <v xml:space="preserve"> </v>
      </c>
      <c r="FY12" s="10" t="str">
        <f t="shared" si="73"/>
        <v xml:space="preserve"> </v>
      </c>
      <c r="FZ12" s="10" t="str">
        <f t="shared" si="34"/>
        <v xml:space="preserve"> </v>
      </c>
      <c r="GA12" s="10" t="str">
        <f t="shared" si="34"/>
        <v xml:space="preserve"> </v>
      </c>
      <c r="GB12" s="10" t="str">
        <f t="shared" si="34"/>
        <v xml:space="preserve"> </v>
      </c>
      <c r="GC12" s="10" t="str">
        <f t="shared" si="34"/>
        <v xml:space="preserve"> </v>
      </c>
      <c r="GF12" s="10" t="str">
        <f t="shared" si="74"/>
        <v xml:space="preserve"> </v>
      </c>
      <c r="GG12" s="10" t="str">
        <f t="shared" si="35"/>
        <v xml:space="preserve"> </v>
      </c>
      <c r="GH12" s="10" t="str">
        <f t="shared" si="35"/>
        <v xml:space="preserve"> </v>
      </c>
      <c r="GI12" s="10" t="str">
        <f t="shared" si="35"/>
        <v xml:space="preserve"> </v>
      </c>
      <c r="GJ12" s="10" t="str">
        <f t="shared" si="35"/>
        <v xml:space="preserve"> </v>
      </c>
      <c r="GM12" s="10" t="str">
        <f t="shared" si="75"/>
        <v xml:space="preserve"> </v>
      </c>
      <c r="GN12" s="10" t="str">
        <f t="shared" si="36"/>
        <v xml:space="preserve"> </v>
      </c>
      <c r="GO12" s="10" t="str">
        <f t="shared" si="36"/>
        <v xml:space="preserve"> </v>
      </c>
      <c r="GP12" s="10" t="str">
        <f t="shared" si="36"/>
        <v xml:space="preserve"> </v>
      </c>
      <c r="GQ12" s="10" t="str">
        <f t="shared" si="36"/>
        <v xml:space="preserve"> </v>
      </c>
      <c r="GT12" s="10" t="str">
        <f t="shared" si="76"/>
        <v xml:space="preserve"> </v>
      </c>
      <c r="GU12" s="10" t="str">
        <f t="shared" si="37"/>
        <v xml:space="preserve"> </v>
      </c>
      <c r="GV12" s="10" t="str">
        <f t="shared" si="37"/>
        <v xml:space="preserve"> </v>
      </c>
      <c r="GW12" s="10" t="str">
        <f t="shared" si="37"/>
        <v xml:space="preserve"> </v>
      </c>
      <c r="GX12" s="10" t="str">
        <f t="shared" si="37"/>
        <v xml:space="preserve"> </v>
      </c>
      <c r="HA12" s="10" t="str">
        <f t="shared" si="77"/>
        <v xml:space="preserve"> </v>
      </c>
      <c r="HB12" s="10" t="str">
        <f t="shared" si="38"/>
        <v xml:space="preserve"> </v>
      </c>
      <c r="HC12" s="10" t="str">
        <f t="shared" si="38"/>
        <v xml:space="preserve"> </v>
      </c>
      <c r="HD12" s="10" t="str">
        <f t="shared" si="38"/>
        <v xml:space="preserve"> </v>
      </c>
      <c r="HE12" s="10" t="str">
        <f t="shared" si="38"/>
        <v xml:space="preserve"> </v>
      </c>
      <c r="HH12" s="10" t="str">
        <f t="shared" si="78"/>
        <v xml:space="preserve"> </v>
      </c>
      <c r="HI12" s="10" t="str">
        <f t="shared" si="39"/>
        <v xml:space="preserve"> </v>
      </c>
      <c r="HJ12" s="10" t="str">
        <f t="shared" si="39"/>
        <v xml:space="preserve"> </v>
      </c>
      <c r="HK12" s="10" t="str">
        <f t="shared" si="39"/>
        <v xml:space="preserve"> </v>
      </c>
      <c r="HL12" s="10" t="str">
        <f t="shared" si="39"/>
        <v xml:space="preserve"> </v>
      </c>
      <c r="HO12" s="10" t="str">
        <f t="shared" si="79"/>
        <v xml:space="preserve"> </v>
      </c>
      <c r="HP12" s="10" t="str">
        <f t="shared" si="40"/>
        <v xml:space="preserve"> </v>
      </c>
      <c r="HQ12" s="10" t="str">
        <f t="shared" si="40"/>
        <v xml:space="preserve"> </v>
      </c>
      <c r="HR12" s="10" t="str">
        <f t="shared" si="40"/>
        <v xml:space="preserve"> </v>
      </c>
      <c r="HS12" s="10" t="str">
        <f t="shared" si="40"/>
        <v xml:space="preserve"> </v>
      </c>
      <c r="HV12" s="10" t="str">
        <f t="shared" si="80"/>
        <v xml:space="preserve"> </v>
      </c>
      <c r="HW12" s="10" t="str">
        <f t="shared" si="41"/>
        <v xml:space="preserve"> </v>
      </c>
      <c r="HX12" s="10" t="str">
        <f t="shared" si="41"/>
        <v xml:space="preserve"> </v>
      </c>
      <c r="HY12" s="10" t="str">
        <f t="shared" si="41"/>
        <v xml:space="preserve"> </v>
      </c>
      <c r="HZ12" s="10" t="str">
        <f t="shared" si="41"/>
        <v xml:space="preserve"> </v>
      </c>
      <c r="IC12" s="10" t="str">
        <f t="shared" si="81"/>
        <v xml:space="preserve"> </v>
      </c>
      <c r="ID12" s="10" t="str">
        <f t="shared" si="42"/>
        <v xml:space="preserve"> </v>
      </c>
      <c r="IE12" s="10" t="str">
        <f t="shared" si="42"/>
        <v xml:space="preserve"> </v>
      </c>
      <c r="IF12" s="10" t="str">
        <f t="shared" si="42"/>
        <v xml:space="preserve"> </v>
      </c>
      <c r="IG12" s="10" t="str">
        <f t="shared" si="42"/>
        <v xml:space="preserve"> </v>
      </c>
      <c r="IJ12" s="10" t="str">
        <f t="shared" si="82"/>
        <v xml:space="preserve"> </v>
      </c>
      <c r="IK12" s="10" t="str">
        <f t="shared" si="43"/>
        <v xml:space="preserve"> </v>
      </c>
      <c r="IL12" s="10" t="str">
        <f t="shared" si="43"/>
        <v xml:space="preserve"> </v>
      </c>
      <c r="IM12" s="10" t="str">
        <f t="shared" si="43"/>
        <v xml:space="preserve"> </v>
      </c>
      <c r="IN12" s="10" t="str">
        <f t="shared" si="43"/>
        <v xml:space="preserve"> </v>
      </c>
      <c r="IQ12" s="10" t="str">
        <f t="shared" si="83"/>
        <v xml:space="preserve"> </v>
      </c>
      <c r="IR12" s="10" t="str">
        <f t="shared" si="44"/>
        <v xml:space="preserve"> </v>
      </c>
      <c r="IS12" s="10" t="str">
        <f t="shared" si="44"/>
        <v xml:space="preserve"> </v>
      </c>
      <c r="IT12" s="10" t="str">
        <f t="shared" si="44"/>
        <v xml:space="preserve"> </v>
      </c>
      <c r="IU12" s="10" t="str">
        <f t="shared" si="44"/>
        <v xml:space="preserve"> </v>
      </c>
      <c r="IX12" s="10" t="str">
        <f t="shared" si="84"/>
        <v xml:space="preserve"> </v>
      </c>
      <c r="IY12" s="10" t="str">
        <f t="shared" si="45"/>
        <v xml:space="preserve"> </v>
      </c>
      <c r="IZ12" s="10" t="str">
        <f t="shared" si="45"/>
        <v xml:space="preserve"> </v>
      </c>
      <c r="JA12" s="10" t="str">
        <f t="shared" si="45"/>
        <v xml:space="preserve"> </v>
      </c>
      <c r="JB12" s="10" t="str">
        <f t="shared" si="45"/>
        <v xml:space="preserve"> </v>
      </c>
      <c r="JE12" s="10" t="str">
        <f t="shared" si="85"/>
        <v xml:space="preserve"> </v>
      </c>
      <c r="JF12" s="10" t="str">
        <f t="shared" si="46"/>
        <v xml:space="preserve"> </v>
      </c>
      <c r="JG12" s="10" t="str">
        <f t="shared" si="46"/>
        <v xml:space="preserve"> </v>
      </c>
      <c r="JH12" s="10" t="str">
        <f t="shared" si="46"/>
        <v xml:space="preserve"> </v>
      </c>
      <c r="JI12" s="10" t="str">
        <f t="shared" si="46"/>
        <v xml:space="preserve"> </v>
      </c>
    </row>
    <row r="13" spans="1:271">
      <c r="A13" s="96"/>
      <c r="B13" s="10">
        <f t="shared" si="86"/>
        <v>5</v>
      </c>
      <c r="C13" s="11" t="s">
        <v>28</v>
      </c>
      <c r="D13" s="11" t="s">
        <v>24</v>
      </c>
      <c r="E13" s="10">
        <v>4</v>
      </c>
      <c r="F13" s="12">
        <f t="shared" si="87"/>
        <v>42510</v>
      </c>
      <c r="G13" s="12">
        <f>WORKDAY(F13,H13-1,Config!D11:D30)</f>
        <v>42514</v>
      </c>
      <c r="H13" s="10">
        <v>3</v>
      </c>
      <c r="I13" s="13">
        <v>0.9</v>
      </c>
      <c r="J13" s="13">
        <f ca="1">IF(((NETWORKDAYS(F13,TODAY(),Data!C6:C25)*100)/H13)/100 &gt; 0,((NETWORKDAYS(F13,TODAY(),Data!C6:C25)*100)/H13)/100,0)</f>
        <v>553.66666666666663</v>
      </c>
      <c r="K13" s="13" t="str">
        <f t="shared" ca="1" si="47"/>
        <v>100%</v>
      </c>
      <c r="L13" s="13">
        <f t="shared" ca="1" si="48"/>
        <v>9.9999999999999978E-2</v>
      </c>
      <c r="M13" s="10" t="str">
        <f t="shared" si="49"/>
        <v xml:space="preserve"> </v>
      </c>
      <c r="N13" s="10" t="str">
        <f t="shared" si="10"/>
        <v xml:space="preserve"> </v>
      </c>
      <c r="O13" s="10" t="str">
        <f t="shared" si="10"/>
        <v xml:space="preserve"> </v>
      </c>
      <c r="P13" s="10" t="str">
        <f t="shared" si="10"/>
        <v xml:space="preserve"> </v>
      </c>
      <c r="Q13" s="10" t="str">
        <f t="shared" si="10"/>
        <v xml:space="preserve"> </v>
      </c>
      <c r="R13" s="14"/>
      <c r="S13" s="14"/>
      <c r="T13" s="10" t="str">
        <f t="shared" si="50"/>
        <v xml:space="preserve"> </v>
      </c>
      <c r="U13" s="10" t="str">
        <f t="shared" si="11"/>
        <v xml:space="preserve"> </v>
      </c>
      <c r="V13" s="10" t="str">
        <f t="shared" si="11"/>
        <v xml:space="preserve"> </v>
      </c>
      <c r="W13" s="10" t="str">
        <f t="shared" si="11"/>
        <v xml:space="preserve"> </v>
      </c>
      <c r="X13" s="10" t="str">
        <f t="shared" si="11"/>
        <v xml:space="preserve"> </v>
      </c>
      <c r="Y13" s="14"/>
      <c r="Z13" s="14"/>
      <c r="AA13" s="10" t="str">
        <f t="shared" si="51"/>
        <v xml:space="preserve"> </v>
      </c>
      <c r="AB13" s="10" t="str">
        <f t="shared" si="12"/>
        <v>.</v>
      </c>
      <c r="AC13" s="10" t="str">
        <f t="shared" si="12"/>
        <v>.</v>
      </c>
      <c r="AD13" s="10" t="str">
        <f t="shared" si="12"/>
        <v>.</v>
      </c>
      <c r="AE13" s="10" t="str">
        <f t="shared" si="12"/>
        <v>.</v>
      </c>
      <c r="AF13" s="14"/>
      <c r="AG13" s="14"/>
      <c r="AH13" s="10" t="str">
        <f t="shared" si="52"/>
        <v xml:space="preserve"> </v>
      </c>
      <c r="AI13" s="10" t="str">
        <f t="shared" si="13"/>
        <v xml:space="preserve"> </v>
      </c>
      <c r="AJ13" s="10" t="str">
        <f t="shared" si="13"/>
        <v xml:space="preserve"> </v>
      </c>
      <c r="AK13" s="10" t="str">
        <f t="shared" si="13"/>
        <v xml:space="preserve"> </v>
      </c>
      <c r="AL13" s="10" t="str">
        <f t="shared" si="13"/>
        <v xml:space="preserve"> </v>
      </c>
      <c r="AM13" s="14"/>
      <c r="AN13" s="14"/>
      <c r="AO13" s="10" t="str">
        <f t="shared" si="53"/>
        <v xml:space="preserve"> </v>
      </c>
      <c r="AP13" s="10" t="str">
        <f t="shared" si="14"/>
        <v xml:space="preserve"> </v>
      </c>
      <c r="AQ13" s="10" t="str">
        <f t="shared" si="14"/>
        <v xml:space="preserve"> </v>
      </c>
      <c r="AR13" s="10" t="str">
        <f t="shared" si="14"/>
        <v xml:space="preserve"> </v>
      </c>
      <c r="AS13" s="10" t="str">
        <f t="shared" si="14"/>
        <v xml:space="preserve"> </v>
      </c>
      <c r="AT13" s="14"/>
      <c r="AU13" s="14"/>
      <c r="AV13" s="10" t="str">
        <f t="shared" si="54"/>
        <v xml:space="preserve"> </v>
      </c>
      <c r="AW13" s="10" t="str">
        <f t="shared" si="15"/>
        <v xml:space="preserve"> </v>
      </c>
      <c r="AX13" s="10" t="str">
        <f t="shared" si="15"/>
        <v xml:space="preserve"> </v>
      </c>
      <c r="AY13" s="10" t="str">
        <f t="shared" si="15"/>
        <v xml:space="preserve"> </v>
      </c>
      <c r="AZ13" s="10" t="str">
        <f t="shared" si="15"/>
        <v xml:space="preserve"> </v>
      </c>
      <c r="BA13" s="14"/>
      <c r="BB13" s="14"/>
      <c r="BC13" s="10" t="str">
        <f t="shared" si="55"/>
        <v xml:space="preserve"> </v>
      </c>
      <c r="BD13" s="10" t="str">
        <f t="shared" si="16"/>
        <v xml:space="preserve"> </v>
      </c>
      <c r="BE13" s="10" t="str">
        <f t="shared" si="16"/>
        <v xml:space="preserve"> </v>
      </c>
      <c r="BF13" s="10" t="str">
        <f t="shared" si="16"/>
        <v xml:space="preserve"> </v>
      </c>
      <c r="BG13" s="10" t="str">
        <f t="shared" si="16"/>
        <v xml:space="preserve"> </v>
      </c>
      <c r="BH13" s="14"/>
      <c r="BI13" s="14"/>
      <c r="BJ13" s="10" t="str">
        <f t="shared" si="56"/>
        <v xml:space="preserve"> </v>
      </c>
      <c r="BK13" s="10" t="str">
        <f t="shared" si="17"/>
        <v xml:space="preserve"> </v>
      </c>
      <c r="BL13" s="10" t="str">
        <f t="shared" si="17"/>
        <v xml:space="preserve"> </v>
      </c>
      <c r="BM13" s="10" t="str">
        <f t="shared" si="17"/>
        <v xml:space="preserve"> </v>
      </c>
      <c r="BN13" s="10" t="str">
        <f t="shared" si="17"/>
        <v xml:space="preserve"> </v>
      </c>
      <c r="BO13" s="14"/>
      <c r="BP13" s="14"/>
      <c r="BQ13" s="10" t="str">
        <f t="shared" si="57"/>
        <v xml:space="preserve"> </v>
      </c>
      <c r="BR13" s="10" t="str">
        <f t="shared" si="18"/>
        <v xml:space="preserve"> </v>
      </c>
      <c r="BS13" s="10" t="str">
        <f t="shared" si="18"/>
        <v xml:space="preserve"> </v>
      </c>
      <c r="BT13" s="10" t="str">
        <f t="shared" si="18"/>
        <v xml:space="preserve"> </v>
      </c>
      <c r="BU13" s="10" t="str">
        <f t="shared" si="18"/>
        <v xml:space="preserve"> </v>
      </c>
      <c r="BV13" s="14"/>
      <c r="BW13" s="14"/>
      <c r="BX13" s="10" t="str">
        <f t="shared" si="58"/>
        <v xml:space="preserve"> </v>
      </c>
      <c r="BY13" s="10" t="str">
        <f t="shared" si="19"/>
        <v xml:space="preserve"> </v>
      </c>
      <c r="BZ13" s="10" t="str">
        <f t="shared" si="19"/>
        <v xml:space="preserve"> </v>
      </c>
      <c r="CA13" s="10" t="str">
        <f t="shared" si="19"/>
        <v xml:space="preserve"> </v>
      </c>
      <c r="CB13" s="10" t="str">
        <f t="shared" si="19"/>
        <v xml:space="preserve"> </v>
      </c>
      <c r="CC13" s="14"/>
      <c r="CD13" s="14"/>
      <c r="CE13" s="10" t="str">
        <f t="shared" si="59"/>
        <v xml:space="preserve"> </v>
      </c>
      <c r="CF13" s="10" t="str">
        <f t="shared" si="20"/>
        <v xml:space="preserve"> </v>
      </c>
      <c r="CG13" s="10" t="str">
        <f t="shared" si="20"/>
        <v xml:space="preserve"> </v>
      </c>
      <c r="CH13" s="10" t="str">
        <f t="shared" si="20"/>
        <v xml:space="preserve"> </v>
      </c>
      <c r="CI13" s="10" t="str">
        <f t="shared" si="20"/>
        <v xml:space="preserve"> </v>
      </c>
      <c r="CJ13" s="14"/>
      <c r="CK13" s="14"/>
      <c r="CL13" s="10" t="str">
        <f t="shared" si="60"/>
        <v xml:space="preserve"> </v>
      </c>
      <c r="CM13" s="10" t="str">
        <f t="shared" si="21"/>
        <v xml:space="preserve"> </v>
      </c>
      <c r="CN13" s="10" t="str">
        <f t="shared" si="21"/>
        <v xml:space="preserve"> </v>
      </c>
      <c r="CO13" s="10" t="str">
        <f t="shared" si="21"/>
        <v xml:space="preserve"> </v>
      </c>
      <c r="CP13" s="10" t="str">
        <f t="shared" si="21"/>
        <v xml:space="preserve"> </v>
      </c>
      <c r="CQ13" s="14"/>
      <c r="CR13" s="14"/>
      <c r="CS13" s="10" t="str">
        <f t="shared" si="61"/>
        <v xml:space="preserve"> </v>
      </c>
      <c r="CT13" s="10" t="str">
        <f t="shared" si="22"/>
        <v xml:space="preserve"> </v>
      </c>
      <c r="CU13" s="10" t="str">
        <f t="shared" si="22"/>
        <v xml:space="preserve"> </v>
      </c>
      <c r="CV13" s="10" t="str">
        <f t="shared" si="22"/>
        <v xml:space="preserve"> </v>
      </c>
      <c r="CW13" s="10" t="str">
        <f t="shared" si="22"/>
        <v xml:space="preserve"> </v>
      </c>
      <c r="CZ13" s="10" t="str">
        <f t="shared" si="62"/>
        <v xml:space="preserve"> </v>
      </c>
      <c r="DA13" s="10" t="str">
        <f t="shared" si="23"/>
        <v xml:space="preserve"> </v>
      </c>
      <c r="DB13" s="10" t="str">
        <f t="shared" si="23"/>
        <v xml:space="preserve"> </v>
      </c>
      <c r="DC13" s="10" t="str">
        <f t="shared" si="23"/>
        <v xml:space="preserve"> </v>
      </c>
      <c r="DD13" s="10" t="str">
        <f t="shared" si="23"/>
        <v xml:space="preserve"> </v>
      </c>
      <c r="DG13" s="10" t="str">
        <f t="shared" si="63"/>
        <v xml:space="preserve"> </v>
      </c>
      <c r="DH13" s="10" t="str">
        <f t="shared" si="24"/>
        <v xml:space="preserve"> </v>
      </c>
      <c r="DI13" s="10" t="str">
        <f t="shared" si="24"/>
        <v xml:space="preserve"> </v>
      </c>
      <c r="DJ13" s="10" t="str">
        <f t="shared" si="24"/>
        <v xml:space="preserve"> </v>
      </c>
      <c r="DK13" s="10" t="str">
        <f t="shared" si="24"/>
        <v xml:space="preserve"> </v>
      </c>
      <c r="DN13" s="10" t="str">
        <f t="shared" si="64"/>
        <v xml:space="preserve"> </v>
      </c>
      <c r="DO13" s="10" t="str">
        <f t="shared" si="25"/>
        <v xml:space="preserve"> </v>
      </c>
      <c r="DP13" s="10" t="str">
        <f t="shared" si="25"/>
        <v xml:space="preserve"> </v>
      </c>
      <c r="DQ13" s="10" t="str">
        <f t="shared" si="25"/>
        <v xml:space="preserve"> </v>
      </c>
      <c r="DR13" s="10" t="str">
        <f t="shared" si="25"/>
        <v xml:space="preserve"> </v>
      </c>
      <c r="DU13" s="10" t="str">
        <f t="shared" si="65"/>
        <v xml:space="preserve"> </v>
      </c>
      <c r="DV13" s="10" t="str">
        <f t="shared" si="26"/>
        <v xml:space="preserve"> </v>
      </c>
      <c r="DW13" s="10" t="str">
        <f t="shared" si="26"/>
        <v xml:space="preserve"> </v>
      </c>
      <c r="DX13" s="10" t="str">
        <f t="shared" si="26"/>
        <v xml:space="preserve"> </v>
      </c>
      <c r="DY13" s="10" t="str">
        <f t="shared" si="26"/>
        <v xml:space="preserve"> </v>
      </c>
      <c r="EB13" s="10" t="str">
        <f t="shared" si="66"/>
        <v xml:space="preserve"> </v>
      </c>
      <c r="EC13" s="10" t="str">
        <f t="shared" si="27"/>
        <v xml:space="preserve"> </v>
      </c>
      <c r="ED13" s="10" t="str">
        <f t="shared" si="27"/>
        <v xml:space="preserve"> </v>
      </c>
      <c r="EE13" s="10" t="str">
        <f t="shared" si="27"/>
        <v xml:space="preserve"> </v>
      </c>
      <c r="EF13" s="10" t="str">
        <f t="shared" si="27"/>
        <v xml:space="preserve"> </v>
      </c>
      <c r="EI13" s="10" t="str">
        <f t="shared" si="67"/>
        <v xml:space="preserve"> </v>
      </c>
      <c r="EJ13" s="10" t="str">
        <f t="shared" si="28"/>
        <v xml:space="preserve"> </v>
      </c>
      <c r="EK13" s="10" t="str">
        <f t="shared" si="28"/>
        <v xml:space="preserve"> </v>
      </c>
      <c r="EL13" s="10" t="str">
        <f t="shared" si="28"/>
        <v xml:space="preserve"> </v>
      </c>
      <c r="EM13" s="10" t="str">
        <f t="shared" si="28"/>
        <v xml:space="preserve"> </v>
      </c>
      <c r="EP13" s="10" t="str">
        <f t="shared" si="68"/>
        <v xml:space="preserve"> </v>
      </c>
      <c r="EQ13" s="10" t="str">
        <f t="shared" si="29"/>
        <v xml:space="preserve"> </v>
      </c>
      <c r="ER13" s="10" t="str">
        <f t="shared" si="29"/>
        <v xml:space="preserve"> </v>
      </c>
      <c r="ES13" s="10" t="str">
        <f t="shared" si="29"/>
        <v xml:space="preserve"> </v>
      </c>
      <c r="ET13" s="10" t="str">
        <f t="shared" si="29"/>
        <v xml:space="preserve"> </v>
      </c>
      <c r="EW13" s="10" t="str">
        <f t="shared" si="69"/>
        <v xml:space="preserve"> </v>
      </c>
      <c r="EX13" s="10" t="str">
        <f t="shared" si="30"/>
        <v xml:space="preserve"> </v>
      </c>
      <c r="EY13" s="10" t="str">
        <f t="shared" si="30"/>
        <v xml:space="preserve"> </v>
      </c>
      <c r="EZ13" s="10" t="str">
        <f t="shared" si="30"/>
        <v xml:space="preserve"> </v>
      </c>
      <c r="FA13" s="10" t="str">
        <f t="shared" si="30"/>
        <v xml:space="preserve"> </v>
      </c>
      <c r="FD13" s="10" t="str">
        <f t="shared" si="70"/>
        <v xml:space="preserve"> </v>
      </c>
      <c r="FE13" s="10" t="str">
        <f t="shared" si="31"/>
        <v xml:space="preserve"> </v>
      </c>
      <c r="FF13" s="10" t="str">
        <f t="shared" si="31"/>
        <v xml:space="preserve"> </v>
      </c>
      <c r="FG13" s="10" t="str">
        <f t="shared" si="31"/>
        <v xml:space="preserve"> </v>
      </c>
      <c r="FH13" s="10" t="str">
        <f t="shared" si="31"/>
        <v xml:space="preserve"> </v>
      </c>
      <c r="FK13" s="10" t="str">
        <f t="shared" si="71"/>
        <v xml:space="preserve"> </v>
      </c>
      <c r="FL13" s="10" t="str">
        <f t="shared" si="32"/>
        <v xml:space="preserve"> </v>
      </c>
      <c r="FM13" s="10" t="str">
        <f t="shared" si="32"/>
        <v xml:space="preserve"> </v>
      </c>
      <c r="FN13" s="10" t="str">
        <f t="shared" si="32"/>
        <v xml:space="preserve"> </v>
      </c>
      <c r="FO13" s="10" t="str">
        <f t="shared" si="32"/>
        <v xml:space="preserve"> </v>
      </c>
      <c r="FR13" s="10" t="str">
        <f t="shared" si="72"/>
        <v xml:space="preserve"> </v>
      </c>
      <c r="FS13" s="10" t="str">
        <f t="shared" si="33"/>
        <v xml:space="preserve"> </v>
      </c>
      <c r="FT13" s="10" t="str">
        <f t="shared" si="33"/>
        <v xml:space="preserve"> </v>
      </c>
      <c r="FU13" s="10" t="str">
        <f t="shared" si="33"/>
        <v xml:space="preserve"> </v>
      </c>
      <c r="FV13" s="10" t="str">
        <f t="shared" si="33"/>
        <v xml:space="preserve"> </v>
      </c>
      <c r="FY13" s="10" t="str">
        <f t="shared" si="73"/>
        <v xml:space="preserve"> </v>
      </c>
      <c r="FZ13" s="10" t="str">
        <f t="shared" si="34"/>
        <v xml:space="preserve"> </v>
      </c>
      <c r="GA13" s="10" t="str">
        <f t="shared" si="34"/>
        <v xml:space="preserve"> </v>
      </c>
      <c r="GB13" s="10" t="str">
        <f t="shared" si="34"/>
        <v xml:space="preserve"> </v>
      </c>
      <c r="GC13" s="10" t="str">
        <f t="shared" si="34"/>
        <v xml:space="preserve"> </v>
      </c>
      <c r="GF13" s="10" t="str">
        <f t="shared" si="74"/>
        <v xml:space="preserve"> </v>
      </c>
      <c r="GG13" s="10" t="str">
        <f t="shared" si="35"/>
        <v xml:space="preserve"> </v>
      </c>
      <c r="GH13" s="10" t="str">
        <f t="shared" si="35"/>
        <v xml:space="preserve"> </v>
      </c>
      <c r="GI13" s="10" t="str">
        <f t="shared" si="35"/>
        <v xml:space="preserve"> </v>
      </c>
      <c r="GJ13" s="10" t="str">
        <f t="shared" si="35"/>
        <v xml:space="preserve"> </v>
      </c>
      <c r="GM13" s="10" t="str">
        <f t="shared" si="75"/>
        <v xml:space="preserve"> </v>
      </c>
      <c r="GN13" s="10" t="str">
        <f t="shared" si="36"/>
        <v xml:space="preserve"> </v>
      </c>
      <c r="GO13" s="10" t="str">
        <f t="shared" si="36"/>
        <v xml:space="preserve"> </v>
      </c>
      <c r="GP13" s="10" t="str">
        <f t="shared" si="36"/>
        <v xml:space="preserve"> </v>
      </c>
      <c r="GQ13" s="10" t="str">
        <f t="shared" si="36"/>
        <v xml:space="preserve"> </v>
      </c>
      <c r="GT13" s="10" t="str">
        <f t="shared" si="76"/>
        <v xml:space="preserve"> </v>
      </c>
      <c r="GU13" s="10" t="str">
        <f t="shared" si="37"/>
        <v xml:space="preserve"> </v>
      </c>
      <c r="GV13" s="10" t="str">
        <f t="shared" si="37"/>
        <v xml:space="preserve"> </v>
      </c>
      <c r="GW13" s="10" t="str">
        <f t="shared" si="37"/>
        <v xml:space="preserve"> </v>
      </c>
      <c r="GX13" s="10" t="str">
        <f t="shared" si="37"/>
        <v xml:space="preserve"> </v>
      </c>
      <c r="HA13" s="10" t="str">
        <f t="shared" si="77"/>
        <v xml:space="preserve"> </v>
      </c>
      <c r="HB13" s="10" t="str">
        <f t="shared" si="38"/>
        <v xml:space="preserve"> </v>
      </c>
      <c r="HC13" s="10" t="str">
        <f t="shared" si="38"/>
        <v xml:space="preserve"> </v>
      </c>
      <c r="HD13" s="10" t="str">
        <f t="shared" si="38"/>
        <v xml:space="preserve"> </v>
      </c>
      <c r="HE13" s="10" t="str">
        <f t="shared" si="38"/>
        <v xml:space="preserve"> </v>
      </c>
      <c r="HH13" s="10" t="str">
        <f t="shared" si="78"/>
        <v xml:space="preserve"> </v>
      </c>
      <c r="HI13" s="10" t="str">
        <f t="shared" si="39"/>
        <v xml:space="preserve"> </v>
      </c>
      <c r="HJ13" s="10" t="str">
        <f t="shared" si="39"/>
        <v xml:space="preserve"> </v>
      </c>
      <c r="HK13" s="10" t="str">
        <f t="shared" si="39"/>
        <v xml:space="preserve"> </v>
      </c>
      <c r="HL13" s="10" t="str">
        <f t="shared" si="39"/>
        <v xml:space="preserve"> </v>
      </c>
      <c r="HO13" s="10" t="str">
        <f t="shared" si="79"/>
        <v xml:space="preserve"> </v>
      </c>
      <c r="HP13" s="10" t="str">
        <f t="shared" si="40"/>
        <v xml:space="preserve"> </v>
      </c>
      <c r="HQ13" s="10" t="str">
        <f t="shared" si="40"/>
        <v xml:space="preserve"> </v>
      </c>
      <c r="HR13" s="10" t="str">
        <f t="shared" si="40"/>
        <v xml:space="preserve"> </v>
      </c>
      <c r="HS13" s="10" t="str">
        <f t="shared" si="40"/>
        <v xml:space="preserve"> </v>
      </c>
      <c r="HV13" s="10" t="str">
        <f t="shared" si="80"/>
        <v xml:space="preserve"> </v>
      </c>
      <c r="HW13" s="10" t="str">
        <f t="shared" si="41"/>
        <v xml:space="preserve"> </v>
      </c>
      <c r="HX13" s="10" t="str">
        <f t="shared" si="41"/>
        <v xml:space="preserve"> </v>
      </c>
      <c r="HY13" s="10" t="str">
        <f t="shared" si="41"/>
        <v xml:space="preserve"> </v>
      </c>
      <c r="HZ13" s="10" t="str">
        <f t="shared" si="41"/>
        <v xml:space="preserve"> </v>
      </c>
      <c r="IC13" s="10" t="str">
        <f t="shared" si="81"/>
        <v xml:space="preserve"> </v>
      </c>
      <c r="ID13" s="10" t="str">
        <f t="shared" si="42"/>
        <v xml:space="preserve"> </v>
      </c>
      <c r="IE13" s="10" t="str">
        <f t="shared" si="42"/>
        <v xml:space="preserve"> </v>
      </c>
      <c r="IF13" s="10" t="str">
        <f t="shared" si="42"/>
        <v xml:space="preserve"> </v>
      </c>
      <c r="IG13" s="10" t="str">
        <f t="shared" si="42"/>
        <v xml:space="preserve"> </v>
      </c>
      <c r="IJ13" s="10" t="str">
        <f t="shared" si="82"/>
        <v xml:space="preserve"> </v>
      </c>
      <c r="IK13" s="10" t="str">
        <f t="shared" si="43"/>
        <v xml:space="preserve"> </v>
      </c>
      <c r="IL13" s="10" t="str">
        <f t="shared" si="43"/>
        <v xml:space="preserve"> </v>
      </c>
      <c r="IM13" s="10" t="str">
        <f t="shared" si="43"/>
        <v xml:space="preserve"> </v>
      </c>
      <c r="IN13" s="10" t="str">
        <f t="shared" si="43"/>
        <v xml:space="preserve"> </v>
      </c>
      <c r="IQ13" s="10" t="str">
        <f t="shared" si="83"/>
        <v xml:space="preserve"> </v>
      </c>
      <c r="IR13" s="10" t="str">
        <f t="shared" si="44"/>
        <v xml:space="preserve"> </v>
      </c>
      <c r="IS13" s="10" t="str">
        <f t="shared" si="44"/>
        <v xml:space="preserve"> </v>
      </c>
      <c r="IT13" s="10" t="str">
        <f t="shared" si="44"/>
        <v xml:space="preserve"> </v>
      </c>
      <c r="IU13" s="10" t="str">
        <f t="shared" si="44"/>
        <v xml:space="preserve"> </v>
      </c>
      <c r="IX13" s="10" t="str">
        <f t="shared" si="84"/>
        <v xml:space="preserve"> </v>
      </c>
      <c r="IY13" s="10" t="str">
        <f t="shared" si="45"/>
        <v xml:space="preserve"> </v>
      </c>
      <c r="IZ13" s="10" t="str">
        <f t="shared" si="45"/>
        <v xml:space="preserve"> </v>
      </c>
      <c r="JA13" s="10" t="str">
        <f t="shared" si="45"/>
        <v xml:space="preserve"> </v>
      </c>
      <c r="JB13" s="10" t="str">
        <f t="shared" si="45"/>
        <v xml:space="preserve"> </v>
      </c>
      <c r="JE13" s="10" t="str">
        <f t="shared" si="85"/>
        <v xml:space="preserve"> </v>
      </c>
      <c r="JF13" s="10" t="str">
        <f t="shared" si="46"/>
        <v xml:space="preserve"> </v>
      </c>
      <c r="JG13" s="10" t="str">
        <f t="shared" si="46"/>
        <v xml:space="preserve"> </v>
      </c>
      <c r="JH13" s="10" t="str">
        <f t="shared" si="46"/>
        <v xml:space="preserve"> </v>
      </c>
      <c r="JI13" s="10" t="str">
        <f t="shared" si="46"/>
        <v xml:space="preserve"> </v>
      </c>
    </row>
    <row r="14" spans="1:271">
      <c r="A14" s="96"/>
      <c r="B14" s="10">
        <f t="shared" si="86"/>
        <v>6</v>
      </c>
      <c r="C14" s="11" t="s">
        <v>29</v>
      </c>
      <c r="D14" s="11" t="s">
        <v>24</v>
      </c>
      <c r="E14" s="10">
        <v>5</v>
      </c>
      <c r="F14" s="12">
        <f t="shared" si="87"/>
        <v>42515</v>
      </c>
      <c r="G14" s="12">
        <f>WORKDAY(F14,H14-1,Config!D12:D31)</f>
        <v>42516</v>
      </c>
      <c r="H14" s="10">
        <v>2</v>
      </c>
      <c r="I14" s="13">
        <v>1</v>
      </c>
      <c r="J14" s="13">
        <f ca="1">IF(((NETWORKDAYS(F14,TODAY(),Data!C7:C26)*100)/H14)/100 &gt; 0,((NETWORKDAYS(F14,TODAY(),Data!C7:C26)*100)/H14)/100,0)</f>
        <v>829</v>
      </c>
      <c r="K14" s="13" t="str">
        <f t="shared" ca="1" si="47"/>
        <v>100%</v>
      </c>
      <c r="L14" s="13">
        <f t="shared" ca="1" si="48"/>
        <v>0</v>
      </c>
      <c r="M14" s="10" t="str">
        <f t="shared" si="49"/>
        <v xml:space="preserve"> </v>
      </c>
      <c r="N14" s="10" t="str">
        <f t="shared" si="10"/>
        <v xml:space="preserve"> </v>
      </c>
      <c r="O14" s="10" t="str">
        <f t="shared" si="10"/>
        <v xml:space="preserve"> </v>
      </c>
      <c r="P14" s="10" t="str">
        <f t="shared" si="10"/>
        <v xml:space="preserve"> </v>
      </c>
      <c r="Q14" s="10" t="str">
        <f t="shared" si="10"/>
        <v xml:space="preserve"> </v>
      </c>
      <c r="R14" s="14"/>
      <c r="S14" s="14"/>
      <c r="T14" s="10" t="str">
        <f t="shared" si="50"/>
        <v xml:space="preserve"> </v>
      </c>
      <c r="U14" s="10" t="str">
        <f t="shared" si="11"/>
        <v xml:space="preserve"> </v>
      </c>
      <c r="V14" s="10" t="str">
        <f t="shared" si="11"/>
        <v xml:space="preserve"> </v>
      </c>
      <c r="W14" s="10" t="str">
        <f t="shared" si="11"/>
        <v xml:space="preserve"> </v>
      </c>
      <c r="X14" s="10" t="str">
        <f t="shared" si="11"/>
        <v xml:space="preserve"> </v>
      </c>
      <c r="Y14" s="14"/>
      <c r="Z14" s="14"/>
      <c r="AA14" s="10" t="str">
        <f t="shared" si="51"/>
        <v xml:space="preserve"> </v>
      </c>
      <c r="AB14" s="10" t="str">
        <f t="shared" si="12"/>
        <v xml:space="preserve"> </v>
      </c>
      <c r="AC14" s="10" t="str">
        <f t="shared" si="12"/>
        <v xml:space="preserve"> </v>
      </c>
      <c r="AD14" s="10" t="str">
        <f t="shared" si="12"/>
        <v xml:space="preserve"> </v>
      </c>
      <c r="AE14" s="10" t="str">
        <f t="shared" si="12"/>
        <v xml:space="preserve"> </v>
      </c>
      <c r="AF14" s="14"/>
      <c r="AG14" s="14"/>
      <c r="AH14" s="10" t="str">
        <f t="shared" si="52"/>
        <v>.</v>
      </c>
      <c r="AI14" s="10" t="str">
        <f t="shared" si="13"/>
        <v xml:space="preserve"> </v>
      </c>
      <c r="AJ14" s="10" t="str">
        <f t="shared" si="13"/>
        <v xml:space="preserve"> </v>
      </c>
      <c r="AK14" s="10" t="str">
        <f t="shared" si="13"/>
        <v xml:space="preserve"> </v>
      </c>
      <c r="AL14" s="10" t="str">
        <f t="shared" si="13"/>
        <v xml:space="preserve"> </v>
      </c>
      <c r="AM14" s="14"/>
      <c r="AN14" s="14"/>
      <c r="AO14" s="10" t="str">
        <f t="shared" si="53"/>
        <v xml:space="preserve"> </v>
      </c>
      <c r="AP14" s="10" t="str">
        <f t="shared" si="14"/>
        <v xml:space="preserve"> </v>
      </c>
      <c r="AQ14" s="10" t="str">
        <f t="shared" si="14"/>
        <v xml:space="preserve"> </v>
      </c>
      <c r="AR14" s="10" t="str">
        <f t="shared" si="14"/>
        <v xml:space="preserve"> </v>
      </c>
      <c r="AS14" s="10" t="str">
        <f t="shared" si="14"/>
        <v xml:space="preserve"> </v>
      </c>
      <c r="AT14" s="14"/>
      <c r="AU14" s="14"/>
      <c r="AV14" s="10" t="str">
        <f t="shared" si="54"/>
        <v xml:space="preserve"> </v>
      </c>
      <c r="AW14" s="10" t="str">
        <f t="shared" si="15"/>
        <v xml:space="preserve"> </v>
      </c>
      <c r="AX14" s="10" t="str">
        <f t="shared" si="15"/>
        <v xml:space="preserve"> </v>
      </c>
      <c r="AY14" s="10" t="str">
        <f t="shared" si="15"/>
        <v xml:space="preserve"> </v>
      </c>
      <c r="AZ14" s="10" t="str">
        <f t="shared" si="15"/>
        <v xml:space="preserve"> </v>
      </c>
      <c r="BA14" s="14"/>
      <c r="BB14" s="14"/>
      <c r="BC14" s="10" t="str">
        <f t="shared" si="55"/>
        <v xml:space="preserve"> </v>
      </c>
      <c r="BD14" s="10" t="str">
        <f t="shared" si="16"/>
        <v xml:space="preserve"> </v>
      </c>
      <c r="BE14" s="10" t="str">
        <f t="shared" si="16"/>
        <v xml:space="preserve"> </v>
      </c>
      <c r="BF14" s="10" t="str">
        <f t="shared" si="16"/>
        <v xml:space="preserve"> </v>
      </c>
      <c r="BG14" s="10" t="str">
        <f t="shared" si="16"/>
        <v xml:space="preserve"> </v>
      </c>
      <c r="BH14" s="14"/>
      <c r="BI14" s="14"/>
      <c r="BJ14" s="10" t="str">
        <f t="shared" si="56"/>
        <v xml:space="preserve"> </v>
      </c>
      <c r="BK14" s="10" t="str">
        <f t="shared" si="17"/>
        <v xml:space="preserve"> </v>
      </c>
      <c r="BL14" s="10" t="str">
        <f t="shared" si="17"/>
        <v xml:space="preserve"> </v>
      </c>
      <c r="BM14" s="10" t="str">
        <f t="shared" si="17"/>
        <v xml:space="preserve"> </v>
      </c>
      <c r="BN14" s="10" t="str">
        <f t="shared" si="17"/>
        <v xml:space="preserve"> </v>
      </c>
      <c r="BO14" s="14"/>
      <c r="BP14" s="14"/>
      <c r="BQ14" s="10" t="str">
        <f t="shared" si="57"/>
        <v xml:space="preserve"> </v>
      </c>
      <c r="BR14" s="10" t="str">
        <f t="shared" si="18"/>
        <v xml:space="preserve"> </v>
      </c>
      <c r="BS14" s="10" t="str">
        <f t="shared" si="18"/>
        <v xml:space="preserve"> </v>
      </c>
      <c r="BT14" s="10" t="str">
        <f t="shared" si="18"/>
        <v xml:space="preserve"> </v>
      </c>
      <c r="BU14" s="10" t="str">
        <f t="shared" si="18"/>
        <v xml:space="preserve"> </v>
      </c>
      <c r="BV14" s="14"/>
      <c r="BW14" s="14"/>
      <c r="BX14" s="10" t="str">
        <f t="shared" si="58"/>
        <v xml:space="preserve"> </v>
      </c>
      <c r="BY14" s="10" t="str">
        <f t="shared" si="19"/>
        <v xml:space="preserve"> </v>
      </c>
      <c r="BZ14" s="10" t="str">
        <f t="shared" si="19"/>
        <v xml:space="preserve"> </v>
      </c>
      <c r="CA14" s="10" t="str">
        <f t="shared" si="19"/>
        <v xml:space="preserve"> </v>
      </c>
      <c r="CB14" s="10" t="str">
        <f t="shared" si="19"/>
        <v xml:space="preserve"> </v>
      </c>
      <c r="CC14" s="14"/>
      <c r="CD14" s="14"/>
      <c r="CE14" s="10" t="str">
        <f t="shared" si="59"/>
        <v xml:space="preserve"> </v>
      </c>
      <c r="CF14" s="10" t="str">
        <f t="shared" si="20"/>
        <v xml:space="preserve"> </v>
      </c>
      <c r="CG14" s="10" t="str">
        <f t="shared" si="20"/>
        <v xml:space="preserve"> </v>
      </c>
      <c r="CH14" s="10" t="str">
        <f t="shared" si="20"/>
        <v xml:space="preserve"> </v>
      </c>
      <c r="CI14" s="10" t="str">
        <f t="shared" si="20"/>
        <v xml:space="preserve"> </v>
      </c>
      <c r="CJ14" s="14"/>
      <c r="CK14" s="14"/>
      <c r="CL14" s="10" t="str">
        <f t="shared" si="60"/>
        <v xml:space="preserve"> </v>
      </c>
      <c r="CM14" s="10" t="str">
        <f t="shared" si="21"/>
        <v xml:space="preserve"> </v>
      </c>
      <c r="CN14" s="10" t="str">
        <f t="shared" si="21"/>
        <v xml:space="preserve"> </v>
      </c>
      <c r="CO14" s="10" t="str">
        <f t="shared" si="21"/>
        <v xml:space="preserve"> </v>
      </c>
      <c r="CP14" s="10" t="str">
        <f t="shared" si="21"/>
        <v xml:space="preserve"> </v>
      </c>
      <c r="CQ14" s="14"/>
      <c r="CR14" s="14"/>
      <c r="CS14" s="10" t="str">
        <f t="shared" si="61"/>
        <v xml:space="preserve"> </v>
      </c>
      <c r="CT14" s="10" t="str">
        <f t="shared" si="22"/>
        <v xml:space="preserve"> </v>
      </c>
      <c r="CU14" s="10" t="str">
        <f t="shared" si="22"/>
        <v xml:space="preserve"> </v>
      </c>
      <c r="CV14" s="10" t="str">
        <f t="shared" si="22"/>
        <v xml:space="preserve"> </v>
      </c>
      <c r="CW14" s="10" t="str">
        <f t="shared" si="22"/>
        <v xml:space="preserve"> </v>
      </c>
      <c r="CZ14" s="10" t="str">
        <f t="shared" si="62"/>
        <v xml:space="preserve"> </v>
      </c>
      <c r="DA14" s="10" t="str">
        <f t="shared" si="23"/>
        <v xml:space="preserve"> </v>
      </c>
      <c r="DB14" s="10" t="str">
        <f t="shared" si="23"/>
        <v xml:space="preserve"> </v>
      </c>
      <c r="DC14" s="10" t="str">
        <f t="shared" si="23"/>
        <v xml:space="preserve"> </v>
      </c>
      <c r="DD14" s="10" t="str">
        <f t="shared" si="23"/>
        <v xml:space="preserve"> </v>
      </c>
      <c r="DG14" s="10" t="str">
        <f t="shared" si="63"/>
        <v xml:space="preserve"> </v>
      </c>
      <c r="DH14" s="10" t="str">
        <f t="shared" si="24"/>
        <v xml:space="preserve"> </v>
      </c>
      <c r="DI14" s="10" t="str">
        <f t="shared" si="24"/>
        <v xml:space="preserve"> </v>
      </c>
      <c r="DJ14" s="10" t="str">
        <f t="shared" si="24"/>
        <v xml:space="preserve"> </v>
      </c>
      <c r="DK14" s="10" t="str">
        <f t="shared" si="24"/>
        <v xml:space="preserve"> </v>
      </c>
      <c r="DN14" s="10" t="str">
        <f t="shared" si="64"/>
        <v xml:space="preserve"> </v>
      </c>
      <c r="DO14" s="10" t="str">
        <f t="shared" si="25"/>
        <v xml:space="preserve"> </v>
      </c>
      <c r="DP14" s="10" t="str">
        <f t="shared" si="25"/>
        <v xml:space="preserve"> </v>
      </c>
      <c r="DQ14" s="10" t="str">
        <f t="shared" si="25"/>
        <v xml:space="preserve"> </v>
      </c>
      <c r="DR14" s="10" t="str">
        <f t="shared" si="25"/>
        <v xml:space="preserve"> </v>
      </c>
      <c r="DU14" s="10" t="str">
        <f t="shared" si="65"/>
        <v xml:space="preserve"> </v>
      </c>
      <c r="DV14" s="10" t="str">
        <f t="shared" si="26"/>
        <v xml:space="preserve"> </v>
      </c>
      <c r="DW14" s="10" t="str">
        <f t="shared" si="26"/>
        <v xml:space="preserve"> </v>
      </c>
      <c r="DX14" s="10" t="str">
        <f t="shared" si="26"/>
        <v xml:space="preserve"> </v>
      </c>
      <c r="DY14" s="10" t="str">
        <f t="shared" si="26"/>
        <v xml:space="preserve"> </v>
      </c>
      <c r="EB14" s="10" t="str">
        <f t="shared" si="66"/>
        <v xml:space="preserve"> </v>
      </c>
      <c r="EC14" s="10" t="str">
        <f t="shared" si="27"/>
        <v xml:space="preserve"> </v>
      </c>
      <c r="ED14" s="10" t="str">
        <f t="shared" si="27"/>
        <v xml:space="preserve"> </v>
      </c>
      <c r="EE14" s="10" t="str">
        <f t="shared" si="27"/>
        <v xml:space="preserve"> </v>
      </c>
      <c r="EF14" s="10" t="str">
        <f t="shared" si="27"/>
        <v xml:space="preserve"> </v>
      </c>
      <c r="EI14" s="10" t="str">
        <f t="shared" si="67"/>
        <v xml:space="preserve"> </v>
      </c>
      <c r="EJ14" s="10" t="str">
        <f t="shared" si="28"/>
        <v xml:space="preserve"> </v>
      </c>
      <c r="EK14" s="10" t="str">
        <f t="shared" si="28"/>
        <v xml:space="preserve"> </v>
      </c>
      <c r="EL14" s="10" t="str">
        <f t="shared" si="28"/>
        <v xml:space="preserve"> </v>
      </c>
      <c r="EM14" s="10" t="str">
        <f t="shared" si="28"/>
        <v xml:space="preserve"> </v>
      </c>
      <c r="EP14" s="10" t="str">
        <f t="shared" si="68"/>
        <v xml:space="preserve"> </v>
      </c>
      <c r="EQ14" s="10" t="str">
        <f t="shared" si="29"/>
        <v xml:space="preserve"> </v>
      </c>
      <c r="ER14" s="10" t="str">
        <f t="shared" si="29"/>
        <v xml:space="preserve"> </v>
      </c>
      <c r="ES14" s="10" t="str">
        <f t="shared" si="29"/>
        <v xml:space="preserve"> </v>
      </c>
      <c r="ET14" s="10" t="str">
        <f t="shared" si="29"/>
        <v xml:space="preserve"> </v>
      </c>
      <c r="EW14" s="10" t="str">
        <f t="shared" si="69"/>
        <v xml:space="preserve"> </v>
      </c>
      <c r="EX14" s="10" t="str">
        <f t="shared" si="30"/>
        <v xml:space="preserve"> </v>
      </c>
      <c r="EY14" s="10" t="str">
        <f t="shared" si="30"/>
        <v xml:space="preserve"> </v>
      </c>
      <c r="EZ14" s="10" t="str">
        <f t="shared" si="30"/>
        <v xml:space="preserve"> </v>
      </c>
      <c r="FA14" s="10" t="str">
        <f t="shared" si="30"/>
        <v xml:space="preserve"> </v>
      </c>
      <c r="FD14" s="10" t="str">
        <f t="shared" si="70"/>
        <v xml:space="preserve"> </v>
      </c>
      <c r="FE14" s="10" t="str">
        <f t="shared" si="31"/>
        <v xml:space="preserve"> </v>
      </c>
      <c r="FF14" s="10" t="str">
        <f t="shared" si="31"/>
        <v xml:space="preserve"> </v>
      </c>
      <c r="FG14" s="10" t="str">
        <f t="shared" si="31"/>
        <v xml:space="preserve"> </v>
      </c>
      <c r="FH14" s="10" t="str">
        <f t="shared" si="31"/>
        <v xml:space="preserve"> </v>
      </c>
      <c r="FK14" s="10" t="str">
        <f t="shared" si="71"/>
        <v xml:space="preserve"> </v>
      </c>
      <c r="FL14" s="10" t="str">
        <f t="shared" si="32"/>
        <v xml:space="preserve"> </v>
      </c>
      <c r="FM14" s="10" t="str">
        <f t="shared" si="32"/>
        <v xml:space="preserve"> </v>
      </c>
      <c r="FN14" s="10" t="str">
        <f t="shared" si="32"/>
        <v xml:space="preserve"> </v>
      </c>
      <c r="FO14" s="10" t="str">
        <f t="shared" si="32"/>
        <v xml:space="preserve"> </v>
      </c>
      <c r="FR14" s="10" t="str">
        <f t="shared" si="72"/>
        <v xml:space="preserve"> </v>
      </c>
      <c r="FS14" s="10" t="str">
        <f t="shared" si="33"/>
        <v xml:space="preserve"> </v>
      </c>
      <c r="FT14" s="10" t="str">
        <f t="shared" si="33"/>
        <v xml:space="preserve"> </v>
      </c>
      <c r="FU14" s="10" t="str">
        <f t="shared" si="33"/>
        <v xml:space="preserve"> </v>
      </c>
      <c r="FV14" s="10" t="str">
        <f t="shared" si="33"/>
        <v xml:space="preserve"> </v>
      </c>
      <c r="FY14" s="10" t="str">
        <f t="shared" si="73"/>
        <v xml:space="preserve"> </v>
      </c>
      <c r="FZ14" s="10" t="str">
        <f t="shared" si="34"/>
        <v xml:space="preserve"> </v>
      </c>
      <c r="GA14" s="10" t="str">
        <f t="shared" si="34"/>
        <v xml:space="preserve"> </v>
      </c>
      <c r="GB14" s="10" t="str">
        <f t="shared" si="34"/>
        <v xml:space="preserve"> </v>
      </c>
      <c r="GC14" s="10" t="str">
        <f t="shared" si="34"/>
        <v xml:space="preserve"> </v>
      </c>
      <c r="GF14" s="10" t="str">
        <f t="shared" si="74"/>
        <v xml:space="preserve"> </v>
      </c>
      <c r="GG14" s="10" t="str">
        <f t="shared" si="35"/>
        <v xml:space="preserve"> </v>
      </c>
      <c r="GH14" s="10" t="str">
        <f t="shared" si="35"/>
        <v xml:space="preserve"> </v>
      </c>
      <c r="GI14" s="10" t="str">
        <f t="shared" si="35"/>
        <v xml:space="preserve"> </v>
      </c>
      <c r="GJ14" s="10" t="str">
        <f t="shared" si="35"/>
        <v xml:space="preserve"> </v>
      </c>
      <c r="GM14" s="10" t="str">
        <f t="shared" si="75"/>
        <v xml:space="preserve"> </v>
      </c>
      <c r="GN14" s="10" t="str">
        <f t="shared" si="36"/>
        <v xml:space="preserve"> </v>
      </c>
      <c r="GO14" s="10" t="str">
        <f t="shared" si="36"/>
        <v xml:space="preserve"> </v>
      </c>
      <c r="GP14" s="10" t="str">
        <f t="shared" si="36"/>
        <v xml:space="preserve"> </v>
      </c>
      <c r="GQ14" s="10" t="str">
        <f t="shared" si="36"/>
        <v xml:space="preserve"> </v>
      </c>
      <c r="GT14" s="10" t="str">
        <f t="shared" si="76"/>
        <v xml:space="preserve"> </v>
      </c>
      <c r="GU14" s="10" t="str">
        <f t="shared" si="37"/>
        <v xml:space="preserve"> </v>
      </c>
      <c r="GV14" s="10" t="str">
        <f t="shared" si="37"/>
        <v xml:space="preserve"> </v>
      </c>
      <c r="GW14" s="10" t="str">
        <f t="shared" si="37"/>
        <v xml:space="preserve"> </v>
      </c>
      <c r="GX14" s="10" t="str">
        <f t="shared" si="37"/>
        <v xml:space="preserve"> </v>
      </c>
      <c r="HA14" s="10" t="str">
        <f t="shared" si="77"/>
        <v xml:space="preserve"> </v>
      </c>
      <c r="HB14" s="10" t="str">
        <f t="shared" si="38"/>
        <v xml:space="preserve"> </v>
      </c>
      <c r="HC14" s="10" t="str">
        <f t="shared" si="38"/>
        <v xml:space="preserve"> </v>
      </c>
      <c r="HD14" s="10" t="str">
        <f t="shared" si="38"/>
        <v xml:space="preserve"> </v>
      </c>
      <c r="HE14" s="10" t="str">
        <f t="shared" si="38"/>
        <v xml:space="preserve"> </v>
      </c>
      <c r="HH14" s="10" t="str">
        <f t="shared" si="78"/>
        <v xml:space="preserve"> </v>
      </c>
      <c r="HI14" s="10" t="str">
        <f t="shared" si="39"/>
        <v xml:space="preserve"> </v>
      </c>
      <c r="HJ14" s="10" t="str">
        <f t="shared" si="39"/>
        <v xml:space="preserve"> </v>
      </c>
      <c r="HK14" s="10" t="str">
        <f t="shared" si="39"/>
        <v xml:space="preserve"> </v>
      </c>
      <c r="HL14" s="10" t="str">
        <f t="shared" si="39"/>
        <v xml:space="preserve"> </v>
      </c>
      <c r="HO14" s="10" t="str">
        <f t="shared" si="79"/>
        <v xml:space="preserve"> </v>
      </c>
      <c r="HP14" s="10" t="str">
        <f t="shared" si="40"/>
        <v xml:space="preserve"> </v>
      </c>
      <c r="HQ14" s="10" t="str">
        <f t="shared" si="40"/>
        <v xml:space="preserve"> </v>
      </c>
      <c r="HR14" s="10" t="str">
        <f t="shared" si="40"/>
        <v xml:space="preserve"> </v>
      </c>
      <c r="HS14" s="10" t="str">
        <f t="shared" si="40"/>
        <v xml:space="preserve"> </v>
      </c>
      <c r="HV14" s="10" t="str">
        <f t="shared" si="80"/>
        <v xml:space="preserve"> </v>
      </c>
      <c r="HW14" s="10" t="str">
        <f t="shared" si="41"/>
        <v xml:space="preserve"> </v>
      </c>
      <c r="HX14" s="10" t="str">
        <f t="shared" si="41"/>
        <v xml:space="preserve"> </v>
      </c>
      <c r="HY14" s="10" t="str">
        <f t="shared" si="41"/>
        <v xml:space="preserve"> </v>
      </c>
      <c r="HZ14" s="10" t="str">
        <f t="shared" si="41"/>
        <v xml:space="preserve"> </v>
      </c>
      <c r="IC14" s="10" t="str">
        <f t="shared" si="81"/>
        <v xml:space="preserve"> </v>
      </c>
      <c r="ID14" s="10" t="str">
        <f t="shared" si="42"/>
        <v xml:space="preserve"> </v>
      </c>
      <c r="IE14" s="10" t="str">
        <f t="shared" si="42"/>
        <v xml:space="preserve"> </v>
      </c>
      <c r="IF14" s="10" t="str">
        <f t="shared" si="42"/>
        <v xml:space="preserve"> </v>
      </c>
      <c r="IG14" s="10" t="str">
        <f t="shared" si="42"/>
        <v xml:space="preserve"> </v>
      </c>
      <c r="IJ14" s="10" t="str">
        <f t="shared" si="82"/>
        <v xml:space="preserve"> </v>
      </c>
      <c r="IK14" s="10" t="str">
        <f t="shared" si="43"/>
        <v xml:space="preserve"> </v>
      </c>
      <c r="IL14" s="10" t="str">
        <f t="shared" si="43"/>
        <v xml:space="preserve"> </v>
      </c>
      <c r="IM14" s="10" t="str">
        <f t="shared" si="43"/>
        <v xml:space="preserve"> </v>
      </c>
      <c r="IN14" s="10" t="str">
        <f t="shared" si="43"/>
        <v xml:space="preserve"> </v>
      </c>
      <c r="IQ14" s="10" t="str">
        <f t="shared" si="83"/>
        <v xml:space="preserve"> </v>
      </c>
      <c r="IR14" s="10" t="str">
        <f t="shared" si="44"/>
        <v xml:space="preserve"> </v>
      </c>
      <c r="IS14" s="10" t="str">
        <f t="shared" si="44"/>
        <v xml:space="preserve"> </v>
      </c>
      <c r="IT14" s="10" t="str">
        <f t="shared" si="44"/>
        <v xml:space="preserve"> </v>
      </c>
      <c r="IU14" s="10" t="str">
        <f t="shared" si="44"/>
        <v xml:space="preserve"> </v>
      </c>
      <c r="IX14" s="10" t="str">
        <f t="shared" si="84"/>
        <v xml:space="preserve"> </v>
      </c>
      <c r="IY14" s="10" t="str">
        <f t="shared" si="45"/>
        <v xml:space="preserve"> </v>
      </c>
      <c r="IZ14" s="10" t="str">
        <f t="shared" si="45"/>
        <v xml:space="preserve"> </v>
      </c>
      <c r="JA14" s="10" t="str">
        <f t="shared" si="45"/>
        <v xml:space="preserve"> </v>
      </c>
      <c r="JB14" s="10" t="str">
        <f t="shared" si="45"/>
        <v xml:space="preserve"> </v>
      </c>
      <c r="JE14" s="10" t="str">
        <f t="shared" si="85"/>
        <v xml:space="preserve"> </v>
      </c>
      <c r="JF14" s="10" t="str">
        <f t="shared" si="46"/>
        <v xml:space="preserve"> </v>
      </c>
      <c r="JG14" s="10" t="str">
        <f t="shared" si="46"/>
        <v xml:space="preserve"> </v>
      </c>
      <c r="JH14" s="10" t="str">
        <f t="shared" si="46"/>
        <v xml:space="preserve"> </v>
      </c>
      <c r="JI14" s="10" t="str">
        <f t="shared" si="46"/>
        <v xml:space="preserve"> </v>
      </c>
    </row>
    <row r="15" spans="1:271">
      <c r="A15" s="96"/>
      <c r="B15" s="10">
        <f>B14+1</f>
        <v>7</v>
      </c>
      <c r="C15" s="11" t="s">
        <v>30</v>
      </c>
      <c r="D15" s="11" t="s">
        <v>31</v>
      </c>
      <c r="E15" s="10">
        <v>6</v>
      </c>
      <c r="F15" s="12">
        <f t="shared" si="87"/>
        <v>42517</v>
      </c>
      <c r="G15" s="12">
        <f>WORKDAY(F15,H15-1,Config!D14:D33)</f>
        <v>42520</v>
      </c>
      <c r="H15" s="10">
        <v>2</v>
      </c>
      <c r="I15" s="13">
        <v>0.98</v>
      </c>
      <c r="J15" s="13">
        <f ca="1">IF(((NETWORKDAYS(F15,TODAY(),Data!C9:C28)*100)/H15)/100 &gt; 0,((NETWORKDAYS(F15,TODAY(),Data!C9:C28)*100)/H15)/100,0)</f>
        <v>828</v>
      </c>
      <c r="K15" s="13" t="str">
        <f t="shared" ca="1" si="47"/>
        <v>100%</v>
      </c>
      <c r="L15" s="13">
        <f t="shared" ca="1" si="48"/>
        <v>2.0000000000000018E-2</v>
      </c>
      <c r="M15" s="10" t="str">
        <f>IF(AND(M$6&gt;=$F15,M$6&lt;=$G15),"."," ")</f>
        <v xml:space="preserve"> </v>
      </c>
      <c r="N15" s="10" t="str">
        <f t="shared" ref="M15:Q82" si="88">IF(AND(N$6&gt;=$F15,N$6&lt;=$G15),"."," ")</f>
        <v xml:space="preserve"> </v>
      </c>
      <c r="O15" s="10" t="str">
        <f t="shared" si="88"/>
        <v xml:space="preserve"> </v>
      </c>
      <c r="P15" s="10" t="str">
        <f t="shared" si="88"/>
        <v xml:space="preserve"> </v>
      </c>
      <c r="Q15" s="10" t="str">
        <f t="shared" si="88"/>
        <v xml:space="preserve"> </v>
      </c>
      <c r="R15" s="14"/>
      <c r="S15" s="14"/>
      <c r="T15" s="10" t="str">
        <f t="shared" ref="T15:X69" si="89">IF(AND(T$6&gt;=$F15,T$6&lt;=$G15),"."," ")</f>
        <v xml:space="preserve"> </v>
      </c>
      <c r="U15" s="10" t="str">
        <f t="shared" si="89"/>
        <v xml:space="preserve"> </v>
      </c>
      <c r="V15" s="10" t="str">
        <f t="shared" si="89"/>
        <v xml:space="preserve"> </v>
      </c>
      <c r="W15" s="10" t="str">
        <f t="shared" si="89"/>
        <v xml:space="preserve"> </v>
      </c>
      <c r="X15" s="10" t="str">
        <f t="shared" si="89"/>
        <v xml:space="preserve"> </v>
      </c>
      <c r="Y15" s="14"/>
      <c r="Z15" s="14"/>
      <c r="AA15" s="10" t="str">
        <f t="shared" ref="AA15:AE69" si="90">IF(AND(AA$6&gt;=$F15,AA$6&lt;=$G15),"."," ")</f>
        <v xml:space="preserve"> </v>
      </c>
      <c r="AB15" s="10" t="str">
        <f t="shared" si="90"/>
        <v xml:space="preserve"> </v>
      </c>
      <c r="AC15" s="10" t="str">
        <f t="shared" si="90"/>
        <v xml:space="preserve"> </v>
      </c>
      <c r="AD15" s="10" t="str">
        <f t="shared" si="90"/>
        <v xml:space="preserve"> </v>
      </c>
      <c r="AE15" s="10" t="str">
        <f t="shared" si="90"/>
        <v xml:space="preserve"> </v>
      </c>
      <c r="AF15" s="14"/>
      <c r="AG15" s="14"/>
      <c r="AH15" s="10" t="str">
        <f t="shared" ref="AH15:AL69" si="91">IF(AND(AH$6&gt;=$F15,AH$6&lt;=$G15),"."," ")</f>
        <v xml:space="preserve"> </v>
      </c>
      <c r="AI15" s="10" t="str">
        <f t="shared" si="91"/>
        <v>.</v>
      </c>
      <c r="AJ15" s="10" t="str">
        <f t="shared" si="91"/>
        <v>.</v>
      </c>
      <c r="AK15" s="10" t="str">
        <f t="shared" si="91"/>
        <v>.</v>
      </c>
      <c r="AL15" s="10" t="str">
        <f t="shared" si="91"/>
        <v>.</v>
      </c>
      <c r="AM15" s="14"/>
      <c r="AN15" s="14"/>
      <c r="AO15" s="10" t="str">
        <f t="shared" ref="AO15:AS69" si="92">IF(AND(AO$6&gt;=$F15,AO$6&lt;=$G15),"."," ")</f>
        <v xml:space="preserve"> </v>
      </c>
      <c r="AP15" s="10" t="str">
        <f t="shared" si="92"/>
        <v xml:space="preserve"> </v>
      </c>
      <c r="AQ15" s="10" t="str">
        <f t="shared" si="92"/>
        <v xml:space="preserve"> </v>
      </c>
      <c r="AR15" s="10" t="str">
        <f t="shared" si="92"/>
        <v xml:space="preserve"> </v>
      </c>
      <c r="AS15" s="10" t="str">
        <f t="shared" si="92"/>
        <v xml:space="preserve"> </v>
      </c>
      <c r="AT15" s="14"/>
      <c r="AU15" s="14"/>
      <c r="AV15" s="10" t="str">
        <f t="shared" ref="AV15:AZ69" si="93">IF(AND(AV$6&gt;=$F15,AV$6&lt;=$G15),"."," ")</f>
        <v xml:space="preserve"> </v>
      </c>
      <c r="AW15" s="10" t="str">
        <f t="shared" si="93"/>
        <v xml:space="preserve"> </v>
      </c>
      <c r="AX15" s="10" t="str">
        <f t="shared" si="93"/>
        <v xml:space="preserve"> </v>
      </c>
      <c r="AY15" s="10" t="str">
        <f t="shared" si="93"/>
        <v xml:space="preserve"> </v>
      </c>
      <c r="AZ15" s="10" t="str">
        <f t="shared" si="93"/>
        <v xml:space="preserve"> </v>
      </c>
      <c r="BA15" s="14"/>
      <c r="BB15" s="14"/>
      <c r="BC15" s="10" t="str">
        <f t="shared" ref="BC15:BG69" si="94">IF(AND(BC$6&gt;=$F15,BC$6&lt;=$G15),"."," ")</f>
        <v xml:space="preserve"> </v>
      </c>
      <c r="BD15" s="10" t="str">
        <f t="shared" si="94"/>
        <v xml:space="preserve"> </v>
      </c>
      <c r="BE15" s="10" t="str">
        <f t="shared" si="94"/>
        <v xml:space="preserve"> </v>
      </c>
      <c r="BF15" s="10" t="str">
        <f t="shared" si="94"/>
        <v xml:space="preserve"> </v>
      </c>
      <c r="BG15" s="10" t="str">
        <f t="shared" si="94"/>
        <v xml:space="preserve"> </v>
      </c>
      <c r="BH15" s="14"/>
      <c r="BI15" s="14"/>
      <c r="BJ15" s="10" t="str">
        <f t="shared" ref="BJ15:BN69" si="95">IF(AND(BJ$6&gt;=$F15,BJ$6&lt;=$G15),"."," ")</f>
        <v xml:space="preserve"> </v>
      </c>
      <c r="BK15" s="10" t="str">
        <f t="shared" si="95"/>
        <v xml:space="preserve"> </v>
      </c>
      <c r="BL15" s="10" t="str">
        <f t="shared" si="95"/>
        <v xml:space="preserve"> </v>
      </c>
      <c r="BM15" s="10" t="str">
        <f t="shared" si="95"/>
        <v xml:space="preserve"> </v>
      </c>
      <c r="BN15" s="10" t="str">
        <f t="shared" si="95"/>
        <v xml:space="preserve"> </v>
      </c>
      <c r="BO15" s="14"/>
      <c r="BP15" s="14"/>
      <c r="BQ15" s="10" t="str">
        <f t="shared" ref="BQ15:BU69" si="96">IF(AND(BQ$6&gt;=$F15,BQ$6&lt;=$G15),"."," ")</f>
        <v xml:space="preserve"> </v>
      </c>
      <c r="BR15" s="10" t="str">
        <f t="shared" si="96"/>
        <v xml:space="preserve"> </v>
      </c>
      <c r="BS15" s="10" t="str">
        <f t="shared" si="96"/>
        <v xml:space="preserve"> </v>
      </c>
      <c r="BT15" s="10" t="str">
        <f t="shared" si="96"/>
        <v xml:space="preserve"> </v>
      </c>
      <c r="BU15" s="10" t="str">
        <f t="shared" si="96"/>
        <v xml:space="preserve"> </v>
      </c>
      <c r="BV15" s="14"/>
      <c r="BW15" s="14"/>
      <c r="BX15" s="10" t="str">
        <f t="shared" ref="BX15:CB69" si="97">IF(AND(BX$6&gt;=$F15,BX$6&lt;=$G15),"."," ")</f>
        <v xml:space="preserve"> </v>
      </c>
      <c r="BY15" s="10" t="str">
        <f t="shared" si="97"/>
        <v xml:space="preserve"> </v>
      </c>
      <c r="BZ15" s="10" t="str">
        <f t="shared" si="97"/>
        <v xml:space="preserve"> </v>
      </c>
      <c r="CA15" s="10" t="str">
        <f t="shared" si="97"/>
        <v xml:space="preserve"> </v>
      </c>
      <c r="CB15" s="10" t="str">
        <f t="shared" si="97"/>
        <v xml:space="preserve"> </v>
      </c>
      <c r="CC15" s="14"/>
      <c r="CD15" s="14"/>
      <c r="CE15" s="10" t="str">
        <f t="shared" ref="CE15:CI69" si="98">IF(AND(CE$6&gt;=$F15,CE$6&lt;=$G15),"."," ")</f>
        <v xml:space="preserve"> </v>
      </c>
      <c r="CF15" s="10" t="str">
        <f t="shared" si="98"/>
        <v xml:space="preserve"> </v>
      </c>
      <c r="CG15" s="10" t="str">
        <f t="shared" si="98"/>
        <v xml:space="preserve"> </v>
      </c>
      <c r="CH15" s="10" t="str">
        <f t="shared" si="98"/>
        <v xml:space="preserve"> </v>
      </c>
      <c r="CI15" s="10" t="str">
        <f t="shared" si="98"/>
        <v xml:space="preserve"> </v>
      </c>
      <c r="CJ15" s="14"/>
      <c r="CK15" s="14"/>
      <c r="CL15" s="10" t="str">
        <f t="shared" ref="CL15:CP69" si="99">IF(AND(CL$6&gt;=$F15,CL$6&lt;=$G15),"."," ")</f>
        <v xml:space="preserve"> </v>
      </c>
      <c r="CM15" s="10" t="str">
        <f t="shared" si="99"/>
        <v xml:space="preserve"> </v>
      </c>
      <c r="CN15" s="10" t="str">
        <f t="shared" si="99"/>
        <v xml:space="preserve"> </v>
      </c>
      <c r="CO15" s="10" t="str">
        <f t="shared" si="99"/>
        <v xml:space="preserve"> </v>
      </c>
      <c r="CP15" s="10" t="str">
        <f t="shared" si="99"/>
        <v xml:space="preserve"> </v>
      </c>
      <c r="CQ15" s="14"/>
      <c r="CR15" s="14"/>
      <c r="CS15" s="10" t="str">
        <f t="shared" ref="CS15:CW69" si="100">IF(AND(CS$6&gt;=$F15,CS$6&lt;=$G15),"."," ")</f>
        <v xml:space="preserve"> </v>
      </c>
      <c r="CT15" s="10" t="str">
        <f t="shared" si="100"/>
        <v xml:space="preserve"> </v>
      </c>
      <c r="CU15" s="10" t="str">
        <f t="shared" si="100"/>
        <v xml:space="preserve"> </v>
      </c>
      <c r="CV15" s="10" t="str">
        <f t="shared" si="100"/>
        <v xml:space="preserve"> </v>
      </c>
      <c r="CW15" s="10" t="str">
        <f t="shared" si="100"/>
        <v xml:space="preserve"> </v>
      </c>
      <c r="CZ15" s="10" t="str">
        <f t="shared" ref="CZ15:DD69" si="101">IF(AND(CZ$6&gt;=$F15,CZ$6&lt;=$G15),"."," ")</f>
        <v xml:space="preserve"> </v>
      </c>
      <c r="DA15" s="10" t="str">
        <f t="shared" si="101"/>
        <v xml:space="preserve"> </v>
      </c>
      <c r="DB15" s="10" t="str">
        <f t="shared" si="101"/>
        <v xml:space="preserve"> </v>
      </c>
      <c r="DC15" s="10" t="str">
        <f t="shared" si="101"/>
        <v xml:space="preserve"> </v>
      </c>
      <c r="DD15" s="10" t="str">
        <f t="shared" si="101"/>
        <v xml:space="preserve"> </v>
      </c>
      <c r="DG15" s="10" t="str">
        <f t="shared" ref="DG15:DK69" si="102">IF(AND(DG$6&gt;=$F15,DG$6&lt;=$G15),"."," ")</f>
        <v xml:space="preserve"> </v>
      </c>
      <c r="DH15" s="10" t="str">
        <f t="shared" si="102"/>
        <v xml:space="preserve"> </v>
      </c>
      <c r="DI15" s="10" t="str">
        <f t="shared" si="102"/>
        <v xml:space="preserve"> </v>
      </c>
      <c r="DJ15" s="10" t="str">
        <f t="shared" si="102"/>
        <v xml:space="preserve"> </v>
      </c>
      <c r="DK15" s="10" t="str">
        <f t="shared" si="102"/>
        <v xml:space="preserve"> </v>
      </c>
      <c r="DN15" s="10" t="str">
        <f t="shared" ref="DN15:DR69" si="103">IF(AND(DN$6&gt;=$F15,DN$6&lt;=$G15),"."," ")</f>
        <v xml:space="preserve"> </v>
      </c>
      <c r="DO15" s="10" t="str">
        <f t="shared" si="103"/>
        <v xml:space="preserve"> </v>
      </c>
      <c r="DP15" s="10" t="str">
        <f t="shared" si="103"/>
        <v xml:space="preserve"> </v>
      </c>
      <c r="DQ15" s="10" t="str">
        <f t="shared" si="103"/>
        <v xml:space="preserve"> </v>
      </c>
      <c r="DR15" s="10" t="str">
        <f t="shared" si="103"/>
        <v xml:space="preserve"> </v>
      </c>
      <c r="DU15" s="10" t="str">
        <f t="shared" ref="DU15:DY69" si="104">IF(AND(DU$6&gt;=$F15,DU$6&lt;=$G15),"."," ")</f>
        <v xml:space="preserve"> </v>
      </c>
      <c r="DV15" s="10" t="str">
        <f t="shared" si="104"/>
        <v xml:space="preserve"> </v>
      </c>
      <c r="DW15" s="10" t="str">
        <f t="shared" si="104"/>
        <v xml:space="preserve"> </v>
      </c>
      <c r="DX15" s="10" t="str">
        <f t="shared" si="104"/>
        <v xml:space="preserve"> </v>
      </c>
      <c r="DY15" s="10" t="str">
        <f t="shared" si="104"/>
        <v xml:space="preserve"> </v>
      </c>
      <c r="EB15" s="10" t="str">
        <f t="shared" ref="EB15:EF69" si="105">IF(AND(EB$6&gt;=$F15,EB$6&lt;=$G15),"."," ")</f>
        <v xml:space="preserve"> </v>
      </c>
      <c r="EC15" s="10" t="str">
        <f t="shared" si="105"/>
        <v xml:space="preserve"> </v>
      </c>
      <c r="ED15" s="10" t="str">
        <f t="shared" si="105"/>
        <v xml:space="preserve"> </v>
      </c>
      <c r="EE15" s="10" t="str">
        <f t="shared" si="105"/>
        <v xml:space="preserve"> </v>
      </c>
      <c r="EF15" s="10" t="str">
        <f t="shared" si="105"/>
        <v xml:space="preserve"> </v>
      </c>
      <c r="EI15" s="10" t="str">
        <f t="shared" ref="EI15:EM69" si="106">IF(AND(EI$6&gt;=$F15,EI$6&lt;=$G15),"."," ")</f>
        <v xml:space="preserve"> </v>
      </c>
      <c r="EJ15" s="10" t="str">
        <f t="shared" si="106"/>
        <v xml:space="preserve"> </v>
      </c>
      <c r="EK15" s="10" t="str">
        <f t="shared" si="106"/>
        <v xml:space="preserve"> </v>
      </c>
      <c r="EL15" s="10" t="str">
        <f t="shared" si="106"/>
        <v xml:space="preserve"> </v>
      </c>
      <c r="EM15" s="10" t="str">
        <f t="shared" si="106"/>
        <v xml:space="preserve"> </v>
      </c>
      <c r="EP15" s="10" t="str">
        <f t="shared" ref="EP15:ET69" si="107">IF(AND(EP$6&gt;=$F15,EP$6&lt;=$G15),"."," ")</f>
        <v xml:space="preserve"> </v>
      </c>
      <c r="EQ15" s="10" t="str">
        <f t="shared" si="107"/>
        <v xml:space="preserve"> </v>
      </c>
      <c r="ER15" s="10" t="str">
        <f t="shared" si="107"/>
        <v xml:space="preserve"> </v>
      </c>
      <c r="ES15" s="10" t="str">
        <f t="shared" si="107"/>
        <v xml:space="preserve"> </v>
      </c>
      <c r="ET15" s="10" t="str">
        <f t="shared" si="107"/>
        <v xml:space="preserve"> </v>
      </c>
      <c r="EW15" s="10" t="str">
        <f t="shared" ref="EW15:FA69" si="108">IF(AND(EW$6&gt;=$F15,EW$6&lt;=$G15),"."," ")</f>
        <v xml:space="preserve"> </v>
      </c>
      <c r="EX15" s="10" t="str">
        <f t="shared" si="108"/>
        <v xml:space="preserve"> </v>
      </c>
      <c r="EY15" s="10" t="str">
        <f t="shared" si="108"/>
        <v xml:space="preserve"> </v>
      </c>
      <c r="EZ15" s="10" t="str">
        <f t="shared" si="108"/>
        <v xml:space="preserve"> </v>
      </c>
      <c r="FA15" s="10" t="str">
        <f t="shared" si="108"/>
        <v xml:space="preserve"> </v>
      </c>
      <c r="FD15" s="10" t="str">
        <f t="shared" ref="FD15:FH69" si="109">IF(AND(FD$6&gt;=$F15,FD$6&lt;=$G15),"."," ")</f>
        <v xml:space="preserve"> </v>
      </c>
      <c r="FE15" s="10" t="str">
        <f t="shared" si="109"/>
        <v xml:space="preserve"> </v>
      </c>
      <c r="FF15" s="10" t="str">
        <f t="shared" si="109"/>
        <v xml:space="preserve"> </v>
      </c>
      <c r="FG15" s="10" t="str">
        <f t="shared" si="109"/>
        <v xml:space="preserve"> </v>
      </c>
      <c r="FH15" s="10" t="str">
        <f t="shared" si="109"/>
        <v xml:space="preserve"> </v>
      </c>
      <c r="FK15" s="10" t="str">
        <f t="shared" ref="FK15:FO69" si="110">IF(AND(FK$6&gt;=$F15,FK$6&lt;=$G15),"."," ")</f>
        <v xml:space="preserve"> </v>
      </c>
      <c r="FL15" s="10" t="str">
        <f t="shared" si="110"/>
        <v xml:space="preserve"> </v>
      </c>
      <c r="FM15" s="10" t="str">
        <f t="shared" si="110"/>
        <v xml:space="preserve"> </v>
      </c>
      <c r="FN15" s="10" t="str">
        <f t="shared" si="110"/>
        <v xml:space="preserve"> </v>
      </c>
      <c r="FO15" s="10" t="str">
        <f t="shared" si="110"/>
        <v xml:space="preserve"> </v>
      </c>
      <c r="FR15" s="10" t="str">
        <f t="shared" ref="FR15:FV69" si="111">IF(AND(FR$6&gt;=$F15,FR$6&lt;=$G15),"."," ")</f>
        <v xml:space="preserve"> </v>
      </c>
      <c r="FS15" s="10" t="str">
        <f t="shared" si="111"/>
        <v xml:space="preserve"> </v>
      </c>
      <c r="FT15" s="10" t="str">
        <f t="shared" si="111"/>
        <v xml:space="preserve"> </v>
      </c>
      <c r="FU15" s="10" t="str">
        <f t="shared" si="111"/>
        <v xml:space="preserve"> </v>
      </c>
      <c r="FV15" s="10" t="str">
        <f t="shared" si="111"/>
        <v xml:space="preserve"> </v>
      </c>
      <c r="FY15" s="10" t="str">
        <f t="shared" ref="FY15:GC69" si="112">IF(AND(FY$6&gt;=$F15,FY$6&lt;=$G15),"."," ")</f>
        <v xml:space="preserve"> </v>
      </c>
      <c r="FZ15" s="10" t="str">
        <f t="shared" si="112"/>
        <v xml:space="preserve"> </v>
      </c>
      <c r="GA15" s="10" t="str">
        <f t="shared" si="112"/>
        <v xml:space="preserve"> </v>
      </c>
      <c r="GB15" s="10" t="str">
        <f t="shared" si="112"/>
        <v xml:space="preserve"> </v>
      </c>
      <c r="GC15" s="10" t="str">
        <f t="shared" si="112"/>
        <v xml:space="preserve"> </v>
      </c>
      <c r="GF15" s="10" t="str">
        <f t="shared" ref="GF15:GJ69" si="113">IF(AND(GF$6&gt;=$F15,GF$6&lt;=$G15),"."," ")</f>
        <v xml:space="preserve"> </v>
      </c>
      <c r="GG15" s="10" t="str">
        <f t="shared" si="113"/>
        <v xml:space="preserve"> </v>
      </c>
      <c r="GH15" s="10" t="str">
        <f t="shared" si="113"/>
        <v xml:space="preserve"> </v>
      </c>
      <c r="GI15" s="10" t="str">
        <f t="shared" si="113"/>
        <v xml:space="preserve"> </v>
      </c>
      <c r="GJ15" s="10" t="str">
        <f t="shared" si="113"/>
        <v xml:space="preserve"> </v>
      </c>
      <c r="GM15" s="10" t="str">
        <f t="shared" ref="GM15:GQ69" si="114">IF(AND(GM$6&gt;=$F15,GM$6&lt;=$G15),"."," ")</f>
        <v xml:space="preserve"> </v>
      </c>
      <c r="GN15" s="10" t="str">
        <f t="shared" si="114"/>
        <v xml:space="preserve"> </v>
      </c>
      <c r="GO15" s="10" t="str">
        <f t="shared" si="114"/>
        <v xml:space="preserve"> </v>
      </c>
      <c r="GP15" s="10" t="str">
        <f t="shared" si="114"/>
        <v xml:space="preserve"> </v>
      </c>
      <c r="GQ15" s="10" t="str">
        <f t="shared" si="114"/>
        <v xml:space="preserve"> </v>
      </c>
      <c r="GT15" s="10" t="str">
        <f t="shared" ref="GT15:GX69" si="115">IF(AND(GT$6&gt;=$F15,GT$6&lt;=$G15),"."," ")</f>
        <v xml:space="preserve"> </v>
      </c>
      <c r="GU15" s="10" t="str">
        <f t="shared" si="115"/>
        <v xml:space="preserve"> </v>
      </c>
      <c r="GV15" s="10" t="str">
        <f t="shared" si="115"/>
        <v xml:space="preserve"> </v>
      </c>
      <c r="GW15" s="10" t="str">
        <f t="shared" si="115"/>
        <v xml:space="preserve"> </v>
      </c>
      <c r="GX15" s="10" t="str">
        <f t="shared" si="115"/>
        <v xml:space="preserve"> </v>
      </c>
      <c r="HA15" s="10" t="str">
        <f t="shared" ref="HA15:HE69" si="116">IF(AND(HA$6&gt;=$F15,HA$6&lt;=$G15),"."," ")</f>
        <v xml:space="preserve"> </v>
      </c>
      <c r="HB15" s="10" t="str">
        <f t="shared" si="116"/>
        <v xml:space="preserve"> </v>
      </c>
      <c r="HC15" s="10" t="str">
        <f t="shared" si="116"/>
        <v xml:space="preserve"> </v>
      </c>
      <c r="HD15" s="10" t="str">
        <f t="shared" si="116"/>
        <v xml:space="preserve"> </v>
      </c>
      <c r="HE15" s="10" t="str">
        <f t="shared" si="116"/>
        <v xml:space="preserve"> </v>
      </c>
      <c r="HH15" s="10" t="str">
        <f t="shared" ref="HH15:HL69" si="117">IF(AND(HH$6&gt;=$F15,HH$6&lt;=$G15),"."," ")</f>
        <v xml:space="preserve"> </v>
      </c>
      <c r="HI15" s="10" t="str">
        <f t="shared" si="117"/>
        <v xml:space="preserve"> </v>
      </c>
      <c r="HJ15" s="10" t="str">
        <f t="shared" si="117"/>
        <v xml:space="preserve"> </v>
      </c>
      <c r="HK15" s="10" t="str">
        <f t="shared" si="117"/>
        <v xml:space="preserve"> </v>
      </c>
      <c r="HL15" s="10" t="str">
        <f t="shared" si="117"/>
        <v xml:space="preserve"> </v>
      </c>
      <c r="HO15" s="10" t="str">
        <f t="shared" ref="HO15:HS69" si="118">IF(AND(HO$6&gt;=$F15,HO$6&lt;=$G15),"."," ")</f>
        <v xml:space="preserve"> </v>
      </c>
      <c r="HP15" s="10" t="str">
        <f t="shared" si="118"/>
        <v xml:space="preserve"> </v>
      </c>
      <c r="HQ15" s="10" t="str">
        <f t="shared" si="118"/>
        <v xml:space="preserve"> </v>
      </c>
      <c r="HR15" s="10" t="str">
        <f t="shared" si="118"/>
        <v xml:space="preserve"> </v>
      </c>
      <c r="HS15" s="10" t="str">
        <f t="shared" si="118"/>
        <v xml:space="preserve"> </v>
      </c>
      <c r="HV15" s="10" t="str">
        <f t="shared" ref="HV15:HZ69" si="119">IF(AND(HV$6&gt;=$F15,HV$6&lt;=$G15),"."," ")</f>
        <v xml:space="preserve"> </v>
      </c>
      <c r="HW15" s="10" t="str">
        <f t="shared" si="119"/>
        <v xml:space="preserve"> </v>
      </c>
      <c r="HX15" s="10" t="str">
        <f t="shared" si="119"/>
        <v xml:space="preserve"> </v>
      </c>
      <c r="HY15" s="10" t="str">
        <f t="shared" si="119"/>
        <v xml:space="preserve"> </v>
      </c>
      <c r="HZ15" s="10" t="str">
        <f t="shared" si="119"/>
        <v xml:space="preserve"> </v>
      </c>
      <c r="IC15" s="10" t="str">
        <f t="shared" ref="IC15:IG69" si="120">IF(AND(IC$6&gt;=$F15,IC$6&lt;=$G15),"."," ")</f>
        <v xml:space="preserve"> </v>
      </c>
      <c r="ID15" s="10" t="str">
        <f t="shared" si="120"/>
        <v xml:space="preserve"> </v>
      </c>
      <c r="IE15" s="10" t="str">
        <f t="shared" si="120"/>
        <v xml:space="preserve"> </v>
      </c>
      <c r="IF15" s="10" t="str">
        <f t="shared" si="120"/>
        <v xml:space="preserve"> </v>
      </c>
      <c r="IG15" s="10" t="str">
        <f t="shared" si="120"/>
        <v xml:space="preserve"> </v>
      </c>
      <c r="IJ15" s="10" t="str">
        <f t="shared" ref="IJ15:IN69" si="121">IF(AND(IJ$6&gt;=$F15,IJ$6&lt;=$G15),"."," ")</f>
        <v xml:space="preserve"> </v>
      </c>
      <c r="IK15" s="10" t="str">
        <f t="shared" si="121"/>
        <v xml:space="preserve"> </v>
      </c>
      <c r="IL15" s="10" t="str">
        <f t="shared" si="121"/>
        <v xml:space="preserve"> </v>
      </c>
      <c r="IM15" s="10" t="str">
        <f t="shared" si="121"/>
        <v xml:space="preserve"> </v>
      </c>
      <c r="IN15" s="10" t="str">
        <f t="shared" si="121"/>
        <v xml:space="preserve"> </v>
      </c>
      <c r="IQ15" s="10" t="str">
        <f t="shared" ref="IQ15:IU69" si="122">IF(AND(IQ$6&gt;=$F15,IQ$6&lt;=$G15),"."," ")</f>
        <v xml:space="preserve"> </v>
      </c>
      <c r="IR15" s="10" t="str">
        <f t="shared" si="122"/>
        <v xml:space="preserve"> </v>
      </c>
      <c r="IS15" s="10" t="str">
        <f t="shared" si="122"/>
        <v xml:space="preserve"> </v>
      </c>
      <c r="IT15" s="10" t="str">
        <f t="shared" si="122"/>
        <v xml:space="preserve"> </v>
      </c>
      <c r="IU15" s="10" t="str">
        <f t="shared" si="122"/>
        <v xml:space="preserve"> </v>
      </c>
      <c r="IX15" s="10" t="str">
        <f t="shared" ref="IX15:JB69" si="123">IF(AND(IX$6&gt;=$F15,IX$6&lt;=$G15),"."," ")</f>
        <v xml:space="preserve"> </v>
      </c>
      <c r="IY15" s="10" t="str">
        <f t="shared" si="123"/>
        <v xml:space="preserve"> </v>
      </c>
      <c r="IZ15" s="10" t="str">
        <f t="shared" si="123"/>
        <v xml:space="preserve"> </v>
      </c>
      <c r="JA15" s="10" t="str">
        <f t="shared" si="123"/>
        <v xml:space="preserve"> </v>
      </c>
      <c r="JB15" s="10" t="str">
        <f t="shared" si="123"/>
        <v xml:space="preserve"> </v>
      </c>
      <c r="JE15" s="10" t="str">
        <f t="shared" ref="JE15:JI69" si="124">IF(AND(JE$6&gt;=$F15,JE$6&lt;=$G15),"."," ")</f>
        <v xml:space="preserve"> </v>
      </c>
      <c r="JF15" s="10" t="str">
        <f t="shared" si="124"/>
        <v xml:space="preserve"> </v>
      </c>
      <c r="JG15" s="10" t="str">
        <f t="shared" si="124"/>
        <v xml:space="preserve"> </v>
      </c>
      <c r="JH15" s="10" t="str">
        <f t="shared" si="124"/>
        <v xml:space="preserve"> </v>
      </c>
      <c r="JI15" s="10" t="str">
        <f t="shared" si="124"/>
        <v xml:space="preserve"> </v>
      </c>
    </row>
    <row r="16" spans="1:271">
      <c r="A16" s="96"/>
      <c r="B16" s="10">
        <v>8</v>
      </c>
      <c r="C16" s="11" t="s">
        <v>32</v>
      </c>
      <c r="D16" s="11" t="s">
        <v>33</v>
      </c>
      <c r="E16" s="10">
        <v>7</v>
      </c>
      <c r="F16" s="12">
        <f t="shared" si="87"/>
        <v>42521</v>
      </c>
      <c r="G16" s="12">
        <f>WORKDAY(F16,H16-1,Config!D15:D34)</f>
        <v>42523</v>
      </c>
      <c r="H16" s="10">
        <v>3</v>
      </c>
      <c r="I16" s="13">
        <v>0.65</v>
      </c>
      <c r="J16" s="13">
        <f ca="1">IF(((NETWORKDAYS(F16,TODAY(),Data!C10:C29)*100)/H16)/100 &gt; 0,((NETWORKDAYS(F16,TODAY(),Data!C10:C29)*100)/H16)/100,0)</f>
        <v>551.33333333333337</v>
      </c>
      <c r="K16" s="13" t="str">
        <f t="shared" ca="1" si="47"/>
        <v>100%</v>
      </c>
      <c r="L16" s="13">
        <f t="shared" ca="1" si="48"/>
        <v>0.35</v>
      </c>
      <c r="M16" s="10" t="str">
        <f t="shared" ref="M16:M20" si="125">IF(AND(M$6&gt;=$F16,M$6&lt;=$G16),"."," ")</f>
        <v xml:space="preserve"> </v>
      </c>
      <c r="N16" s="10" t="str">
        <f t="shared" si="88"/>
        <v xml:space="preserve"> </v>
      </c>
      <c r="O16" s="10" t="str">
        <f t="shared" si="88"/>
        <v xml:space="preserve"> </v>
      </c>
      <c r="P16" s="10" t="str">
        <f t="shared" si="88"/>
        <v xml:space="preserve"> </v>
      </c>
      <c r="Q16" s="10" t="str">
        <f t="shared" si="88"/>
        <v xml:space="preserve"> </v>
      </c>
      <c r="R16" s="14"/>
      <c r="S16" s="14"/>
      <c r="T16" s="10" t="str">
        <f t="shared" si="89"/>
        <v xml:space="preserve"> </v>
      </c>
      <c r="U16" s="10" t="str">
        <f t="shared" si="89"/>
        <v xml:space="preserve"> </v>
      </c>
      <c r="V16" s="10" t="str">
        <f t="shared" si="89"/>
        <v xml:space="preserve"> </v>
      </c>
      <c r="W16" s="10" t="str">
        <f t="shared" si="89"/>
        <v xml:space="preserve"> </v>
      </c>
      <c r="X16" s="10" t="str">
        <f t="shared" si="89"/>
        <v xml:space="preserve"> </v>
      </c>
      <c r="Y16" s="14"/>
      <c r="Z16" s="14"/>
      <c r="AA16" s="10" t="str">
        <f t="shared" si="90"/>
        <v xml:space="preserve"> </v>
      </c>
      <c r="AB16" s="10" t="str">
        <f t="shared" si="90"/>
        <v xml:space="preserve"> </v>
      </c>
      <c r="AC16" s="10" t="str">
        <f t="shared" si="90"/>
        <v xml:space="preserve"> </v>
      </c>
      <c r="AD16" s="10" t="str">
        <f t="shared" si="90"/>
        <v xml:space="preserve"> </v>
      </c>
      <c r="AE16" s="10" t="str">
        <f t="shared" si="90"/>
        <v xml:space="preserve"> </v>
      </c>
      <c r="AF16" s="14"/>
      <c r="AG16" s="14"/>
      <c r="AH16" s="10" t="str">
        <f t="shared" si="91"/>
        <v xml:space="preserve"> </v>
      </c>
      <c r="AI16" s="10" t="str">
        <f t="shared" si="91"/>
        <v xml:space="preserve"> </v>
      </c>
      <c r="AJ16" s="10" t="str">
        <f t="shared" si="91"/>
        <v xml:space="preserve"> </v>
      </c>
      <c r="AK16" s="10" t="str">
        <f t="shared" si="91"/>
        <v xml:space="preserve"> </v>
      </c>
      <c r="AL16" s="10" t="str">
        <f t="shared" si="91"/>
        <v xml:space="preserve"> </v>
      </c>
      <c r="AM16" s="14"/>
      <c r="AN16" s="14"/>
      <c r="AO16" s="10" t="str">
        <f t="shared" si="92"/>
        <v>.</v>
      </c>
      <c r="AP16" s="10" t="str">
        <f t="shared" si="92"/>
        <v xml:space="preserve"> </v>
      </c>
      <c r="AQ16" s="10" t="str">
        <f t="shared" si="92"/>
        <v xml:space="preserve"> </v>
      </c>
      <c r="AR16" s="10" t="str">
        <f t="shared" si="92"/>
        <v xml:space="preserve"> </v>
      </c>
      <c r="AS16" s="10" t="str">
        <f t="shared" si="92"/>
        <v xml:space="preserve"> </v>
      </c>
      <c r="AT16" s="14"/>
      <c r="AU16" s="14"/>
      <c r="AV16" s="10" t="str">
        <f t="shared" si="93"/>
        <v xml:space="preserve"> </v>
      </c>
      <c r="AW16" s="10" t="str">
        <f t="shared" si="93"/>
        <v xml:space="preserve"> </v>
      </c>
      <c r="AX16" s="10" t="str">
        <f t="shared" si="93"/>
        <v xml:space="preserve"> </v>
      </c>
      <c r="AY16" s="10" t="str">
        <f t="shared" si="93"/>
        <v xml:space="preserve"> </v>
      </c>
      <c r="AZ16" s="10" t="str">
        <f t="shared" si="93"/>
        <v xml:space="preserve"> </v>
      </c>
      <c r="BA16" s="14"/>
      <c r="BB16" s="14"/>
      <c r="BC16" s="10" t="str">
        <f t="shared" si="94"/>
        <v xml:space="preserve"> </v>
      </c>
      <c r="BD16" s="10" t="str">
        <f t="shared" si="94"/>
        <v xml:space="preserve"> </v>
      </c>
      <c r="BE16" s="10" t="str">
        <f t="shared" si="94"/>
        <v xml:space="preserve"> </v>
      </c>
      <c r="BF16" s="10" t="str">
        <f t="shared" si="94"/>
        <v xml:space="preserve"> </v>
      </c>
      <c r="BG16" s="10" t="str">
        <f t="shared" si="94"/>
        <v xml:space="preserve"> </v>
      </c>
      <c r="BH16" s="14"/>
      <c r="BI16" s="14"/>
      <c r="BJ16" s="10" t="str">
        <f t="shared" si="95"/>
        <v xml:space="preserve"> </v>
      </c>
      <c r="BK16" s="10" t="str">
        <f t="shared" si="95"/>
        <v xml:space="preserve"> </v>
      </c>
      <c r="BL16" s="10" t="str">
        <f t="shared" si="95"/>
        <v xml:space="preserve"> </v>
      </c>
      <c r="BM16" s="10" t="str">
        <f t="shared" si="95"/>
        <v xml:space="preserve"> </v>
      </c>
      <c r="BN16" s="10" t="str">
        <f t="shared" si="95"/>
        <v xml:space="preserve"> </v>
      </c>
      <c r="BO16" s="14"/>
      <c r="BP16" s="14"/>
      <c r="BQ16" s="10" t="str">
        <f t="shared" si="96"/>
        <v xml:space="preserve"> </v>
      </c>
      <c r="BR16" s="10" t="str">
        <f t="shared" si="96"/>
        <v xml:space="preserve"> </v>
      </c>
      <c r="BS16" s="10" t="str">
        <f t="shared" si="96"/>
        <v xml:space="preserve"> </v>
      </c>
      <c r="BT16" s="10" t="str">
        <f t="shared" si="96"/>
        <v xml:space="preserve"> </v>
      </c>
      <c r="BU16" s="10" t="str">
        <f t="shared" si="96"/>
        <v xml:space="preserve"> </v>
      </c>
      <c r="BV16" s="14"/>
      <c r="BW16" s="14"/>
      <c r="BX16" s="10" t="str">
        <f t="shared" si="97"/>
        <v xml:space="preserve"> </v>
      </c>
      <c r="BY16" s="10" t="str">
        <f t="shared" si="97"/>
        <v xml:space="preserve"> </v>
      </c>
      <c r="BZ16" s="10" t="str">
        <f t="shared" si="97"/>
        <v xml:space="preserve"> </v>
      </c>
      <c r="CA16" s="10" t="str">
        <f t="shared" si="97"/>
        <v xml:space="preserve"> </v>
      </c>
      <c r="CB16" s="10" t="str">
        <f t="shared" si="97"/>
        <v xml:space="preserve"> </v>
      </c>
      <c r="CC16" s="14"/>
      <c r="CD16" s="14"/>
      <c r="CE16" s="10" t="str">
        <f t="shared" si="98"/>
        <v xml:space="preserve"> </v>
      </c>
      <c r="CF16" s="10" t="str">
        <f t="shared" si="98"/>
        <v xml:space="preserve"> </v>
      </c>
      <c r="CG16" s="10" t="str">
        <f t="shared" si="98"/>
        <v xml:space="preserve"> </v>
      </c>
      <c r="CH16" s="10" t="str">
        <f t="shared" si="98"/>
        <v xml:space="preserve"> </v>
      </c>
      <c r="CI16" s="10" t="str">
        <f t="shared" si="98"/>
        <v xml:space="preserve"> </v>
      </c>
      <c r="CJ16" s="14"/>
      <c r="CK16" s="14"/>
      <c r="CL16" s="10" t="str">
        <f t="shared" si="99"/>
        <v xml:space="preserve"> </v>
      </c>
      <c r="CM16" s="10" t="str">
        <f t="shared" si="99"/>
        <v xml:space="preserve"> </v>
      </c>
      <c r="CN16" s="10" t="str">
        <f t="shared" si="99"/>
        <v xml:space="preserve"> </v>
      </c>
      <c r="CO16" s="10" t="str">
        <f t="shared" si="99"/>
        <v xml:space="preserve"> </v>
      </c>
      <c r="CP16" s="10" t="str">
        <f t="shared" si="99"/>
        <v xml:space="preserve"> </v>
      </c>
      <c r="CQ16" s="14"/>
      <c r="CR16" s="14"/>
      <c r="CS16" s="10" t="str">
        <f t="shared" si="100"/>
        <v xml:space="preserve"> </v>
      </c>
      <c r="CT16" s="10" t="str">
        <f t="shared" si="100"/>
        <v xml:space="preserve"> </v>
      </c>
      <c r="CU16" s="10" t="str">
        <f t="shared" si="100"/>
        <v xml:space="preserve"> </v>
      </c>
      <c r="CV16" s="10" t="str">
        <f t="shared" si="100"/>
        <v xml:space="preserve"> </v>
      </c>
      <c r="CW16" s="10" t="str">
        <f t="shared" si="100"/>
        <v xml:space="preserve"> </v>
      </c>
      <c r="CZ16" s="10" t="str">
        <f t="shared" si="101"/>
        <v xml:space="preserve"> </v>
      </c>
      <c r="DA16" s="10" t="str">
        <f t="shared" si="101"/>
        <v xml:space="preserve"> </v>
      </c>
      <c r="DB16" s="10" t="str">
        <f t="shared" si="101"/>
        <v xml:space="preserve"> </v>
      </c>
      <c r="DC16" s="10" t="str">
        <f t="shared" si="101"/>
        <v xml:space="preserve"> </v>
      </c>
      <c r="DD16" s="10" t="str">
        <f t="shared" si="101"/>
        <v xml:space="preserve"> </v>
      </c>
      <c r="DG16" s="10" t="str">
        <f t="shared" si="102"/>
        <v xml:space="preserve"> </v>
      </c>
      <c r="DH16" s="10" t="str">
        <f t="shared" si="102"/>
        <v xml:space="preserve"> </v>
      </c>
      <c r="DI16" s="10" t="str">
        <f t="shared" si="102"/>
        <v xml:space="preserve"> </v>
      </c>
      <c r="DJ16" s="10" t="str">
        <f t="shared" si="102"/>
        <v xml:space="preserve"> </v>
      </c>
      <c r="DK16" s="10" t="str">
        <f t="shared" si="102"/>
        <v xml:space="preserve"> </v>
      </c>
      <c r="DN16" s="10" t="str">
        <f t="shared" si="103"/>
        <v xml:space="preserve"> </v>
      </c>
      <c r="DO16" s="10" t="str">
        <f t="shared" si="103"/>
        <v xml:space="preserve"> </v>
      </c>
      <c r="DP16" s="10" t="str">
        <f t="shared" si="103"/>
        <v xml:space="preserve"> </v>
      </c>
      <c r="DQ16" s="10" t="str">
        <f t="shared" si="103"/>
        <v xml:space="preserve"> </v>
      </c>
      <c r="DR16" s="10" t="str">
        <f t="shared" si="103"/>
        <v xml:space="preserve"> </v>
      </c>
      <c r="DU16" s="10" t="str">
        <f t="shared" si="104"/>
        <v xml:space="preserve"> </v>
      </c>
      <c r="DV16" s="10" t="str">
        <f t="shared" si="104"/>
        <v xml:space="preserve"> </v>
      </c>
      <c r="DW16" s="10" t="str">
        <f t="shared" si="104"/>
        <v xml:space="preserve"> </v>
      </c>
      <c r="DX16" s="10" t="str">
        <f t="shared" si="104"/>
        <v xml:space="preserve"> </v>
      </c>
      <c r="DY16" s="10" t="str">
        <f t="shared" si="104"/>
        <v xml:space="preserve"> </v>
      </c>
      <c r="EB16" s="10" t="str">
        <f t="shared" si="105"/>
        <v xml:space="preserve"> </v>
      </c>
      <c r="EC16" s="10" t="str">
        <f t="shared" si="105"/>
        <v xml:space="preserve"> </v>
      </c>
      <c r="ED16" s="10" t="str">
        <f t="shared" si="105"/>
        <v xml:space="preserve"> </v>
      </c>
      <c r="EE16" s="10" t="str">
        <f t="shared" si="105"/>
        <v xml:space="preserve"> </v>
      </c>
      <c r="EF16" s="10" t="str">
        <f t="shared" si="105"/>
        <v xml:space="preserve"> </v>
      </c>
      <c r="EI16" s="10" t="str">
        <f t="shared" si="106"/>
        <v xml:space="preserve"> </v>
      </c>
      <c r="EJ16" s="10" t="str">
        <f t="shared" si="106"/>
        <v xml:space="preserve"> </v>
      </c>
      <c r="EK16" s="10" t="str">
        <f t="shared" si="106"/>
        <v xml:space="preserve"> </v>
      </c>
      <c r="EL16" s="10" t="str">
        <f t="shared" si="106"/>
        <v xml:space="preserve"> </v>
      </c>
      <c r="EM16" s="10" t="str">
        <f t="shared" si="106"/>
        <v xml:space="preserve"> </v>
      </c>
      <c r="EP16" s="10" t="str">
        <f t="shared" si="107"/>
        <v xml:space="preserve"> </v>
      </c>
      <c r="EQ16" s="10" t="str">
        <f t="shared" si="107"/>
        <v xml:space="preserve"> </v>
      </c>
      <c r="ER16" s="10" t="str">
        <f t="shared" si="107"/>
        <v xml:space="preserve"> </v>
      </c>
      <c r="ES16" s="10" t="str">
        <f t="shared" si="107"/>
        <v xml:space="preserve"> </v>
      </c>
      <c r="ET16" s="10" t="str">
        <f t="shared" si="107"/>
        <v xml:space="preserve"> </v>
      </c>
      <c r="EW16" s="10" t="str">
        <f t="shared" si="108"/>
        <v xml:space="preserve"> </v>
      </c>
      <c r="EX16" s="10" t="str">
        <f t="shared" si="108"/>
        <v xml:space="preserve"> </v>
      </c>
      <c r="EY16" s="10" t="str">
        <f t="shared" si="108"/>
        <v xml:space="preserve"> </v>
      </c>
      <c r="EZ16" s="10" t="str">
        <f t="shared" si="108"/>
        <v xml:space="preserve"> </v>
      </c>
      <c r="FA16" s="10" t="str">
        <f t="shared" si="108"/>
        <v xml:space="preserve"> </v>
      </c>
      <c r="FD16" s="10" t="str">
        <f t="shared" si="109"/>
        <v xml:space="preserve"> </v>
      </c>
      <c r="FE16" s="10" t="str">
        <f t="shared" si="109"/>
        <v xml:space="preserve"> </v>
      </c>
      <c r="FF16" s="10" t="str">
        <f t="shared" si="109"/>
        <v xml:space="preserve"> </v>
      </c>
      <c r="FG16" s="10" t="str">
        <f t="shared" si="109"/>
        <v xml:space="preserve"> </v>
      </c>
      <c r="FH16" s="10" t="str">
        <f t="shared" si="109"/>
        <v xml:space="preserve"> </v>
      </c>
      <c r="FK16" s="10" t="str">
        <f t="shared" si="110"/>
        <v xml:space="preserve"> </v>
      </c>
      <c r="FL16" s="10" t="str">
        <f t="shared" si="110"/>
        <v xml:space="preserve"> </v>
      </c>
      <c r="FM16" s="10" t="str">
        <f t="shared" si="110"/>
        <v xml:space="preserve"> </v>
      </c>
      <c r="FN16" s="10" t="str">
        <f t="shared" si="110"/>
        <v xml:space="preserve"> </v>
      </c>
      <c r="FO16" s="10" t="str">
        <f t="shared" si="110"/>
        <v xml:space="preserve"> </v>
      </c>
      <c r="FR16" s="10" t="str">
        <f t="shared" si="111"/>
        <v xml:space="preserve"> </v>
      </c>
      <c r="FS16" s="10" t="str">
        <f t="shared" si="111"/>
        <v xml:space="preserve"> </v>
      </c>
      <c r="FT16" s="10" t="str">
        <f t="shared" si="111"/>
        <v xml:space="preserve"> </v>
      </c>
      <c r="FU16" s="10" t="str">
        <f t="shared" si="111"/>
        <v xml:space="preserve"> </v>
      </c>
      <c r="FV16" s="10" t="str">
        <f t="shared" si="111"/>
        <v xml:space="preserve"> </v>
      </c>
      <c r="FY16" s="10" t="str">
        <f t="shared" si="112"/>
        <v xml:space="preserve"> </v>
      </c>
      <c r="FZ16" s="10" t="str">
        <f t="shared" si="112"/>
        <v xml:space="preserve"> </v>
      </c>
      <c r="GA16" s="10" t="str">
        <f t="shared" si="112"/>
        <v xml:space="preserve"> </v>
      </c>
      <c r="GB16" s="10" t="str">
        <f t="shared" si="112"/>
        <v xml:space="preserve"> </v>
      </c>
      <c r="GC16" s="10" t="str">
        <f t="shared" si="112"/>
        <v xml:space="preserve"> </v>
      </c>
      <c r="GF16" s="10" t="str">
        <f t="shared" si="113"/>
        <v xml:space="preserve"> </v>
      </c>
      <c r="GG16" s="10" t="str">
        <f t="shared" si="113"/>
        <v xml:space="preserve"> </v>
      </c>
      <c r="GH16" s="10" t="str">
        <f t="shared" si="113"/>
        <v xml:space="preserve"> </v>
      </c>
      <c r="GI16" s="10" t="str">
        <f t="shared" si="113"/>
        <v xml:space="preserve"> </v>
      </c>
      <c r="GJ16" s="10" t="str">
        <f t="shared" si="113"/>
        <v xml:space="preserve"> </v>
      </c>
      <c r="GM16" s="10" t="str">
        <f t="shared" si="114"/>
        <v xml:space="preserve"> </v>
      </c>
      <c r="GN16" s="10" t="str">
        <f t="shared" si="114"/>
        <v xml:space="preserve"> </v>
      </c>
      <c r="GO16" s="10" t="str">
        <f t="shared" si="114"/>
        <v xml:space="preserve"> </v>
      </c>
      <c r="GP16" s="10" t="str">
        <f t="shared" si="114"/>
        <v xml:space="preserve"> </v>
      </c>
      <c r="GQ16" s="10" t="str">
        <f t="shared" si="114"/>
        <v xml:space="preserve"> </v>
      </c>
      <c r="GT16" s="10" t="str">
        <f t="shared" si="115"/>
        <v xml:space="preserve"> </v>
      </c>
      <c r="GU16" s="10" t="str">
        <f t="shared" si="115"/>
        <v xml:space="preserve"> </v>
      </c>
      <c r="GV16" s="10" t="str">
        <f t="shared" si="115"/>
        <v xml:space="preserve"> </v>
      </c>
      <c r="GW16" s="10" t="str">
        <f t="shared" si="115"/>
        <v xml:space="preserve"> </v>
      </c>
      <c r="GX16" s="10" t="str">
        <f t="shared" si="115"/>
        <v xml:space="preserve"> </v>
      </c>
      <c r="HA16" s="10" t="str">
        <f t="shared" si="116"/>
        <v xml:space="preserve"> </v>
      </c>
      <c r="HB16" s="10" t="str">
        <f t="shared" si="116"/>
        <v xml:space="preserve"> </v>
      </c>
      <c r="HC16" s="10" t="str">
        <f t="shared" si="116"/>
        <v xml:space="preserve"> </v>
      </c>
      <c r="HD16" s="10" t="str">
        <f t="shared" si="116"/>
        <v xml:space="preserve"> </v>
      </c>
      <c r="HE16" s="10" t="str">
        <f t="shared" si="116"/>
        <v xml:space="preserve"> </v>
      </c>
      <c r="HH16" s="10" t="str">
        <f t="shared" si="117"/>
        <v xml:space="preserve"> </v>
      </c>
      <c r="HI16" s="10" t="str">
        <f t="shared" si="117"/>
        <v xml:space="preserve"> </v>
      </c>
      <c r="HJ16" s="10" t="str">
        <f t="shared" si="117"/>
        <v xml:space="preserve"> </v>
      </c>
      <c r="HK16" s="10" t="str">
        <f t="shared" si="117"/>
        <v xml:space="preserve"> </v>
      </c>
      <c r="HL16" s="10" t="str">
        <f t="shared" si="117"/>
        <v xml:space="preserve"> </v>
      </c>
      <c r="HO16" s="10" t="str">
        <f t="shared" si="118"/>
        <v xml:space="preserve"> </v>
      </c>
      <c r="HP16" s="10" t="str">
        <f t="shared" si="118"/>
        <v xml:space="preserve"> </v>
      </c>
      <c r="HQ16" s="10" t="str">
        <f t="shared" si="118"/>
        <v xml:space="preserve"> </v>
      </c>
      <c r="HR16" s="10" t="str">
        <f t="shared" si="118"/>
        <v xml:space="preserve"> </v>
      </c>
      <c r="HS16" s="10" t="str">
        <f t="shared" si="118"/>
        <v xml:space="preserve"> </v>
      </c>
      <c r="HV16" s="10" t="str">
        <f t="shared" si="119"/>
        <v xml:space="preserve"> </v>
      </c>
      <c r="HW16" s="10" t="str">
        <f t="shared" si="119"/>
        <v xml:space="preserve"> </v>
      </c>
      <c r="HX16" s="10" t="str">
        <f t="shared" si="119"/>
        <v xml:space="preserve"> </v>
      </c>
      <c r="HY16" s="10" t="str">
        <f t="shared" si="119"/>
        <v xml:space="preserve"> </v>
      </c>
      <c r="HZ16" s="10" t="str">
        <f t="shared" si="119"/>
        <v xml:space="preserve"> </v>
      </c>
      <c r="IC16" s="10" t="str">
        <f t="shared" si="120"/>
        <v xml:space="preserve"> </v>
      </c>
      <c r="ID16" s="10" t="str">
        <f t="shared" si="120"/>
        <v xml:space="preserve"> </v>
      </c>
      <c r="IE16" s="10" t="str">
        <f t="shared" si="120"/>
        <v xml:space="preserve"> </v>
      </c>
      <c r="IF16" s="10" t="str">
        <f t="shared" si="120"/>
        <v xml:space="preserve"> </v>
      </c>
      <c r="IG16" s="10" t="str">
        <f t="shared" si="120"/>
        <v xml:space="preserve"> </v>
      </c>
      <c r="IJ16" s="10" t="str">
        <f t="shared" si="121"/>
        <v xml:space="preserve"> </v>
      </c>
      <c r="IK16" s="10" t="str">
        <f t="shared" si="121"/>
        <v xml:space="preserve"> </v>
      </c>
      <c r="IL16" s="10" t="str">
        <f t="shared" si="121"/>
        <v xml:space="preserve"> </v>
      </c>
      <c r="IM16" s="10" t="str">
        <f t="shared" si="121"/>
        <v xml:space="preserve"> </v>
      </c>
      <c r="IN16" s="10" t="str">
        <f t="shared" si="121"/>
        <v xml:space="preserve"> </v>
      </c>
      <c r="IQ16" s="10" t="str">
        <f t="shared" si="122"/>
        <v xml:space="preserve"> </v>
      </c>
      <c r="IR16" s="10" t="str">
        <f t="shared" si="122"/>
        <v xml:space="preserve"> </v>
      </c>
      <c r="IS16" s="10" t="str">
        <f t="shared" si="122"/>
        <v xml:space="preserve"> </v>
      </c>
      <c r="IT16" s="10" t="str">
        <f t="shared" si="122"/>
        <v xml:space="preserve"> </v>
      </c>
      <c r="IU16" s="10" t="str">
        <f t="shared" si="122"/>
        <v xml:space="preserve"> </v>
      </c>
      <c r="IX16" s="10" t="str">
        <f t="shared" si="123"/>
        <v xml:space="preserve"> </v>
      </c>
      <c r="IY16" s="10" t="str">
        <f t="shared" si="123"/>
        <v xml:space="preserve"> </v>
      </c>
      <c r="IZ16" s="10" t="str">
        <f t="shared" si="123"/>
        <v xml:space="preserve"> </v>
      </c>
      <c r="JA16" s="10" t="str">
        <f t="shared" si="123"/>
        <v xml:space="preserve"> </v>
      </c>
      <c r="JB16" s="10" t="str">
        <f t="shared" si="123"/>
        <v xml:space="preserve"> </v>
      </c>
      <c r="JE16" s="10" t="str">
        <f t="shared" si="124"/>
        <v xml:space="preserve"> </v>
      </c>
      <c r="JF16" s="10" t="str">
        <f t="shared" si="124"/>
        <v xml:space="preserve"> </v>
      </c>
      <c r="JG16" s="10" t="str">
        <f t="shared" si="124"/>
        <v xml:space="preserve"> </v>
      </c>
      <c r="JH16" s="10" t="str">
        <f t="shared" si="124"/>
        <v xml:space="preserve"> </v>
      </c>
      <c r="JI16" s="10" t="str">
        <f t="shared" si="124"/>
        <v xml:space="preserve"> </v>
      </c>
    </row>
    <row r="17" spans="1:269">
      <c r="A17" s="96"/>
      <c r="B17" s="10">
        <v>9</v>
      </c>
      <c r="C17" s="11" t="s">
        <v>34</v>
      </c>
      <c r="D17" s="11" t="s">
        <v>33</v>
      </c>
      <c r="E17" s="10">
        <v>8</v>
      </c>
      <c r="F17" s="12">
        <f t="shared" si="87"/>
        <v>42524</v>
      </c>
      <c r="G17" s="12">
        <f>WORKDAY(F17,H17-1,Config!D16:D35)</f>
        <v>42527</v>
      </c>
      <c r="H17" s="10">
        <v>2</v>
      </c>
      <c r="I17" s="13">
        <v>0.56000000000000005</v>
      </c>
      <c r="J17" s="13">
        <f ca="1">IF(((NETWORKDAYS(F17,TODAY(),Data!C11:C30)*100)/H17)/100 &gt; 0,((NETWORKDAYS(F17,TODAY(),Data!C11:C30)*100)/H17)/100,0)</f>
        <v>825.5</v>
      </c>
      <c r="K17" s="13" t="str">
        <f t="shared" ca="1" si="47"/>
        <v>100%</v>
      </c>
      <c r="L17" s="13">
        <f t="shared" ca="1" si="48"/>
        <v>0.43999999999999995</v>
      </c>
      <c r="M17" s="10" t="str">
        <f t="shared" si="125"/>
        <v xml:space="preserve"> </v>
      </c>
      <c r="N17" s="10" t="str">
        <f t="shared" si="88"/>
        <v xml:space="preserve"> </v>
      </c>
      <c r="O17" s="10" t="str">
        <f t="shared" si="88"/>
        <v xml:space="preserve"> </v>
      </c>
      <c r="P17" s="10" t="str">
        <f t="shared" si="88"/>
        <v xml:space="preserve"> </v>
      </c>
      <c r="Q17" s="10" t="str">
        <f t="shared" si="88"/>
        <v xml:space="preserve"> </v>
      </c>
      <c r="R17" s="14"/>
      <c r="S17" s="14"/>
      <c r="T17" s="10" t="str">
        <f t="shared" si="89"/>
        <v xml:space="preserve"> </v>
      </c>
      <c r="U17" s="10" t="str">
        <f t="shared" si="89"/>
        <v xml:space="preserve"> </v>
      </c>
      <c r="V17" s="10" t="str">
        <f t="shared" si="89"/>
        <v xml:space="preserve"> </v>
      </c>
      <c r="W17" s="10" t="str">
        <f t="shared" si="89"/>
        <v xml:space="preserve"> </v>
      </c>
      <c r="X17" s="10" t="str">
        <f t="shared" si="89"/>
        <v xml:space="preserve"> </v>
      </c>
      <c r="Y17" s="14"/>
      <c r="Z17" s="14"/>
      <c r="AA17" s="10" t="str">
        <f t="shared" si="90"/>
        <v xml:space="preserve"> </v>
      </c>
      <c r="AB17" s="10" t="str">
        <f t="shared" si="90"/>
        <v xml:space="preserve"> </v>
      </c>
      <c r="AC17" s="10" t="str">
        <f t="shared" si="90"/>
        <v xml:space="preserve"> </v>
      </c>
      <c r="AD17" s="10" t="str">
        <f t="shared" si="90"/>
        <v xml:space="preserve"> </v>
      </c>
      <c r="AE17" s="10" t="str">
        <f t="shared" si="90"/>
        <v xml:space="preserve"> </v>
      </c>
      <c r="AF17" s="14"/>
      <c r="AG17" s="14"/>
      <c r="AH17" s="10" t="str">
        <f t="shared" si="91"/>
        <v xml:space="preserve"> </v>
      </c>
      <c r="AI17" s="10" t="str">
        <f t="shared" si="91"/>
        <v xml:space="preserve"> </v>
      </c>
      <c r="AJ17" s="10" t="str">
        <f t="shared" si="91"/>
        <v xml:space="preserve"> </v>
      </c>
      <c r="AK17" s="10" t="str">
        <f t="shared" si="91"/>
        <v xml:space="preserve"> </v>
      </c>
      <c r="AL17" s="10" t="str">
        <f t="shared" si="91"/>
        <v xml:space="preserve"> </v>
      </c>
      <c r="AM17" s="14"/>
      <c r="AN17" s="14"/>
      <c r="AO17" s="10" t="str">
        <f t="shared" si="92"/>
        <v xml:space="preserve"> </v>
      </c>
      <c r="AP17" s="10" t="str">
        <f t="shared" si="92"/>
        <v>.</v>
      </c>
      <c r="AQ17" s="10" t="str">
        <f t="shared" si="92"/>
        <v>.</v>
      </c>
      <c r="AR17" s="10" t="str">
        <f t="shared" si="92"/>
        <v>.</v>
      </c>
      <c r="AS17" s="10" t="str">
        <f t="shared" si="92"/>
        <v>.</v>
      </c>
      <c r="AT17" s="14"/>
      <c r="AU17" s="14"/>
      <c r="AV17" s="10" t="str">
        <f t="shared" si="93"/>
        <v xml:space="preserve"> </v>
      </c>
      <c r="AW17" s="10" t="str">
        <f t="shared" si="93"/>
        <v xml:space="preserve"> </v>
      </c>
      <c r="AX17" s="10" t="str">
        <f t="shared" si="93"/>
        <v xml:space="preserve"> </v>
      </c>
      <c r="AY17" s="10" t="str">
        <f t="shared" si="93"/>
        <v xml:space="preserve"> </v>
      </c>
      <c r="AZ17" s="10" t="str">
        <f t="shared" si="93"/>
        <v xml:space="preserve"> </v>
      </c>
      <c r="BA17" s="14"/>
      <c r="BB17" s="14"/>
      <c r="BC17" s="10" t="str">
        <f t="shared" si="94"/>
        <v xml:space="preserve"> </v>
      </c>
      <c r="BD17" s="10" t="str">
        <f t="shared" si="94"/>
        <v xml:space="preserve"> </v>
      </c>
      <c r="BE17" s="10" t="str">
        <f t="shared" si="94"/>
        <v xml:space="preserve"> </v>
      </c>
      <c r="BF17" s="10" t="str">
        <f t="shared" si="94"/>
        <v xml:space="preserve"> </v>
      </c>
      <c r="BG17" s="10" t="str">
        <f t="shared" si="94"/>
        <v xml:space="preserve"> </v>
      </c>
      <c r="BH17" s="14"/>
      <c r="BI17" s="14"/>
      <c r="BJ17" s="10" t="str">
        <f t="shared" si="95"/>
        <v xml:space="preserve"> </v>
      </c>
      <c r="BK17" s="10" t="str">
        <f t="shared" si="95"/>
        <v xml:space="preserve"> </v>
      </c>
      <c r="BL17" s="10" t="str">
        <f t="shared" si="95"/>
        <v xml:space="preserve"> </v>
      </c>
      <c r="BM17" s="10" t="str">
        <f t="shared" si="95"/>
        <v xml:space="preserve"> </v>
      </c>
      <c r="BN17" s="10" t="str">
        <f t="shared" si="95"/>
        <v xml:space="preserve"> </v>
      </c>
      <c r="BO17" s="14"/>
      <c r="BP17" s="14"/>
      <c r="BQ17" s="10" t="str">
        <f t="shared" si="96"/>
        <v xml:space="preserve"> </v>
      </c>
      <c r="BR17" s="10" t="str">
        <f t="shared" si="96"/>
        <v xml:space="preserve"> </v>
      </c>
      <c r="BS17" s="10" t="str">
        <f t="shared" si="96"/>
        <v xml:space="preserve"> </v>
      </c>
      <c r="BT17" s="10" t="str">
        <f t="shared" si="96"/>
        <v xml:space="preserve"> </v>
      </c>
      <c r="BU17" s="10" t="str">
        <f t="shared" si="96"/>
        <v xml:space="preserve"> </v>
      </c>
      <c r="BV17" s="14"/>
      <c r="BW17" s="14"/>
      <c r="BX17" s="10" t="str">
        <f t="shared" si="97"/>
        <v xml:space="preserve"> </v>
      </c>
      <c r="BY17" s="10" t="str">
        <f t="shared" si="97"/>
        <v xml:space="preserve"> </v>
      </c>
      <c r="BZ17" s="10" t="str">
        <f t="shared" si="97"/>
        <v xml:space="preserve"> </v>
      </c>
      <c r="CA17" s="10" t="str">
        <f t="shared" si="97"/>
        <v xml:space="preserve"> </v>
      </c>
      <c r="CB17" s="10" t="str">
        <f t="shared" si="97"/>
        <v xml:space="preserve"> </v>
      </c>
      <c r="CC17" s="14"/>
      <c r="CD17" s="14"/>
      <c r="CE17" s="10" t="str">
        <f t="shared" si="98"/>
        <v xml:space="preserve"> </v>
      </c>
      <c r="CF17" s="10" t="str">
        <f t="shared" si="98"/>
        <v xml:space="preserve"> </v>
      </c>
      <c r="CG17" s="10" t="str">
        <f t="shared" si="98"/>
        <v xml:space="preserve"> </v>
      </c>
      <c r="CH17" s="10" t="str">
        <f t="shared" si="98"/>
        <v xml:space="preserve"> </v>
      </c>
      <c r="CI17" s="10" t="str">
        <f t="shared" si="98"/>
        <v xml:space="preserve"> </v>
      </c>
      <c r="CJ17" s="14"/>
      <c r="CK17" s="14"/>
      <c r="CL17" s="10" t="str">
        <f t="shared" si="99"/>
        <v xml:space="preserve"> </v>
      </c>
      <c r="CM17" s="10" t="str">
        <f t="shared" si="99"/>
        <v xml:space="preserve"> </v>
      </c>
      <c r="CN17" s="10" t="str">
        <f t="shared" si="99"/>
        <v xml:space="preserve"> </v>
      </c>
      <c r="CO17" s="10" t="str">
        <f t="shared" si="99"/>
        <v xml:space="preserve"> </v>
      </c>
      <c r="CP17" s="10" t="str">
        <f t="shared" si="99"/>
        <v xml:space="preserve"> </v>
      </c>
      <c r="CQ17" s="14"/>
      <c r="CR17" s="14"/>
      <c r="CS17" s="10" t="str">
        <f t="shared" si="100"/>
        <v xml:space="preserve"> </v>
      </c>
      <c r="CT17" s="10" t="str">
        <f t="shared" si="100"/>
        <v xml:space="preserve"> </v>
      </c>
      <c r="CU17" s="10" t="str">
        <f t="shared" si="100"/>
        <v xml:space="preserve"> </v>
      </c>
      <c r="CV17" s="10" t="str">
        <f t="shared" si="100"/>
        <v xml:space="preserve"> </v>
      </c>
      <c r="CW17" s="10" t="str">
        <f t="shared" si="100"/>
        <v xml:space="preserve"> </v>
      </c>
      <c r="CZ17" s="10" t="str">
        <f t="shared" si="101"/>
        <v xml:space="preserve"> </v>
      </c>
      <c r="DA17" s="10" t="str">
        <f t="shared" si="101"/>
        <v xml:space="preserve"> </v>
      </c>
      <c r="DB17" s="10" t="str">
        <f t="shared" si="101"/>
        <v xml:space="preserve"> </v>
      </c>
      <c r="DC17" s="10" t="str">
        <f t="shared" si="101"/>
        <v xml:space="preserve"> </v>
      </c>
      <c r="DD17" s="10" t="str">
        <f t="shared" si="101"/>
        <v xml:space="preserve"> </v>
      </c>
      <c r="DG17" s="10" t="str">
        <f t="shared" si="102"/>
        <v xml:space="preserve"> </v>
      </c>
      <c r="DH17" s="10" t="str">
        <f t="shared" si="102"/>
        <v xml:space="preserve"> </v>
      </c>
      <c r="DI17" s="10" t="str">
        <f t="shared" si="102"/>
        <v xml:space="preserve"> </v>
      </c>
      <c r="DJ17" s="10" t="str">
        <f t="shared" si="102"/>
        <v xml:space="preserve"> </v>
      </c>
      <c r="DK17" s="10" t="str">
        <f t="shared" si="102"/>
        <v xml:space="preserve"> </v>
      </c>
      <c r="DN17" s="10" t="str">
        <f t="shared" si="103"/>
        <v xml:space="preserve"> </v>
      </c>
      <c r="DO17" s="10" t="str">
        <f t="shared" si="103"/>
        <v xml:space="preserve"> </v>
      </c>
      <c r="DP17" s="10" t="str">
        <f t="shared" si="103"/>
        <v xml:space="preserve"> </v>
      </c>
      <c r="DQ17" s="10" t="str">
        <f t="shared" si="103"/>
        <v xml:space="preserve"> </v>
      </c>
      <c r="DR17" s="10" t="str">
        <f t="shared" si="103"/>
        <v xml:space="preserve"> </v>
      </c>
      <c r="DU17" s="10" t="str">
        <f t="shared" si="104"/>
        <v xml:space="preserve"> </v>
      </c>
      <c r="DV17" s="10" t="str">
        <f t="shared" si="104"/>
        <v xml:space="preserve"> </v>
      </c>
      <c r="DW17" s="10" t="str">
        <f t="shared" si="104"/>
        <v xml:space="preserve"> </v>
      </c>
      <c r="DX17" s="10" t="str">
        <f t="shared" si="104"/>
        <v xml:space="preserve"> </v>
      </c>
      <c r="DY17" s="10" t="str">
        <f t="shared" si="104"/>
        <v xml:space="preserve"> </v>
      </c>
      <c r="EB17" s="10" t="str">
        <f t="shared" si="105"/>
        <v xml:space="preserve"> </v>
      </c>
      <c r="EC17" s="10" t="str">
        <f t="shared" si="105"/>
        <v xml:space="preserve"> </v>
      </c>
      <c r="ED17" s="10" t="str">
        <f t="shared" si="105"/>
        <v xml:space="preserve"> </v>
      </c>
      <c r="EE17" s="10" t="str">
        <f t="shared" si="105"/>
        <v xml:space="preserve"> </v>
      </c>
      <c r="EF17" s="10" t="str">
        <f t="shared" si="105"/>
        <v xml:space="preserve"> </v>
      </c>
      <c r="EI17" s="10" t="str">
        <f t="shared" si="106"/>
        <v xml:space="preserve"> </v>
      </c>
      <c r="EJ17" s="10" t="str">
        <f t="shared" si="106"/>
        <v xml:space="preserve"> </v>
      </c>
      <c r="EK17" s="10" t="str">
        <f t="shared" si="106"/>
        <v xml:space="preserve"> </v>
      </c>
      <c r="EL17" s="10" t="str">
        <f t="shared" si="106"/>
        <v xml:space="preserve"> </v>
      </c>
      <c r="EM17" s="10" t="str">
        <f t="shared" si="106"/>
        <v xml:space="preserve"> </v>
      </c>
      <c r="EP17" s="10" t="str">
        <f t="shared" si="107"/>
        <v xml:space="preserve"> </v>
      </c>
      <c r="EQ17" s="10" t="str">
        <f t="shared" si="107"/>
        <v xml:space="preserve"> </v>
      </c>
      <c r="ER17" s="10" t="str">
        <f t="shared" si="107"/>
        <v xml:space="preserve"> </v>
      </c>
      <c r="ES17" s="10" t="str">
        <f t="shared" si="107"/>
        <v xml:space="preserve"> </v>
      </c>
      <c r="ET17" s="10" t="str">
        <f t="shared" si="107"/>
        <v xml:space="preserve"> </v>
      </c>
      <c r="EW17" s="10" t="str">
        <f t="shared" si="108"/>
        <v xml:space="preserve"> </v>
      </c>
      <c r="EX17" s="10" t="str">
        <f t="shared" si="108"/>
        <v xml:space="preserve"> </v>
      </c>
      <c r="EY17" s="10" t="str">
        <f t="shared" si="108"/>
        <v xml:space="preserve"> </v>
      </c>
      <c r="EZ17" s="10" t="str">
        <f t="shared" si="108"/>
        <v xml:space="preserve"> </v>
      </c>
      <c r="FA17" s="10" t="str">
        <f t="shared" si="108"/>
        <v xml:space="preserve"> </v>
      </c>
      <c r="FD17" s="10" t="str">
        <f t="shared" si="109"/>
        <v xml:space="preserve"> </v>
      </c>
      <c r="FE17" s="10" t="str">
        <f t="shared" si="109"/>
        <v xml:space="preserve"> </v>
      </c>
      <c r="FF17" s="10" t="str">
        <f t="shared" si="109"/>
        <v xml:space="preserve"> </v>
      </c>
      <c r="FG17" s="10" t="str">
        <f t="shared" si="109"/>
        <v xml:space="preserve"> </v>
      </c>
      <c r="FH17" s="10" t="str">
        <f t="shared" si="109"/>
        <v xml:space="preserve"> </v>
      </c>
      <c r="FK17" s="10" t="str">
        <f t="shared" si="110"/>
        <v xml:space="preserve"> </v>
      </c>
      <c r="FL17" s="10" t="str">
        <f t="shared" si="110"/>
        <v xml:space="preserve"> </v>
      </c>
      <c r="FM17" s="10" t="str">
        <f t="shared" si="110"/>
        <v xml:space="preserve"> </v>
      </c>
      <c r="FN17" s="10" t="str">
        <f t="shared" si="110"/>
        <v xml:space="preserve"> </v>
      </c>
      <c r="FO17" s="10" t="str">
        <f t="shared" si="110"/>
        <v xml:space="preserve"> </v>
      </c>
      <c r="FR17" s="10" t="str">
        <f t="shared" si="111"/>
        <v xml:space="preserve"> </v>
      </c>
      <c r="FS17" s="10" t="str">
        <f t="shared" si="111"/>
        <v xml:space="preserve"> </v>
      </c>
      <c r="FT17" s="10" t="str">
        <f t="shared" si="111"/>
        <v xml:space="preserve"> </v>
      </c>
      <c r="FU17" s="10" t="str">
        <f t="shared" si="111"/>
        <v xml:space="preserve"> </v>
      </c>
      <c r="FV17" s="10" t="str">
        <f t="shared" si="111"/>
        <v xml:space="preserve"> </v>
      </c>
      <c r="FY17" s="10" t="str">
        <f t="shared" si="112"/>
        <v xml:space="preserve"> </v>
      </c>
      <c r="FZ17" s="10" t="str">
        <f t="shared" si="112"/>
        <v xml:space="preserve"> </v>
      </c>
      <c r="GA17" s="10" t="str">
        <f t="shared" si="112"/>
        <v xml:space="preserve"> </v>
      </c>
      <c r="GB17" s="10" t="str">
        <f t="shared" si="112"/>
        <v xml:space="preserve"> </v>
      </c>
      <c r="GC17" s="10" t="str">
        <f t="shared" si="112"/>
        <v xml:space="preserve"> </v>
      </c>
      <c r="GF17" s="10" t="str">
        <f t="shared" si="113"/>
        <v xml:space="preserve"> </v>
      </c>
      <c r="GG17" s="10" t="str">
        <f t="shared" si="113"/>
        <v xml:space="preserve"> </v>
      </c>
      <c r="GH17" s="10" t="str">
        <f t="shared" si="113"/>
        <v xml:space="preserve"> </v>
      </c>
      <c r="GI17" s="10" t="str">
        <f t="shared" si="113"/>
        <v xml:space="preserve"> </v>
      </c>
      <c r="GJ17" s="10" t="str">
        <f t="shared" si="113"/>
        <v xml:space="preserve"> </v>
      </c>
      <c r="GM17" s="10" t="str">
        <f t="shared" si="114"/>
        <v xml:space="preserve"> </v>
      </c>
      <c r="GN17" s="10" t="str">
        <f t="shared" si="114"/>
        <v xml:space="preserve"> </v>
      </c>
      <c r="GO17" s="10" t="str">
        <f t="shared" si="114"/>
        <v xml:space="preserve"> </v>
      </c>
      <c r="GP17" s="10" t="str">
        <f t="shared" si="114"/>
        <v xml:space="preserve"> </v>
      </c>
      <c r="GQ17" s="10" t="str">
        <f t="shared" si="114"/>
        <v xml:space="preserve"> </v>
      </c>
      <c r="GT17" s="10" t="str">
        <f t="shared" si="115"/>
        <v xml:space="preserve"> </v>
      </c>
      <c r="GU17" s="10" t="str">
        <f t="shared" si="115"/>
        <v xml:space="preserve"> </v>
      </c>
      <c r="GV17" s="10" t="str">
        <f t="shared" si="115"/>
        <v xml:space="preserve"> </v>
      </c>
      <c r="GW17" s="10" t="str">
        <f t="shared" si="115"/>
        <v xml:space="preserve"> </v>
      </c>
      <c r="GX17" s="10" t="str">
        <f t="shared" si="115"/>
        <v xml:space="preserve"> </v>
      </c>
      <c r="HA17" s="10" t="str">
        <f t="shared" si="116"/>
        <v xml:space="preserve"> </v>
      </c>
      <c r="HB17" s="10" t="str">
        <f t="shared" si="116"/>
        <v xml:space="preserve"> </v>
      </c>
      <c r="HC17" s="10" t="str">
        <f t="shared" si="116"/>
        <v xml:space="preserve"> </v>
      </c>
      <c r="HD17" s="10" t="str">
        <f t="shared" si="116"/>
        <v xml:space="preserve"> </v>
      </c>
      <c r="HE17" s="10" t="str">
        <f t="shared" si="116"/>
        <v xml:space="preserve"> </v>
      </c>
      <c r="HH17" s="10" t="str">
        <f t="shared" si="117"/>
        <v xml:space="preserve"> </v>
      </c>
      <c r="HI17" s="10" t="str">
        <f t="shared" si="117"/>
        <v xml:space="preserve"> </v>
      </c>
      <c r="HJ17" s="10" t="str">
        <f t="shared" si="117"/>
        <v xml:space="preserve"> </v>
      </c>
      <c r="HK17" s="10" t="str">
        <f t="shared" si="117"/>
        <v xml:space="preserve"> </v>
      </c>
      <c r="HL17" s="10" t="str">
        <f t="shared" si="117"/>
        <v xml:space="preserve"> </v>
      </c>
      <c r="HO17" s="10" t="str">
        <f t="shared" si="118"/>
        <v xml:space="preserve"> </v>
      </c>
      <c r="HP17" s="10" t="str">
        <f t="shared" si="118"/>
        <v xml:space="preserve"> </v>
      </c>
      <c r="HQ17" s="10" t="str">
        <f t="shared" si="118"/>
        <v xml:space="preserve"> </v>
      </c>
      <c r="HR17" s="10" t="str">
        <f t="shared" si="118"/>
        <v xml:space="preserve"> </v>
      </c>
      <c r="HS17" s="10" t="str">
        <f t="shared" si="118"/>
        <v xml:space="preserve"> </v>
      </c>
      <c r="HV17" s="10" t="str">
        <f t="shared" si="119"/>
        <v xml:space="preserve"> </v>
      </c>
      <c r="HW17" s="10" t="str">
        <f t="shared" si="119"/>
        <v xml:space="preserve"> </v>
      </c>
      <c r="HX17" s="10" t="str">
        <f t="shared" si="119"/>
        <v xml:space="preserve"> </v>
      </c>
      <c r="HY17" s="10" t="str">
        <f t="shared" si="119"/>
        <v xml:space="preserve"> </v>
      </c>
      <c r="HZ17" s="10" t="str">
        <f t="shared" si="119"/>
        <v xml:space="preserve"> </v>
      </c>
      <c r="IC17" s="10" t="str">
        <f t="shared" si="120"/>
        <v xml:space="preserve"> </v>
      </c>
      <c r="ID17" s="10" t="str">
        <f t="shared" si="120"/>
        <v xml:space="preserve"> </v>
      </c>
      <c r="IE17" s="10" t="str">
        <f t="shared" si="120"/>
        <v xml:space="preserve"> </v>
      </c>
      <c r="IF17" s="10" t="str">
        <f t="shared" si="120"/>
        <v xml:space="preserve"> </v>
      </c>
      <c r="IG17" s="10" t="str">
        <f t="shared" si="120"/>
        <v xml:space="preserve"> </v>
      </c>
      <c r="IJ17" s="10" t="str">
        <f t="shared" si="121"/>
        <v xml:space="preserve"> </v>
      </c>
      <c r="IK17" s="10" t="str">
        <f t="shared" si="121"/>
        <v xml:space="preserve"> </v>
      </c>
      <c r="IL17" s="10" t="str">
        <f t="shared" si="121"/>
        <v xml:space="preserve"> </v>
      </c>
      <c r="IM17" s="10" t="str">
        <f t="shared" si="121"/>
        <v xml:space="preserve"> </v>
      </c>
      <c r="IN17" s="10" t="str">
        <f t="shared" si="121"/>
        <v xml:space="preserve"> </v>
      </c>
      <c r="IQ17" s="10" t="str">
        <f t="shared" si="122"/>
        <v xml:space="preserve"> </v>
      </c>
      <c r="IR17" s="10" t="str">
        <f t="shared" si="122"/>
        <v xml:space="preserve"> </v>
      </c>
      <c r="IS17" s="10" t="str">
        <f t="shared" si="122"/>
        <v xml:space="preserve"> </v>
      </c>
      <c r="IT17" s="10" t="str">
        <f t="shared" si="122"/>
        <v xml:space="preserve"> </v>
      </c>
      <c r="IU17" s="10" t="str">
        <f t="shared" si="122"/>
        <v xml:space="preserve"> </v>
      </c>
      <c r="IX17" s="10" t="str">
        <f t="shared" si="123"/>
        <v xml:space="preserve"> </v>
      </c>
      <c r="IY17" s="10" t="str">
        <f t="shared" si="123"/>
        <v xml:space="preserve"> </v>
      </c>
      <c r="IZ17" s="10" t="str">
        <f t="shared" si="123"/>
        <v xml:space="preserve"> </v>
      </c>
      <c r="JA17" s="10" t="str">
        <f t="shared" si="123"/>
        <v xml:space="preserve"> </v>
      </c>
      <c r="JB17" s="10" t="str">
        <f t="shared" si="123"/>
        <v xml:space="preserve"> </v>
      </c>
      <c r="JE17" s="10" t="str">
        <f t="shared" si="124"/>
        <v xml:space="preserve"> </v>
      </c>
      <c r="JF17" s="10" t="str">
        <f t="shared" si="124"/>
        <v xml:space="preserve"> </v>
      </c>
      <c r="JG17" s="10" t="str">
        <f t="shared" si="124"/>
        <v xml:space="preserve"> </v>
      </c>
      <c r="JH17" s="10" t="str">
        <f t="shared" si="124"/>
        <v xml:space="preserve"> </v>
      </c>
      <c r="JI17" s="10" t="str">
        <f t="shared" si="124"/>
        <v xml:space="preserve"> </v>
      </c>
    </row>
    <row r="18" spans="1:269">
      <c r="A18" s="96"/>
      <c r="B18" s="10">
        <v>10</v>
      </c>
      <c r="C18" s="11" t="s">
        <v>35</v>
      </c>
      <c r="D18" s="11" t="s">
        <v>33</v>
      </c>
      <c r="E18" s="10">
        <v>9</v>
      </c>
      <c r="F18" s="12">
        <f t="shared" si="87"/>
        <v>42528</v>
      </c>
      <c r="G18" s="12">
        <f>WORKDAY(F18,H18-1,Config!D17:D36)</f>
        <v>42528</v>
      </c>
      <c r="H18" s="10">
        <v>1</v>
      </c>
      <c r="I18" s="13">
        <v>0.78</v>
      </c>
      <c r="J18" s="13">
        <f ca="1">IF(((NETWORKDAYS(F18,TODAY(),Data!C12:C31)*100)/H18)/100 &gt; 0,((NETWORKDAYS(F18,TODAY(),Data!C12:C31)*100)/H18)/100,0)</f>
        <v>1649</v>
      </c>
      <c r="K18" s="13" t="str">
        <f t="shared" ca="1" si="47"/>
        <v>100%</v>
      </c>
      <c r="L18" s="13">
        <f t="shared" ca="1" si="48"/>
        <v>0.21999999999999997</v>
      </c>
      <c r="M18" s="10" t="str">
        <f t="shared" si="125"/>
        <v xml:space="preserve"> </v>
      </c>
      <c r="N18" s="10" t="str">
        <f t="shared" si="88"/>
        <v xml:space="preserve"> </v>
      </c>
      <c r="O18" s="10" t="str">
        <f t="shared" si="88"/>
        <v xml:space="preserve"> </v>
      </c>
      <c r="P18" s="10" t="str">
        <f t="shared" si="88"/>
        <v xml:space="preserve"> </v>
      </c>
      <c r="Q18" s="10" t="str">
        <f t="shared" si="88"/>
        <v xml:space="preserve"> </v>
      </c>
      <c r="R18" s="14"/>
      <c r="S18" s="14"/>
      <c r="T18" s="10" t="str">
        <f t="shared" si="89"/>
        <v xml:space="preserve"> </v>
      </c>
      <c r="U18" s="10" t="str">
        <f t="shared" si="89"/>
        <v xml:space="preserve"> </v>
      </c>
      <c r="V18" s="10" t="str">
        <f t="shared" si="89"/>
        <v xml:space="preserve"> </v>
      </c>
      <c r="W18" s="10" t="str">
        <f t="shared" si="89"/>
        <v xml:space="preserve"> </v>
      </c>
      <c r="X18" s="10" t="str">
        <f t="shared" si="89"/>
        <v xml:space="preserve"> </v>
      </c>
      <c r="Y18" s="14"/>
      <c r="Z18" s="14"/>
      <c r="AA18" s="10" t="str">
        <f t="shared" si="90"/>
        <v xml:space="preserve"> </v>
      </c>
      <c r="AB18" s="10" t="str">
        <f t="shared" si="90"/>
        <v xml:space="preserve"> </v>
      </c>
      <c r="AC18" s="10" t="str">
        <f t="shared" si="90"/>
        <v xml:space="preserve"> </v>
      </c>
      <c r="AD18" s="10" t="str">
        <f t="shared" si="90"/>
        <v xml:space="preserve"> </v>
      </c>
      <c r="AE18" s="10" t="str">
        <f t="shared" si="90"/>
        <v xml:space="preserve"> </v>
      </c>
      <c r="AF18" s="14"/>
      <c r="AG18" s="14"/>
      <c r="AH18" s="10" t="str">
        <f t="shared" si="91"/>
        <v xml:space="preserve"> </v>
      </c>
      <c r="AI18" s="10" t="str">
        <f t="shared" si="91"/>
        <v xml:space="preserve"> </v>
      </c>
      <c r="AJ18" s="10" t="str">
        <f t="shared" si="91"/>
        <v xml:space="preserve"> </v>
      </c>
      <c r="AK18" s="10" t="str">
        <f t="shared" si="91"/>
        <v xml:space="preserve"> </v>
      </c>
      <c r="AL18" s="10" t="str">
        <f t="shared" si="91"/>
        <v xml:space="preserve"> </v>
      </c>
      <c r="AM18" s="14"/>
      <c r="AN18" s="14"/>
      <c r="AO18" s="10" t="str">
        <f t="shared" si="92"/>
        <v xml:space="preserve"> </v>
      </c>
      <c r="AP18" s="10" t="str">
        <f t="shared" si="92"/>
        <v xml:space="preserve"> </v>
      </c>
      <c r="AQ18" s="10" t="str">
        <f t="shared" si="92"/>
        <v xml:space="preserve"> </v>
      </c>
      <c r="AR18" s="10" t="str">
        <f t="shared" si="92"/>
        <v xml:space="preserve"> </v>
      </c>
      <c r="AS18" s="10" t="str">
        <f t="shared" si="92"/>
        <v xml:space="preserve"> </v>
      </c>
      <c r="AT18" s="14"/>
      <c r="AU18" s="14"/>
      <c r="AV18" s="10" t="str">
        <f t="shared" si="93"/>
        <v xml:space="preserve"> </v>
      </c>
      <c r="AW18" s="10" t="str">
        <f t="shared" si="93"/>
        <v xml:space="preserve"> </v>
      </c>
      <c r="AX18" s="10" t="str">
        <f t="shared" si="93"/>
        <v xml:space="preserve"> </v>
      </c>
      <c r="AY18" s="10" t="str">
        <f t="shared" si="93"/>
        <v xml:space="preserve"> </v>
      </c>
      <c r="AZ18" s="10" t="str">
        <f t="shared" si="93"/>
        <v xml:space="preserve"> </v>
      </c>
      <c r="BA18" s="14"/>
      <c r="BB18" s="14"/>
      <c r="BC18" s="10" t="str">
        <f t="shared" si="94"/>
        <v xml:space="preserve"> </v>
      </c>
      <c r="BD18" s="10" t="str">
        <f t="shared" si="94"/>
        <v xml:space="preserve"> </v>
      </c>
      <c r="BE18" s="10" t="str">
        <f t="shared" si="94"/>
        <v xml:space="preserve"> </v>
      </c>
      <c r="BF18" s="10" t="str">
        <f t="shared" si="94"/>
        <v xml:space="preserve"> </v>
      </c>
      <c r="BG18" s="10" t="str">
        <f t="shared" si="94"/>
        <v xml:space="preserve"> </v>
      </c>
      <c r="BH18" s="14"/>
      <c r="BI18" s="14"/>
      <c r="BJ18" s="10" t="str">
        <f t="shared" si="95"/>
        <v xml:space="preserve"> </v>
      </c>
      <c r="BK18" s="10" t="str">
        <f t="shared" si="95"/>
        <v xml:space="preserve"> </v>
      </c>
      <c r="BL18" s="10" t="str">
        <f t="shared" si="95"/>
        <v xml:space="preserve"> </v>
      </c>
      <c r="BM18" s="10" t="str">
        <f t="shared" si="95"/>
        <v xml:space="preserve"> </v>
      </c>
      <c r="BN18" s="10" t="str">
        <f t="shared" si="95"/>
        <v xml:space="preserve"> </v>
      </c>
      <c r="BO18" s="14"/>
      <c r="BP18" s="14"/>
      <c r="BQ18" s="10" t="str">
        <f t="shared" si="96"/>
        <v xml:space="preserve"> </v>
      </c>
      <c r="BR18" s="10" t="str">
        <f t="shared" si="96"/>
        <v xml:space="preserve"> </v>
      </c>
      <c r="BS18" s="10" t="str">
        <f t="shared" si="96"/>
        <v xml:space="preserve"> </v>
      </c>
      <c r="BT18" s="10" t="str">
        <f t="shared" si="96"/>
        <v xml:space="preserve"> </v>
      </c>
      <c r="BU18" s="10" t="str">
        <f t="shared" si="96"/>
        <v xml:space="preserve"> </v>
      </c>
      <c r="BV18" s="14"/>
      <c r="BW18" s="14"/>
      <c r="BX18" s="10" t="str">
        <f t="shared" si="97"/>
        <v xml:space="preserve"> </v>
      </c>
      <c r="BY18" s="10" t="str">
        <f t="shared" si="97"/>
        <v xml:space="preserve"> </v>
      </c>
      <c r="BZ18" s="10" t="str">
        <f t="shared" si="97"/>
        <v xml:space="preserve"> </v>
      </c>
      <c r="CA18" s="10" t="str">
        <f t="shared" si="97"/>
        <v xml:space="preserve"> </v>
      </c>
      <c r="CB18" s="10" t="str">
        <f t="shared" si="97"/>
        <v xml:space="preserve"> </v>
      </c>
      <c r="CC18" s="14"/>
      <c r="CD18" s="14"/>
      <c r="CE18" s="10" t="str">
        <f t="shared" si="98"/>
        <v xml:space="preserve"> </v>
      </c>
      <c r="CF18" s="10" t="str">
        <f t="shared" si="98"/>
        <v xml:space="preserve"> </v>
      </c>
      <c r="CG18" s="10" t="str">
        <f t="shared" si="98"/>
        <v xml:space="preserve"> </v>
      </c>
      <c r="CH18" s="10" t="str">
        <f t="shared" si="98"/>
        <v xml:space="preserve"> </v>
      </c>
      <c r="CI18" s="10" t="str">
        <f t="shared" si="98"/>
        <v xml:space="preserve"> </v>
      </c>
      <c r="CJ18" s="14"/>
      <c r="CK18" s="14"/>
      <c r="CL18" s="10" t="str">
        <f t="shared" si="99"/>
        <v xml:space="preserve"> </v>
      </c>
      <c r="CM18" s="10" t="str">
        <f t="shared" si="99"/>
        <v xml:space="preserve"> </v>
      </c>
      <c r="CN18" s="10" t="str">
        <f t="shared" si="99"/>
        <v xml:space="preserve"> </v>
      </c>
      <c r="CO18" s="10" t="str">
        <f t="shared" si="99"/>
        <v xml:space="preserve"> </v>
      </c>
      <c r="CP18" s="10" t="str">
        <f t="shared" si="99"/>
        <v xml:space="preserve"> </v>
      </c>
      <c r="CQ18" s="14"/>
      <c r="CR18" s="14"/>
      <c r="CS18" s="10" t="str">
        <f t="shared" si="100"/>
        <v xml:space="preserve"> </v>
      </c>
      <c r="CT18" s="10" t="str">
        <f t="shared" si="100"/>
        <v xml:space="preserve"> </v>
      </c>
      <c r="CU18" s="10" t="str">
        <f t="shared" si="100"/>
        <v xml:space="preserve"> </v>
      </c>
      <c r="CV18" s="10" t="str">
        <f t="shared" si="100"/>
        <v xml:space="preserve"> </v>
      </c>
      <c r="CW18" s="10" t="str">
        <f t="shared" si="100"/>
        <v xml:space="preserve"> </v>
      </c>
      <c r="CZ18" s="10" t="str">
        <f t="shared" si="101"/>
        <v xml:space="preserve"> </v>
      </c>
      <c r="DA18" s="10" t="str">
        <f t="shared" si="101"/>
        <v xml:space="preserve"> </v>
      </c>
      <c r="DB18" s="10" t="str">
        <f t="shared" si="101"/>
        <v xml:space="preserve"> </v>
      </c>
      <c r="DC18" s="10" t="str">
        <f t="shared" si="101"/>
        <v xml:space="preserve"> </v>
      </c>
      <c r="DD18" s="10" t="str">
        <f t="shared" si="101"/>
        <v xml:space="preserve"> </v>
      </c>
      <c r="DG18" s="10" t="str">
        <f t="shared" si="102"/>
        <v xml:space="preserve"> </v>
      </c>
      <c r="DH18" s="10" t="str">
        <f t="shared" si="102"/>
        <v xml:space="preserve"> </v>
      </c>
      <c r="DI18" s="10" t="str">
        <f t="shared" si="102"/>
        <v xml:space="preserve"> </v>
      </c>
      <c r="DJ18" s="10" t="str">
        <f t="shared" si="102"/>
        <v xml:space="preserve"> </v>
      </c>
      <c r="DK18" s="10" t="str">
        <f t="shared" si="102"/>
        <v xml:space="preserve"> </v>
      </c>
      <c r="DN18" s="10" t="str">
        <f t="shared" si="103"/>
        <v xml:space="preserve"> </v>
      </c>
      <c r="DO18" s="10" t="str">
        <f t="shared" si="103"/>
        <v xml:space="preserve"> </v>
      </c>
      <c r="DP18" s="10" t="str">
        <f t="shared" si="103"/>
        <v xml:space="preserve"> </v>
      </c>
      <c r="DQ18" s="10" t="str">
        <f t="shared" si="103"/>
        <v xml:space="preserve"> </v>
      </c>
      <c r="DR18" s="10" t="str">
        <f t="shared" si="103"/>
        <v xml:space="preserve"> </v>
      </c>
      <c r="DU18" s="10" t="str">
        <f t="shared" si="104"/>
        <v xml:space="preserve"> </v>
      </c>
      <c r="DV18" s="10" t="str">
        <f t="shared" si="104"/>
        <v xml:space="preserve"> </v>
      </c>
      <c r="DW18" s="10" t="str">
        <f t="shared" si="104"/>
        <v xml:space="preserve"> </v>
      </c>
      <c r="DX18" s="10" t="str">
        <f t="shared" si="104"/>
        <v xml:space="preserve"> </v>
      </c>
      <c r="DY18" s="10" t="str">
        <f t="shared" si="104"/>
        <v xml:space="preserve"> </v>
      </c>
      <c r="EB18" s="10" t="str">
        <f t="shared" si="105"/>
        <v xml:space="preserve"> </v>
      </c>
      <c r="EC18" s="10" t="str">
        <f t="shared" si="105"/>
        <v xml:space="preserve"> </v>
      </c>
      <c r="ED18" s="10" t="str">
        <f t="shared" si="105"/>
        <v xml:space="preserve"> </v>
      </c>
      <c r="EE18" s="10" t="str">
        <f t="shared" si="105"/>
        <v xml:space="preserve"> </v>
      </c>
      <c r="EF18" s="10" t="str">
        <f t="shared" si="105"/>
        <v xml:space="preserve"> </v>
      </c>
      <c r="EI18" s="10" t="str">
        <f t="shared" si="106"/>
        <v xml:space="preserve"> </v>
      </c>
      <c r="EJ18" s="10" t="str">
        <f t="shared" si="106"/>
        <v xml:space="preserve"> </v>
      </c>
      <c r="EK18" s="10" t="str">
        <f t="shared" si="106"/>
        <v xml:space="preserve"> </v>
      </c>
      <c r="EL18" s="10" t="str">
        <f t="shared" si="106"/>
        <v xml:space="preserve"> </v>
      </c>
      <c r="EM18" s="10" t="str">
        <f t="shared" si="106"/>
        <v xml:space="preserve"> </v>
      </c>
      <c r="EP18" s="10" t="str">
        <f t="shared" si="107"/>
        <v xml:space="preserve"> </v>
      </c>
      <c r="EQ18" s="10" t="str">
        <f t="shared" si="107"/>
        <v xml:space="preserve"> </v>
      </c>
      <c r="ER18" s="10" t="str">
        <f t="shared" si="107"/>
        <v xml:space="preserve"> </v>
      </c>
      <c r="ES18" s="10" t="str">
        <f t="shared" si="107"/>
        <v xml:space="preserve"> </v>
      </c>
      <c r="ET18" s="10" t="str">
        <f t="shared" si="107"/>
        <v xml:space="preserve"> </v>
      </c>
      <c r="EW18" s="10" t="str">
        <f t="shared" si="108"/>
        <v xml:space="preserve"> </v>
      </c>
      <c r="EX18" s="10" t="str">
        <f t="shared" si="108"/>
        <v xml:space="preserve"> </v>
      </c>
      <c r="EY18" s="10" t="str">
        <f t="shared" si="108"/>
        <v xml:space="preserve"> </v>
      </c>
      <c r="EZ18" s="10" t="str">
        <f t="shared" si="108"/>
        <v xml:space="preserve"> </v>
      </c>
      <c r="FA18" s="10" t="str">
        <f t="shared" si="108"/>
        <v xml:space="preserve"> </v>
      </c>
      <c r="FD18" s="10" t="str">
        <f t="shared" si="109"/>
        <v xml:space="preserve"> </v>
      </c>
      <c r="FE18" s="10" t="str">
        <f t="shared" si="109"/>
        <v xml:space="preserve"> </v>
      </c>
      <c r="FF18" s="10" t="str">
        <f t="shared" si="109"/>
        <v xml:space="preserve"> </v>
      </c>
      <c r="FG18" s="10" t="str">
        <f t="shared" si="109"/>
        <v xml:space="preserve"> </v>
      </c>
      <c r="FH18" s="10" t="str">
        <f t="shared" si="109"/>
        <v xml:space="preserve"> </v>
      </c>
      <c r="FK18" s="10" t="str">
        <f t="shared" si="110"/>
        <v xml:space="preserve"> </v>
      </c>
      <c r="FL18" s="10" t="str">
        <f t="shared" si="110"/>
        <v xml:space="preserve"> </v>
      </c>
      <c r="FM18" s="10" t="str">
        <f t="shared" si="110"/>
        <v xml:space="preserve"> </v>
      </c>
      <c r="FN18" s="10" t="str">
        <f t="shared" si="110"/>
        <v xml:space="preserve"> </v>
      </c>
      <c r="FO18" s="10" t="str">
        <f t="shared" si="110"/>
        <v xml:space="preserve"> </v>
      </c>
      <c r="FR18" s="10" t="str">
        <f t="shared" si="111"/>
        <v xml:space="preserve"> </v>
      </c>
      <c r="FS18" s="10" t="str">
        <f t="shared" si="111"/>
        <v xml:space="preserve"> </v>
      </c>
      <c r="FT18" s="10" t="str">
        <f t="shared" si="111"/>
        <v xml:space="preserve"> </v>
      </c>
      <c r="FU18" s="10" t="str">
        <f t="shared" si="111"/>
        <v xml:space="preserve"> </v>
      </c>
      <c r="FV18" s="10" t="str">
        <f t="shared" si="111"/>
        <v xml:space="preserve"> </v>
      </c>
      <c r="FY18" s="10" t="str">
        <f t="shared" si="112"/>
        <v xml:space="preserve"> </v>
      </c>
      <c r="FZ18" s="10" t="str">
        <f t="shared" si="112"/>
        <v xml:space="preserve"> </v>
      </c>
      <c r="GA18" s="10" t="str">
        <f t="shared" si="112"/>
        <v xml:space="preserve"> </v>
      </c>
      <c r="GB18" s="10" t="str">
        <f t="shared" si="112"/>
        <v xml:space="preserve"> </v>
      </c>
      <c r="GC18" s="10" t="str">
        <f t="shared" si="112"/>
        <v xml:space="preserve"> </v>
      </c>
      <c r="GF18" s="10" t="str">
        <f t="shared" si="113"/>
        <v xml:space="preserve"> </v>
      </c>
      <c r="GG18" s="10" t="str">
        <f t="shared" si="113"/>
        <v xml:space="preserve"> </v>
      </c>
      <c r="GH18" s="10" t="str">
        <f t="shared" si="113"/>
        <v xml:space="preserve"> </v>
      </c>
      <c r="GI18" s="10" t="str">
        <f t="shared" si="113"/>
        <v xml:space="preserve"> </v>
      </c>
      <c r="GJ18" s="10" t="str">
        <f t="shared" si="113"/>
        <v xml:space="preserve"> </v>
      </c>
      <c r="GM18" s="10" t="str">
        <f t="shared" si="114"/>
        <v xml:space="preserve"> </v>
      </c>
      <c r="GN18" s="10" t="str">
        <f t="shared" si="114"/>
        <v xml:space="preserve"> </v>
      </c>
      <c r="GO18" s="10" t="str">
        <f t="shared" si="114"/>
        <v xml:space="preserve"> </v>
      </c>
      <c r="GP18" s="10" t="str">
        <f t="shared" si="114"/>
        <v xml:space="preserve"> </v>
      </c>
      <c r="GQ18" s="10" t="str">
        <f t="shared" si="114"/>
        <v xml:space="preserve"> </v>
      </c>
      <c r="GT18" s="10" t="str">
        <f t="shared" si="115"/>
        <v xml:space="preserve"> </v>
      </c>
      <c r="GU18" s="10" t="str">
        <f t="shared" si="115"/>
        <v xml:space="preserve"> </v>
      </c>
      <c r="GV18" s="10" t="str">
        <f t="shared" si="115"/>
        <v xml:space="preserve"> </v>
      </c>
      <c r="GW18" s="10" t="str">
        <f t="shared" si="115"/>
        <v xml:space="preserve"> </v>
      </c>
      <c r="GX18" s="10" t="str">
        <f t="shared" si="115"/>
        <v xml:space="preserve"> </v>
      </c>
      <c r="HA18" s="10" t="str">
        <f t="shared" si="116"/>
        <v xml:space="preserve"> </v>
      </c>
      <c r="HB18" s="10" t="str">
        <f t="shared" si="116"/>
        <v xml:space="preserve"> </v>
      </c>
      <c r="HC18" s="10" t="str">
        <f t="shared" si="116"/>
        <v xml:space="preserve"> </v>
      </c>
      <c r="HD18" s="10" t="str">
        <f t="shared" si="116"/>
        <v xml:space="preserve"> </v>
      </c>
      <c r="HE18" s="10" t="str">
        <f t="shared" si="116"/>
        <v xml:space="preserve"> </v>
      </c>
      <c r="HH18" s="10" t="str">
        <f t="shared" si="117"/>
        <v xml:space="preserve"> </v>
      </c>
      <c r="HI18" s="10" t="str">
        <f t="shared" si="117"/>
        <v xml:space="preserve"> </v>
      </c>
      <c r="HJ18" s="10" t="str">
        <f t="shared" si="117"/>
        <v xml:space="preserve"> </v>
      </c>
      <c r="HK18" s="10" t="str">
        <f t="shared" si="117"/>
        <v xml:space="preserve"> </v>
      </c>
      <c r="HL18" s="10" t="str">
        <f t="shared" si="117"/>
        <v xml:space="preserve"> </v>
      </c>
      <c r="HO18" s="10" t="str">
        <f t="shared" si="118"/>
        <v xml:space="preserve"> </v>
      </c>
      <c r="HP18" s="10" t="str">
        <f t="shared" si="118"/>
        <v xml:space="preserve"> </v>
      </c>
      <c r="HQ18" s="10" t="str">
        <f t="shared" si="118"/>
        <v xml:space="preserve"> </v>
      </c>
      <c r="HR18" s="10" t="str">
        <f t="shared" si="118"/>
        <v xml:space="preserve"> </v>
      </c>
      <c r="HS18" s="10" t="str">
        <f t="shared" si="118"/>
        <v xml:space="preserve"> </v>
      </c>
      <c r="HV18" s="10" t="str">
        <f t="shared" si="119"/>
        <v xml:space="preserve"> </v>
      </c>
      <c r="HW18" s="10" t="str">
        <f t="shared" si="119"/>
        <v xml:space="preserve"> </v>
      </c>
      <c r="HX18" s="10" t="str">
        <f t="shared" si="119"/>
        <v xml:space="preserve"> </v>
      </c>
      <c r="HY18" s="10" t="str">
        <f t="shared" si="119"/>
        <v xml:space="preserve"> </v>
      </c>
      <c r="HZ18" s="10" t="str">
        <f t="shared" si="119"/>
        <v xml:space="preserve"> </v>
      </c>
      <c r="IC18" s="10" t="str">
        <f t="shared" si="120"/>
        <v xml:space="preserve"> </v>
      </c>
      <c r="ID18" s="10" t="str">
        <f t="shared" si="120"/>
        <v xml:space="preserve"> </v>
      </c>
      <c r="IE18" s="10" t="str">
        <f t="shared" si="120"/>
        <v xml:space="preserve"> </v>
      </c>
      <c r="IF18" s="10" t="str">
        <f t="shared" si="120"/>
        <v xml:space="preserve"> </v>
      </c>
      <c r="IG18" s="10" t="str">
        <f t="shared" si="120"/>
        <v xml:space="preserve"> </v>
      </c>
      <c r="IJ18" s="10" t="str">
        <f t="shared" si="121"/>
        <v xml:space="preserve"> </v>
      </c>
      <c r="IK18" s="10" t="str">
        <f t="shared" si="121"/>
        <v xml:space="preserve"> </v>
      </c>
      <c r="IL18" s="10" t="str">
        <f t="shared" si="121"/>
        <v xml:space="preserve"> </v>
      </c>
      <c r="IM18" s="10" t="str">
        <f t="shared" si="121"/>
        <v xml:space="preserve"> </v>
      </c>
      <c r="IN18" s="10" t="str">
        <f t="shared" si="121"/>
        <v xml:space="preserve"> </v>
      </c>
      <c r="IQ18" s="10" t="str">
        <f t="shared" si="122"/>
        <v xml:space="preserve"> </v>
      </c>
      <c r="IR18" s="10" t="str">
        <f t="shared" si="122"/>
        <v xml:space="preserve"> </v>
      </c>
      <c r="IS18" s="10" t="str">
        <f t="shared" si="122"/>
        <v xml:space="preserve"> </v>
      </c>
      <c r="IT18" s="10" t="str">
        <f t="shared" si="122"/>
        <v xml:space="preserve"> </v>
      </c>
      <c r="IU18" s="10" t="str">
        <f t="shared" si="122"/>
        <v xml:space="preserve"> </v>
      </c>
      <c r="IX18" s="10" t="str">
        <f t="shared" si="123"/>
        <v xml:space="preserve"> </v>
      </c>
      <c r="IY18" s="10" t="str">
        <f t="shared" si="123"/>
        <v xml:space="preserve"> </v>
      </c>
      <c r="IZ18" s="10" t="str">
        <f t="shared" si="123"/>
        <v xml:space="preserve"> </v>
      </c>
      <c r="JA18" s="10" t="str">
        <f t="shared" si="123"/>
        <v xml:space="preserve"> </v>
      </c>
      <c r="JB18" s="10" t="str">
        <f t="shared" si="123"/>
        <v xml:space="preserve"> </v>
      </c>
      <c r="JE18" s="10" t="str">
        <f t="shared" si="124"/>
        <v xml:space="preserve"> </v>
      </c>
      <c r="JF18" s="10" t="str">
        <f t="shared" si="124"/>
        <v xml:space="preserve"> </v>
      </c>
      <c r="JG18" s="10" t="str">
        <f t="shared" si="124"/>
        <v xml:space="preserve"> </v>
      </c>
      <c r="JH18" s="10" t="str">
        <f t="shared" si="124"/>
        <v xml:space="preserve"> </v>
      </c>
      <c r="JI18" s="10" t="str">
        <f t="shared" si="124"/>
        <v xml:space="preserve"> </v>
      </c>
    </row>
    <row r="19" spans="1:269">
      <c r="A19" s="96"/>
      <c r="B19" s="10">
        <v>11</v>
      </c>
      <c r="C19" s="11" t="s">
        <v>36</v>
      </c>
      <c r="D19" s="11" t="s">
        <v>33</v>
      </c>
      <c r="E19" s="10">
        <v>10</v>
      </c>
      <c r="F19" s="12">
        <f t="shared" si="87"/>
        <v>42529</v>
      </c>
      <c r="G19" s="12">
        <f>WORKDAY(F19,H19-1,Config!D17:D36)</f>
        <v>42530</v>
      </c>
      <c r="H19" s="10">
        <v>2</v>
      </c>
      <c r="I19" s="13">
        <v>0.23</v>
      </c>
      <c r="J19" s="13">
        <f ca="1">IF(((NETWORKDAYS(F19,TODAY(),Data!C13:C32)*100)/H19)/100 &gt; 0,((NETWORKDAYS(F19,TODAY(),Data!C13:C32)*100)/H19)/100,0)</f>
        <v>824</v>
      </c>
      <c r="K19" s="13" t="str">
        <f t="shared" ca="1" si="47"/>
        <v>100%</v>
      </c>
      <c r="L19" s="13">
        <f t="shared" ref="L19" ca="1" si="126">K19-I19</f>
        <v>0.77</v>
      </c>
      <c r="M19" s="10" t="str">
        <f t="shared" si="125"/>
        <v xml:space="preserve"> </v>
      </c>
      <c r="N19" s="10" t="str">
        <f t="shared" si="88"/>
        <v xml:space="preserve"> </v>
      </c>
      <c r="O19" s="10" t="str">
        <f t="shared" si="88"/>
        <v xml:space="preserve"> </v>
      </c>
      <c r="P19" s="10" t="str">
        <f t="shared" si="88"/>
        <v xml:space="preserve"> </v>
      </c>
      <c r="Q19" s="10" t="str">
        <f t="shared" si="88"/>
        <v xml:space="preserve"> </v>
      </c>
      <c r="R19" s="14"/>
      <c r="S19" s="14"/>
      <c r="T19" s="10" t="str">
        <f t="shared" si="89"/>
        <v xml:space="preserve"> </v>
      </c>
      <c r="U19" s="10" t="str">
        <f t="shared" si="89"/>
        <v xml:space="preserve"> </v>
      </c>
      <c r="V19" s="10" t="str">
        <f t="shared" si="89"/>
        <v xml:space="preserve"> </v>
      </c>
      <c r="W19" s="10" t="str">
        <f t="shared" si="89"/>
        <v xml:space="preserve"> </v>
      </c>
      <c r="X19" s="10" t="str">
        <f t="shared" si="89"/>
        <v xml:space="preserve"> </v>
      </c>
      <c r="Y19" s="14"/>
      <c r="Z19" s="14"/>
      <c r="AA19" s="10" t="str">
        <f t="shared" si="90"/>
        <v xml:space="preserve"> </v>
      </c>
      <c r="AB19" s="10" t="str">
        <f t="shared" si="90"/>
        <v xml:space="preserve"> </v>
      </c>
      <c r="AC19" s="10" t="str">
        <f t="shared" si="90"/>
        <v xml:space="preserve"> </v>
      </c>
      <c r="AD19" s="10" t="str">
        <f t="shared" si="90"/>
        <v xml:space="preserve"> </v>
      </c>
      <c r="AE19" s="10" t="str">
        <f t="shared" si="90"/>
        <v xml:space="preserve"> </v>
      </c>
      <c r="AF19" s="14"/>
      <c r="AG19" s="14"/>
      <c r="AH19" s="10" t="str">
        <f t="shared" si="91"/>
        <v xml:space="preserve"> </v>
      </c>
      <c r="AI19" s="10" t="str">
        <f t="shared" si="91"/>
        <v xml:space="preserve"> </v>
      </c>
      <c r="AJ19" s="10" t="str">
        <f t="shared" si="91"/>
        <v xml:space="preserve"> </v>
      </c>
      <c r="AK19" s="10" t="str">
        <f t="shared" si="91"/>
        <v xml:space="preserve"> </v>
      </c>
      <c r="AL19" s="10" t="str">
        <f t="shared" si="91"/>
        <v xml:space="preserve"> </v>
      </c>
      <c r="AM19" s="14"/>
      <c r="AN19" s="14"/>
      <c r="AO19" s="10" t="str">
        <f t="shared" si="92"/>
        <v xml:space="preserve"> </v>
      </c>
      <c r="AP19" s="10" t="str">
        <f t="shared" si="92"/>
        <v xml:space="preserve"> </v>
      </c>
      <c r="AQ19" s="10" t="str">
        <f t="shared" si="92"/>
        <v xml:space="preserve"> </v>
      </c>
      <c r="AR19" s="10" t="str">
        <f t="shared" si="92"/>
        <v xml:space="preserve"> </v>
      </c>
      <c r="AS19" s="10" t="str">
        <f t="shared" si="92"/>
        <v xml:space="preserve"> </v>
      </c>
      <c r="AT19" s="14"/>
      <c r="AU19" s="14"/>
      <c r="AV19" s="10" t="str">
        <f t="shared" si="93"/>
        <v>.</v>
      </c>
      <c r="AW19" s="10" t="str">
        <f t="shared" si="93"/>
        <v xml:space="preserve"> </v>
      </c>
      <c r="AX19" s="10" t="str">
        <f t="shared" si="93"/>
        <v xml:space="preserve"> </v>
      </c>
      <c r="AY19" s="10" t="str">
        <f t="shared" si="93"/>
        <v xml:space="preserve"> </v>
      </c>
      <c r="AZ19" s="10" t="str">
        <f t="shared" si="93"/>
        <v xml:space="preserve"> </v>
      </c>
      <c r="BA19" s="14"/>
      <c r="BB19" s="14"/>
      <c r="BC19" s="10" t="str">
        <f t="shared" si="94"/>
        <v xml:space="preserve"> </v>
      </c>
      <c r="BD19" s="10" t="str">
        <f t="shared" si="94"/>
        <v xml:space="preserve"> </v>
      </c>
      <c r="BE19" s="10" t="str">
        <f t="shared" si="94"/>
        <v xml:space="preserve"> </v>
      </c>
      <c r="BF19" s="10" t="str">
        <f t="shared" si="94"/>
        <v xml:space="preserve"> </v>
      </c>
      <c r="BG19" s="10" t="str">
        <f t="shared" si="94"/>
        <v xml:space="preserve"> </v>
      </c>
      <c r="BH19" s="14"/>
      <c r="BI19" s="14"/>
      <c r="BJ19" s="10" t="str">
        <f t="shared" si="95"/>
        <v xml:space="preserve"> </v>
      </c>
      <c r="BK19" s="10" t="str">
        <f t="shared" si="95"/>
        <v xml:space="preserve"> </v>
      </c>
      <c r="BL19" s="10" t="str">
        <f t="shared" si="95"/>
        <v xml:space="preserve"> </v>
      </c>
      <c r="BM19" s="10" t="str">
        <f t="shared" si="95"/>
        <v xml:space="preserve"> </v>
      </c>
      <c r="BN19" s="10" t="str">
        <f t="shared" si="95"/>
        <v xml:space="preserve"> </v>
      </c>
      <c r="BO19" s="14"/>
      <c r="BP19" s="14"/>
      <c r="BQ19" s="10" t="str">
        <f t="shared" si="96"/>
        <v xml:space="preserve"> </v>
      </c>
      <c r="BR19" s="10" t="str">
        <f t="shared" si="96"/>
        <v xml:space="preserve"> </v>
      </c>
      <c r="BS19" s="10" t="str">
        <f t="shared" si="96"/>
        <v xml:space="preserve"> </v>
      </c>
      <c r="BT19" s="10" t="str">
        <f t="shared" si="96"/>
        <v xml:space="preserve"> </v>
      </c>
      <c r="BU19" s="10" t="str">
        <f t="shared" si="96"/>
        <v xml:space="preserve"> </v>
      </c>
      <c r="BV19" s="14"/>
      <c r="BW19" s="14"/>
      <c r="BX19" s="10" t="str">
        <f t="shared" si="97"/>
        <v xml:space="preserve"> </v>
      </c>
      <c r="BY19" s="10" t="str">
        <f t="shared" si="97"/>
        <v xml:space="preserve"> </v>
      </c>
      <c r="BZ19" s="10" t="str">
        <f t="shared" si="97"/>
        <v xml:space="preserve"> </v>
      </c>
      <c r="CA19" s="10" t="str">
        <f t="shared" si="97"/>
        <v xml:space="preserve"> </v>
      </c>
      <c r="CB19" s="10" t="str">
        <f t="shared" si="97"/>
        <v xml:space="preserve"> </v>
      </c>
      <c r="CC19" s="14"/>
      <c r="CD19" s="14"/>
      <c r="CE19" s="10" t="str">
        <f t="shared" si="98"/>
        <v xml:space="preserve"> </v>
      </c>
      <c r="CF19" s="10" t="str">
        <f t="shared" si="98"/>
        <v xml:space="preserve"> </v>
      </c>
      <c r="CG19" s="10" t="str">
        <f t="shared" si="98"/>
        <v xml:space="preserve"> </v>
      </c>
      <c r="CH19" s="10" t="str">
        <f t="shared" si="98"/>
        <v xml:space="preserve"> </v>
      </c>
      <c r="CI19" s="10" t="str">
        <f t="shared" si="98"/>
        <v xml:space="preserve"> </v>
      </c>
      <c r="CJ19" s="14"/>
      <c r="CK19" s="14"/>
      <c r="CL19" s="10" t="str">
        <f t="shared" si="99"/>
        <v xml:space="preserve"> </v>
      </c>
      <c r="CM19" s="10" t="str">
        <f t="shared" si="99"/>
        <v xml:space="preserve"> </v>
      </c>
      <c r="CN19" s="10" t="str">
        <f t="shared" si="99"/>
        <v xml:space="preserve"> </v>
      </c>
      <c r="CO19" s="10" t="str">
        <f t="shared" si="99"/>
        <v xml:space="preserve"> </v>
      </c>
      <c r="CP19" s="10" t="str">
        <f t="shared" si="99"/>
        <v xml:space="preserve"> </v>
      </c>
      <c r="CQ19" s="14"/>
      <c r="CR19" s="14"/>
      <c r="CS19" s="10" t="str">
        <f t="shared" si="100"/>
        <v xml:space="preserve"> </v>
      </c>
      <c r="CT19" s="10" t="str">
        <f t="shared" si="100"/>
        <v xml:space="preserve"> </v>
      </c>
      <c r="CU19" s="10" t="str">
        <f t="shared" si="100"/>
        <v xml:space="preserve"> </v>
      </c>
      <c r="CV19" s="10" t="str">
        <f t="shared" si="100"/>
        <v xml:space="preserve"> </v>
      </c>
      <c r="CW19" s="10" t="str">
        <f t="shared" si="100"/>
        <v xml:space="preserve"> </v>
      </c>
      <c r="CZ19" s="10" t="str">
        <f t="shared" si="101"/>
        <v xml:space="preserve"> </v>
      </c>
      <c r="DA19" s="10" t="str">
        <f t="shared" si="101"/>
        <v xml:space="preserve"> </v>
      </c>
      <c r="DB19" s="10" t="str">
        <f t="shared" si="101"/>
        <v xml:space="preserve"> </v>
      </c>
      <c r="DC19" s="10" t="str">
        <f t="shared" si="101"/>
        <v xml:space="preserve"> </v>
      </c>
      <c r="DD19" s="10" t="str">
        <f t="shared" si="101"/>
        <v xml:space="preserve"> </v>
      </c>
      <c r="DG19" s="10" t="str">
        <f t="shared" si="102"/>
        <v xml:space="preserve"> </v>
      </c>
      <c r="DH19" s="10" t="str">
        <f t="shared" si="102"/>
        <v xml:space="preserve"> </v>
      </c>
      <c r="DI19" s="10" t="str">
        <f t="shared" si="102"/>
        <v xml:space="preserve"> </v>
      </c>
      <c r="DJ19" s="10" t="str">
        <f t="shared" si="102"/>
        <v xml:space="preserve"> </v>
      </c>
      <c r="DK19" s="10" t="str">
        <f t="shared" si="102"/>
        <v xml:space="preserve"> </v>
      </c>
      <c r="DN19" s="10" t="str">
        <f t="shared" si="103"/>
        <v xml:space="preserve"> </v>
      </c>
      <c r="DO19" s="10" t="str">
        <f t="shared" si="103"/>
        <v xml:space="preserve"> </v>
      </c>
      <c r="DP19" s="10" t="str">
        <f t="shared" si="103"/>
        <v xml:space="preserve"> </v>
      </c>
      <c r="DQ19" s="10" t="str">
        <f t="shared" si="103"/>
        <v xml:space="preserve"> </v>
      </c>
      <c r="DR19" s="10" t="str">
        <f t="shared" si="103"/>
        <v xml:space="preserve"> </v>
      </c>
      <c r="DU19" s="10" t="str">
        <f t="shared" si="104"/>
        <v xml:space="preserve"> </v>
      </c>
      <c r="DV19" s="10" t="str">
        <f t="shared" si="104"/>
        <v xml:space="preserve"> </v>
      </c>
      <c r="DW19" s="10" t="str">
        <f t="shared" si="104"/>
        <v xml:space="preserve"> </v>
      </c>
      <c r="DX19" s="10" t="str">
        <f t="shared" si="104"/>
        <v xml:space="preserve"> </v>
      </c>
      <c r="DY19" s="10" t="str">
        <f t="shared" si="104"/>
        <v xml:space="preserve"> </v>
      </c>
      <c r="EB19" s="10" t="str">
        <f t="shared" si="105"/>
        <v xml:space="preserve"> </v>
      </c>
      <c r="EC19" s="10" t="str">
        <f t="shared" si="105"/>
        <v xml:space="preserve"> </v>
      </c>
      <c r="ED19" s="10" t="str">
        <f t="shared" si="105"/>
        <v xml:space="preserve"> </v>
      </c>
      <c r="EE19" s="10" t="str">
        <f t="shared" si="105"/>
        <v xml:space="preserve"> </v>
      </c>
      <c r="EF19" s="10" t="str">
        <f t="shared" si="105"/>
        <v xml:space="preserve"> </v>
      </c>
      <c r="EI19" s="10" t="str">
        <f t="shared" si="106"/>
        <v xml:space="preserve"> </v>
      </c>
      <c r="EJ19" s="10" t="str">
        <f t="shared" si="106"/>
        <v xml:space="preserve"> </v>
      </c>
      <c r="EK19" s="10" t="str">
        <f t="shared" si="106"/>
        <v xml:space="preserve"> </v>
      </c>
      <c r="EL19" s="10" t="str">
        <f t="shared" si="106"/>
        <v xml:space="preserve"> </v>
      </c>
      <c r="EM19" s="10" t="str">
        <f t="shared" si="106"/>
        <v xml:space="preserve"> </v>
      </c>
      <c r="EP19" s="10" t="str">
        <f t="shared" si="107"/>
        <v xml:space="preserve"> </v>
      </c>
      <c r="EQ19" s="10" t="str">
        <f t="shared" si="107"/>
        <v xml:space="preserve"> </v>
      </c>
      <c r="ER19" s="10" t="str">
        <f t="shared" si="107"/>
        <v xml:space="preserve"> </v>
      </c>
      <c r="ES19" s="10" t="str">
        <f t="shared" si="107"/>
        <v xml:space="preserve"> </v>
      </c>
      <c r="ET19" s="10" t="str">
        <f t="shared" si="107"/>
        <v xml:space="preserve"> </v>
      </c>
      <c r="EW19" s="10" t="str">
        <f t="shared" si="108"/>
        <v xml:space="preserve"> </v>
      </c>
      <c r="EX19" s="10" t="str">
        <f t="shared" si="108"/>
        <v xml:space="preserve"> </v>
      </c>
      <c r="EY19" s="10" t="str">
        <f t="shared" si="108"/>
        <v xml:space="preserve"> </v>
      </c>
      <c r="EZ19" s="10" t="str">
        <f t="shared" si="108"/>
        <v xml:space="preserve"> </v>
      </c>
      <c r="FA19" s="10" t="str">
        <f t="shared" si="108"/>
        <v xml:space="preserve"> </v>
      </c>
      <c r="FD19" s="10" t="str">
        <f t="shared" si="109"/>
        <v xml:space="preserve"> </v>
      </c>
      <c r="FE19" s="10" t="str">
        <f t="shared" si="109"/>
        <v xml:space="preserve"> </v>
      </c>
      <c r="FF19" s="10" t="str">
        <f t="shared" si="109"/>
        <v xml:space="preserve"> </v>
      </c>
      <c r="FG19" s="10" t="str">
        <f t="shared" si="109"/>
        <v xml:space="preserve"> </v>
      </c>
      <c r="FH19" s="10" t="str">
        <f t="shared" si="109"/>
        <v xml:space="preserve"> </v>
      </c>
      <c r="FK19" s="10" t="str">
        <f t="shared" si="110"/>
        <v xml:space="preserve"> </v>
      </c>
      <c r="FL19" s="10" t="str">
        <f t="shared" si="110"/>
        <v xml:space="preserve"> </v>
      </c>
      <c r="FM19" s="10" t="str">
        <f t="shared" si="110"/>
        <v xml:space="preserve"> </v>
      </c>
      <c r="FN19" s="10" t="str">
        <f t="shared" si="110"/>
        <v xml:space="preserve"> </v>
      </c>
      <c r="FO19" s="10" t="str">
        <f t="shared" si="110"/>
        <v xml:space="preserve"> </v>
      </c>
      <c r="FR19" s="10" t="str">
        <f t="shared" si="111"/>
        <v xml:space="preserve"> </v>
      </c>
      <c r="FS19" s="10" t="str">
        <f t="shared" si="111"/>
        <v xml:space="preserve"> </v>
      </c>
      <c r="FT19" s="10" t="str">
        <f t="shared" si="111"/>
        <v xml:space="preserve"> </v>
      </c>
      <c r="FU19" s="10" t="str">
        <f t="shared" si="111"/>
        <v xml:space="preserve"> </v>
      </c>
      <c r="FV19" s="10" t="str">
        <f t="shared" si="111"/>
        <v xml:space="preserve"> </v>
      </c>
      <c r="FY19" s="10" t="str">
        <f t="shared" si="112"/>
        <v xml:space="preserve"> </v>
      </c>
      <c r="FZ19" s="10" t="str">
        <f t="shared" si="112"/>
        <v xml:space="preserve"> </v>
      </c>
      <c r="GA19" s="10" t="str">
        <f t="shared" si="112"/>
        <v xml:space="preserve"> </v>
      </c>
      <c r="GB19" s="10" t="str">
        <f t="shared" si="112"/>
        <v xml:space="preserve"> </v>
      </c>
      <c r="GC19" s="10" t="str">
        <f t="shared" si="112"/>
        <v xml:space="preserve"> </v>
      </c>
      <c r="GF19" s="10" t="str">
        <f t="shared" si="113"/>
        <v xml:space="preserve"> </v>
      </c>
      <c r="GG19" s="10" t="str">
        <f t="shared" si="113"/>
        <v xml:space="preserve"> </v>
      </c>
      <c r="GH19" s="10" t="str">
        <f t="shared" si="113"/>
        <v xml:space="preserve"> </v>
      </c>
      <c r="GI19" s="10" t="str">
        <f t="shared" si="113"/>
        <v xml:space="preserve"> </v>
      </c>
      <c r="GJ19" s="10" t="str">
        <f t="shared" si="113"/>
        <v xml:space="preserve"> </v>
      </c>
      <c r="GM19" s="10" t="str">
        <f t="shared" si="114"/>
        <v xml:space="preserve"> </v>
      </c>
      <c r="GN19" s="10" t="str">
        <f t="shared" si="114"/>
        <v xml:space="preserve"> </v>
      </c>
      <c r="GO19" s="10" t="str">
        <f t="shared" si="114"/>
        <v xml:space="preserve"> </v>
      </c>
      <c r="GP19" s="10" t="str">
        <f t="shared" si="114"/>
        <v xml:space="preserve"> </v>
      </c>
      <c r="GQ19" s="10" t="str">
        <f t="shared" si="114"/>
        <v xml:space="preserve"> </v>
      </c>
      <c r="GT19" s="10" t="str">
        <f t="shared" si="115"/>
        <v xml:space="preserve"> </v>
      </c>
      <c r="GU19" s="10" t="str">
        <f t="shared" si="115"/>
        <v xml:space="preserve"> </v>
      </c>
      <c r="GV19" s="10" t="str">
        <f t="shared" si="115"/>
        <v xml:space="preserve"> </v>
      </c>
      <c r="GW19" s="10" t="str">
        <f t="shared" si="115"/>
        <v xml:space="preserve"> </v>
      </c>
      <c r="GX19" s="10" t="str">
        <f t="shared" si="115"/>
        <v xml:space="preserve"> </v>
      </c>
      <c r="HA19" s="10" t="str">
        <f t="shared" si="116"/>
        <v xml:space="preserve"> </v>
      </c>
      <c r="HB19" s="10" t="str">
        <f t="shared" si="116"/>
        <v xml:space="preserve"> </v>
      </c>
      <c r="HC19" s="10" t="str">
        <f t="shared" si="116"/>
        <v xml:space="preserve"> </v>
      </c>
      <c r="HD19" s="10" t="str">
        <f t="shared" si="116"/>
        <v xml:space="preserve"> </v>
      </c>
      <c r="HE19" s="10" t="str">
        <f t="shared" si="116"/>
        <v xml:space="preserve"> </v>
      </c>
      <c r="HH19" s="10" t="str">
        <f t="shared" si="117"/>
        <v xml:space="preserve"> </v>
      </c>
      <c r="HI19" s="10" t="str">
        <f t="shared" si="117"/>
        <v xml:space="preserve"> </v>
      </c>
      <c r="HJ19" s="10" t="str">
        <f t="shared" si="117"/>
        <v xml:space="preserve"> </v>
      </c>
      <c r="HK19" s="10" t="str">
        <f t="shared" si="117"/>
        <v xml:space="preserve"> </v>
      </c>
      <c r="HL19" s="10" t="str">
        <f t="shared" si="117"/>
        <v xml:space="preserve"> </v>
      </c>
      <c r="HO19" s="10" t="str">
        <f t="shared" si="118"/>
        <v xml:space="preserve"> </v>
      </c>
      <c r="HP19" s="10" t="str">
        <f t="shared" si="118"/>
        <v xml:space="preserve"> </v>
      </c>
      <c r="HQ19" s="10" t="str">
        <f t="shared" si="118"/>
        <v xml:space="preserve"> </v>
      </c>
      <c r="HR19" s="10" t="str">
        <f t="shared" si="118"/>
        <v xml:space="preserve"> </v>
      </c>
      <c r="HS19" s="10" t="str">
        <f t="shared" si="118"/>
        <v xml:space="preserve"> </v>
      </c>
      <c r="HV19" s="10" t="str">
        <f t="shared" si="119"/>
        <v xml:space="preserve"> </v>
      </c>
      <c r="HW19" s="10" t="str">
        <f t="shared" si="119"/>
        <v xml:space="preserve"> </v>
      </c>
      <c r="HX19" s="10" t="str">
        <f t="shared" si="119"/>
        <v xml:space="preserve"> </v>
      </c>
      <c r="HY19" s="10" t="str">
        <f t="shared" si="119"/>
        <v xml:space="preserve"> </v>
      </c>
      <c r="HZ19" s="10" t="str">
        <f t="shared" si="119"/>
        <v xml:space="preserve"> </v>
      </c>
      <c r="IC19" s="10" t="str">
        <f t="shared" si="120"/>
        <v xml:space="preserve"> </v>
      </c>
      <c r="ID19" s="10" t="str">
        <f t="shared" si="120"/>
        <v xml:space="preserve"> </v>
      </c>
      <c r="IE19" s="10" t="str">
        <f t="shared" si="120"/>
        <v xml:space="preserve"> </v>
      </c>
      <c r="IF19" s="10" t="str">
        <f t="shared" si="120"/>
        <v xml:space="preserve"> </v>
      </c>
      <c r="IG19" s="10" t="str">
        <f t="shared" si="120"/>
        <v xml:space="preserve"> </v>
      </c>
      <c r="IJ19" s="10" t="str">
        <f t="shared" si="121"/>
        <v xml:space="preserve"> </v>
      </c>
      <c r="IK19" s="10" t="str">
        <f t="shared" si="121"/>
        <v xml:space="preserve"> </v>
      </c>
      <c r="IL19" s="10" t="str">
        <f t="shared" si="121"/>
        <v xml:space="preserve"> </v>
      </c>
      <c r="IM19" s="10" t="str">
        <f t="shared" si="121"/>
        <v xml:space="preserve"> </v>
      </c>
      <c r="IN19" s="10" t="str">
        <f t="shared" si="121"/>
        <v xml:space="preserve"> </v>
      </c>
      <c r="IQ19" s="10" t="str">
        <f t="shared" si="122"/>
        <v xml:space="preserve"> </v>
      </c>
      <c r="IR19" s="10" t="str">
        <f t="shared" si="122"/>
        <v xml:space="preserve"> </v>
      </c>
      <c r="IS19" s="10" t="str">
        <f t="shared" si="122"/>
        <v xml:space="preserve"> </v>
      </c>
      <c r="IT19" s="10" t="str">
        <f t="shared" si="122"/>
        <v xml:space="preserve"> </v>
      </c>
      <c r="IU19" s="10" t="str">
        <f t="shared" si="122"/>
        <v xml:space="preserve"> </v>
      </c>
      <c r="IX19" s="10" t="str">
        <f t="shared" si="123"/>
        <v xml:space="preserve"> </v>
      </c>
      <c r="IY19" s="10" t="str">
        <f t="shared" si="123"/>
        <v xml:space="preserve"> </v>
      </c>
      <c r="IZ19" s="10" t="str">
        <f t="shared" si="123"/>
        <v xml:space="preserve"> </v>
      </c>
      <c r="JA19" s="10" t="str">
        <f t="shared" si="123"/>
        <v xml:space="preserve"> </v>
      </c>
      <c r="JB19" s="10" t="str">
        <f t="shared" si="123"/>
        <v xml:space="preserve"> </v>
      </c>
      <c r="JE19" s="10" t="str">
        <f t="shared" si="124"/>
        <v xml:space="preserve"> </v>
      </c>
      <c r="JF19" s="10" t="str">
        <f t="shared" si="124"/>
        <v xml:space="preserve"> </v>
      </c>
      <c r="JG19" s="10" t="str">
        <f t="shared" si="124"/>
        <v xml:space="preserve"> </v>
      </c>
      <c r="JH19" s="10" t="str">
        <f t="shared" si="124"/>
        <v xml:space="preserve"> </v>
      </c>
      <c r="JI19" s="10" t="str">
        <f t="shared" si="124"/>
        <v xml:space="preserve"> </v>
      </c>
    </row>
    <row r="20" spans="1:269">
      <c r="A20" s="96"/>
      <c r="B20" s="10">
        <v>12</v>
      </c>
      <c r="C20" s="11" t="s">
        <v>37</v>
      </c>
      <c r="D20" s="11" t="s">
        <v>33</v>
      </c>
      <c r="E20" s="10">
        <v>10</v>
      </c>
      <c r="F20" s="12">
        <f t="shared" si="87"/>
        <v>42529</v>
      </c>
      <c r="G20" s="12">
        <f>WORKDAY(F20,H20-1,Config!D18:D37)</f>
        <v>42530</v>
      </c>
      <c r="H20" s="10">
        <v>2</v>
      </c>
      <c r="I20" s="13">
        <v>0.45</v>
      </c>
      <c r="J20" s="13">
        <f ca="1">IF(((NETWORKDAYS(F20,TODAY(),Data!C14:C33)*100)/H20)/100 &gt; 0,((NETWORKDAYS(F20,TODAY(),Data!C14:C33)*100)/H20)/100,0)</f>
        <v>824</v>
      </c>
      <c r="K20" s="13" t="str">
        <f t="shared" ca="1" si="47"/>
        <v>100%</v>
      </c>
      <c r="L20" s="13">
        <f t="shared" ca="1" si="48"/>
        <v>0.55000000000000004</v>
      </c>
      <c r="M20" s="10" t="str">
        <f t="shared" si="125"/>
        <v xml:space="preserve"> </v>
      </c>
      <c r="N20" s="10" t="str">
        <f t="shared" si="88"/>
        <v xml:space="preserve"> </v>
      </c>
      <c r="O20" s="10" t="str">
        <f t="shared" si="88"/>
        <v xml:space="preserve"> </v>
      </c>
      <c r="P20" s="10" t="str">
        <f t="shared" si="88"/>
        <v xml:space="preserve"> </v>
      </c>
      <c r="Q20" s="10" t="str">
        <f t="shared" si="88"/>
        <v xml:space="preserve"> </v>
      </c>
      <c r="R20" s="14"/>
      <c r="S20" s="14"/>
      <c r="T20" s="10" t="str">
        <f t="shared" si="89"/>
        <v xml:space="preserve"> </v>
      </c>
      <c r="U20" s="10" t="str">
        <f t="shared" si="89"/>
        <v xml:space="preserve"> </v>
      </c>
      <c r="V20" s="10" t="str">
        <f t="shared" si="89"/>
        <v xml:space="preserve"> </v>
      </c>
      <c r="W20" s="10" t="str">
        <f t="shared" si="89"/>
        <v xml:space="preserve"> </v>
      </c>
      <c r="X20" s="10" t="str">
        <f t="shared" si="89"/>
        <v xml:space="preserve"> </v>
      </c>
      <c r="Y20" s="14"/>
      <c r="Z20" s="14"/>
      <c r="AA20" s="10" t="str">
        <f t="shared" si="90"/>
        <v xml:space="preserve"> </v>
      </c>
      <c r="AB20" s="10" t="str">
        <f t="shared" si="90"/>
        <v xml:space="preserve"> </v>
      </c>
      <c r="AC20" s="10" t="str">
        <f t="shared" si="90"/>
        <v xml:space="preserve"> </v>
      </c>
      <c r="AD20" s="10" t="str">
        <f t="shared" si="90"/>
        <v xml:space="preserve"> </v>
      </c>
      <c r="AE20" s="10" t="str">
        <f t="shared" si="90"/>
        <v xml:space="preserve"> </v>
      </c>
      <c r="AF20" s="14"/>
      <c r="AG20" s="14"/>
      <c r="AH20" s="10" t="str">
        <f t="shared" si="91"/>
        <v xml:space="preserve"> </v>
      </c>
      <c r="AI20" s="10" t="str">
        <f t="shared" si="91"/>
        <v xml:space="preserve"> </v>
      </c>
      <c r="AJ20" s="10" t="str">
        <f t="shared" si="91"/>
        <v xml:space="preserve"> </v>
      </c>
      <c r="AK20" s="10" t="str">
        <f t="shared" si="91"/>
        <v xml:space="preserve"> </v>
      </c>
      <c r="AL20" s="10" t="str">
        <f t="shared" si="91"/>
        <v xml:space="preserve"> </v>
      </c>
      <c r="AM20" s="14"/>
      <c r="AN20" s="14"/>
      <c r="AO20" s="10" t="str">
        <f t="shared" si="92"/>
        <v xml:space="preserve"> </v>
      </c>
      <c r="AP20" s="10" t="str">
        <f t="shared" si="92"/>
        <v xml:space="preserve"> </v>
      </c>
      <c r="AQ20" s="10" t="str">
        <f t="shared" si="92"/>
        <v xml:space="preserve"> </v>
      </c>
      <c r="AR20" s="10" t="str">
        <f t="shared" si="92"/>
        <v xml:space="preserve"> </v>
      </c>
      <c r="AS20" s="10" t="str">
        <f t="shared" si="92"/>
        <v xml:space="preserve"> </v>
      </c>
      <c r="AT20" s="14"/>
      <c r="AU20" s="14"/>
      <c r="AV20" s="10" t="str">
        <f t="shared" si="93"/>
        <v>.</v>
      </c>
      <c r="AW20" s="10" t="str">
        <f t="shared" si="93"/>
        <v xml:space="preserve"> </v>
      </c>
      <c r="AX20" s="10" t="str">
        <f t="shared" si="93"/>
        <v xml:space="preserve"> </v>
      </c>
      <c r="AY20" s="10" t="str">
        <f t="shared" si="93"/>
        <v xml:space="preserve"> </v>
      </c>
      <c r="AZ20" s="10" t="str">
        <f t="shared" si="93"/>
        <v xml:space="preserve"> </v>
      </c>
      <c r="BA20" s="14"/>
      <c r="BB20" s="14"/>
      <c r="BC20" s="10" t="str">
        <f t="shared" si="94"/>
        <v xml:space="preserve"> </v>
      </c>
      <c r="BD20" s="10" t="str">
        <f t="shared" si="94"/>
        <v xml:space="preserve"> </v>
      </c>
      <c r="BE20" s="10" t="str">
        <f t="shared" si="94"/>
        <v xml:space="preserve"> </v>
      </c>
      <c r="BF20" s="10" t="str">
        <f t="shared" si="94"/>
        <v xml:space="preserve"> </v>
      </c>
      <c r="BG20" s="10" t="str">
        <f t="shared" si="94"/>
        <v xml:space="preserve"> </v>
      </c>
      <c r="BH20" s="14"/>
      <c r="BI20" s="14"/>
      <c r="BJ20" s="10" t="str">
        <f t="shared" si="95"/>
        <v xml:space="preserve"> </v>
      </c>
      <c r="BK20" s="10" t="str">
        <f t="shared" si="95"/>
        <v xml:space="preserve"> </v>
      </c>
      <c r="BL20" s="10" t="str">
        <f t="shared" si="95"/>
        <v xml:space="preserve"> </v>
      </c>
      <c r="BM20" s="10" t="str">
        <f t="shared" si="95"/>
        <v xml:space="preserve"> </v>
      </c>
      <c r="BN20" s="10" t="str">
        <f t="shared" si="95"/>
        <v xml:space="preserve"> </v>
      </c>
      <c r="BO20" s="14"/>
      <c r="BP20" s="14"/>
      <c r="BQ20" s="10" t="str">
        <f t="shared" si="96"/>
        <v xml:space="preserve"> </v>
      </c>
      <c r="BR20" s="10" t="str">
        <f t="shared" si="96"/>
        <v xml:space="preserve"> </v>
      </c>
      <c r="BS20" s="10" t="str">
        <f t="shared" si="96"/>
        <v xml:space="preserve"> </v>
      </c>
      <c r="BT20" s="10" t="str">
        <f t="shared" si="96"/>
        <v xml:space="preserve"> </v>
      </c>
      <c r="BU20" s="10" t="str">
        <f t="shared" si="96"/>
        <v xml:space="preserve"> </v>
      </c>
      <c r="BV20" s="14"/>
      <c r="BW20" s="14"/>
      <c r="BX20" s="10" t="str">
        <f t="shared" si="97"/>
        <v xml:space="preserve"> </v>
      </c>
      <c r="BY20" s="10" t="str">
        <f t="shared" si="97"/>
        <v xml:space="preserve"> </v>
      </c>
      <c r="BZ20" s="10" t="str">
        <f t="shared" si="97"/>
        <v xml:space="preserve"> </v>
      </c>
      <c r="CA20" s="10" t="str">
        <f t="shared" si="97"/>
        <v xml:space="preserve"> </v>
      </c>
      <c r="CB20" s="10" t="str">
        <f t="shared" si="97"/>
        <v xml:space="preserve"> </v>
      </c>
      <c r="CC20" s="14"/>
      <c r="CD20" s="14"/>
      <c r="CE20" s="10" t="str">
        <f t="shared" si="98"/>
        <v xml:space="preserve"> </v>
      </c>
      <c r="CF20" s="10" t="str">
        <f t="shared" si="98"/>
        <v xml:space="preserve"> </v>
      </c>
      <c r="CG20" s="10" t="str">
        <f t="shared" si="98"/>
        <v xml:space="preserve"> </v>
      </c>
      <c r="CH20" s="10" t="str">
        <f t="shared" si="98"/>
        <v xml:space="preserve"> </v>
      </c>
      <c r="CI20" s="10" t="str">
        <f t="shared" si="98"/>
        <v xml:space="preserve"> </v>
      </c>
      <c r="CJ20" s="14"/>
      <c r="CK20" s="14"/>
      <c r="CL20" s="10" t="str">
        <f t="shared" si="99"/>
        <v xml:space="preserve"> </v>
      </c>
      <c r="CM20" s="10" t="str">
        <f t="shared" si="99"/>
        <v xml:space="preserve"> </v>
      </c>
      <c r="CN20" s="10" t="str">
        <f t="shared" si="99"/>
        <v xml:space="preserve"> </v>
      </c>
      <c r="CO20" s="10" t="str">
        <f t="shared" si="99"/>
        <v xml:space="preserve"> </v>
      </c>
      <c r="CP20" s="10" t="str">
        <f t="shared" si="99"/>
        <v xml:space="preserve"> </v>
      </c>
      <c r="CQ20" s="14"/>
      <c r="CR20" s="14"/>
      <c r="CS20" s="10" t="str">
        <f t="shared" si="100"/>
        <v xml:space="preserve"> </v>
      </c>
      <c r="CT20" s="10" t="str">
        <f t="shared" si="100"/>
        <v xml:space="preserve"> </v>
      </c>
      <c r="CU20" s="10" t="str">
        <f t="shared" si="100"/>
        <v xml:space="preserve"> </v>
      </c>
      <c r="CV20" s="10" t="str">
        <f t="shared" si="100"/>
        <v xml:space="preserve"> </v>
      </c>
      <c r="CW20" s="10" t="str">
        <f t="shared" si="100"/>
        <v xml:space="preserve"> </v>
      </c>
      <c r="CZ20" s="10" t="str">
        <f t="shared" si="101"/>
        <v xml:space="preserve"> </v>
      </c>
      <c r="DA20" s="10" t="str">
        <f t="shared" si="101"/>
        <v xml:space="preserve"> </v>
      </c>
      <c r="DB20" s="10" t="str">
        <f t="shared" si="101"/>
        <v xml:space="preserve"> </v>
      </c>
      <c r="DC20" s="10" t="str">
        <f t="shared" si="101"/>
        <v xml:space="preserve"> </v>
      </c>
      <c r="DD20" s="10" t="str">
        <f t="shared" si="101"/>
        <v xml:space="preserve"> </v>
      </c>
      <c r="DG20" s="10" t="str">
        <f t="shared" si="102"/>
        <v xml:space="preserve"> </v>
      </c>
      <c r="DH20" s="10" t="str">
        <f t="shared" si="102"/>
        <v xml:space="preserve"> </v>
      </c>
      <c r="DI20" s="10" t="str">
        <f t="shared" si="102"/>
        <v xml:space="preserve"> </v>
      </c>
      <c r="DJ20" s="10" t="str">
        <f t="shared" si="102"/>
        <v xml:space="preserve"> </v>
      </c>
      <c r="DK20" s="10" t="str">
        <f t="shared" si="102"/>
        <v xml:space="preserve"> </v>
      </c>
      <c r="DN20" s="10" t="str">
        <f t="shared" si="103"/>
        <v xml:space="preserve"> </v>
      </c>
      <c r="DO20" s="10" t="str">
        <f t="shared" si="103"/>
        <v xml:space="preserve"> </v>
      </c>
      <c r="DP20" s="10" t="str">
        <f t="shared" si="103"/>
        <v xml:space="preserve"> </v>
      </c>
      <c r="DQ20" s="10" t="str">
        <f t="shared" si="103"/>
        <v xml:space="preserve"> </v>
      </c>
      <c r="DR20" s="10" t="str">
        <f t="shared" si="103"/>
        <v xml:space="preserve"> </v>
      </c>
      <c r="DU20" s="10" t="str">
        <f t="shared" si="104"/>
        <v xml:space="preserve"> </v>
      </c>
      <c r="DV20" s="10" t="str">
        <f t="shared" si="104"/>
        <v xml:space="preserve"> </v>
      </c>
      <c r="DW20" s="10" t="str">
        <f t="shared" si="104"/>
        <v xml:space="preserve"> </v>
      </c>
      <c r="DX20" s="10" t="str">
        <f t="shared" si="104"/>
        <v xml:space="preserve"> </v>
      </c>
      <c r="DY20" s="10" t="str">
        <f t="shared" si="104"/>
        <v xml:space="preserve"> </v>
      </c>
      <c r="EB20" s="10" t="str">
        <f t="shared" si="105"/>
        <v xml:space="preserve"> </v>
      </c>
      <c r="EC20" s="10" t="str">
        <f t="shared" si="105"/>
        <v xml:space="preserve"> </v>
      </c>
      <c r="ED20" s="10" t="str">
        <f t="shared" si="105"/>
        <v xml:space="preserve"> </v>
      </c>
      <c r="EE20" s="10" t="str">
        <f t="shared" si="105"/>
        <v xml:space="preserve"> </v>
      </c>
      <c r="EF20" s="10" t="str">
        <f t="shared" si="105"/>
        <v xml:space="preserve"> </v>
      </c>
      <c r="EI20" s="10" t="str">
        <f t="shared" si="106"/>
        <v xml:space="preserve"> </v>
      </c>
      <c r="EJ20" s="10" t="str">
        <f t="shared" si="106"/>
        <v xml:space="preserve"> </v>
      </c>
      <c r="EK20" s="10" t="str">
        <f t="shared" si="106"/>
        <v xml:space="preserve"> </v>
      </c>
      <c r="EL20" s="10" t="str">
        <f t="shared" si="106"/>
        <v xml:space="preserve"> </v>
      </c>
      <c r="EM20" s="10" t="str">
        <f t="shared" si="106"/>
        <v xml:space="preserve"> </v>
      </c>
      <c r="EP20" s="10" t="str">
        <f t="shared" si="107"/>
        <v xml:space="preserve"> </v>
      </c>
      <c r="EQ20" s="10" t="str">
        <f t="shared" si="107"/>
        <v xml:space="preserve"> </v>
      </c>
      <c r="ER20" s="10" t="str">
        <f t="shared" si="107"/>
        <v xml:space="preserve"> </v>
      </c>
      <c r="ES20" s="10" t="str">
        <f t="shared" si="107"/>
        <v xml:space="preserve"> </v>
      </c>
      <c r="ET20" s="10" t="str">
        <f t="shared" si="107"/>
        <v xml:space="preserve"> </v>
      </c>
      <c r="EW20" s="10" t="str">
        <f t="shared" si="108"/>
        <v xml:space="preserve"> </v>
      </c>
      <c r="EX20" s="10" t="str">
        <f t="shared" si="108"/>
        <v xml:space="preserve"> </v>
      </c>
      <c r="EY20" s="10" t="str">
        <f t="shared" si="108"/>
        <v xml:space="preserve"> </v>
      </c>
      <c r="EZ20" s="10" t="str">
        <f t="shared" si="108"/>
        <v xml:space="preserve"> </v>
      </c>
      <c r="FA20" s="10" t="str">
        <f t="shared" si="108"/>
        <v xml:space="preserve"> </v>
      </c>
      <c r="FD20" s="10" t="str">
        <f t="shared" si="109"/>
        <v xml:space="preserve"> </v>
      </c>
      <c r="FE20" s="10" t="str">
        <f t="shared" si="109"/>
        <v xml:space="preserve"> </v>
      </c>
      <c r="FF20" s="10" t="str">
        <f t="shared" si="109"/>
        <v xml:space="preserve"> </v>
      </c>
      <c r="FG20" s="10" t="str">
        <f t="shared" si="109"/>
        <v xml:space="preserve"> </v>
      </c>
      <c r="FH20" s="10" t="str">
        <f t="shared" si="109"/>
        <v xml:space="preserve"> </v>
      </c>
      <c r="FK20" s="10" t="str">
        <f t="shared" si="110"/>
        <v xml:space="preserve"> </v>
      </c>
      <c r="FL20" s="10" t="str">
        <f t="shared" si="110"/>
        <v xml:space="preserve"> </v>
      </c>
      <c r="FM20" s="10" t="str">
        <f t="shared" si="110"/>
        <v xml:space="preserve"> </v>
      </c>
      <c r="FN20" s="10" t="str">
        <f t="shared" si="110"/>
        <v xml:space="preserve"> </v>
      </c>
      <c r="FO20" s="10" t="str">
        <f t="shared" si="110"/>
        <v xml:space="preserve"> </v>
      </c>
      <c r="FR20" s="10" t="str">
        <f t="shared" si="111"/>
        <v xml:space="preserve"> </v>
      </c>
      <c r="FS20" s="10" t="str">
        <f t="shared" si="111"/>
        <v xml:space="preserve"> </v>
      </c>
      <c r="FT20" s="10" t="str">
        <f t="shared" si="111"/>
        <v xml:space="preserve"> </v>
      </c>
      <c r="FU20" s="10" t="str">
        <f t="shared" si="111"/>
        <v xml:space="preserve"> </v>
      </c>
      <c r="FV20" s="10" t="str">
        <f t="shared" si="111"/>
        <v xml:space="preserve"> </v>
      </c>
      <c r="FY20" s="10" t="str">
        <f t="shared" si="112"/>
        <v xml:space="preserve"> </v>
      </c>
      <c r="FZ20" s="10" t="str">
        <f t="shared" si="112"/>
        <v xml:space="preserve"> </v>
      </c>
      <c r="GA20" s="10" t="str">
        <f t="shared" si="112"/>
        <v xml:space="preserve"> </v>
      </c>
      <c r="GB20" s="10" t="str">
        <f t="shared" si="112"/>
        <v xml:space="preserve"> </v>
      </c>
      <c r="GC20" s="10" t="str">
        <f t="shared" si="112"/>
        <v xml:space="preserve"> </v>
      </c>
      <c r="GF20" s="10" t="str">
        <f t="shared" si="113"/>
        <v xml:space="preserve"> </v>
      </c>
      <c r="GG20" s="10" t="str">
        <f t="shared" si="113"/>
        <v xml:space="preserve"> </v>
      </c>
      <c r="GH20" s="10" t="str">
        <f t="shared" si="113"/>
        <v xml:space="preserve"> </v>
      </c>
      <c r="GI20" s="10" t="str">
        <f t="shared" si="113"/>
        <v xml:space="preserve"> </v>
      </c>
      <c r="GJ20" s="10" t="str">
        <f t="shared" si="113"/>
        <v xml:space="preserve"> </v>
      </c>
      <c r="GM20" s="10" t="str">
        <f t="shared" si="114"/>
        <v xml:space="preserve"> </v>
      </c>
      <c r="GN20" s="10" t="str">
        <f t="shared" si="114"/>
        <v xml:space="preserve"> </v>
      </c>
      <c r="GO20" s="10" t="str">
        <f t="shared" si="114"/>
        <v xml:space="preserve"> </v>
      </c>
      <c r="GP20" s="10" t="str">
        <f t="shared" si="114"/>
        <v xml:space="preserve"> </v>
      </c>
      <c r="GQ20" s="10" t="str">
        <f t="shared" si="114"/>
        <v xml:space="preserve"> </v>
      </c>
      <c r="GT20" s="10" t="str">
        <f t="shared" si="115"/>
        <v xml:space="preserve"> </v>
      </c>
      <c r="GU20" s="10" t="str">
        <f t="shared" si="115"/>
        <v xml:space="preserve"> </v>
      </c>
      <c r="GV20" s="10" t="str">
        <f t="shared" si="115"/>
        <v xml:space="preserve"> </v>
      </c>
      <c r="GW20" s="10" t="str">
        <f t="shared" si="115"/>
        <v xml:space="preserve"> </v>
      </c>
      <c r="GX20" s="10" t="str">
        <f t="shared" si="115"/>
        <v xml:space="preserve"> </v>
      </c>
      <c r="HA20" s="10" t="str">
        <f t="shared" si="116"/>
        <v xml:space="preserve"> </v>
      </c>
      <c r="HB20" s="10" t="str">
        <f t="shared" si="116"/>
        <v xml:space="preserve"> </v>
      </c>
      <c r="HC20" s="10" t="str">
        <f t="shared" si="116"/>
        <v xml:space="preserve"> </v>
      </c>
      <c r="HD20" s="10" t="str">
        <f t="shared" si="116"/>
        <v xml:space="preserve"> </v>
      </c>
      <c r="HE20" s="10" t="str">
        <f t="shared" si="116"/>
        <v xml:space="preserve"> </v>
      </c>
      <c r="HH20" s="10" t="str">
        <f t="shared" si="117"/>
        <v xml:space="preserve"> </v>
      </c>
      <c r="HI20" s="10" t="str">
        <f t="shared" si="117"/>
        <v xml:space="preserve"> </v>
      </c>
      <c r="HJ20" s="10" t="str">
        <f t="shared" si="117"/>
        <v xml:space="preserve"> </v>
      </c>
      <c r="HK20" s="10" t="str">
        <f t="shared" si="117"/>
        <v xml:space="preserve"> </v>
      </c>
      <c r="HL20" s="10" t="str">
        <f t="shared" si="117"/>
        <v xml:space="preserve"> </v>
      </c>
      <c r="HO20" s="10" t="str">
        <f t="shared" si="118"/>
        <v xml:space="preserve"> </v>
      </c>
      <c r="HP20" s="10" t="str">
        <f t="shared" si="118"/>
        <v xml:space="preserve"> </v>
      </c>
      <c r="HQ20" s="10" t="str">
        <f t="shared" si="118"/>
        <v xml:space="preserve"> </v>
      </c>
      <c r="HR20" s="10" t="str">
        <f t="shared" si="118"/>
        <v xml:space="preserve"> </v>
      </c>
      <c r="HS20" s="10" t="str">
        <f t="shared" si="118"/>
        <v xml:space="preserve"> </v>
      </c>
      <c r="HV20" s="10" t="str">
        <f t="shared" si="119"/>
        <v xml:space="preserve"> </v>
      </c>
      <c r="HW20" s="10" t="str">
        <f t="shared" si="119"/>
        <v xml:space="preserve"> </v>
      </c>
      <c r="HX20" s="10" t="str">
        <f t="shared" si="119"/>
        <v xml:space="preserve"> </v>
      </c>
      <c r="HY20" s="10" t="str">
        <f t="shared" si="119"/>
        <v xml:space="preserve"> </v>
      </c>
      <c r="HZ20" s="10" t="str">
        <f t="shared" si="119"/>
        <v xml:space="preserve"> </v>
      </c>
      <c r="IC20" s="10" t="str">
        <f t="shared" si="120"/>
        <v xml:space="preserve"> </v>
      </c>
      <c r="ID20" s="10" t="str">
        <f t="shared" si="120"/>
        <v xml:space="preserve"> </v>
      </c>
      <c r="IE20" s="10" t="str">
        <f t="shared" si="120"/>
        <v xml:space="preserve"> </v>
      </c>
      <c r="IF20" s="10" t="str">
        <f t="shared" si="120"/>
        <v xml:space="preserve"> </v>
      </c>
      <c r="IG20" s="10" t="str">
        <f t="shared" si="120"/>
        <v xml:space="preserve"> </v>
      </c>
      <c r="IJ20" s="10" t="str">
        <f t="shared" si="121"/>
        <v xml:space="preserve"> </v>
      </c>
      <c r="IK20" s="10" t="str">
        <f t="shared" si="121"/>
        <v xml:space="preserve"> </v>
      </c>
      <c r="IL20" s="10" t="str">
        <f t="shared" si="121"/>
        <v xml:space="preserve"> </v>
      </c>
      <c r="IM20" s="10" t="str">
        <f t="shared" si="121"/>
        <v xml:space="preserve"> </v>
      </c>
      <c r="IN20" s="10" t="str">
        <f t="shared" si="121"/>
        <v xml:space="preserve"> </v>
      </c>
      <c r="IQ20" s="10" t="str">
        <f t="shared" si="122"/>
        <v xml:space="preserve"> </v>
      </c>
      <c r="IR20" s="10" t="str">
        <f t="shared" si="122"/>
        <v xml:space="preserve"> </v>
      </c>
      <c r="IS20" s="10" t="str">
        <f t="shared" si="122"/>
        <v xml:space="preserve"> </v>
      </c>
      <c r="IT20" s="10" t="str">
        <f t="shared" si="122"/>
        <v xml:space="preserve"> </v>
      </c>
      <c r="IU20" s="10" t="str">
        <f t="shared" si="122"/>
        <v xml:space="preserve"> </v>
      </c>
      <c r="IX20" s="10" t="str">
        <f t="shared" si="123"/>
        <v xml:space="preserve"> </v>
      </c>
      <c r="IY20" s="10" t="str">
        <f t="shared" si="123"/>
        <v xml:space="preserve"> </v>
      </c>
      <c r="IZ20" s="10" t="str">
        <f t="shared" si="123"/>
        <v xml:space="preserve"> </v>
      </c>
      <c r="JA20" s="10" t="str">
        <f t="shared" si="123"/>
        <v xml:space="preserve"> </v>
      </c>
      <c r="JB20" s="10" t="str">
        <f t="shared" si="123"/>
        <v xml:space="preserve"> </v>
      </c>
      <c r="JE20" s="10" t="str">
        <f t="shared" si="124"/>
        <v xml:space="preserve"> </v>
      </c>
      <c r="JF20" s="10" t="str">
        <f t="shared" si="124"/>
        <v xml:space="preserve"> </v>
      </c>
      <c r="JG20" s="10" t="str">
        <f t="shared" si="124"/>
        <v xml:space="preserve"> </v>
      </c>
      <c r="JH20" s="10" t="str">
        <f t="shared" si="124"/>
        <v xml:space="preserve"> </v>
      </c>
      <c r="JI20" s="10" t="str">
        <f t="shared" si="124"/>
        <v xml:space="preserve"> </v>
      </c>
    </row>
    <row r="21" spans="1:269">
      <c r="A21" s="96"/>
      <c r="B21" s="10">
        <v>13</v>
      </c>
      <c r="C21" s="11" t="s">
        <v>38</v>
      </c>
      <c r="D21" s="11" t="s">
        <v>39</v>
      </c>
      <c r="E21" s="10">
        <v>11</v>
      </c>
      <c r="F21" s="12">
        <f t="shared" si="87"/>
        <v>42531</v>
      </c>
      <c r="G21" s="12">
        <f>WORKDAY(F21,H21-1,Config!D20:D39)</f>
        <v>42534</v>
      </c>
      <c r="H21" s="10">
        <v>2</v>
      </c>
      <c r="I21" s="13">
        <v>0</v>
      </c>
      <c r="J21" s="13">
        <f ca="1">IF(((NETWORKDAYS(F21,TODAY(),Data!C16:C35)*100)/H21)/100 &gt; 0,((NETWORKDAYS(F21,TODAY(),Data!C16:C35)*100)/H21)/100,0)</f>
        <v>823</v>
      </c>
      <c r="K21" s="13" t="str">
        <f t="shared" ref="K21:K33" ca="1" si="127">IF(J21&gt;1, "100%",$J21)</f>
        <v>100%</v>
      </c>
      <c r="L21" s="13">
        <f t="shared" ref="L21:L33" ca="1" si="128">K21-I21</f>
        <v>1</v>
      </c>
      <c r="M21" s="10" t="str">
        <f t="shared" si="88"/>
        <v xml:space="preserve"> </v>
      </c>
      <c r="N21" s="10" t="str">
        <f t="shared" si="88"/>
        <v xml:space="preserve"> </v>
      </c>
      <c r="O21" s="10" t="str">
        <f t="shared" si="88"/>
        <v xml:space="preserve"> </v>
      </c>
      <c r="P21" s="10" t="str">
        <f t="shared" si="88"/>
        <v xml:space="preserve"> </v>
      </c>
      <c r="Q21" s="10" t="str">
        <f t="shared" si="88"/>
        <v xml:space="preserve"> </v>
      </c>
      <c r="R21" s="14"/>
      <c r="S21" s="14"/>
      <c r="T21" s="10" t="str">
        <f t="shared" si="89"/>
        <v xml:space="preserve"> </v>
      </c>
      <c r="U21" s="10" t="str">
        <f t="shared" si="89"/>
        <v xml:space="preserve"> </v>
      </c>
      <c r="V21" s="10" t="str">
        <f t="shared" si="89"/>
        <v xml:space="preserve"> </v>
      </c>
      <c r="W21" s="10" t="str">
        <f t="shared" si="89"/>
        <v xml:space="preserve"> </v>
      </c>
      <c r="X21" s="10" t="str">
        <f t="shared" si="89"/>
        <v xml:space="preserve"> </v>
      </c>
      <c r="Y21" s="14"/>
      <c r="Z21" s="14"/>
      <c r="AA21" s="10" t="str">
        <f t="shared" si="90"/>
        <v xml:space="preserve"> </v>
      </c>
      <c r="AB21" s="10" t="str">
        <f t="shared" si="90"/>
        <v xml:space="preserve"> </v>
      </c>
      <c r="AC21" s="10" t="str">
        <f t="shared" si="90"/>
        <v xml:space="preserve"> </v>
      </c>
      <c r="AD21" s="10" t="str">
        <f t="shared" si="90"/>
        <v xml:space="preserve"> </v>
      </c>
      <c r="AE21" s="10" t="str">
        <f t="shared" si="90"/>
        <v xml:space="preserve"> </v>
      </c>
      <c r="AF21" s="14"/>
      <c r="AG21" s="14"/>
      <c r="AH21" s="10" t="str">
        <f t="shared" si="91"/>
        <v xml:space="preserve"> </v>
      </c>
      <c r="AI21" s="10" t="str">
        <f t="shared" si="91"/>
        <v xml:space="preserve"> </v>
      </c>
      <c r="AJ21" s="10" t="str">
        <f t="shared" si="91"/>
        <v xml:space="preserve"> </v>
      </c>
      <c r="AK21" s="10" t="str">
        <f t="shared" si="91"/>
        <v xml:space="preserve"> </v>
      </c>
      <c r="AL21" s="10" t="str">
        <f t="shared" si="91"/>
        <v xml:space="preserve"> </v>
      </c>
      <c r="AM21" s="14"/>
      <c r="AN21" s="14"/>
      <c r="AO21" s="10" t="str">
        <f t="shared" si="92"/>
        <v xml:space="preserve"> </v>
      </c>
      <c r="AP21" s="10" t="str">
        <f t="shared" si="92"/>
        <v xml:space="preserve"> </v>
      </c>
      <c r="AQ21" s="10" t="str">
        <f t="shared" si="92"/>
        <v xml:space="preserve"> </v>
      </c>
      <c r="AR21" s="10" t="str">
        <f t="shared" si="92"/>
        <v xml:space="preserve"> </v>
      </c>
      <c r="AS21" s="10" t="str">
        <f t="shared" si="92"/>
        <v xml:space="preserve"> </v>
      </c>
      <c r="AT21" s="14"/>
      <c r="AU21" s="14"/>
      <c r="AV21" s="10" t="str">
        <f t="shared" si="93"/>
        <v xml:space="preserve"> </v>
      </c>
      <c r="AW21" s="10" t="str">
        <f t="shared" si="93"/>
        <v>.</v>
      </c>
      <c r="AX21" s="10" t="str">
        <f t="shared" si="93"/>
        <v>.</v>
      </c>
      <c r="AY21" s="10" t="str">
        <f t="shared" si="93"/>
        <v>.</v>
      </c>
      <c r="AZ21" s="10" t="str">
        <f t="shared" si="93"/>
        <v>.</v>
      </c>
      <c r="BA21" s="14"/>
      <c r="BB21" s="14"/>
      <c r="BC21" s="10" t="str">
        <f t="shared" si="94"/>
        <v xml:space="preserve"> </v>
      </c>
      <c r="BD21" s="10" t="str">
        <f t="shared" si="94"/>
        <v xml:space="preserve"> </v>
      </c>
      <c r="BE21" s="10" t="str">
        <f t="shared" si="94"/>
        <v xml:space="preserve"> </v>
      </c>
      <c r="BF21" s="10" t="str">
        <f t="shared" si="94"/>
        <v xml:space="preserve"> </v>
      </c>
      <c r="BG21" s="10" t="str">
        <f t="shared" si="94"/>
        <v xml:space="preserve"> </v>
      </c>
      <c r="BH21" s="14"/>
      <c r="BI21" s="14"/>
      <c r="BJ21" s="10" t="str">
        <f t="shared" si="95"/>
        <v xml:space="preserve"> </v>
      </c>
      <c r="BK21" s="10" t="str">
        <f t="shared" si="95"/>
        <v xml:space="preserve"> </v>
      </c>
      <c r="BL21" s="10" t="str">
        <f t="shared" si="95"/>
        <v xml:space="preserve"> </v>
      </c>
      <c r="BM21" s="10" t="str">
        <f t="shared" si="95"/>
        <v xml:space="preserve"> </v>
      </c>
      <c r="BN21" s="10" t="str">
        <f t="shared" si="95"/>
        <v xml:space="preserve"> </v>
      </c>
      <c r="BO21" s="14"/>
      <c r="BP21" s="14"/>
      <c r="BQ21" s="10" t="str">
        <f t="shared" si="96"/>
        <v xml:space="preserve"> </v>
      </c>
      <c r="BR21" s="10" t="str">
        <f t="shared" si="96"/>
        <v xml:space="preserve"> </v>
      </c>
      <c r="BS21" s="10" t="str">
        <f t="shared" si="96"/>
        <v xml:space="preserve"> </v>
      </c>
      <c r="BT21" s="10" t="str">
        <f t="shared" si="96"/>
        <v xml:space="preserve"> </v>
      </c>
      <c r="BU21" s="10" t="str">
        <f t="shared" si="96"/>
        <v xml:space="preserve"> </v>
      </c>
      <c r="BV21" s="14"/>
      <c r="BW21" s="14"/>
      <c r="BX21" s="10" t="str">
        <f t="shared" si="97"/>
        <v xml:space="preserve"> </v>
      </c>
      <c r="BY21" s="10" t="str">
        <f t="shared" si="97"/>
        <v xml:space="preserve"> </v>
      </c>
      <c r="BZ21" s="10" t="str">
        <f t="shared" si="97"/>
        <v xml:space="preserve"> </v>
      </c>
      <c r="CA21" s="10" t="str">
        <f t="shared" si="97"/>
        <v xml:space="preserve"> </v>
      </c>
      <c r="CB21" s="10" t="str">
        <f t="shared" si="97"/>
        <v xml:space="preserve"> </v>
      </c>
      <c r="CC21" s="14"/>
      <c r="CD21" s="14"/>
      <c r="CE21" s="10" t="str">
        <f t="shared" si="98"/>
        <v xml:space="preserve"> </v>
      </c>
      <c r="CF21" s="10" t="str">
        <f t="shared" si="98"/>
        <v xml:space="preserve"> </v>
      </c>
      <c r="CG21" s="10" t="str">
        <f t="shared" si="98"/>
        <v xml:space="preserve"> </v>
      </c>
      <c r="CH21" s="10" t="str">
        <f t="shared" si="98"/>
        <v xml:space="preserve"> </v>
      </c>
      <c r="CI21" s="10" t="str">
        <f t="shared" si="98"/>
        <v xml:space="preserve"> </v>
      </c>
      <c r="CJ21" s="14"/>
      <c r="CK21" s="14"/>
      <c r="CL21" s="10" t="str">
        <f t="shared" si="99"/>
        <v xml:space="preserve"> </v>
      </c>
      <c r="CM21" s="10" t="str">
        <f t="shared" si="99"/>
        <v xml:space="preserve"> </v>
      </c>
      <c r="CN21" s="10" t="str">
        <f t="shared" si="99"/>
        <v xml:space="preserve"> </v>
      </c>
      <c r="CO21" s="10" t="str">
        <f t="shared" si="99"/>
        <v xml:space="preserve"> </v>
      </c>
      <c r="CP21" s="10" t="str">
        <f t="shared" si="99"/>
        <v xml:space="preserve"> </v>
      </c>
      <c r="CQ21" s="14"/>
      <c r="CR21" s="14"/>
      <c r="CS21" s="10" t="str">
        <f t="shared" si="100"/>
        <v xml:space="preserve"> </v>
      </c>
      <c r="CT21" s="10" t="str">
        <f t="shared" si="100"/>
        <v xml:space="preserve"> </v>
      </c>
      <c r="CU21" s="10" t="str">
        <f t="shared" si="100"/>
        <v xml:space="preserve"> </v>
      </c>
      <c r="CV21" s="10" t="str">
        <f t="shared" si="100"/>
        <v xml:space="preserve"> </v>
      </c>
      <c r="CW21" s="10" t="str">
        <f t="shared" si="100"/>
        <v xml:space="preserve"> </v>
      </c>
      <c r="CZ21" s="10" t="str">
        <f t="shared" si="101"/>
        <v xml:space="preserve"> </v>
      </c>
      <c r="DA21" s="10" t="str">
        <f t="shared" si="101"/>
        <v xml:space="preserve"> </v>
      </c>
      <c r="DB21" s="10" t="str">
        <f t="shared" si="101"/>
        <v xml:space="preserve"> </v>
      </c>
      <c r="DC21" s="10" t="str">
        <f t="shared" si="101"/>
        <v xml:space="preserve"> </v>
      </c>
      <c r="DD21" s="10" t="str">
        <f t="shared" si="101"/>
        <v xml:space="preserve"> </v>
      </c>
      <c r="DG21" s="10" t="str">
        <f t="shared" si="102"/>
        <v xml:space="preserve"> </v>
      </c>
      <c r="DH21" s="10" t="str">
        <f t="shared" si="102"/>
        <v xml:space="preserve"> </v>
      </c>
      <c r="DI21" s="10" t="str">
        <f t="shared" si="102"/>
        <v xml:space="preserve"> </v>
      </c>
      <c r="DJ21" s="10" t="str">
        <f t="shared" si="102"/>
        <v xml:space="preserve"> </v>
      </c>
      <c r="DK21" s="10" t="str">
        <f t="shared" si="102"/>
        <v xml:space="preserve"> </v>
      </c>
      <c r="DN21" s="10" t="str">
        <f t="shared" si="103"/>
        <v xml:space="preserve"> </v>
      </c>
      <c r="DO21" s="10" t="str">
        <f t="shared" si="103"/>
        <v xml:space="preserve"> </v>
      </c>
      <c r="DP21" s="10" t="str">
        <f t="shared" si="103"/>
        <v xml:space="preserve"> </v>
      </c>
      <c r="DQ21" s="10" t="str">
        <f t="shared" si="103"/>
        <v xml:space="preserve"> </v>
      </c>
      <c r="DR21" s="10" t="str">
        <f t="shared" si="103"/>
        <v xml:space="preserve"> </v>
      </c>
      <c r="DU21" s="10" t="str">
        <f t="shared" si="104"/>
        <v xml:space="preserve"> </v>
      </c>
      <c r="DV21" s="10" t="str">
        <f t="shared" si="104"/>
        <v xml:space="preserve"> </v>
      </c>
      <c r="DW21" s="10" t="str">
        <f t="shared" si="104"/>
        <v xml:space="preserve"> </v>
      </c>
      <c r="DX21" s="10" t="str">
        <f t="shared" si="104"/>
        <v xml:space="preserve"> </v>
      </c>
      <c r="DY21" s="10" t="str">
        <f t="shared" si="104"/>
        <v xml:space="preserve"> </v>
      </c>
      <c r="EB21" s="10" t="str">
        <f t="shared" si="105"/>
        <v xml:space="preserve"> </v>
      </c>
      <c r="EC21" s="10" t="str">
        <f t="shared" si="105"/>
        <v xml:space="preserve"> </v>
      </c>
      <c r="ED21" s="10" t="str">
        <f t="shared" si="105"/>
        <v xml:space="preserve"> </v>
      </c>
      <c r="EE21" s="10" t="str">
        <f t="shared" si="105"/>
        <v xml:space="preserve"> </v>
      </c>
      <c r="EF21" s="10" t="str">
        <f t="shared" si="105"/>
        <v xml:space="preserve"> </v>
      </c>
      <c r="EI21" s="10" t="str">
        <f t="shared" si="106"/>
        <v xml:space="preserve"> </v>
      </c>
      <c r="EJ21" s="10" t="str">
        <f t="shared" si="106"/>
        <v xml:space="preserve"> </v>
      </c>
      <c r="EK21" s="10" t="str">
        <f t="shared" si="106"/>
        <v xml:space="preserve"> </v>
      </c>
      <c r="EL21" s="10" t="str">
        <f t="shared" si="106"/>
        <v xml:space="preserve"> </v>
      </c>
      <c r="EM21" s="10" t="str">
        <f t="shared" si="106"/>
        <v xml:space="preserve"> </v>
      </c>
      <c r="EP21" s="10" t="str">
        <f t="shared" si="107"/>
        <v xml:space="preserve"> </v>
      </c>
      <c r="EQ21" s="10" t="str">
        <f t="shared" si="107"/>
        <v xml:space="preserve"> </v>
      </c>
      <c r="ER21" s="10" t="str">
        <f t="shared" si="107"/>
        <v xml:space="preserve"> </v>
      </c>
      <c r="ES21" s="10" t="str">
        <f t="shared" si="107"/>
        <v xml:space="preserve"> </v>
      </c>
      <c r="ET21" s="10" t="str">
        <f t="shared" si="107"/>
        <v xml:space="preserve"> </v>
      </c>
      <c r="EW21" s="10" t="str">
        <f t="shared" si="108"/>
        <v xml:space="preserve"> </v>
      </c>
      <c r="EX21" s="10" t="str">
        <f t="shared" si="108"/>
        <v xml:space="preserve"> </v>
      </c>
      <c r="EY21" s="10" t="str">
        <f t="shared" si="108"/>
        <v xml:space="preserve"> </v>
      </c>
      <c r="EZ21" s="10" t="str">
        <f t="shared" si="108"/>
        <v xml:space="preserve"> </v>
      </c>
      <c r="FA21" s="10" t="str">
        <f t="shared" si="108"/>
        <v xml:space="preserve"> </v>
      </c>
      <c r="FD21" s="10" t="str">
        <f t="shared" si="109"/>
        <v xml:space="preserve"> </v>
      </c>
      <c r="FE21" s="10" t="str">
        <f t="shared" si="109"/>
        <v xml:space="preserve"> </v>
      </c>
      <c r="FF21" s="10" t="str">
        <f t="shared" si="109"/>
        <v xml:space="preserve"> </v>
      </c>
      <c r="FG21" s="10" t="str">
        <f t="shared" si="109"/>
        <v xml:space="preserve"> </v>
      </c>
      <c r="FH21" s="10" t="str">
        <f t="shared" si="109"/>
        <v xml:space="preserve"> </v>
      </c>
      <c r="FK21" s="10" t="str">
        <f t="shared" si="110"/>
        <v xml:space="preserve"> </v>
      </c>
      <c r="FL21" s="10" t="str">
        <f t="shared" si="110"/>
        <v xml:space="preserve"> </v>
      </c>
      <c r="FM21" s="10" t="str">
        <f t="shared" si="110"/>
        <v xml:space="preserve"> </v>
      </c>
      <c r="FN21" s="10" t="str">
        <f t="shared" si="110"/>
        <v xml:space="preserve"> </v>
      </c>
      <c r="FO21" s="10" t="str">
        <f t="shared" si="110"/>
        <v xml:space="preserve"> </v>
      </c>
      <c r="FR21" s="10" t="str">
        <f t="shared" si="111"/>
        <v xml:space="preserve"> </v>
      </c>
      <c r="FS21" s="10" t="str">
        <f t="shared" si="111"/>
        <v xml:space="preserve"> </v>
      </c>
      <c r="FT21" s="10" t="str">
        <f t="shared" si="111"/>
        <v xml:space="preserve"> </v>
      </c>
      <c r="FU21" s="10" t="str">
        <f t="shared" si="111"/>
        <v xml:space="preserve"> </v>
      </c>
      <c r="FV21" s="10" t="str">
        <f t="shared" si="111"/>
        <v xml:space="preserve"> </v>
      </c>
      <c r="FY21" s="10" t="str">
        <f t="shared" si="112"/>
        <v xml:space="preserve"> </v>
      </c>
      <c r="FZ21" s="10" t="str">
        <f t="shared" si="112"/>
        <v xml:space="preserve"> </v>
      </c>
      <c r="GA21" s="10" t="str">
        <f t="shared" si="112"/>
        <v xml:space="preserve"> </v>
      </c>
      <c r="GB21" s="10" t="str">
        <f t="shared" si="112"/>
        <v xml:space="preserve"> </v>
      </c>
      <c r="GC21" s="10" t="str">
        <f t="shared" si="112"/>
        <v xml:space="preserve"> </v>
      </c>
      <c r="GF21" s="10" t="str">
        <f t="shared" si="113"/>
        <v xml:space="preserve"> </v>
      </c>
      <c r="GG21" s="10" t="str">
        <f t="shared" si="113"/>
        <v xml:space="preserve"> </v>
      </c>
      <c r="GH21" s="10" t="str">
        <f t="shared" si="113"/>
        <v xml:space="preserve"> </v>
      </c>
      <c r="GI21" s="10" t="str">
        <f t="shared" si="113"/>
        <v xml:space="preserve"> </v>
      </c>
      <c r="GJ21" s="10" t="str">
        <f t="shared" si="113"/>
        <v xml:space="preserve"> </v>
      </c>
      <c r="GM21" s="10" t="str">
        <f t="shared" si="114"/>
        <v xml:space="preserve"> </v>
      </c>
      <c r="GN21" s="10" t="str">
        <f t="shared" si="114"/>
        <v xml:space="preserve"> </v>
      </c>
      <c r="GO21" s="10" t="str">
        <f t="shared" si="114"/>
        <v xml:space="preserve"> </v>
      </c>
      <c r="GP21" s="10" t="str">
        <f t="shared" si="114"/>
        <v xml:space="preserve"> </v>
      </c>
      <c r="GQ21" s="10" t="str">
        <f t="shared" si="114"/>
        <v xml:space="preserve"> </v>
      </c>
      <c r="GT21" s="10" t="str">
        <f t="shared" si="115"/>
        <v xml:space="preserve"> </v>
      </c>
      <c r="GU21" s="10" t="str">
        <f t="shared" si="115"/>
        <v xml:space="preserve"> </v>
      </c>
      <c r="GV21" s="10" t="str">
        <f t="shared" si="115"/>
        <v xml:space="preserve"> </v>
      </c>
      <c r="GW21" s="10" t="str">
        <f t="shared" si="115"/>
        <v xml:space="preserve"> </v>
      </c>
      <c r="GX21" s="10" t="str">
        <f t="shared" si="115"/>
        <v xml:space="preserve"> </v>
      </c>
      <c r="HA21" s="10" t="str">
        <f t="shared" si="116"/>
        <v xml:space="preserve"> </v>
      </c>
      <c r="HB21" s="10" t="str">
        <f t="shared" si="116"/>
        <v xml:space="preserve"> </v>
      </c>
      <c r="HC21" s="10" t="str">
        <f t="shared" si="116"/>
        <v xml:space="preserve"> </v>
      </c>
      <c r="HD21" s="10" t="str">
        <f t="shared" si="116"/>
        <v xml:space="preserve"> </v>
      </c>
      <c r="HE21" s="10" t="str">
        <f t="shared" si="116"/>
        <v xml:space="preserve"> </v>
      </c>
      <c r="HH21" s="10" t="str">
        <f t="shared" si="117"/>
        <v xml:space="preserve"> </v>
      </c>
      <c r="HI21" s="10" t="str">
        <f t="shared" si="117"/>
        <v xml:space="preserve"> </v>
      </c>
      <c r="HJ21" s="10" t="str">
        <f t="shared" si="117"/>
        <v xml:space="preserve"> </v>
      </c>
      <c r="HK21" s="10" t="str">
        <f t="shared" si="117"/>
        <v xml:space="preserve"> </v>
      </c>
      <c r="HL21" s="10" t="str">
        <f t="shared" si="117"/>
        <v xml:space="preserve"> </v>
      </c>
      <c r="HO21" s="10" t="str">
        <f t="shared" si="118"/>
        <v xml:space="preserve"> </v>
      </c>
      <c r="HP21" s="10" t="str">
        <f t="shared" si="118"/>
        <v xml:space="preserve"> </v>
      </c>
      <c r="HQ21" s="10" t="str">
        <f t="shared" si="118"/>
        <v xml:space="preserve"> </v>
      </c>
      <c r="HR21" s="10" t="str">
        <f t="shared" si="118"/>
        <v xml:space="preserve"> </v>
      </c>
      <c r="HS21" s="10" t="str">
        <f t="shared" si="118"/>
        <v xml:space="preserve"> </v>
      </c>
      <c r="HV21" s="10" t="str">
        <f t="shared" si="119"/>
        <v xml:space="preserve"> </v>
      </c>
      <c r="HW21" s="10" t="str">
        <f t="shared" si="119"/>
        <v xml:space="preserve"> </v>
      </c>
      <c r="HX21" s="10" t="str">
        <f t="shared" si="119"/>
        <v xml:space="preserve"> </v>
      </c>
      <c r="HY21" s="10" t="str">
        <f t="shared" si="119"/>
        <v xml:space="preserve"> </v>
      </c>
      <c r="HZ21" s="10" t="str">
        <f t="shared" si="119"/>
        <v xml:space="preserve"> </v>
      </c>
      <c r="IC21" s="10" t="str">
        <f t="shared" si="120"/>
        <v xml:space="preserve"> </v>
      </c>
      <c r="ID21" s="10" t="str">
        <f t="shared" si="120"/>
        <v xml:space="preserve"> </v>
      </c>
      <c r="IE21" s="10" t="str">
        <f t="shared" si="120"/>
        <v xml:space="preserve"> </v>
      </c>
      <c r="IF21" s="10" t="str">
        <f t="shared" si="120"/>
        <v xml:space="preserve"> </v>
      </c>
      <c r="IG21" s="10" t="str">
        <f t="shared" si="120"/>
        <v xml:space="preserve"> </v>
      </c>
      <c r="IJ21" s="10" t="str">
        <f t="shared" si="121"/>
        <v xml:space="preserve"> </v>
      </c>
      <c r="IK21" s="10" t="str">
        <f t="shared" si="121"/>
        <v xml:space="preserve"> </v>
      </c>
      <c r="IL21" s="10" t="str">
        <f t="shared" si="121"/>
        <v xml:space="preserve"> </v>
      </c>
      <c r="IM21" s="10" t="str">
        <f t="shared" si="121"/>
        <v xml:space="preserve"> </v>
      </c>
      <c r="IN21" s="10" t="str">
        <f t="shared" si="121"/>
        <v xml:space="preserve"> </v>
      </c>
      <c r="IQ21" s="10" t="str">
        <f t="shared" si="122"/>
        <v xml:space="preserve"> </v>
      </c>
      <c r="IR21" s="10" t="str">
        <f t="shared" si="122"/>
        <v xml:space="preserve"> </v>
      </c>
      <c r="IS21" s="10" t="str">
        <f t="shared" si="122"/>
        <v xml:space="preserve"> </v>
      </c>
      <c r="IT21" s="10" t="str">
        <f t="shared" si="122"/>
        <v xml:space="preserve"> </v>
      </c>
      <c r="IU21" s="10" t="str">
        <f t="shared" si="122"/>
        <v xml:space="preserve"> </v>
      </c>
      <c r="IX21" s="10" t="str">
        <f t="shared" si="123"/>
        <v xml:space="preserve"> </v>
      </c>
      <c r="IY21" s="10" t="str">
        <f t="shared" si="123"/>
        <v xml:space="preserve"> </v>
      </c>
      <c r="IZ21" s="10" t="str">
        <f t="shared" si="123"/>
        <v xml:space="preserve"> </v>
      </c>
      <c r="JA21" s="10" t="str">
        <f t="shared" si="123"/>
        <v xml:space="preserve"> </v>
      </c>
      <c r="JB21" s="10" t="str">
        <f t="shared" si="123"/>
        <v xml:space="preserve"> </v>
      </c>
      <c r="JE21" s="10" t="str">
        <f t="shared" si="124"/>
        <v xml:space="preserve"> </v>
      </c>
      <c r="JF21" s="10" t="str">
        <f t="shared" si="124"/>
        <v xml:space="preserve"> </v>
      </c>
      <c r="JG21" s="10" t="str">
        <f t="shared" si="124"/>
        <v xml:space="preserve"> </v>
      </c>
      <c r="JH21" s="10" t="str">
        <f t="shared" si="124"/>
        <v xml:space="preserve"> </v>
      </c>
      <c r="JI21" s="10" t="str">
        <f t="shared" si="124"/>
        <v xml:space="preserve"> </v>
      </c>
    </row>
    <row r="22" spans="1:269">
      <c r="A22" s="96"/>
      <c r="B22" s="10">
        <v>14</v>
      </c>
      <c r="C22" s="11" t="s">
        <v>40</v>
      </c>
      <c r="D22" s="11" t="s">
        <v>39</v>
      </c>
      <c r="E22" s="10">
        <v>12</v>
      </c>
      <c r="F22" s="12">
        <f t="shared" si="87"/>
        <v>42531</v>
      </c>
      <c r="G22" s="12">
        <f>WORKDAY(F22,H22-1,Config!D21:D40)</f>
        <v>42536</v>
      </c>
      <c r="H22" s="10">
        <v>4</v>
      </c>
      <c r="I22" s="13">
        <v>0</v>
      </c>
      <c r="J22" s="13">
        <f ca="1">IF(((NETWORKDAYS(F22,TODAY(),Data!C17:C36)*100)/H22)/100 &gt; 0,((NETWORKDAYS(F22,TODAY(),Data!C17:C36)*100)/H22)/100,0)</f>
        <v>411.5</v>
      </c>
      <c r="K22" s="13" t="str">
        <f t="shared" ca="1" si="127"/>
        <v>100%</v>
      </c>
      <c r="L22" s="13">
        <f t="shared" ca="1" si="128"/>
        <v>1</v>
      </c>
      <c r="M22" s="10" t="str">
        <f t="shared" si="88"/>
        <v xml:space="preserve"> </v>
      </c>
      <c r="N22" s="10" t="str">
        <f t="shared" si="88"/>
        <v xml:space="preserve"> </v>
      </c>
      <c r="O22" s="10" t="str">
        <f t="shared" si="88"/>
        <v xml:space="preserve"> </v>
      </c>
      <c r="P22" s="10" t="str">
        <f t="shared" si="88"/>
        <v xml:space="preserve"> </v>
      </c>
      <c r="Q22" s="10" t="str">
        <f t="shared" si="88"/>
        <v xml:space="preserve"> </v>
      </c>
      <c r="R22" s="14"/>
      <c r="S22" s="14"/>
      <c r="T22" s="10" t="str">
        <f t="shared" si="89"/>
        <v xml:space="preserve"> </v>
      </c>
      <c r="U22" s="10" t="str">
        <f t="shared" si="89"/>
        <v xml:space="preserve"> </v>
      </c>
      <c r="V22" s="10" t="str">
        <f t="shared" si="89"/>
        <v xml:space="preserve"> </v>
      </c>
      <c r="W22" s="10" t="str">
        <f t="shared" si="89"/>
        <v xml:space="preserve"> </v>
      </c>
      <c r="X22" s="10" t="str">
        <f t="shared" si="89"/>
        <v xml:space="preserve"> </v>
      </c>
      <c r="Y22" s="14"/>
      <c r="Z22" s="14"/>
      <c r="AA22" s="10" t="str">
        <f t="shared" si="90"/>
        <v xml:space="preserve"> </v>
      </c>
      <c r="AB22" s="10" t="str">
        <f t="shared" si="90"/>
        <v xml:space="preserve"> </v>
      </c>
      <c r="AC22" s="10" t="str">
        <f t="shared" si="90"/>
        <v xml:space="preserve"> </v>
      </c>
      <c r="AD22" s="10" t="str">
        <f t="shared" si="90"/>
        <v xml:space="preserve"> </v>
      </c>
      <c r="AE22" s="10" t="str">
        <f t="shared" si="90"/>
        <v xml:space="preserve"> </v>
      </c>
      <c r="AF22" s="14"/>
      <c r="AG22" s="14"/>
      <c r="AH22" s="10" t="str">
        <f t="shared" si="91"/>
        <v xml:space="preserve"> </v>
      </c>
      <c r="AI22" s="10" t="str">
        <f t="shared" si="91"/>
        <v xml:space="preserve"> </v>
      </c>
      <c r="AJ22" s="10" t="str">
        <f t="shared" si="91"/>
        <v xml:space="preserve"> </v>
      </c>
      <c r="AK22" s="10" t="str">
        <f t="shared" si="91"/>
        <v xml:space="preserve"> </v>
      </c>
      <c r="AL22" s="10" t="str">
        <f t="shared" si="91"/>
        <v xml:space="preserve"> </v>
      </c>
      <c r="AM22" s="14"/>
      <c r="AN22" s="14"/>
      <c r="AO22" s="10" t="str">
        <f t="shared" si="92"/>
        <v xml:space="preserve"> </v>
      </c>
      <c r="AP22" s="10" t="str">
        <f t="shared" si="92"/>
        <v xml:space="preserve"> </v>
      </c>
      <c r="AQ22" s="10" t="str">
        <f t="shared" si="92"/>
        <v xml:space="preserve"> </v>
      </c>
      <c r="AR22" s="10" t="str">
        <f t="shared" si="92"/>
        <v xml:space="preserve"> </v>
      </c>
      <c r="AS22" s="10" t="str">
        <f t="shared" si="92"/>
        <v xml:space="preserve"> </v>
      </c>
      <c r="AT22" s="14"/>
      <c r="AU22" s="14"/>
      <c r="AV22" s="10" t="str">
        <f t="shared" si="93"/>
        <v xml:space="preserve"> </v>
      </c>
      <c r="AW22" s="10" t="str">
        <f t="shared" si="93"/>
        <v>.</v>
      </c>
      <c r="AX22" s="10" t="str">
        <f t="shared" si="93"/>
        <v>.</v>
      </c>
      <c r="AY22" s="10" t="str">
        <f t="shared" si="93"/>
        <v>.</v>
      </c>
      <c r="AZ22" s="10" t="str">
        <f t="shared" si="93"/>
        <v>.</v>
      </c>
      <c r="BA22" s="14"/>
      <c r="BB22" s="14"/>
      <c r="BC22" s="10" t="str">
        <f t="shared" si="94"/>
        <v xml:space="preserve"> </v>
      </c>
      <c r="BD22" s="10" t="str">
        <f t="shared" si="94"/>
        <v xml:space="preserve"> </v>
      </c>
      <c r="BE22" s="10" t="str">
        <f t="shared" si="94"/>
        <v xml:space="preserve"> </v>
      </c>
      <c r="BF22" s="10" t="str">
        <f t="shared" si="94"/>
        <v xml:space="preserve"> </v>
      </c>
      <c r="BG22" s="10" t="str">
        <f t="shared" si="94"/>
        <v xml:space="preserve"> </v>
      </c>
      <c r="BH22" s="14"/>
      <c r="BI22" s="14"/>
      <c r="BJ22" s="10" t="str">
        <f t="shared" si="95"/>
        <v xml:space="preserve"> </v>
      </c>
      <c r="BK22" s="10" t="str">
        <f t="shared" si="95"/>
        <v xml:space="preserve"> </v>
      </c>
      <c r="BL22" s="10" t="str">
        <f t="shared" si="95"/>
        <v xml:space="preserve"> </v>
      </c>
      <c r="BM22" s="10" t="str">
        <f t="shared" si="95"/>
        <v xml:space="preserve"> </v>
      </c>
      <c r="BN22" s="10" t="str">
        <f t="shared" si="95"/>
        <v xml:space="preserve"> </v>
      </c>
      <c r="BO22" s="14"/>
      <c r="BP22" s="14"/>
      <c r="BQ22" s="10" t="str">
        <f t="shared" si="96"/>
        <v xml:space="preserve"> </v>
      </c>
      <c r="BR22" s="10" t="str">
        <f t="shared" si="96"/>
        <v xml:space="preserve"> </v>
      </c>
      <c r="BS22" s="10" t="str">
        <f t="shared" si="96"/>
        <v xml:space="preserve"> </v>
      </c>
      <c r="BT22" s="10" t="str">
        <f t="shared" si="96"/>
        <v xml:space="preserve"> </v>
      </c>
      <c r="BU22" s="10" t="str">
        <f t="shared" si="96"/>
        <v xml:space="preserve"> </v>
      </c>
      <c r="BV22" s="14"/>
      <c r="BW22" s="14"/>
      <c r="BX22" s="10" t="str">
        <f t="shared" si="97"/>
        <v xml:space="preserve"> </v>
      </c>
      <c r="BY22" s="10" t="str">
        <f t="shared" si="97"/>
        <v xml:space="preserve"> </v>
      </c>
      <c r="BZ22" s="10" t="str">
        <f t="shared" si="97"/>
        <v xml:space="preserve"> </v>
      </c>
      <c r="CA22" s="10" t="str">
        <f t="shared" si="97"/>
        <v xml:space="preserve"> </v>
      </c>
      <c r="CB22" s="10" t="str">
        <f t="shared" si="97"/>
        <v xml:space="preserve"> </v>
      </c>
      <c r="CC22" s="14"/>
      <c r="CD22" s="14"/>
      <c r="CE22" s="10" t="str">
        <f t="shared" si="98"/>
        <v xml:space="preserve"> </v>
      </c>
      <c r="CF22" s="10" t="str">
        <f t="shared" si="98"/>
        <v xml:space="preserve"> </v>
      </c>
      <c r="CG22" s="10" t="str">
        <f t="shared" si="98"/>
        <v xml:space="preserve"> </v>
      </c>
      <c r="CH22" s="10" t="str">
        <f t="shared" si="98"/>
        <v xml:space="preserve"> </v>
      </c>
      <c r="CI22" s="10" t="str">
        <f t="shared" si="98"/>
        <v xml:space="preserve"> </v>
      </c>
      <c r="CJ22" s="14"/>
      <c r="CK22" s="14"/>
      <c r="CL22" s="10" t="str">
        <f t="shared" si="99"/>
        <v xml:space="preserve"> </v>
      </c>
      <c r="CM22" s="10" t="str">
        <f t="shared" si="99"/>
        <v xml:space="preserve"> </v>
      </c>
      <c r="CN22" s="10" t="str">
        <f t="shared" si="99"/>
        <v xml:space="preserve"> </v>
      </c>
      <c r="CO22" s="10" t="str">
        <f t="shared" si="99"/>
        <v xml:space="preserve"> </v>
      </c>
      <c r="CP22" s="10" t="str">
        <f t="shared" si="99"/>
        <v xml:space="preserve"> </v>
      </c>
      <c r="CQ22" s="14"/>
      <c r="CR22" s="14"/>
      <c r="CS22" s="10" t="str">
        <f t="shared" si="100"/>
        <v xml:space="preserve"> </v>
      </c>
      <c r="CT22" s="10" t="str">
        <f t="shared" si="100"/>
        <v xml:space="preserve"> </v>
      </c>
      <c r="CU22" s="10" t="str">
        <f t="shared" si="100"/>
        <v xml:space="preserve"> </v>
      </c>
      <c r="CV22" s="10" t="str">
        <f t="shared" si="100"/>
        <v xml:space="preserve"> </v>
      </c>
      <c r="CW22" s="10" t="str">
        <f t="shared" si="100"/>
        <v xml:space="preserve"> </v>
      </c>
      <c r="CZ22" s="10" t="str">
        <f t="shared" si="101"/>
        <v xml:space="preserve"> </v>
      </c>
      <c r="DA22" s="10" t="str">
        <f t="shared" si="101"/>
        <v xml:space="preserve"> </v>
      </c>
      <c r="DB22" s="10" t="str">
        <f t="shared" si="101"/>
        <v xml:space="preserve"> </v>
      </c>
      <c r="DC22" s="10" t="str">
        <f t="shared" si="101"/>
        <v xml:space="preserve"> </v>
      </c>
      <c r="DD22" s="10" t="str">
        <f t="shared" si="101"/>
        <v xml:space="preserve"> </v>
      </c>
      <c r="DG22" s="10" t="str">
        <f t="shared" si="102"/>
        <v xml:space="preserve"> </v>
      </c>
      <c r="DH22" s="10" t="str">
        <f t="shared" si="102"/>
        <v xml:space="preserve"> </v>
      </c>
      <c r="DI22" s="10" t="str">
        <f t="shared" si="102"/>
        <v xml:space="preserve"> </v>
      </c>
      <c r="DJ22" s="10" t="str">
        <f t="shared" si="102"/>
        <v xml:space="preserve"> </v>
      </c>
      <c r="DK22" s="10" t="str">
        <f t="shared" si="102"/>
        <v xml:space="preserve"> </v>
      </c>
      <c r="DN22" s="10" t="str">
        <f t="shared" si="103"/>
        <v xml:space="preserve"> </v>
      </c>
      <c r="DO22" s="10" t="str">
        <f t="shared" si="103"/>
        <v xml:space="preserve"> </v>
      </c>
      <c r="DP22" s="10" t="str">
        <f t="shared" si="103"/>
        <v xml:space="preserve"> </v>
      </c>
      <c r="DQ22" s="10" t="str">
        <f t="shared" si="103"/>
        <v xml:space="preserve"> </v>
      </c>
      <c r="DR22" s="10" t="str">
        <f t="shared" si="103"/>
        <v xml:space="preserve"> </v>
      </c>
      <c r="DU22" s="10" t="str">
        <f t="shared" si="104"/>
        <v xml:space="preserve"> </v>
      </c>
      <c r="DV22" s="10" t="str">
        <f t="shared" si="104"/>
        <v xml:space="preserve"> </v>
      </c>
      <c r="DW22" s="10" t="str">
        <f t="shared" si="104"/>
        <v xml:space="preserve"> </v>
      </c>
      <c r="DX22" s="10" t="str">
        <f t="shared" si="104"/>
        <v xml:space="preserve"> </v>
      </c>
      <c r="DY22" s="10" t="str">
        <f t="shared" si="104"/>
        <v xml:space="preserve"> </v>
      </c>
      <c r="EB22" s="10" t="str">
        <f t="shared" si="105"/>
        <v xml:space="preserve"> </v>
      </c>
      <c r="EC22" s="10" t="str">
        <f t="shared" si="105"/>
        <v xml:space="preserve"> </v>
      </c>
      <c r="ED22" s="10" t="str">
        <f t="shared" si="105"/>
        <v xml:space="preserve"> </v>
      </c>
      <c r="EE22" s="10" t="str">
        <f t="shared" si="105"/>
        <v xml:space="preserve"> </v>
      </c>
      <c r="EF22" s="10" t="str">
        <f t="shared" si="105"/>
        <v xml:space="preserve"> </v>
      </c>
      <c r="EI22" s="10" t="str">
        <f t="shared" si="106"/>
        <v xml:space="preserve"> </v>
      </c>
      <c r="EJ22" s="10" t="str">
        <f t="shared" si="106"/>
        <v xml:space="preserve"> </v>
      </c>
      <c r="EK22" s="10" t="str">
        <f t="shared" si="106"/>
        <v xml:space="preserve"> </v>
      </c>
      <c r="EL22" s="10" t="str">
        <f t="shared" si="106"/>
        <v xml:space="preserve"> </v>
      </c>
      <c r="EM22" s="10" t="str">
        <f t="shared" si="106"/>
        <v xml:space="preserve"> </v>
      </c>
      <c r="EP22" s="10" t="str">
        <f t="shared" si="107"/>
        <v xml:space="preserve"> </v>
      </c>
      <c r="EQ22" s="10" t="str">
        <f t="shared" si="107"/>
        <v xml:space="preserve"> </v>
      </c>
      <c r="ER22" s="10" t="str">
        <f t="shared" si="107"/>
        <v xml:space="preserve"> </v>
      </c>
      <c r="ES22" s="10" t="str">
        <f t="shared" si="107"/>
        <v xml:space="preserve"> </v>
      </c>
      <c r="ET22" s="10" t="str">
        <f t="shared" si="107"/>
        <v xml:space="preserve"> </v>
      </c>
      <c r="EW22" s="10" t="str">
        <f t="shared" si="108"/>
        <v xml:space="preserve"> </v>
      </c>
      <c r="EX22" s="10" t="str">
        <f t="shared" si="108"/>
        <v xml:space="preserve"> </v>
      </c>
      <c r="EY22" s="10" t="str">
        <f t="shared" si="108"/>
        <v xml:space="preserve"> </v>
      </c>
      <c r="EZ22" s="10" t="str">
        <f t="shared" si="108"/>
        <v xml:space="preserve"> </v>
      </c>
      <c r="FA22" s="10" t="str">
        <f t="shared" si="108"/>
        <v xml:space="preserve"> </v>
      </c>
      <c r="FD22" s="10" t="str">
        <f t="shared" si="109"/>
        <v xml:space="preserve"> </v>
      </c>
      <c r="FE22" s="10" t="str">
        <f t="shared" si="109"/>
        <v xml:space="preserve"> </v>
      </c>
      <c r="FF22" s="10" t="str">
        <f t="shared" si="109"/>
        <v xml:space="preserve"> </v>
      </c>
      <c r="FG22" s="10" t="str">
        <f t="shared" si="109"/>
        <v xml:space="preserve"> </v>
      </c>
      <c r="FH22" s="10" t="str">
        <f t="shared" si="109"/>
        <v xml:space="preserve"> </v>
      </c>
      <c r="FK22" s="10" t="str">
        <f t="shared" si="110"/>
        <v xml:space="preserve"> </v>
      </c>
      <c r="FL22" s="10" t="str">
        <f t="shared" si="110"/>
        <v xml:space="preserve"> </v>
      </c>
      <c r="FM22" s="10" t="str">
        <f t="shared" si="110"/>
        <v xml:space="preserve"> </v>
      </c>
      <c r="FN22" s="10" t="str">
        <f t="shared" si="110"/>
        <v xml:space="preserve"> </v>
      </c>
      <c r="FO22" s="10" t="str">
        <f t="shared" si="110"/>
        <v xml:space="preserve"> </v>
      </c>
      <c r="FR22" s="10" t="str">
        <f t="shared" si="111"/>
        <v xml:space="preserve"> </v>
      </c>
      <c r="FS22" s="10" t="str">
        <f t="shared" si="111"/>
        <v xml:space="preserve"> </v>
      </c>
      <c r="FT22" s="10" t="str">
        <f t="shared" si="111"/>
        <v xml:space="preserve"> </v>
      </c>
      <c r="FU22" s="10" t="str">
        <f t="shared" si="111"/>
        <v xml:space="preserve"> </v>
      </c>
      <c r="FV22" s="10" t="str">
        <f t="shared" si="111"/>
        <v xml:space="preserve"> </v>
      </c>
      <c r="FY22" s="10" t="str">
        <f t="shared" si="112"/>
        <v xml:space="preserve"> </v>
      </c>
      <c r="FZ22" s="10" t="str">
        <f t="shared" si="112"/>
        <v xml:space="preserve"> </v>
      </c>
      <c r="GA22" s="10" t="str">
        <f t="shared" si="112"/>
        <v xml:space="preserve"> </v>
      </c>
      <c r="GB22" s="10" t="str">
        <f t="shared" si="112"/>
        <v xml:space="preserve"> </v>
      </c>
      <c r="GC22" s="10" t="str">
        <f t="shared" si="112"/>
        <v xml:space="preserve"> </v>
      </c>
      <c r="GF22" s="10" t="str">
        <f t="shared" si="113"/>
        <v xml:space="preserve"> </v>
      </c>
      <c r="GG22" s="10" t="str">
        <f t="shared" si="113"/>
        <v xml:space="preserve"> </v>
      </c>
      <c r="GH22" s="10" t="str">
        <f t="shared" si="113"/>
        <v xml:space="preserve"> </v>
      </c>
      <c r="GI22" s="10" t="str">
        <f t="shared" si="113"/>
        <v xml:space="preserve"> </v>
      </c>
      <c r="GJ22" s="10" t="str">
        <f t="shared" si="113"/>
        <v xml:space="preserve"> </v>
      </c>
      <c r="GM22" s="10" t="str">
        <f t="shared" si="114"/>
        <v xml:space="preserve"> </v>
      </c>
      <c r="GN22" s="10" t="str">
        <f t="shared" si="114"/>
        <v xml:space="preserve"> </v>
      </c>
      <c r="GO22" s="10" t="str">
        <f t="shared" si="114"/>
        <v xml:space="preserve"> </v>
      </c>
      <c r="GP22" s="10" t="str">
        <f t="shared" si="114"/>
        <v xml:space="preserve"> </v>
      </c>
      <c r="GQ22" s="10" t="str">
        <f t="shared" si="114"/>
        <v xml:space="preserve"> </v>
      </c>
      <c r="GT22" s="10" t="str">
        <f t="shared" si="115"/>
        <v xml:space="preserve"> </v>
      </c>
      <c r="GU22" s="10" t="str">
        <f t="shared" si="115"/>
        <v xml:space="preserve"> </v>
      </c>
      <c r="GV22" s="10" t="str">
        <f t="shared" si="115"/>
        <v xml:space="preserve"> </v>
      </c>
      <c r="GW22" s="10" t="str">
        <f t="shared" si="115"/>
        <v xml:space="preserve"> </v>
      </c>
      <c r="GX22" s="10" t="str">
        <f t="shared" si="115"/>
        <v xml:space="preserve"> </v>
      </c>
      <c r="HA22" s="10" t="str">
        <f t="shared" si="116"/>
        <v xml:space="preserve"> </v>
      </c>
      <c r="HB22" s="10" t="str">
        <f t="shared" si="116"/>
        <v xml:space="preserve"> </v>
      </c>
      <c r="HC22" s="10" t="str">
        <f t="shared" si="116"/>
        <v xml:space="preserve"> </v>
      </c>
      <c r="HD22" s="10" t="str">
        <f t="shared" si="116"/>
        <v xml:space="preserve"> </v>
      </c>
      <c r="HE22" s="10" t="str">
        <f t="shared" si="116"/>
        <v xml:space="preserve"> </v>
      </c>
      <c r="HH22" s="10" t="str">
        <f t="shared" si="117"/>
        <v xml:space="preserve"> </v>
      </c>
      <c r="HI22" s="10" t="str">
        <f t="shared" si="117"/>
        <v xml:space="preserve"> </v>
      </c>
      <c r="HJ22" s="10" t="str">
        <f t="shared" si="117"/>
        <v xml:space="preserve"> </v>
      </c>
      <c r="HK22" s="10" t="str">
        <f t="shared" si="117"/>
        <v xml:space="preserve"> </v>
      </c>
      <c r="HL22" s="10" t="str">
        <f t="shared" si="117"/>
        <v xml:space="preserve"> </v>
      </c>
      <c r="HO22" s="10" t="str">
        <f t="shared" si="118"/>
        <v xml:space="preserve"> </v>
      </c>
      <c r="HP22" s="10" t="str">
        <f t="shared" si="118"/>
        <v xml:space="preserve"> </v>
      </c>
      <c r="HQ22" s="10" t="str">
        <f t="shared" si="118"/>
        <v xml:space="preserve"> </v>
      </c>
      <c r="HR22" s="10" t="str">
        <f t="shared" si="118"/>
        <v xml:space="preserve"> </v>
      </c>
      <c r="HS22" s="10" t="str">
        <f t="shared" si="118"/>
        <v xml:space="preserve"> </v>
      </c>
      <c r="HV22" s="10" t="str">
        <f t="shared" si="119"/>
        <v xml:space="preserve"> </v>
      </c>
      <c r="HW22" s="10" t="str">
        <f t="shared" si="119"/>
        <v xml:space="preserve"> </v>
      </c>
      <c r="HX22" s="10" t="str">
        <f t="shared" si="119"/>
        <v xml:space="preserve"> </v>
      </c>
      <c r="HY22" s="10" t="str">
        <f t="shared" si="119"/>
        <v xml:space="preserve"> </v>
      </c>
      <c r="HZ22" s="10" t="str">
        <f t="shared" si="119"/>
        <v xml:space="preserve"> </v>
      </c>
      <c r="IC22" s="10" t="str">
        <f t="shared" si="120"/>
        <v xml:space="preserve"> </v>
      </c>
      <c r="ID22" s="10" t="str">
        <f t="shared" si="120"/>
        <v xml:space="preserve"> </v>
      </c>
      <c r="IE22" s="10" t="str">
        <f t="shared" si="120"/>
        <v xml:space="preserve"> </v>
      </c>
      <c r="IF22" s="10" t="str">
        <f t="shared" si="120"/>
        <v xml:space="preserve"> </v>
      </c>
      <c r="IG22" s="10" t="str">
        <f t="shared" si="120"/>
        <v xml:space="preserve"> </v>
      </c>
      <c r="IJ22" s="10" t="str">
        <f t="shared" si="121"/>
        <v xml:space="preserve"> </v>
      </c>
      <c r="IK22" s="10" t="str">
        <f t="shared" si="121"/>
        <v xml:space="preserve"> </v>
      </c>
      <c r="IL22" s="10" t="str">
        <f t="shared" si="121"/>
        <v xml:space="preserve"> </v>
      </c>
      <c r="IM22" s="10" t="str">
        <f t="shared" si="121"/>
        <v xml:space="preserve"> </v>
      </c>
      <c r="IN22" s="10" t="str">
        <f t="shared" si="121"/>
        <v xml:space="preserve"> </v>
      </c>
      <c r="IQ22" s="10" t="str">
        <f t="shared" si="122"/>
        <v xml:space="preserve"> </v>
      </c>
      <c r="IR22" s="10" t="str">
        <f t="shared" si="122"/>
        <v xml:space="preserve"> </v>
      </c>
      <c r="IS22" s="10" t="str">
        <f t="shared" si="122"/>
        <v xml:space="preserve"> </v>
      </c>
      <c r="IT22" s="10" t="str">
        <f t="shared" si="122"/>
        <v xml:space="preserve"> </v>
      </c>
      <c r="IU22" s="10" t="str">
        <f t="shared" si="122"/>
        <v xml:space="preserve"> </v>
      </c>
      <c r="IX22" s="10" t="str">
        <f t="shared" si="123"/>
        <v xml:space="preserve"> </v>
      </c>
      <c r="IY22" s="10" t="str">
        <f t="shared" si="123"/>
        <v xml:space="preserve"> </v>
      </c>
      <c r="IZ22" s="10" t="str">
        <f t="shared" si="123"/>
        <v xml:space="preserve"> </v>
      </c>
      <c r="JA22" s="10" t="str">
        <f t="shared" si="123"/>
        <v xml:space="preserve"> </v>
      </c>
      <c r="JB22" s="10" t="str">
        <f t="shared" si="123"/>
        <v xml:space="preserve"> </v>
      </c>
      <c r="JE22" s="10" t="str">
        <f t="shared" si="124"/>
        <v xml:space="preserve"> </v>
      </c>
      <c r="JF22" s="10" t="str">
        <f t="shared" si="124"/>
        <v xml:space="preserve"> </v>
      </c>
      <c r="JG22" s="10" t="str">
        <f t="shared" si="124"/>
        <v xml:space="preserve"> </v>
      </c>
      <c r="JH22" s="10" t="str">
        <f t="shared" si="124"/>
        <v xml:space="preserve"> </v>
      </c>
      <c r="JI22" s="10" t="str">
        <f t="shared" si="124"/>
        <v xml:space="preserve"> </v>
      </c>
    </row>
    <row r="23" spans="1:269">
      <c r="A23" s="96"/>
      <c r="B23" s="10">
        <v>15</v>
      </c>
      <c r="C23" s="11" t="s">
        <v>40</v>
      </c>
      <c r="D23" s="11" t="s">
        <v>39</v>
      </c>
      <c r="E23" s="10">
        <v>13</v>
      </c>
      <c r="F23" s="12">
        <f t="shared" si="87"/>
        <v>42535</v>
      </c>
      <c r="G23" s="12">
        <f>WORKDAY(F23,H23-1,Config!D22:D41)</f>
        <v>42535</v>
      </c>
      <c r="H23" s="10">
        <v>1</v>
      </c>
      <c r="I23" s="13">
        <v>0</v>
      </c>
      <c r="J23" s="13">
        <f ca="1">IF(((NETWORKDAYS(F23,TODAY(),Data!C18:C37)*100)/H23)/100 &gt; 0,((NETWORKDAYS(F23,TODAY(),Data!C18:C37)*100)/H23)/100,0)</f>
        <v>1644</v>
      </c>
      <c r="K23" s="13" t="str">
        <f t="shared" ca="1" si="127"/>
        <v>100%</v>
      </c>
      <c r="L23" s="13">
        <f t="shared" ca="1" si="128"/>
        <v>1</v>
      </c>
      <c r="M23" s="10" t="str">
        <f t="shared" si="88"/>
        <v xml:space="preserve"> </v>
      </c>
      <c r="N23" s="10" t="str">
        <f t="shared" si="88"/>
        <v xml:space="preserve"> </v>
      </c>
      <c r="O23" s="10" t="str">
        <f t="shared" si="88"/>
        <v xml:space="preserve"> </v>
      </c>
      <c r="P23" s="10" t="str">
        <f t="shared" si="88"/>
        <v xml:space="preserve"> </v>
      </c>
      <c r="Q23" s="10" t="str">
        <f t="shared" si="88"/>
        <v xml:space="preserve"> </v>
      </c>
      <c r="R23" s="14"/>
      <c r="S23" s="14"/>
      <c r="T23" s="10" t="str">
        <f t="shared" si="89"/>
        <v xml:space="preserve"> </v>
      </c>
      <c r="U23" s="10" t="str">
        <f t="shared" si="89"/>
        <v xml:space="preserve"> </v>
      </c>
      <c r="V23" s="10" t="str">
        <f t="shared" si="89"/>
        <v xml:space="preserve"> </v>
      </c>
      <c r="W23" s="10" t="str">
        <f t="shared" si="89"/>
        <v xml:space="preserve"> </v>
      </c>
      <c r="X23" s="10" t="str">
        <f t="shared" si="89"/>
        <v xml:space="preserve"> </v>
      </c>
      <c r="Y23" s="14"/>
      <c r="Z23" s="14"/>
      <c r="AA23" s="10" t="str">
        <f t="shared" si="90"/>
        <v xml:space="preserve"> </v>
      </c>
      <c r="AB23" s="10" t="str">
        <f t="shared" si="90"/>
        <v xml:space="preserve"> </v>
      </c>
      <c r="AC23" s="10" t="str">
        <f t="shared" si="90"/>
        <v xml:space="preserve"> </v>
      </c>
      <c r="AD23" s="10" t="str">
        <f t="shared" si="90"/>
        <v xml:space="preserve"> </v>
      </c>
      <c r="AE23" s="10" t="str">
        <f t="shared" si="90"/>
        <v xml:space="preserve"> </v>
      </c>
      <c r="AF23" s="14"/>
      <c r="AG23" s="14"/>
      <c r="AH23" s="10" t="str">
        <f t="shared" si="91"/>
        <v xml:space="preserve"> </v>
      </c>
      <c r="AI23" s="10" t="str">
        <f t="shared" si="91"/>
        <v xml:space="preserve"> </v>
      </c>
      <c r="AJ23" s="10" t="str">
        <f t="shared" si="91"/>
        <v xml:space="preserve"> </v>
      </c>
      <c r="AK23" s="10" t="str">
        <f t="shared" si="91"/>
        <v xml:space="preserve"> </v>
      </c>
      <c r="AL23" s="10" t="str">
        <f t="shared" si="91"/>
        <v xml:space="preserve"> </v>
      </c>
      <c r="AM23" s="14"/>
      <c r="AN23" s="14"/>
      <c r="AO23" s="10" t="str">
        <f t="shared" si="92"/>
        <v xml:space="preserve"> </v>
      </c>
      <c r="AP23" s="10" t="str">
        <f t="shared" si="92"/>
        <v xml:space="preserve"> </v>
      </c>
      <c r="AQ23" s="10" t="str">
        <f t="shared" si="92"/>
        <v xml:space="preserve"> </v>
      </c>
      <c r="AR23" s="10" t="str">
        <f t="shared" si="92"/>
        <v xml:space="preserve"> </v>
      </c>
      <c r="AS23" s="10" t="str">
        <f t="shared" si="92"/>
        <v xml:space="preserve"> </v>
      </c>
      <c r="AT23" s="14"/>
      <c r="AU23" s="14"/>
      <c r="AV23" s="10" t="str">
        <f t="shared" si="93"/>
        <v xml:space="preserve"> </v>
      </c>
      <c r="AW23" s="10" t="str">
        <f t="shared" si="93"/>
        <v xml:space="preserve"> </v>
      </c>
      <c r="AX23" s="10" t="str">
        <f t="shared" si="93"/>
        <v xml:space="preserve"> </v>
      </c>
      <c r="AY23" s="10" t="str">
        <f t="shared" si="93"/>
        <v xml:space="preserve"> </v>
      </c>
      <c r="AZ23" s="10" t="str">
        <f t="shared" si="93"/>
        <v xml:space="preserve"> </v>
      </c>
      <c r="BA23" s="14"/>
      <c r="BB23" s="14"/>
      <c r="BC23" s="10" t="str">
        <f t="shared" si="94"/>
        <v xml:space="preserve"> </v>
      </c>
      <c r="BD23" s="10" t="str">
        <f t="shared" si="94"/>
        <v xml:space="preserve"> </v>
      </c>
      <c r="BE23" s="10" t="str">
        <f t="shared" si="94"/>
        <v xml:space="preserve"> </v>
      </c>
      <c r="BF23" s="10" t="str">
        <f t="shared" si="94"/>
        <v xml:space="preserve"> </v>
      </c>
      <c r="BG23" s="10" t="str">
        <f t="shared" si="94"/>
        <v xml:space="preserve"> </v>
      </c>
      <c r="BH23" s="14"/>
      <c r="BI23" s="14"/>
      <c r="BJ23" s="10" t="str">
        <f t="shared" si="95"/>
        <v xml:space="preserve"> </v>
      </c>
      <c r="BK23" s="10" t="str">
        <f t="shared" si="95"/>
        <v xml:space="preserve"> </v>
      </c>
      <c r="BL23" s="10" t="str">
        <f t="shared" si="95"/>
        <v xml:space="preserve"> </v>
      </c>
      <c r="BM23" s="10" t="str">
        <f t="shared" si="95"/>
        <v xml:space="preserve"> </v>
      </c>
      <c r="BN23" s="10" t="str">
        <f t="shared" si="95"/>
        <v xml:space="preserve"> </v>
      </c>
      <c r="BO23" s="14"/>
      <c r="BP23" s="14"/>
      <c r="BQ23" s="10" t="str">
        <f t="shared" si="96"/>
        <v xml:space="preserve"> </v>
      </c>
      <c r="BR23" s="10" t="str">
        <f t="shared" si="96"/>
        <v xml:space="preserve"> </v>
      </c>
      <c r="BS23" s="10" t="str">
        <f t="shared" si="96"/>
        <v xml:space="preserve"> </v>
      </c>
      <c r="BT23" s="10" t="str">
        <f t="shared" si="96"/>
        <v xml:space="preserve"> </v>
      </c>
      <c r="BU23" s="10" t="str">
        <f t="shared" si="96"/>
        <v xml:space="preserve"> </v>
      </c>
      <c r="BV23" s="14"/>
      <c r="BW23" s="14"/>
      <c r="BX23" s="10" t="str">
        <f t="shared" si="97"/>
        <v xml:space="preserve"> </v>
      </c>
      <c r="BY23" s="10" t="str">
        <f t="shared" si="97"/>
        <v xml:space="preserve"> </v>
      </c>
      <c r="BZ23" s="10" t="str">
        <f t="shared" si="97"/>
        <v xml:space="preserve"> </v>
      </c>
      <c r="CA23" s="10" t="str">
        <f t="shared" si="97"/>
        <v xml:space="preserve"> </v>
      </c>
      <c r="CB23" s="10" t="str">
        <f t="shared" si="97"/>
        <v xml:space="preserve"> </v>
      </c>
      <c r="CC23" s="14"/>
      <c r="CD23" s="14"/>
      <c r="CE23" s="10" t="str">
        <f t="shared" si="98"/>
        <v xml:space="preserve"> </v>
      </c>
      <c r="CF23" s="10" t="str">
        <f t="shared" si="98"/>
        <v xml:space="preserve"> </v>
      </c>
      <c r="CG23" s="10" t="str">
        <f t="shared" si="98"/>
        <v xml:space="preserve"> </v>
      </c>
      <c r="CH23" s="10" t="str">
        <f t="shared" si="98"/>
        <v xml:space="preserve"> </v>
      </c>
      <c r="CI23" s="10" t="str">
        <f t="shared" si="98"/>
        <v xml:space="preserve"> </v>
      </c>
      <c r="CJ23" s="14"/>
      <c r="CK23" s="14"/>
      <c r="CL23" s="10" t="str">
        <f t="shared" si="99"/>
        <v xml:space="preserve"> </v>
      </c>
      <c r="CM23" s="10" t="str">
        <f t="shared" si="99"/>
        <v xml:space="preserve"> </v>
      </c>
      <c r="CN23" s="10" t="str">
        <f t="shared" si="99"/>
        <v xml:space="preserve"> </v>
      </c>
      <c r="CO23" s="10" t="str">
        <f t="shared" si="99"/>
        <v xml:space="preserve"> </v>
      </c>
      <c r="CP23" s="10" t="str">
        <f t="shared" si="99"/>
        <v xml:space="preserve"> </v>
      </c>
      <c r="CQ23" s="14"/>
      <c r="CR23" s="14"/>
      <c r="CS23" s="10" t="str">
        <f t="shared" si="100"/>
        <v xml:space="preserve"> </v>
      </c>
      <c r="CT23" s="10" t="str">
        <f t="shared" si="100"/>
        <v xml:space="preserve"> </v>
      </c>
      <c r="CU23" s="10" t="str">
        <f t="shared" si="100"/>
        <v xml:space="preserve"> </v>
      </c>
      <c r="CV23" s="10" t="str">
        <f t="shared" si="100"/>
        <v xml:space="preserve"> </v>
      </c>
      <c r="CW23" s="10" t="str">
        <f t="shared" si="100"/>
        <v xml:space="preserve"> </v>
      </c>
      <c r="CZ23" s="10" t="str">
        <f t="shared" si="101"/>
        <v xml:space="preserve"> </v>
      </c>
      <c r="DA23" s="10" t="str">
        <f t="shared" si="101"/>
        <v xml:space="preserve"> </v>
      </c>
      <c r="DB23" s="10" t="str">
        <f t="shared" si="101"/>
        <v xml:space="preserve"> </v>
      </c>
      <c r="DC23" s="10" t="str">
        <f t="shared" si="101"/>
        <v xml:space="preserve"> </v>
      </c>
      <c r="DD23" s="10" t="str">
        <f t="shared" si="101"/>
        <v xml:space="preserve"> </v>
      </c>
      <c r="DG23" s="10" t="str">
        <f t="shared" si="102"/>
        <v xml:space="preserve"> </v>
      </c>
      <c r="DH23" s="10" t="str">
        <f t="shared" si="102"/>
        <v xml:space="preserve"> </v>
      </c>
      <c r="DI23" s="10" t="str">
        <f t="shared" si="102"/>
        <v xml:space="preserve"> </v>
      </c>
      <c r="DJ23" s="10" t="str">
        <f t="shared" si="102"/>
        <v xml:space="preserve"> </v>
      </c>
      <c r="DK23" s="10" t="str">
        <f t="shared" si="102"/>
        <v xml:space="preserve"> </v>
      </c>
      <c r="DN23" s="10" t="str">
        <f t="shared" si="103"/>
        <v xml:space="preserve"> </v>
      </c>
      <c r="DO23" s="10" t="str">
        <f t="shared" si="103"/>
        <v xml:space="preserve"> </v>
      </c>
      <c r="DP23" s="10" t="str">
        <f t="shared" si="103"/>
        <v xml:space="preserve"> </v>
      </c>
      <c r="DQ23" s="10" t="str">
        <f t="shared" si="103"/>
        <v xml:space="preserve"> </v>
      </c>
      <c r="DR23" s="10" t="str">
        <f t="shared" si="103"/>
        <v xml:space="preserve"> </v>
      </c>
      <c r="DU23" s="10" t="str">
        <f t="shared" si="104"/>
        <v xml:space="preserve"> </v>
      </c>
      <c r="DV23" s="10" t="str">
        <f t="shared" si="104"/>
        <v xml:space="preserve"> </v>
      </c>
      <c r="DW23" s="10" t="str">
        <f t="shared" si="104"/>
        <v xml:space="preserve"> </v>
      </c>
      <c r="DX23" s="10" t="str">
        <f t="shared" si="104"/>
        <v xml:space="preserve"> </v>
      </c>
      <c r="DY23" s="10" t="str">
        <f t="shared" si="104"/>
        <v xml:space="preserve"> </v>
      </c>
      <c r="EB23" s="10" t="str">
        <f t="shared" si="105"/>
        <v xml:space="preserve"> </v>
      </c>
      <c r="EC23" s="10" t="str">
        <f t="shared" si="105"/>
        <v xml:space="preserve"> </v>
      </c>
      <c r="ED23" s="10" t="str">
        <f t="shared" si="105"/>
        <v xml:space="preserve"> </v>
      </c>
      <c r="EE23" s="10" t="str">
        <f t="shared" si="105"/>
        <v xml:space="preserve"> </v>
      </c>
      <c r="EF23" s="10" t="str">
        <f t="shared" si="105"/>
        <v xml:space="preserve"> </v>
      </c>
      <c r="EI23" s="10" t="str">
        <f t="shared" si="106"/>
        <v xml:space="preserve"> </v>
      </c>
      <c r="EJ23" s="10" t="str">
        <f t="shared" si="106"/>
        <v xml:space="preserve"> </v>
      </c>
      <c r="EK23" s="10" t="str">
        <f t="shared" si="106"/>
        <v xml:space="preserve"> </v>
      </c>
      <c r="EL23" s="10" t="str">
        <f t="shared" si="106"/>
        <v xml:space="preserve"> </v>
      </c>
      <c r="EM23" s="10" t="str">
        <f t="shared" si="106"/>
        <v xml:space="preserve"> </v>
      </c>
      <c r="EP23" s="10" t="str">
        <f t="shared" si="107"/>
        <v xml:space="preserve"> </v>
      </c>
      <c r="EQ23" s="10" t="str">
        <f t="shared" si="107"/>
        <v xml:space="preserve"> </v>
      </c>
      <c r="ER23" s="10" t="str">
        <f t="shared" si="107"/>
        <v xml:space="preserve"> </v>
      </c>
      <c r="ES23" s="10" t="str">
        <f t="shared" si="107"/>
        <v xml:space="preserve"> </v>
      </c>
      <c r="ET23" s="10" t="str">
        <f t="shared" si="107"/>
        <v xml:space="preserve"> </v>
      </c>
      <c r="EW23" s="10" t="str">
        <f t="shared" si="108"/>
        <v xml:space="preserve"> </v>
      </c>
      <c r="EX23" s="10" t="str">
        <f t="shared" si="108"/>
        <v xml:space="preserve"> </v>
      </c>
      <c r="EY23" s="10" t="str">
        <f t="shared" si="108"/>
        <v xml:space="preserve"> </v>
      </c>
      <c r="EZ23" s="10" t="str">
        <f t="shared" si="108"/>
        <v xml:space="preserve"> </v>
      </c>
      <c r="FA23" s="10" t="str">
        <f t="shared" si="108"/>
        <v xml:space="preserve"> </v>
      </c>
      <c r="FD23" s="10" t="str">
        <f t="shared" si="109"/>
        <v xml:space="preserve"> </v>
      </c>
      <c r="FE23" s="10" t="str">
        <f t="shared" si="109"/>
        <v xml:space="preserve"> </v>
      </c>
      <c r="FF23" s="10" t="str">
        <f t="shared" si="109"/>
        <v xml:space="preserve"> </v>
      </c>
      <c r="FG23" s="10" t="str">
        <f t="shared" si="109"/>
        <v xml:space="preserve"> </v>
      </c>
      <c r="FH23" s="10" t="str">
        <f t="shared" si="109"/>
        <v xml:space="preserve"> </v>
      </c>
      <c r="FK23" s="10" t="str">
        <f t="shared" si="110"/>
        <v xml:space="preserve"> </v>
      </c>
      <c r="FL23" s="10" t="str">
        <f t="shared" si="110"/>
        <v xml:space="preserve"> </v>
      </c>
      <c r="FM23" s="10" t="str">
        <f t="shared" si="110"/>
        <v xml:space="preserve"> </v>
      </c>
      <c r="FN23" s="10" t="str">
        <f t="shared" si="110"/>
        <v xml:space="preserve"> </v>
      </c>
      <c r="FO23" s="10" t="str">
        <f t="shared" si="110"/>
        <v xml:space="preserve"> </v>
      </c>
      <c r="FR23" s="10" t="str">
        <f t="shared" si="111"/>
        <v xml:space="preserve"> </v>
      </c>
      <c r="FS23" s="10" t="str">
        <f t="shared" si="111"/>
        <v xml:space="preserve"> </v>
      </c>
      <c r="FT23" s="10" t="str">
        <f t="shared" si="111"/>
        <v xml:space="preserve"> </v>
      </c>
      <c r="FU23" s="10" t="str">
        <f t="shared" si="111"/>
        <v xml:space="preserve"> </v>
      </c>
      <c r="FV23" s="10" t="str">
        <f t="shared" si="111"/>
        <v xml:space="preserve"> </v>
      </c>
      <c r="FY23" s="10" t="str">
        <f t="shared" si="112"/>
        <v xml:space="preserve"> </v>
      </c>
      <c r="FZ23" s="10" t="str">
        <f t="shared" si="112"/>
        <v xml:space="preserve"> </v>
      </c>
      <c r="GA23" s="10" t="str">
        <f t="shared" si="112"/>
        <v xml:space="preserve"> </v>
      </c>
      <c r="GB23" s="10" t="str">
        <f t="shared" si="112"/>
        <v xml:space="preserve"> </v>
      </c>
      <c r="GC23" s="10" t="str">
        <f t="shared" si="112"/>
        <v xml:space="preserve"> </v>
      </c>
      <c r="GF23" s="10" t="str">
        <f t="shared" si="113"/>
        <v xml:space="preserve"> </v>
      </c>
      <c r="GG23" s="10" t="str">
        <f t="shared" si="113"/>
        <v xml:space="preserve"> </v>
      </c>
      <c r="GH23" s="10" t="str">
        <f t="shared" si="113"/>
        <v xml:space="preserve"> </v>
      </c>
      <c r="GI23" s="10" t="str">
        <f t="shared" si="113"/>
        <v xml:space="preserve"> </v>
      </c>
      <c r="GJ23" s="10" t="str">
        <f t="shared" si="113"/>
        <v xml:space="preserve"> </v>
      </c>
      <c r="GM23" s="10" t="str">
        <f t="shared" si="114"/>
        <v xml:space="preserve"> </v>
      </c>
      <c r="GN23" s="10" t="str">
        <f t="shared" si="114"/>
        <v xml:space="preserve"> </v>
      </c>
      <c r="GO23" s="10" t="str">
        <f t="shared" si="114"/>
        <v xml:space="preserve"> </v>
      </c>
      <c r="GP23" s="10" t="str">
        <f t="shared" si="114"/>
        <v xml:space="preserve"> </v>
      </c>
      <c r="GQ23" s="10" t="str">
        <f t="shared" si="114"/>
        <v xml:space="preserve"> </v>
      </c>
      <c r="GT23" s="10" t="str">
        <f t="shared" si="115"/>
        <v xml:space="preserve"> </v>
      </c>
      <c r="GU23" s="10" t="str">
        <f t="shared" si="115"/>
        <v xml:space="preserve"> </v>
      </c>
      <c r="GV23" s="10" t="str">
        <f t="shared" si="115"/>
        <v xml:space="preserve"> </v>
      </c>
      <c r="GW23" s="10" t="str">
        <f t="shared" si="115"/>
        <v xml:space="preserve"> </v>
      </c>
      <c r="GX23" s="10" t="str">
        <f t="shared" si="115"/>
        <v xml:space="preserve"> </v>
      </c>
      <c r="HA23" s="10" t="str">
        <f t="shared" si="116"/>
        <v xml:space="preserve"> </v>
      </c>
      <c r="HB23" s="10" t="str">
        <f t="shared" si="116"/>
        <v xml:space="preserve"> </v>
      </c>
      <c r="HC23" s="10" t="str">
        <f t="shared" si="116"/>
        <v xml:space="preserve"> </v>
      </c>
      <c r="HD23" s="10" t="str">
        <f t="shared" si="116"/>
        <v xml:space="preserve"> </v>
      </c>
      <c r="HE23" s="10" t="str">
        <f t="shared" si="116"/>
        <v xml:space="preserve"> </v>
      </c>
      <c r="HH23" s="10" t="str">
        <f t="shared" si="117"/>
        <v xml:space="preserve"> </v>
      </c>
      <c r="HI23" s="10" t="str">
        <f t="shared" si="117"/>
        <v xml:space="preserve"> </v>
      </c>
      <c r="HJ23" s="10" t="str">
        <f t="shared" si="117"/>
        <v xml:space="preserve"> </v>
      </c>
      <c r="HK23" s="10" t="str">
        <f t="shared" si="117"/>
        <v xml:space="preserve"> </v>
      </c>
      <c r="HL23" s="10" t="str">
        <f t="shared" si="117"/>
        <v xml:space="preserve"> </v>
      </c>
      <c r="HO23" s="10" t="str">
        <f t="shared" si="118"/>
        <v xml:space="preserve"> </v>
      </c>
      <c r="HP23" s="10" t="str">
        <f t="shared" si="118"/>
        <v xml:space="preserve"> </v>
      </c>
      <c r="HQ23" s="10" t="str">
        <f t="shared" si="118"/>
        <v xml:space="preserve"> </v>
      </c>
      <c r="HR23" s="10" t="str">
        <f t="shared" si="118"/>
        <v xml:space="preserve"> </v>
      </c>
      <c r="HS23" s="10" t="str">
        <f t="shared" si="118"/>
        <v xml:space="preserve"> </v>
      </c>
      <c r="HV23" s="10" t="str">
        <f t="shared" si="119"/>
        <v xml:space="preserve"> </v>
      </c>
      <c r="HW23" s="10" t="str">
        <f t="shared" si="119"/>
        <v xml:space="preserve"> </v>
      </c>
      <c r="HX23" s="10" t="str">
        <f t="shared" si="119"/>
        <v xml:space="preserve"> </v>
      </c>
      <c r="HY23" s="10" t="str">
        <f t="shared" si="119"/>
        <v xml:space="preserve"> </v>
      </c>
      <c r="HZ23" s="10" t="str">
        <f t="shared" si="119"/>
        <v xml:space="preserve"> </v>
      </c>
      <c r="IC23" s="10" t="str">
        <f t="shared" si="120"/>
        <v xml:space="preserve"> </v>
      </c>
      <c r="ID23" s="10" t="str">
        <f t="shared" si="120"/>
        <v xml:space="preserve"> </v>
      </c>
      <c r="IE23" s="10" t="str">
        <f t="shared" si="120"/>
        <v xml:space="preserve"> </v>
      </c>
      <c r="IF23" s="10" t="str">
        <f t="shared" si="120"/>
        <v xml:space="preserve"> </v>
      </c>
      <c r="IG23" s="10" t="str">
        <f t="shared" si="120"/>
        <v xml:space="preserve"> </v>
      </c>
      <c r="IJ23" s="10" t="str">
        <f t="shared" si="121"/>
        <v xml:space="preserve"> </v>
      </c>
      <c r="IK23" s="10" t="str">
        <f t="shared" si="121"/>
        <v xml:space="preserve"> </v>
      </c>
      <c r="IL23" s="10" t="str">
        <f t="shared" si="121"/>
        <v xml:space="preserve"> </v>
      </c>
      <c r="IM23" s="10" t="str">
        <f t="shared" si="121"/>
        <v xml:space="preserve"> </v>
      </c>
      <c r="IN23" s="10" t="str">
        <f t="shared" si="121"/>
        <v xml:space="preserve"> </v>
      </c>
      <c r="IQ23" s="10" t="str">
        <f t="shared" si="122"/>
        <v xml:space="preserve"> </v>
      </c>
      <c r="IR23" s="10" t="str">
        <f t="shared" si="122"/>
        <v xml:space="preserve"> </v>
      </c>
      <c r="IS23" s="10" t="str">
        <f t="shared" si="122"/>
        <v xml:space="preserve"> </v>
      </c>
      <c r="IT23" s="10" t="str">
        <f t="shared" si="122"/>
        <v xml:space="preserve"> </v>
      </c>
      <c r="IU23" s="10" t="str">
        <f t="shared" si="122"/>
        <v xml:space="preserve"> </v>
      </c>
      <c r="IX23" s="10" t="str">
        <f t="shared" si="123"/>
        <v xml:space="preserve"> </v>
      </c>
      <c r="IY23" s="10" t="str">
        <f t="shared" si="123"/>
        <v xml:space="preserve"> </v>
      </c>
      <c r="IZ23" s="10" t="str">
        <f t="shared" si="123"/>
        <v xml:space="preserve"> </v>
      </c>
      <c r="JA23" s="10" t="str">
        <f t="shared" si="123"/>
        <v xml:space="preserve"> </v>
      </c>
      <c r="JB23" s="10" t="str">
        <f t="shared" si="123"/>
        <v xml:space="preserve"> </v>
      </c>
      <c r="JE23" s="10" t="str">
        <f t="shared" si="124"/>
        <v xml:space="preserve"> </v>
      </c>
      <c r="JF23" s="10" t="str">
        <f t="shared" si="124"/>
        <v xml:space="preserve"> </v>
      </c>
      <c r="JG23" s="10" t="str">
        <f t="shared" si="124"/>
        <v xml:space="preserve"> </v>
      </c>
      <c r="JH23" s="10" t="str">
        <f t="shared" si="124"/>
        <v xml:space="preserve"> </v>
      </c>
      <c r="JI23" s="10" t="str">
        <f t="shared" si="124"/>
        <v xml:space="preserve"> </v>
      </c>
    </row>
    <row r="24" spans="1:269">
      <c r="A24" s="96"/>
      <c r="B24" s="10">
        <v>16</v>
      </c>
      <c r="C24" s="11" t="s">
        <v>41</v>
      </c>
      <c r="D24" s="11" t="s">
        <v>39</v>
      </c>
      <c r="E24" s="10">
        <v>14</v>
      </c>
      <c r="F24" s="12">
        <f t="shared" si="87"/>
        <v>42537</v>
      </c>
      <c r="G24" s="12">
        <f>WORKDAY(F24,H24-1,Config!D23:D42)</f>
        <v>42541</v>
      </c>
      <c r="H24" s="10">
        <v>3</v>
      </c>
      <c r="I24" s="13">
        <v>0</v>
      </c>
      <c r="J24" s="13">
        <f ca="1">IF(((NETWORKDAYS(F24,TODAY(),Data!C19:C38)*100)/H24)/100 &gt; 0,((NETWORKDAYS(F24,TODAY(),Data!C19:C38)*100)/H24)/100,0)</f>
        <v>547.33333333333337</v>
      </c>
      <c r="K24" s="13" t="str">
        <f t="shared" ca="1" si="127"/>
        <v>100%</v>
      </c>
      <c r="L24" s="13">
        <f t="shared" ca="1" si="128"/>
        <v>1</v>
      </c>
      <c r="M24" s="10" t="str">
        <f t="shared" si="88"/>
        <v xml:space="preserve"> </v>
      </c>
      <c r="N24" s="10" t="str">
        <f t="shared" si="88"/>
        <v xml:space="preserve"> </v>
      </c>
      <c r="O24" s="10" t="str">
        <f t="shared" si="88"/>
        <v xml:space="preserve"> </v>
      </c>
      <c r="P24" s="10" t="str">
        <f t="shared" si="88"/>
        <v xml:space="preserve"> </v>
      </c>
      <c r="Q24" s="10" t="str">
        <f t="shared" si="88"/>
        <v xml:space="preserve"> </v>
      </c>
      <c r="R24" s="14"/>
      <c r="S24" s="14"/>
      <c r="T24" s="10" t="str">
        <f t="shared" si="89"/>
        <v xml:space="preserve"> </v>
      </c>
      <c r="U24" s="10" t="str">
        <f t="shared" si="89"/>
        <v xml:space="preserve"> </v>
      </c>
      <c r="V24" s="10" t="str">
        <f t="shared" si="89"/>
        <v xml:space="preserve"> </v>
      </c>
      <c r="W24" s="10" t="str">
        <f t="shared" si="89"/>
        <v xml:space="preserve"> </v>
      </c>
      <c r="X24" s="10" t="str">
        <f t="shared" si="89"/>
        <v xml:space="preserve"> </v>
      </c>
      <c r="Y24" s="14"/>
      <c r="Z24" s="14"/>
      <c r="AA24" s="10" t="str">
        <f t="shared" si="90"/>
        <v xml:space="preserve"> </v>
      </c>
      <c r="AB24" s="10" t="str">
        <f t="shared" si="90"/>
        <v xml:space="preserve"> </v>
      </c>
      <c r="AC24" s="10" t="str">
        <f t="shared" si="90"/>
        <v xml:space="preserve"> </v>
      </c>
      <c r="AD24" s="10" t="str">
        <f t="shared" si="90"/>
        <v xml:space="preserve"> </v>
      </c>
      <c r="AE24" s="10" t="str">
        <f t="shared" si="90"/>
        <v xml:space="preserve"> </v>
      </c>
      <c r="AF24" s="14"/>
      <c r="AG24" s="14"/>
      <c r="AH24" s="10" t="str">
        <f t="shared" si="91"/>
        <v xml:space="preserve"> </v>
      </c>
      <c r="AI24" s="10" t="str">
        <f t="shared" si="91"/>
        <v xml:space="preserve"> </v>
      </c>
      <c r="AJ24" s="10" t="str">
        <f t="shared" si="91"/>
        <v xml:space="preserve"> </v>
      </c>
      <c r="AK24" s="10" t="str">
        <f t="shared" si="91"/>
        <v xml:space="preserve"> </v>
      </c>
      <c r="AL24" s="10" t="str">
        <f t="shared" si="91"/>
        <v xml:space="preserve"> </v>
      </c>
      <c r="AM24" s="14"/>
      <c r="AN24" s="14"/>
      <c r="AO24" s="10" t="str">
        <f t="shared" si="92"/>
        <v xml:space="preserve"> </v>
      </c>
      <c r="AP24" s="10" t="str">
        <f t="shared" si="92"/>
        <v xml:space="preserve"> </v>
      </c>
      <c r="AQ24" s="10" t="str">
        <f t="shared" si="92"/>
        <v xml:space="preserve"> </v>
      </c>
      <c r="AR24" s="10" t="str">
        <f t="shared" si="92"/>
        <v xml:space="preserve"> </v>
      </c>
      <c r="AS24" s="10" t="str">
        <f t="shared" si="92"/>
        <v xml:space="preserve"> </v>
      </c>
      <c r="AT24" s="14"/>
      <c r="AU24" s="14"/>
      <c r="AV24" s="10" t="str">
        <f t="shared" si="93"/>
        <v xml:space="preserve"> </v>
      </c>
      <c r="AW24" s="10" t="str">
        <f t="shared" si="93"/>
        <v xml:space="preserve"> </v>
      </c>
      <c r="AX24" s="10" t="str">
        <f t="shared" si="93"/>
        <v xml:space="preserve"> </v>
      </c>
      <c r="AY24" s="10" t="str">
        <f t="shared" si="93"/>
        <v xml:space="preserve"> </v>
      </c>
      <c r="AZ24" s="10" t="str">
        <f t="shared" si="93"/>
        <v xml:space="preserve"> </v>
      </c>
      <c r="BA24" s="14"/>
      <c r="BB24" s="14"/>
      <c r="BC24" s="10" t="str">
        <f t="shared" si="94"/>
        <v>.</v>
      </c>
      <c r="BD24" s="10" t="str">
        <f t="shared" si="94"/>
        <v>.</v>
      </c>
      <c r="BE24" s="10" t="str">
        <f t="shared" si="94"/>
        <v>.</v>
      </c>
      <c r="BF24" s="10" t="str">
        <f t="shared" si="94"/>
        <v>.</v>
      </c>
      <c r="BG24" s="10" t="str">
        <f t="shared" si="94"/>
        <v>.</v>
      </c>
      <c r="BH24" s="14"/>
      <c r="BI24" s="14"/>
      <c r="BJ24" s="10" t="str">
        <f t="shared" si="95"/>
        <v xml:space="preserve"> </v>
      </c>
      <c r="BK24" s="10" t="str">
        <f t="shared" si="95"/>
        <v xml:space="preserve"> </v>
      </c>
      <c r="BL24" s="10" t="str">
        <f t="shared" si="95"/>
        <v xml:space="preserve"> </v>
      </c>
      <c r="BM24" s="10" t="str">
        <f t="shared" si="95"/>
        <v xml:space="preserve"> </v>
      </c>
      <c r="BN24" s="10" t="str">
        <f t="shared" si="95"/>
        <v xml:space="preserve"> </v>
      </c>
      <c r="BO24" s="14"/>
      <c r="BP24" s="14"/>
      <c r="BQ24" s="10" t="str">
        <f t="shared" si="96"/>
        <v xml:space="preserve"> </v>
      </c>
      <c r="BR24" s="10" t="str">
        <f t="shared" si="96"/>
        <v xml:space="preserve"> </v>
      </c>
      <c r="BS24" s="10" t="str">
        <f t="shared" si="96"/>
        <v xml:space="preserve"> </v>
      </c>
      <c r="BT24" s="10" t="str">
        <f t="shared" si="96"/>
        <v xml:space="preserve"> </v>
      </c>
      <c r="BU24" s="10" t="str">
        <f t="shared" si="96"/>
        <v xml:space="preserve"> </v>
      </c>
      <c r="BV24" s="14"/>
      <c r="BW24" s="14"/>
      <c r="BX24" s="10" t="str">
        <f t="shared" si="97"/>
        <v xml:space="preserve"> </v>
      </c>
      <c r="BY24" s="10" t="str">
        <f t="shared" si="97"/>
        <v xml:space="preserve"> </v>
      </c>
      <c r="BZ24" s="10" t="str">
        <f t="shared" si="97"/>
        <v xml:space="preserve"> </v>
      </c>
      <c r="CA24" s="10" t="str">
        <f t="shared" si="97"/>
        <v xml:space="preserve"> </v>
      </c>
      <c r="CB24" s="10" t="str">
        <f t="shared" si="97"/>
        <v xml:space="preserve"> </v>
      </c>
      <c r="CC24" s="14"/>
      <c r="CD24" s="14"/>
      <c r="CE24" s="10" t="str">
        <f t="shared" si="98"/>
        <v xml:space="preserve"> </v>
      </c>
      <c r="CF24" s="10" t="str">
        <f t="shared" si="98"/>
        <v xml:space="preserve"> </v>
      </c>
      <c r="CG24" s="10" t="str">
        <f t="shared" si="98"/>
        <v xml:space="preserve"> </v>
      </c>
      <c r="CH24" s="10" t="str">
        <f t="shared" si="98"/>
        <v xml:space="preserve"> </v>
      </c>
      <c r="CI24" s="10" t="str">
        <f t="shared" si="98"/>
        <v xml:space="preserve"> </v>
      </c>
      <c r="CJ24" s="14"/>
      <c r="CK24" s="14"/>
      <c r="CL24" s="10" t="str">
        <f t="shared" si="99"/>
        <v xml:space="preserve"> </v>
      </c>
      <c r="CM24" s="10" t="str">
        <f t="shared" si="99"/>
        <v xml:space="preserve"> </v>
      </c>
      <c r="CN24" s="10" t="str">
        <f t="shared" si="99"/>
        <v xml:space="preserve"> </v>
      </c>
      <c r="CO24" s="10" t="str">
        <f t="shared" si="99"/>
        <v xml:space="preserve"> </v>
      </c>
      <c r="CP24" s="10" t="str">
        <f t="shared" si="99"/>
        <v xml:space="preserve"> </v>
      </c>
      <c r="CQ24" s="14"/>
      <c r="CR24" s="14"/>
      <c r="CS24" s="10" t="str">
        <f t="shared" si="100"/>
        <v xml:space="preserve"> </v>
      </c>
      <c r="CT24" s="10" t="str">
        <f t="shared" si="100"/>
        <v xml:space="preserve"> </v>
      </c>
      <c r="CU24" s="10" t="str">
        <f t="shared" si="100"/>
        <v xml:space="preserve"> </v>
      </c>
      <c r="CV24" s="10" t="str">
        <f t="shared" si="100"/>
        <v xml:space="preserve"> </v>
      </c>
      <c r="CW24" s="10" t="str">
        <f t="shared" si="100"/>
        <v xml:space="preserve"> </v>
      </c>
      <c r="CZ24" s="10" t="str">
        <f t="shared" si="101"/>
        <v xml:space="preserve"> </v>
      </c>
      <c r="DA24" s="10" t="str">
        <f t="shared" si="101"/>
        <v xml:space="preserve"> </v>
      </c>
      <c r="DB24" s="10" t="str">
        <f t="shared" si="101"/>
        <v xml:space="preserve"> </v>
      </c>
      <c r="DC24" s="10" t="str">
        <f t="shared" si="101"/>
        <v xml:space="preserve"> </v>
      </c>
      <c r="DD24" s="10" t="str">
        <f t="shared" si="101"/>
        <v xml:space="preserve"> </v>
      </c>
      <c r="DG24" s="10" t="str">
        <f t="shared" si="102"/>
        <v xml:space="preserve"> </v>
      </c>
      <c r="DH24" s="10" t="str">
        <f t="shared" si="102"/>
        <v xml:space="preserve"> </v>
      </c>
      <c r="DI24" s="10" t="str">
        <f t="shared" si="102"/>
        <v xml:space="preserve"> </v>
      </c>
      <c r="DJ24" s="10" t="str">
        <f t="shared" si="102"/>
        <v xml:space="preserve"> </v>
      </c>
      <c r="DK24" s="10" t="str">
        <f t="shared" si="102"/>
        <v xml:space="preserve"> </v>
      </c>
      <c r="DN24" s="10" t="str">
        <f t="shared" si="103"/>
        <v xml:space="preserve"> </v>
      </c>
      <c r="DO24" s="10" t="str">
        <f t="shared" si="103"/>
        <v xml:space="preserve"> </v>
      </c>
      <c r="DP24" s="10" t="str">
        <f t="shared" si="103"/>
        <v xml:space="preserve"> </v>
      </c>
      <c r="DQ24" s="10" t="str">
        <f t="shared" si="103"/>
        <v xml:space="preserve"> </v>
      </c>
      <c r="DR24" s="10" t="str">
        <f t="shared" si="103"/>
        <v xml:space="preserve"> </v>
      </c>
      <c r="DU24" s="10" t="str">
        <f t="shared" si="104"/>
        <v xml:space="preserve"> </v>
      </c>
      <c r="DV24" s="10" t="str">
        <f t="shared" si="104"/>
        <v xml:space="preserve"> </v>
      </c>
      <c r="DW24" s="10" t="str">
        <f t="shared" si="104"/>
        <v xml:space="preserve"> </v>
      </c>
      <c r="DX24" s="10" t="str">
        <f t="shared" si="104"/>
        <v xml:space="preserve"> </v>
      </c>
      <c r="DY24" s="10" t="str">
        <f t="shared" si="104"/>
        <v xml:space="preserve"> </v>
      </c>
      <c r="EB24" s="10" t="str">
        <f t="shared" si="105"/>
        <v xml:space="preserve"> </v>
      </c>
      <c r="EC24" s="10" t="str">
        <f t="shared" si="105"/>
        <v xml:space="preserve"> </v>
      </c>
      <c r="ED24" s="10" t="str">
        <f t="shared" si="105"/>
        <v xml:space="preserve"> </v>
      </c>
      <c r="EE24" s="10" t="str">
        <f t="shared" si="105"/>
        <v xml:space="preserve"> </v>
      </c>
      <c r="EF24" s="10" t="str">
        <f t="shared" si="105"/>
        <v xml:space="preserve"> </v>
      </c>
      <c r="EI24" s="10" t="str">
        <f t="shared" si="106"/>
        <v xml:space="preserve"> </v>
      </c>
      <c r="EJ24" s="10" t="str">
        <f t="shared" si="106"/>
        <v xml:space="preserve"> </v>
      </c>
      <c r="EK24" s="10" t="str">
        <f t="shared" si="106"/>
        <v xml:space="preserve"> </v>
      </c>
      <c r="EL24" s="10" t="str">
        <f t="shared" si="106"/>
        <v xml:space="preserve"> </v>
      </c>
      <c r="EM24" s="10" t="str">
        <f t="shared" si="106"/>
        <v xml:space="preserve"> </v>
      </c>
      <c r="EP24" s="10" t="str">
        <f t="shared" si="107"/>
        <v xml:space="preserve"> </v>
      </c>
      <c r="EQ24" s="10" t="str">
        <f t="shared" si="107"/>
        <v xml:space="preserve"> </v>
      </c>
      <c r="ER24" s="10" t="str">
        <f t="shared" si="107"/>
        <v xml:space="preserve"> </v>
      </c>
      <c r="ES24" s="10" t="str">
        <f t="shared" si="107"/>
        <v xml:space="preserve"> </v>
      </c>
      <c r="ET24" s="10" t="str">
        <f t="shared" si="107"/>
        <v xml:space="preserve"> </v>
      </c>
      <c r="EW24" s="10" t="str">
        <f t="shared" si="108"/>
        <v xml:space="preserve"> </v>
      </c>
      <c r="EX24" s="10" t="str">
        <f t="shared" si="108"/>
        <v xml:space="preserve"> </v>
      </c>
      <c r="EY24" s="10" t="str">
        <f t="shared" si="108"/>
        <v xml:space="preserve"> </v>
      </c>
      <c r="EZ24" s="10" t="str">
        <f t="shared" si="108"/>
        <v xml:space="preserve"> </v>
      </c>
      <c r="FA24" s="10" t="str">
        <f t="shared" si="108"/>
        <v xml:space="preserve"> </v>
      </c>
      <c r="FD24" s="10" t="str">
        <f t="shared" si="109"/>
        <v xml:space="preserve"> </v>
      </c>
      <c r="FE24" s="10" t="str">
        <f t="shared" si="109"/>
        <v xml:space="preserve"> </v>
      </c>
      <c r="FF24" s="10" t="str">
        <f t="shared" si="109"/>
        <v xml:space="preserve"> </v>
      </c>
      <c r="FG24" s="10" t="str">
        <f t="shared" si="109"/>
        <v xml:space="preserve"> </v>
      </c>
      <c r="FH24" s="10" t="str">
        <f t="shared" si="109"/>
        <v xml:space="preserve"> </v>
      </c>
      <c r="FK24" s="10" t="str">
        <f t="shared" si="110"/>
        <v xml:space="preserve"> </v>
      </c>
      <c r="FL24" s="10" t="str">
        <f t="shared" si="110"/>
        <v xml:space="preserve"> </v>
      </c>
      <c r="FM24" s="10" t="str">
        <f t="shared" si="110"/>
        <v xml:space="preserve"> </v>
      </c>
      <c r="FN24" s="10" t="str">
        <f t="shared" si="110"/>
        <v xml:space="preserve"> </v>
      </c>
      <c r="FO24" s="10" t="str">
        <f t="shared" si="110"/>
        <v xml:space="preserve"> </v>
      </c>
      <c r="FR24" s="10" t="str">
        <f t="shared" si="111"/>
        <v xml:space="preserve"> </v>
      </c>
      <c r="FS24" s="10" t="str">
        <f t="shared" si="111"/>
        <v xml:space="preserve"> </v>
      </c>
      <c r="FT24" s="10" t="str">
        <f t="shared" si="111"/>
        <v xml:space="preserve"> </v>
      </c>
      <c r="FU24" s="10" t="str">
        <f t="shared" si="111"/>
        <v xml:space="preserve"> </v>
      </c>
      <c r="FV24" s="10" t="str">
        <f t="shared" si="111"/>
        <v xml:space="preserve"> </v>
      </c>
      <c r="FY24" s="10" t="str">
        <f t="shared" si="112"/>
        <v xml:space="preserve"> </v>
      </c>
      <c r="FZ24" s="10" t="str">
        <f t="shared" si="112"/>
        <v xml:space="preserve"> </v>
      </c>
      <c r="GA24" s="10" t="str">
        <f t="shared" si="112"/>
        <v xml:space="preserve"> </v>
      </c>
      <c r="GB24" s="10" t="str">
        <f t="shared" si="112"/>
        <v xml:space="preserve"> </v>
      </c>
      <c r="GC24" s="10" t="str">
        <f t="shared" si="112"/>
        <v xml:space="preserve"> </v>
      </c>
      <c r="GF24" s="10" t="str">
        <f t="shared" si="113"/>
        <v xml:space="preserve"> </v>
      </c>
      <c r="GG24" s="10" t="str">
        <f t="shared" si="113"/>
        <v xml:space="preserve"> </v>
      </c>
      <c r="GH24" s="10" t="str">
        <f t="shared" si="113"/>
        <v xml:space="preserve"> </v>
      </c>
      <c r="GI24" s="10" t="str">
        <f t="shared" si="113"/>
        <v xml:space="preserve"> </v>
      </c>
      <c r="GJ24" s="10" t="str">
        <f t="shared" si="113"/>
        <v xml:space="preserve"> </v>
      </c>
      <c r="GM24" s="10" t="str">
        <f t="shared" si="114"/>
        <v xml:space="preserve"> </v>
      </c>
      <c r="GN24" s="10" t="str">
        <f t="shared" si="114"/>
        <v xml:space="preserve"> </v>
      </c>
      <c r="GO24" s="10" t="str">
        <f t="shared" si="114"/>
        <v xml:space="preserve"> </v>
      </c>
      <c r="GP24" s="10" t="str">
        <f t="shared" si="114"/>
        <v xml:space="preserve"> </v>
      </c>
      <c r="GQ24" s="10" t="str">
        <f t="shared" si="114"/>
        <v xml:space="preserve"> </v>
      </c>
      <c r="GT24" s="10" t="str">
        <f t="shared" si="115"/>
        <v xml:space="preserve"> </v>
      </c>
      <c r="GU24" s="10" t="str">
        <f t="shared" si="115"/>
        <v xml:space="preserve"> </v>
      </c>
      <c r="GV24" s="10" t="str">
        <f t="shared" si="115"/>
        <v xml:space="preserve"> </v>
      </c>
      <c r="GW24" s="10" t="str">
        <f t="shared" si="115"/>
        <v xml:space="preserve"> </v>
      </c>
      <c r="GX24" s="10" t="str">
        <f t="shared" si="115"/>
        <v xml:space="preserve"> </v>
      </c>
      <c r="HA24" s="10" t="str">
        <f t="shared" si="116"/>
        <v xml:space="preserve"> </v>
      </c>
      <c r="HB24" s="10" t="str">
        <f t="shared" si="116"/>
        <v xml:space="preserve"> </v>
      </c>
      <c r="HC24" s="10" t="str">
        <f t="shared" si="116"/>
        <v xml:space="preserve"> </v>
      </c>
      <c r="HD24" s="10" t="str">
        <f t="shared" si="116"/>
        <v xml:space="preserve"> </v>
      </c>
      <c r="HE24" s="10" t="str">
        <f t="shared" si="116"/>
        <v xml:space="preserve"> </v>
      </c>
      <c r="HH24" s="10" t="str">
        <f t="shared" si="117"/>
        <v xml:space="preserve"> </v>
      </c>
      <c r="HI24" s="10" t="str">
        <f t="shared" si="117"/>
        <v xml:space="preserve"> </v>
      </c>
      <c r="HJ24" s="10" t="str">
        <f t="shared" si="117"/>
        <v xml:space="preserve"> </v>
      </c>
      <c r="HK24" s="10" t="str">
        <f t="shared" si="117"/>
        <v xml:space="preserve"> </v>
      </c>
      <c r="HL24" s="10" t="str">
        <f t="shared" si="117"/>
        <v xml:space="preserve"> </v>
      </c>
      <c r="HO24" s="10" t="str">
        <f t="shared" si="118"/>
        <v xml:space="preserve"> </v>
      </c>
      <c r="HP24" s="10" t="str">
        <f t="shared" si="118"/>
        <v xml:space="preserve"> </v>
      </c>
      <c r="HQ24" s="10" t="str">
        <f t="shared" si="118"/>
        <v xml:space="preserve"> </v>
      </c>
      <c r="HR24" s="10" t="str">
        <f t="shared" si="118"/>
        <v xml:space="preserve"> </v>
      </c>
      <c r="HS24" s="10" t="str">
        <f t="shared" si="118"/>
        <v xml:space="preserve"> </v>
      </c>
      <c r="HV24" s="10" t="str">
        <f t="shared" si="119"/>
        <v xml:space="preserve"> </v>
      </c>
      <c r="HW24" s="10" t="str">
        <f t="shared" si="119"/>
        <v xml:space="preserve"> </v>
      </c>
      <c r="HX24" s="10" t="str">
        <f t="shared" si="119"/>
        <v xml:space="preserve"> </v>
      </c>
      <c r="HY24" s="10" t="str">
        <f t="shared" si="119"/>
        <v xml:space="preserve"> </v>
      </c>
      <c r="HZ24" s="10" t="str">
        <f t="shared" si="119"/>
        <v xml:space="preserve"> </v>
      </c>
      <c r="IC24" s="10" t="str">
        <f t="shared" si="120"/>
        <v xml:space="preserve"> </v>
      </c>
      <c r="ID24" s="10" t="str">
        <f t="shared" si="120"/>
        <v xml:space="preserve"> </v>
      </c>
      <c r="IE24" s="10" t="str">
        <f t="shared" si="120"/>
        <v xml:space="preserve"> </v>
      </c>
      <c r="IF24" s="10" t="str">
        <f t="shared" si="120"/>
        <v xml:space="preserve"> </v>
      </c>
      <c r="IG24" s="10" t="str">
        <f t="shared" si="120"/>
        <v xml:space="preserve"> </v>
      </c>
      <c r="IJ24" s="10" t="str">
        <f t="shared" si="121"/>
        <v xml:space="preserve"> </v>
      </c>
      <c r="IK24" s="10" t="str">
        <f t="shared" si="121"/>
        <v xml:space="preserve"> </v>
      </c>
      <c r="IL24" s="10" t="str">
        <f t="shared" si="121"/>
        <v xml:space="preserve"> </v>
      </c>
      <c r="IM24" s="10" t="str">
        <f t="shared" si="121"/>
        <v xml:space="preserve"> </v>
      </c>
      <c r="IN24" s="10" t="str">
        <f t="shared" si="121"/>
        <v xml:space="preserve"> </v>
      </c>
      <c r="IQ24" s="10" t="str">
        <f t="shared" si="122"/>
        <v xml:space="preserve"> </v>
      </c>
      <c r="IR24" s="10" t="str">
        <f t="shared" si="122"/>
        <v xml:space="preserve"> </v>
      </c>
      <c r="IS24" s="10" t="str">
        <f t="shared" si="122"/>
        <v xml:space="preserve"> </v>
      </c>
      <c r="IT24" s="10" t="str">
        <f t="shared" si="122"/>
        <v xml:space="preserve"> </v>
      </c>
      <c r="IU24" s="10" t="str">
        <f t="shared" si="122"/>
        <v xml:space="preserve"> </v>
      </c>
      <c r="IX24" s="10" t="str">
        <f t="shared" si="123"/>
        <v xml:space="preserve"> </v>
      </c>
      <c r="IY24" s="10" t="str">
        <f t="shared" si="123"/>
        <v xml:space="preserve"> </v>
      </c>
      <c r="IZ24" s="10" t="str">
        <f t="shared" si="123"/>
        <v xml:space="preserve"> </v>
      </c>
      <c r="JA24" s="10" t="str">
        <f t="shared" si="123"/>
        <v xml:space="preserve"> </v>
      </c>
      <c r="JB24" s="10" t="str">
        <f t="shared" si="123"/>
        <v xml:space="preserve"> </v>
      </c>
      <c r="JE24" s="10" t="str">
        <f t="shared" si="124"/>
        <v xml:space="preserve"> </v>
      </c>
      <c r="JF24" s="10" t="str">
        <f t="shared" si="124"/>
        <v xml:space="preserve"> </v>
      </c>
      <c r="JG24" s="10" t="str">
        <f t="shared" si="124"/>
        <v xml:space="preserve"> </v>
      </c>
      <c r="JH24" s="10" t="str">
        <f t="shared" si="124"/>
        <v xml:space="preserve"> </v>
      </c>
      <c r="JI24" s="10" t="str">
        <f t="shared" si="124"/>
        <v xml:space="preserve"> </v>
      </c>
    </row>
    <row r="25" spans="1:269">
      <c r="A25" s="96"/>
      <c r="B25" s="10">
        <v>17</v>
      </c>
      <c r="C25" s="11" t="s">
        <v>42</v>
      </c>
      <c r="D25" s="11" t="s">
        <v>39</v>
      </c>
      <c r="E25" s="10">
        <v>15</v>
      </c>
      <c r="F25" s="12">
        <f t="shared" si="87"/>
        <v>42536</v>
      </c>
      <c r="G25" s="12">
        <f>WORKDAY(F25,H25-1,Config!D24:D43)</f>
        <v>42542</v>
      </c>
      <c r="H25" s="10">
        <v>5</v>
      </c>
      <c r="I25" s="13">
        <v>0</v>
      </c>
      <c r="J25" s="13">
        <f ca="1">IF(((NETWORKDAYS(F25,TODAY(),Data!C20:C39)*100)/H25)/100 &gt; 0,((NETWORKDAYS(F25,TODAY(),Data!C20:C39)*100)/H25)/100,0)</f>
        <v>328.6</v>
      </c>
      <c r="K25" s="13" t="str">
        <f t="shared" ca="1" si="127"/>
        <v>100%</v>
      </c>
      <c r="L25" s="13">
        <f t="shared" ca="1" si="128"/>
        <v>1</v>
      </c>
      <c r="M25" s="10" t="str">
        <f t="shared" si="88"/>
        <v xml:space="preserve"> </v>
      </c>
      <c r="N25" s="10" t="str">
        <f t="shared" si="88"/>
        <v xml:space="preserve"> </v>
      </c>
      <c r="O25" s="10" t="str">
        <f t="shared" si="88"/>
        <v xml:space="preserve"> </v>
      </c>
      <c r="P25" s="10" t="str">
        <f t="shared" si="88"/>
        <v xml:space="preserve"> </v>
      </c>
      <c r="Q25" s="10" t="str">
        <f t="shared" si="88"/>
        <v xml:space="preserve"> </v>
      </c>
      <c r="R25" s="14"/>
      <c r="S25" s="14"/>
      <c r="T25" s="10" t="str">
        <f t="shared" si="89"/>
        <v xml:space="preserve"> </v>
      </c>
      <c r="U25" s="10" t="str">
        <f t="shared" si="89"/>
        <v xml:space="preserve"> </v>
      </c>
      <c r="V25" s="10" t="str">
        <f t="shared" si="89"/>
        <v xml:space="preserve"> </v>
      </c>
      <c r="W25" s="10" t="str">
        <f t="shared" si="89"/>
        <v xml:space="preserve"> </v>
      </c>
      <c r="X25" s="10" t="str">
        <f t="shared" si="89"/>
        <v xml:space="preserve"> </v>
      </c>
      <c r="Y25" s="14"/>
      <c r="Z25" s="14"/>
      <c r="AA25" s="10" t="str">
        <f t="shared" si="90"/>
        <v xml:space="preserve"> </v>
      </c>
      <c r="AB25" s="10" t="str">
        <f t="shared" si="90"/>
        <v xml:space="preserve"> </v>
      </c>
      <c r="AC25" s="10" t="str">
        <f t="shared" si="90"/>
        <v xml:space="preserve"> </v>
      </c>
      <c r="AD25" s="10" t="str">
        <f t="shared" si="90"/>
        <v xml:space="preserve"> </v>
      </c>
      <c r="AE25" s="10" t="str">
        <f t="shared" si="90"/>
        <v xml:space="preserve"> </v>
      </c>
      <c r="AF25" s="14"/>
      <c r="AG25" s="14"/>
      <c r="AH25" s="10" t="str">
        <f t="shared" si="91"/>
        <v xml:space="preserve"> </v>
      </c>
      <c r="AI25" s="10" t="str">
        <f t="shared" si="91"/>
        <v xml:space="preserve"> </v>
      </c>
      <c r="AJ25" s="10" t="str">
        <f t="shared" si="91"/>
        <v xml:space="preserve"> </v>
      </c>
      <c r="AK25" s="10" t="str">
        <f t="shared" si="91"/>
        <v xml:space="preserve"> </v>
      </c>
      <c r="AL25" s="10" t="str">
        <f t="shared" si="91"/>
        <v xml:space="preserve"> </v>
      </c>
      <c r="AM25" s="14"/>
      <c r="AN25" s="14"/>
      <c r="AO25" s="10" t="str">
        <f t="shared" si="92"/>
        <v xml:space="preserve"> </v>
      </c>
      <c r="AP25" s="10" t="str">
        <f t="shared" si="92"/>
        <v xml:space="preserve"> </v>
      </c>
      <c r="AQ25" s="10" t="str">
        <f t="shared" si="92"/>
        <v xml:space="preserve"> </v>
      </c>
      <c r="AR25" s="10" t="str">
        <f t="shared" si="92"/>
        <v xml:space="preserve"> </v>
      </c>
      <c r="AS25" s="10" t="str">
        <f t="shared" si="92"/>
        <v xml:space="preserve"> </v>
      </c>
      <c r="AT25" s="14"/>
      <c r="AU25" s="14"/>
      <c r="AV25" s="10" t="str">
        <f t="shared" si="93"/>
        <v xml:space="preserve"> </v>
      </c>
      <c r="AW25" s="10" t="str">
        <f t="shared" si="93"/>
        <v xml:space="preserve"> </v>
      </c>
      <c r="AX25" s="10" t="str">
        <f t="shared" si="93"/>
        <v xml:space="preserve"> </v>
      </c>
      <c r="AY25" s="10" t="str">
        <f t="shared" si="93"/>
        <v xml:space="preserve"> </v>
      </c>
      <c r="AZ25" s="10" t="str">
        <f t="shared" si="93"/>
        <v xml:space="preserve"> </v>
      </c>
      <c r="BA25" s="14"/>
      <c r="BB25" s="14"/>
      <c r="BC25" s="10" t="str">
        <f t="shared" si="94"/>
        <v>.</v>
      </c>
      <c r="BD25" s="10" t="str">
        <f t="shared" si="94"/>
        <v>.</v>
      </c>
      <c r="BE25" s="10" t="str">
        <f t="shared" si="94"/>
        <v>.</v>
      </c>
      <c r="BF25" s="10" t="str">
        <f t="shared" si="94"/>
        <v>.</v>
      </c>
      <c r="BG25" s="10" t="str">
        <f t="shared" si="94"/>
        <v>.</v>
      </c>
      <c r="BH25" s="14"/>
      <c r="BI25" s="14"/>
      <c r="BJ25" s="10" t="str">
        <f t="shared" si="95"/>
        <v xml:space="preserve"> </v>
      </c>
      <c r="BK25" s="10" t="str">
        <f t="shared" si="95"/>
        <v xml:space="preserve"> </v>
      </c>
      <c r="BL25" s="10" t="str">
        <f t="shared" si="95"/>
        <v xml:space="preserve"> </v>
      </c>
      <c r="BM25" s="10" t="str">
        <f t="shared" si="95"/>
        <v xml:space="preserve"> </v>
      </c>
      <c r="BN25" s="10" t="str">
        <f t="shared" si="95"/>
        <v xml:space="preserve"> </v>
      </c>
      <c r="BO25" s="14"/>
      <c r="BP25" s="14"/>
      <c r="BQ25" s="10" t="str">
        <f t="shared" si="96"/>
        <v xml:space="preserve"> </v>
      </c>
      <c r="BR25" s="10" t="str">
        <f t="shared" si="96"/>
        <v xml:space="preserve"> </v>
      </c>
      <c r="BS25" s="10" t="str">
        <f t="shared" si="96"/>
        <v xml:space="preserve"> </v>
      </c>
      <c r="BT25" s="10" t="str">
        <f t="shared" si="96"/>
        <v xml:space="preserve"> </v>
      </c>
      <c r="BU25" s="10" t="str">
        <f t="shared" si="96"/>
        <v xml:space="preserve"> </v>
      </c>
      <c r="BV25" s="14"/>
      <c r="BW25" s="14"/>
      <c r="BX25" s="10" t="str">
        <f t="shared" si="97"/>
        <v xml:space="preserve"> </v>
      </c>
      <c r="BY25" s="10" t="str">
        <f t="shared" si="97"/>
        <v xml:space="preserve"> </v>
      </c>
      <c r="BZ25" s="10" t="str">
        <f t="shared" si="97"/>
        <v xml:space="preserve"> </v>
      </c>
      <c r="CA25" s="10" t="str">
        <f t="shared" si="97"/>
        <v xml:space="preserve"> </v>
      </c>
      <c r="CB25" s="10" t="str">
        <f t="shared" si="97"/>
        <v xml:space="preserve"> </v>
      </c>
      <c r="CC25" s="14"/>
      <c r="CD25" s="14"/>
      <c r="CE25" s="10" t="str">
        <f t="shared" si="98"/>
        <v xml:space="preserve"> </v>
      </c>
      <c r="CF25" s="10" t="str">
        <f t="shared" si="98"/>
        <v xml:space="preserve"> </v>
      </c>
      <c r="CG25" s="10" t="str">
        <f t="shared" si="98"/>
        <v xml:space="preserve"> </v>
      </c>
      <c r="CH25" s="10" t="str">
        <f t="shared" si="98"/>
        <v xml:space="preserve"> </v>
      </c>
      <c r="CI25" s="10" t="str">
        <f t="shared" si="98"/>
        <v xml:space="preserve"> </v>
      </c>
      <c r="CJ25" s="14"/>
      <c r="CK25" s="14"/>
      <c r="CL25" s="10" t="str">
        <f t="shared" si="99"/>
        <v xml:space="preserve"> </v>
      </c>
      <c r="CM25" s="10" t="str">
        <f t="shared" si="99"/>
        <v xml:space="preserve"> </v>
      </c>
      <c r="CN25" s="10" t="str">
        <f t="shared" si="99"/>
        <v xml:space="preserve"> </v>
      </c>
      <c r="CO25" s="10" t="str">
        <f t="shared" si="99"/>
        <v xml:space="preserve"> </v>
      </c>
      <c r="CP25" s="10" t="str">
        <f t="shared" si="99"/>
        <v xml:space="preserve"> </v>
      </c>
      <c r="CQ25" s="14"/>
      <c r="CR25" s="14"/>
      <c r="CS25" s="10" t="str">
        <f t="shared" si="100"/>
        <v xml:space="preserve"> </v>
      </c>
      <c r="CT25" s="10" t="str">
        <f t="shared" si="100"/>
        <v xml:space="preserve"> </v>
      </c>
      <c r="CU25" s="10" t="str">
        <f t="shared" si="100"/>
        <v xml:space="preserve"> </v>
      </c>
      <c r="CV25" s="10" t="str">
        <f t="shared" si="100"/>
        <v xml:space="preserve"> </v>
      </c>
      <c r="CW25" s="10" t="str">
        <f t="shared" si="100"/>
        <v xml:space="preserve"> </v>
      </c>
      <c r="CZ25" s="10" t="str">
        <f t="shared" si="101"/>
        <v xml:space="preserve"> </v>
      </c>
      <c r="DA25" s="10" t="str">
        <f t="shared" si="101"/>
        <v xml:space="preserve"> </v>
      </c>
      <c r="DB25" s="10" t="str">
        <f t="shared" si="101"/>
        <v xml:space="preserve"> </v>
      </c>
      <c r="DC25" s="10" t="str">
        <f t="shared" si="101"/>
        <v xml:space="preserve"> </v>
      </c>
      <c r="DD25" s="10" t="str">
        <f t="shared" si="101"/>
        <v xml:space="preserve"> </v>
      </c>
      <c r="DG25" s="10" t="str">
        <f t="shared" si="102"/>
        <v xml:space="preserve"> </v>
      </c>
      <c r="DH25" s="10" t="str">
        <f t="shared" si="102"/>
        <v xml:space="preserve"> </v>
      </c>
      <c r="DI25" s="10" t="str">
        <f t="shared" si="102"/>
        <v xml:space="preserve"> </v>
      </c>
      <c r="DJ25" s="10" t="str">
        <f t="shared" si="102"/>
        <v xml:space="preserve"> </v>
      </c>
      <c r="DK25" s="10" t="str">
        <f t="shared" si="102"/>
        <v xml:space="preserve"> </v>
      </c>
      <c r="DN25" s="10" t="str">
        <f t="shared" si="103"/>
        <v xml:space="preserve"> </v>
      </c>
      <c r="DO25" s="10" t="str">
        <f t="shared" si="103"/>
        <v xml:space="preserve"> </v>
      </c>
      <c r="DP25" s="10" t="str">
        <f t="shared" si="103"/>
        <v xml:space="preserve"> </v>
      </c>
      <c r="DQ25" s="10" t="str">
        <f t="shared" si="103"/>
        <v xml:space="preserve"> </v>
      </c>
      <c r="DR25" s="10" t="str">
        <f t="shared" si="103"/>
        <v xml:space="preserve"> </v>
      </c>
      <c r="DU25" s="10" t="str">
        <f t="shared" si="104"/>
        <v xml:space="preserve"> </v>
      </c>
      <c r="DV25" s="10" t="str">
        <f t="shared" si="104"/>
        <v xml:space="preserve"> </v>
      </c>
      <c r="DW25" s="10" t="str">
        <f t="shared" si="104"/>
        <v xml:space="preserve"> </v>
      </c>
      <c r="DX25" s="10" t="str">
        <f t="shared" si="104"/>
        <v xml:space="preserve"> </v>
      </c>
      <c r="DY25" s="10" t="str">
        <f t="shared" si="104"/>
        <v xml:space="preserve"> </v>
      </c>
      <c r="EB25" s="10" t="str">
        <f t="shared" si="105"/>
        <v xml:space="preserve"> </v>
      </c>
      <c r="EC25" s="10" t="str">
        <f t="shared" si="105"/>
        <v xml:space="preserve"> </v>
      </c>
      <c r="ED25" s="10" t="str">
        <f t="shared" si="105"/>
        <v xml:space="preserve"> </v>
      </c>
      <c r="EE25" s="10" t="str">
        <f t="shared" si="105"/>
        <v xml:space="preserve"> </v>
      </c>
      <c r="EF25" s="10" t="str">
        <f t="shared" si="105"/>
        <v xml:space="preserve"> </v>
      </c>
      <c r="EI25" s="10" t="str">
        <f t="shared" si="106"/>
        <v xml:space="preserve"> </v>
      </c>
      <c r="EJ25" s="10" t="str">
        <f t="shared" si="106"/>
        <v xml:space="preserve"> </v>
      </c>
      <c r="EK25" s="10" t="str">
        <f t="shared" si="106"/>
        <v xml:space="preserve"> </v>
      </c>
      <c r="EL25" s="10" t="str">
        <f t="shared" si="106"/>
        <v xml:space="preserve"> </v>
      </c>
      <c r="EM25" s="10" t="str">
        <f t="shared" si="106"/>
        <v xml:space="preserve"> </v>
      </c>
      <c r="EP25" s="10" t="str">
        <f t="shared" si="107"/>
        <v xml:space="preserve"> </v>
      </c>
      <c r="EQ25" s="10" t="str">
        <f t="shared" si="107"/>
        <v xml:space="preserve"> </v>
      </c>
      <c r="ER25" s="10" t="str">
        <f t="shared" si="107"/>
        <v xml:space="preserve"> </v>
      </c>
      <c r="ES25" s="10" t="str">
        <f t="shared" si="107"/>
        <v xml:space="preserve"> </v>
      </c>
      <c r="ET25" s="10" t="str">
        <f t="shared" si="107"/>
        <v xml:space="preserve"> </v>
      </c>
      <c r="EW25" s="10" t="str">
        <f t="shared" si="108"/>
        <v xml:space="preserve"> </v>
      </c>
      <c r="EX25" s="10" t="str">
        <f t="shared" si="108"/>
        <v xml:space="preserve"> </v>
      </c>
      <c r="EY25" s="10" t="str">
        <f t="shared" si="108"/>
        <v xml:space="preserve"> </v>
      </c>
      <c r="EZ25" s="10" t="str">
        <f t="shared" si="108"/>
        <v xml:space="preserve"> </v>
      </c>
      <c r="FA25" s="10" t="str">
        <f t="shared" si="108"/>
        <v xml:space="preserve"> </v>
      </c>
      <c r="FD25" s="10" t="str">
        <f t="shared" si="109"/>
        <v xml:space="preserve"> </v>
      </c>
      <c r="FE25" s="10" t="str">
        <f t="shared" si="109"/>
        <v xml:space="preserve"> </v>
      </c>
      <c r="FF25" s="10" t="str">
        <f t="shared" si="109"/>
        <v xml:space="preserve"> </v>
      </c>
      <c r="FG25" s="10" t="str">
        <f t="shared" si="109"/>
        <v xml:space="preserve"> </v>
      </c>
      <c r="FH25" s="10" t="str">
        <f t="shared" si="109"/>
        <v xml:space="preserve"> </v>
      </c>
      <c r="FK25" s="10" t="str">
        <f t="shared" si="110"/>
        <v xml:space="preserve"> </v>
      </c>
      <c r="FL25" s="10" t="str">
        <f t="shared" si="110"/>
        <v xml:space="preserve"> </v>
      </c>
      <c r="FM25" s="10" t="str">
        <f t="shared" si="110"/>
        <v xml:space="preserve"> </v>
      </c>
      <c r="FN25" s="10" t="str">
        <f t="shared" si="110"/>
        <v xml:space="preserve"> </v>
      </c>
      <c r="FO25" s="10" t="str">
        <f t="shared" si="110"/>
        <v xml:space="preserve"> </v>
      </c>
      <c r="FR25" s="10" t="str">
        <f t="shared" si="111"/>
        <v xml:space="preserve"> </v>
      </c>
      <c r="FS25" s="10" t="str">
        <f t="shared" si="111"/>
        <v xml:space="preserve"> </v>
      </c>
      <c r="FT25" s="10" t="str">
        <f t="shared" si="111"/>
        <v xml:space="preserve"> </v>
      </c>
      <c r="FU25" s="10" t="str">
        <f t="shared" si="111"/>
        <v xml:space="preserve"> </v>
      </c>
      <c r="FV25" s="10" t="str">
        <f t="shared" si="111"/>
        <v xml:space="preserve"> </v>
      </c>
      <c r="FY25" s="10" t="str">
        <f t="shared" si="112"/>
        <v xml:space="preserve"> </v>
      </c>
      <c r="FZ25" s="10" t="str">
        <f t="shared" si="112"/>
        <v xml:space="preserve"> </v>
      </c>
      <c r="GA25" s="10" t="str">
        <f t="shared" si="112"/>
        <v xml:space="preserve"> </v>
      </c>
      <c r="GB25" s="10" t="str">
        <f t="shared" si="112"/>
        <v xml:space="preserve"> </v>
      </c>
      <c r="GC25" s="10" t="str">
        <f t="shared" si="112"/>
        <v xml:space="preserve"> </v>
      </c>
      <c r="GF25" s="10" t="str">
        <f t="shared" si="113"/>
        <v xml:space="preserve"> </v>
      </c>
      <c r="GG25" s="10" t="str">
        <f t="shared" si="113"/>
        <v xml:space="preserve"> </v>
      </c>
      <c r="GH25" s="10" t="str">
        <f t="shared" si="113"/>
        <v xml:space="preserve"> </v>
      </c>
      <c r="GI25" s="10" t="str">
        <f t="shared" si="113"/>
        <v xml:space="preserve"> </v>
      </c>
      <c r="GJ25" s="10" t="str">
        <f t="shared" si="113"/>
        <v xml:space="preserve"> </v>
      </c>
      <c r="GM25" s="10" t="str">
        <f t="shared" si="114"/>
        <v xml:space="preserve"> </v>
      </c>
      <c r="GN25" s="10" t="str">
        <f t="shared" si="114"/>
        <v xml:space="preserve"> </v>
      </c>
      <c r="GO25" s="10" t="str">
        <f t="shared" si="114"/>
        <v xml:space="preserve"> </v>
      </c>
      <c r="GP25" s="10" t="str">
        <f t="shared" si="114"/>
        <v xml:space="preserve"> </v>
      </c>
      <c r="GQ25" s="10" t="str">
        <f t="shared" si="114"/>
        <v xml:space="preserve"> </v>
      </c>
      <c r="GT25" s="10" t="str">
        <f t="shared" si="115"/>
        <v xml:space="preserve"> </v>
      </c>
      <c r="GU25" s="10" t="str">
        <f t="shared" si="115"/>
        <v xml:space="preserve"> </v>
      </c>
      <c r="GV25" s="10" t="str">
        <f t="shared" si="115"/>
        <v xml:space="preserve"> </v>
      </c>
      <c r="GW25" s="10" t="str">
        <f t="shared" si="115"/>
        <v xml:space="preserve"> </v>
      </c>
      <c r="GX25" s="10" t="str">
        <f t="shared" si="115"/>
        <v xml:space="preserve"> </v>
      </c>
      <c r="HA25" s="10" t="str">
        <f t="shared" si="116"/>
        <v xml:space="preserve"> </v>
      </c>
      <c r="HB25" s="10" t="str">
        <f t="shared" si="116"/>
        <v xml:space="preserve"> </v>
      </c>
      <c r="HC25" s="10" t="str">
        <f t="shared" si="116"/>
        <v xml:space="preserve"> </v>
      </c>
      <c r="HD25" s="10" t="str">
        <f t="shared" si="116"/>
        <v xml:space="preserve"> </v>
      </c>
      <c r="HE25" s="10" t="str">
        <f t="shared" si="116"/>
        <v xml:space="preserve"> </v>
      </c>
      <c r="HH25" s="10" t="str">
        <f t="shared" si="117"/>
        <v xml:space="preserve"> </v>
      </c>
      <c r="HI25" s="10" t="str">
        <f t="shared" si="117"/>
        <v xml:space="preserve"> </v>
      </c>
      <c r="HJ25" s="10" t="str">
        <f t="shared" si="117"/>
        <v xml:space="preserve"> </v>
      </c>
      <c r="HK25" s="10" t="str">
        <f t="shared" si="117"/>
        <v xml:space="preserve"> </v>
      </c>
      <c r="HL25" s="10" t="str">
        <f t="shared" si="117"/>
        <v xml:space="preserve"> </v>
      </c>
      <c r="HO25" s="10" t="str">
        <f t="shared" si="118"/>
        <v xml:space="preserve"> </v>
      </c>
      <c r="HP25" s="10" t="str">
        <f t="shared" si="118"/>
        <v xml:space="preserve"> </v>
      </c>
      <c r="HQ25" s="10" t="str">
        <f t="shared" si="118"/>
        <v xml:space="preserve"> </v>
      </c>
      <c r="HR25" s="10" t="str">
        <f t="shared" si="118"/>
        <v xml:space="preserve"> </v>
      </c>
      <c r="HS25" s="10" t="str">
        <f t="shared" si="118"/>
        <v xml:space="preserve"> </v>
      </c>
      <c r="HV25" s="10" t="str">
        <f t="shared" si="119"/>
        <v xml:space="preserve"> </v>
      </c>
      <c r="HW25" s="10" t="str">
        <f t="shared" si="119"/>
        <v xml:space="preserve"> </v>
      </c>
      <c r="HX25" s="10" t="str">
        <f t="shared" si="119"/>
        <v xml:space="preserve"> </v>
      </c>
      <c r="HY25" s="10" t="str">
        <f t="shared" si="119"/>
        <v xml:space="preserve"> </v>
      </c>
      <c r="HZ25" s="10" t="str">
        <f t="shared" si="119"/>
        <v xml:space="preserve"> </v>
      </c>
      <c r="IC25" s="10" t="str">
        <f t="shared" si="120"/>
        <v xml:space="preserve"> </v>
      </c>
      <c r="ID25" s="10" t="str">
        <f t="shared" si="120"/>
        <v xml:space="preserve"> </v>
      </c>
      <c r="IE25" s="10" t="str">
        <f t="shared" si="120"/>
        <v xml:space="preserve"> </v>
      </c>
      <c r="IF25" s="10" t="str">
        <f t="shared" si="120"/>
        <v xml:space="preserve"> </v>
      </c>
      <c r="IG25" s="10" t="str">
        <f t="shared" si="120"/>
        <v xml:space="preserve"> </v>
      </c>
      <c r="IJ25" s="10" t="str">
        <f t="shared" si="121"/>
        <v xml:space="preserve"> </v>
      </c>
      <c r="IK25" s="10" t="str">
        <f t="shared" si="121"/>
        <v xml:space="preserve"> </v>
      </c>
      <c r="IL25" s="10" t="str">
        <f t="shared" si="121"/>
        <v xml:space="preserve"> </v>
      </c>
      <c r="IM25" s="10" t="str">
        <f t="shared" si="121"/>
        <v xml:space="preserve"> </v>
      </c>
      <c r="IN25" s="10" t="str">
        <f t="shared" si="121"/>
        <v xml:space="preserve"> </v>
      </c>
      <c r="IQ25" s="10" t="str">
        <f t="shared" si="122"/>
        <v xml:space="preserve"> </v>
      </c>
      <c r="IR25" s="10" t="str">
        <f t="shared" si="122"/>
        <v xml:space="preserve"> </v>
      </c>
      <c r="IS25" s="10" t="str">
        <f t="shared" si="122"/>
        <v xml:space="preserve"> </v>
      </c>
      <c r="IT25" s="10" t="str">
        <f t="shared" si="122"/>
        <v xml:space="preserve"> </v>
      </c>
      <c r="IU25" s="10" t="str">
        <f t="shared" si="122"/>
        <v xml:space="preserve"> </v>
      </c>
      <c r="IX25" s="10" t="str">
        <f t="shared" si="123"/>
        <v xml:space="preserve"> </v>
      </c>
      <c r="IY25" s="10" t="str">
        <f t="shared" si="123"/>
        <v xml:space="preserve"> </v>
      </c>
      <c r="IZ25" s="10" t="str">
        <f t="shared" si="123"/>
        <v xml:space="preserve"> </v>
      </c>
      <c r="JA25" s="10" t="str">
        <f t="shared" si="123"/>
        <v xml:space="preserve"> </v>
      </c>
      <c r="JB25" s="10" t="str">
        <f t="shared" si="123"/>
        <v xml:space="preserve"> </v>
      </c>
      <c r="JE25" s="10" t="str">
        <f t="shared" si="124"/>
        <v xml:space="preserve"> </v>
      </c>
      <c r="JF25" s="10" t="str">
        <f t="shared" si="124"/>
        <v xml:space="preserve"> </v>
      </c>
      <c r="JG25" s="10" t="str">
        <f t="shared" si="124"/>
        <v xml:space="preserve"> </v>
      </c>
      <c r="JH25" s="10" t="str">
        <f t="shared" si="124"/>
        <v xml:space="preserve"> </v>
      </c>
      <c r="JI25" s="10" t="str">
        <f t="shared" si="124"/>
        <v xml:space="preserve"> </v>
      </c>
    </row>
    <row r="26" spans="1:269">
      <c r="A26" s="96"/>
      <c r="B26" s="10">
        <v>18</v>
      </c>
      <c r="C26" s="11" t="s">
        <v>43</v>
      </c>
      <c r="D26" s="11" t="s">
        <v>39</v>
      </c>
      <c r="E26" s="10">
        <v>16</v>
      </c>
      <c r="F26" s="12">
        <f t="shared" si="87"/>
        <v>42542</v>
      </c>
      <c r="G26" s="12">
        <f>WORKDAY(F26,H26-1,Config!D25:D44)</f>
        <v>42543</v>
      </c>
      <c r="H26" s="10">
        <v>2</v>
      </c>
      <c r="I26" s="13">
        <v>0</v>
      </c>
      <c r="J26" s="13">
        <f ca="1">IF(((NETWORKDAYS(F26,TODAY(),Data!C21:C40)*100)/H26)/100 &gt; 0,((NETWORKDAYS(F26,TODAY(),Data!C21:C40)*100)/H26)/100,0)</f>
        <v>819.5</v>
      </c>
      <c r="K26" s="13" t="str">
        <f t="shared" ca="1" si="127"/>
        <v>100%</v>
      </c>
      <c r="L26" s="13">
        <f t="shared" ca="1" si="128"/>
        <v>1</v>
      </c>
      <c r="M26" s="10" t="str">
        <f t="shared" si="88"/>
        <v xml:space="preserve"> </v>
      </c>
      <c r="N26" s="10" t="str">
        <f t="shared" si="88"/>
        <v xml:space="preserve"> </v>
      </c>
      <c r="O26" s="10" t="str">
        <f t="shared" si="88"/>
        <v xml:space="preserve"> </v>
      </c>
      <c r="P26" s="10" t="str">
        <f t="shared" si="88"/>
        <v xml:space="preserve"> </v>
      </c>
      <c r="Q26" s="10" t="str">
        <f t="shared" si="88"/>
        <v xml:space="preserve"> </v>
      </c>
      <c r="R26" s="14"/>
      <c r="S26" s="14"/>
      <c r="T26" s="10" t="str">
        <f t="shared" si="89"/>
        <v xml:space="preserve"> </v>
      </c>
      <c r="U26" s="10" t="str">
        <f t="shared" si="89"/>
        <v xml:space="preserve"> </v>
      </c>
      <c r="V26" s="10" t="str">
        <f t="shared" si="89"/>
        <v xml:space="preserve"> </v>
      </c>
      <c r="W26" s="10" t="str">
        <f t="shared" si="89"/>
        <v xml:space="preserve"> </v>
      </c>
      <c r="X26" s="10" t="str">
        <f t="shared" si="89"/>
        <v xml:space="preserve"> </v>
      </c>
      <c r="Y26" s="14"/>
      <c r="Z26" s="14"/>
      <c r="AA26" s="10" t="str">
        <f t="shared" si="90"/>
        <v xml:space="preserve"> </v>
      </c>
      <c r="AB26" s="10" t="str">
        <f t="shared" si="90"/>
        <v xml:space="preserve"> </v>
      </c>
      <c r="AC26" s="10" t="str">
        <f t="shared" si="90"/>
        <v xml:space="preserve"> </v>
      </c>
      <c r="AD26" s="10" t="str">
        <f t="shared" si="90"/>
        <v xml:space="preserve"> </v>
      </c>
      <c r="AE26" s="10" t="str">
        <f t="shared" si="90"/>
        <v xml:space="preserve"> </v>
      </c>
      <c r="AF26" s="14"/>
      <c r="AG26" s="14"/>
      <c r="AH26" s="10" t="str">
        <f t="shared" si="91"/>
        <v xml:space="preserve"> </v>
      </c>
      <c r="AI26" s="10" t="str">
        <f t="shared" si="91"/>
        <v xml:space="preserve"> </v>
      </c>
      <c r="AJ26" s="10" t="str">
        <f t="shared" si="91"/>
        <v xml:space="preserve"> </v>
      </c>
      <c r="AK26" s="10" t="str">
        <f t="shared" si="91"/>
        <v xml:space="preserve"> </v>
      </c>
      <c r="AL26" s="10" t="str">
        <f t="shared" si="91"/>
        <v xml:space="preserve"> </v>
      </c>
      <c r="AM26" s="14"/>
      <c r="AN26" s="14"/>
      <c r="AO26" s="10" t="str">
        <f t="shared" si="92"/>
        <v xml:space="preserve"> </v>
      </c>
      <c r="AP26" s="10" t="str">
        <f t="shared" si="92"/>
        <v xml:space="preserve"> </v>
      </c>
      <c r="AQ26" s="10" t="str">
        <f t="shared" si="92"/>
        <v xml:space="preserve"> </v>
      </c>
      <c r="AR26" s="10" t="str">
        <f t="shared" si="92"/>
        <v xml:space="preserve"> </v>
      </c>
      <c r="AS26" s="10" t="str">
        <f t="shared" si="92"/>
        <v xml:space="preserve"> </v>
      </c>
      <c r="AT26" s="14"/>
      <c r="AU26" s="14"/>
      <c r="AV26" s="10" t="str">
        <f t="shared" si="93"/>
        <v xml:space="preserve"> </v>
      </c>
      <c r="AW26" s="10" t="str">
        <f t="shared" si="93"/>
        <v xml:space="preserve"> </v>
      </c>
      <c r="AX26" s="10" t="str">
        <f t="shared" si="93"/>
        <v xml:space="preserve"> </v>
      </c>
      <c r="AY26" s="10" t="str">
        <f t="shared" si="93"/>
        <v xml:space="preserve"> </v>
      </c>
      <c r="AZ26" s="10" t="str">
        <f t="shared" si="93"/>
        <v xml:space="preserve"> </v>
      </c>
      <c r="BA26" s="14"/>
      <c r="BB26" s="14"/>
      <c r="BC26" s="10" t="str">
        <f t="shared" si="94"/>
        <v xml:space="preserve"> </v>
      </c>
      <c r="BD26" s="10" t="str">
        <f t="shared" si="94"/>
        <v xml:space="preserve"> </v>
      </c>
      <c r="BE26" s="10" t="str">
        <f t="shared" si="94"/>
        <v xml:space="preserve"> </v>
      </c>
      <c r="BF26" s="10" t="str">
        <f t="shared" si="94"/>
        <v xml:space="preserve"> </v>
      </c>
      <c r="BG26" s="10" t="str">
        <f t="shared" si="94"/>
        <v xml:space="preserve"> </v>
      </c>
      <c r="BH26" s="14"/>
      <c r="BI26" s="14"/>
      <c r="BJ26" s="10" t="str">
        <f t="shared" si="95"/>
        <v xml:space="preserve"> </v>
      </c>
      <c r="BK26" s="10" t="str">
        <f t="shared" si="95"/>
        <v xml:space="preserve"> </v>
      </c>
      <c r="BL26" s="10" t="str">
        <f t="shared" si="95"/>
        <v xml:space="preserve"> </v>
      </c>
      <c r="BM26" s="10" t="str">
        <f t="shared" si="95"/>
        <v xml:space="preserve"> </v>
      </c>
      <c r="BN26" s="10" t="str">
        <f t="shared" si="95"/>
        <v xml:space="preserve"> </v>
      </c>
      <c r="BO26" s="14"/>
      <c r="BP26" s="14"/>
      <c r="BQ26" s="10" t="str">
        <f t="shared" si="96"/>
        <v xml:space="preserve"> </v>
      </c>
      <c r="BR26" s="10" t="str">
        <f t="shared" si="96"/>
        <v xml:space="preserve"> </v>
      </c>
      <c r="BS26" s="10" t="str">
        <f t="shared" si="96"/>
        <v xml:space="preserve"> </v>
      </c>
      <c r="BT26" s="10" t="str">
        <f t="shared" si="96"/>
        <v xml:space="preserve"> </v>
      </c>
      <c r="BU26" s="10" t="str">
        <f t="shared" si="96"/>
        <v xml:space="preserve"> </v>
      </c>
      <c r="BV26" s="14"/>
      <c r="BW26" s="14"/>
      <c r="BX26" s="10" t="str">
        <f t="shared" si="97"/>
        <v xml:space="preserve"> </v>
      </c>
      <c r="BY26" s="10" t="str">
        <f t="shared" si="97"/>
        <v xml:space="preserve"> </v>
      </c>
      <c r="BZ26" s="10" t="str">
        <f t="shared" si="97"/>
        <v xml:space="preserve"> </v>
      </c>
      <c r="CA26" s="10" t="str">
        <f t="shared" si="97"/>
        <v xml:space="preserve"> </v>
      </c>
      <c r="CB26" s="10" t="str">
        <f t="shared" si="97"/>
        <v xml:space="preserve"> </v>
      </c>
      <c r="CC26" s="14"/>
      <c r="CD26" s="14"/>
      <c r="CE26" s="10" t="str">
        <f t="shared" si="98"/>
        <v xml:space="preserve"> </v>
      </c>
      <c r="CF26" s="10" t="str">
        <f t="shared" si="98"/>
        <v xml:space="preserve"> </v>
      </c>
      <c r="CG26" s="10" t="str">
        <f t="shared" si="98"/>
        <v xml:space="preserve"> </v>
      </c>
      <c r="CH26" s="10" t="str">
        <f t="shared" si="98"/>
        <v xml:space="preserve"> </v>
      </c>
      <c r="CI26" s="10" t="str">
        <f t="shared" si="98"/>
        <v xml:space="preserve"> </v>
      </c>
      <c r="CJ26" s="14"/>
      <c r="CK26" s="14"/>
      <c r="CL26" s="10" t="str">
        <f t="shared" si="99"/>
        <v xml:space="preserve"> </v>
      </c>
      <c r="CM26" s="10" t="str">
        <f t="shared" si="99"/>
        <v xml:space="preserve"> </v>
      </c>
      <c r="CN26" s="10" t="str">
        <f t="shared" si="99"/>
        <v xml:space="preserve"> </v>
      </c>
      <c r="CO26" s="10" t="str">
        <f t="shared" si="99"/>
        <v xml:space="preserve"> </v>
      </c>
      <c r="CP26" s="10" t="str">
        <f t="shared" si="99"/>
        <v xml:space="preserve"> </v>
      </c>
      <c r="CQ26" s="14"/>
      <c r="CR26" s="14"/>
      <c r="CS26" s="10" t="str">
        <f t="shared" si="100"/>
        <v xml:space="preserve"> </v>
      </c>
      <c r="CT26" s="10" t="str">
        <f t="shared" si="100"/>
        <v xml:space="preserve"> </v>
      </c>
      <c r="CU26" s="10" t="str">
        <f t="shared" si="100"/>
        <v xml:space="preserve"> </v>
      </c>
      <c r="CV26" s="10" t="str">
        <f t="shared" si="100"/>
        <v xml:space="preserve"> </v>
      </c>
      <c r="CW26" s="10" t="str">
        <f t="shared" si="100"/>
        <v xml:space="preserve"> </v>
      </c>
      <c r="CZ26" s="10" t="str">
        <f t="shared" si="101"/>
        <v xml:space="preserve"> </v>
      </c>
      <c r="DA26" s="10" t="str">
        <f t="shared" si="101"/>
        <v xml:space="preserve"> </v>
      </c>
      <c r="DB26" s="10" t="str">
        <f t="shared" si="101"/>
        <v xml:space="preserve"> </v>
      </c>
      <c r="DC26" s="10" t="str">
        <f t="shared" si="101"/>
        <v xml:space="preserve"> </v>
      </c>
      <c r="DD26" s="10" t="str">
        <f t="shared" si="101"/>
        <v xml:space="preserve"> </v>
      </c>
      <c r="DG26" s="10" t="str">
        <f t="shared" si="102"/>
        <v xml:space="preserve"> </v>
      </c>
      <c r="DH26" s="10" t="str">
        <f t="shared" si="102"/>
        <v xml:space="preserve"> </v>
      </c>
      <c r="DI26" s="10" t="str">
        <f t="shared" si="102"/>
        <v xml:space="preserve"> </v>
      </c>
      <c r="DJ26" s="10" t="str">
        <f t="shared" si="102"/>
        <v xml:space="preserve"> </v>
      </c>
      <c r="DK26" s="10" t="str">
        <f t="shared" si="102"/>
        <v xml:space="preserve"> </v>
      </c>
      <c r="DN26" s="10" t="str">
        <f t="shared" si="103"/>
        <v xml:space="preserve"> </v>
      </c>
      <c r="DO26" s="10" t="str">
        <f t="shared" si="103"/>
        <v xml:space="preserve"> </v>
      </c>
      <c r="DP26" s="10" t="str">
        <f t="shared" si="103"/>
        <v xml:space="preserve"> </v>
      </c>
      <c r="DQ26" s="10" t="str">
        <f t="shared" si="103"/>
        <v xml:space="preserve"> </v>
      </c>
      <c r="DR26" s="10" t="str">
        <f t="shared" si="103"/>
        <v xml:space="preserve"> </v>
      </c>
      <c r="DU26" s="10" t="str">
        <f t="shared" si="104"/>
        <v xml:space="preserve"> </v>
      </c>
      <c r="DV26" s="10" t="str">
        <f t="shared" si="104"/>
        <v xml:space="preserve"> </v>
      </c>
      <c r="DW26" s="10" t="str">
        <f t="shared" si="104"/>
        <v xml:space="preserve"> </v>
      </c>
      <c r="DX26" s="10" t="str">
        <f t="shared" si="104"/>
        <v xml:space="preserve"> </v>
      </c>
      <c r="DY26" s="10" t="str">
        <f t="shared" si="104"/>
        <v xml:space="preserve"> </v>
      </c>
      <c r="EB26" s="10" t="str">
        <f t="shared" si="105"/>
        <v xml:space="preserve"> </v>
      </c>
      <c r="EC26" s="10" t="str">
        <f t="shared" si="105"/>
        <v xml:space="preserve"> </v>
      </c>
      <c r="ED26" s="10" t="str">
        <f t="shared" si="105"/>
        <v xml:space="preserve"> </v>
      </c>
      <c r="EE26" s="10" t="str">
        <f t="shared" si="105"/>
        <v xml:space="preserve"> </v>
      </c>
      <c r="EF26" s="10" t="str">
        <f t="shared" si="105"/>
        <v xml:space="preserve"> </v>
      </c>
      <c r="EI26" s="10" t="str">
        <f t="shared" si="106"/>
        <v xml:space="preserve"> </v>
      </c>
      <c r="EJ26" s="10" t="str">
        <f t="shared" si="106"/>
        <v xml:space="preserve"> </v>
      </c>
      <c r="EK26" s="10" t="str">
        <f t="shared" si="106"/>
        <v xml:space="preserve"> </v>
      </c>
      <c r="EL26" s="10" t="str">
        <f t="shared" si="106"/>
        <v xml:space="preserve"> </v>
      </c>
      <c r="EM26" s="10" t="str">
        <f t="shared" si="106"/>
        <v xml:space="preserve"> </v>
      </c>
      <c r="EP26" s="10" t="str">
        <f t="shared" si="107"/>
        <v xml:space="preserve"> </v>
      </c>
      <c r="EQ26" s="10" t="str">
        <f t="shared" si="107"/>
        <v xml:space="preserve"> </v>
      </c>
      <c r="ER26" s="10" t="str">
        <f t="shared" si="107"/>
        <v xml:space="preserve"> </v>
      </c>
      <c r="ES26" s="10" t="str">
        <f t="shared" si="107"/>
        <v xml:space="preserve"> </v>
      </c>
      <c r="ET26" s="10" t="str">
        <f t="shared" si="107"/>
        <v xml:space="preserve"> </v>
      </c>
      <c r="EW26" s="10" t="str">
        <f t="shared" si="108"/>
        <v xml:space="preserve"> </v>
      </c>
      <c r="EX26" s="10" t="str">
        <f t="shared" si="108"/>
        <v xml:space="preserve"> </v>
      </c>
      <c r="EY26" s="10" t="str">
        <f t="shared" si="108"/>
        <v xml:space="preserve"> </v>
      </c>
      <c r="EZ26" s="10" t="str">
        <f t="shared" si="108"/>
        <v xml:space="preserve"> </v>
      </c>
      <c r="FA26" s="10" t="str">
        <f t="shared" si="108"/>
        <v xml:space="preserve"> </v>
      </c>
      <c r="FD26" s="10" t="str">
        <f t="shared" si="109"/>
        <v xml:space="preserve"> </v>
      </c>
      <c r="FE26" s="10" t="str">
        <f t="shared" si="109"/>
        <v xml:space="preserve"> </v>
      </c>
      <c r="FF26" s="10" t="str">
        <f t="shared" si="109"/>
        <v xml:space="preserve"> </v>
      </c>
      <c r="FG26" s="10" t="str">
        <f t="shared" si="109"/>
        <v xml:space="preserve"> </v>
      </c>
      <c r="FH26" s="10" t="str">
        <f t="shared" si="109"/>
        <v xml:space="preserve"> </v>
      </c>
      <c r="FK26" s="10" t="str">
        <f t="shared" si="110"/>
        <v xml:space="preserve"> </v>
      </c>
      <c r="FL26" s="10" t="str">
        <f t="shared" si="110"/>
        <v xml:space="preserve"> </v>
      </c>
      <c r="FM26" s="10" t="str">
        <f t="shared" si="110"/>
        <v xml:space="preserve"> </v>
      </c>
      <c r="FN26" s="10" t="str">
        <f t="shared" si="110"/>
        <v xml:space="preserve"> </v>
      </c>
      <c r="FO26" s="10" t="str">
        <f t="shared" si="110"/>
        <v xml:space="preserve"> </v>
      </c>
      <c r="FR26" s="10" t="str">
        <f t="shared" si="111"/>
        <v xml:space="preserve"> </v>
      </c>
      <c r="FS26" s="10" t="str">
        <f t="shared" si="111"/>
        <v xml:space="preserve"> </v>
      </c>
      <c r="FT26" s="10" t="str">
        <f t="shared" si="111"/>
        <v xml:space="preserve"> </v>
      </c>
      <c r="FU26" s="10" t="str">
        <f t="shared" si="111"/>
        <v xml:space="preserve"> </v>
      </c>
      <c r="FV26" s="10" t="str">
        <f t="shared" si="111"/>
        <v xml:space="preserve"> </v>
      </c>
      <c r="FY26" s="10" t="str">
        <f t="shared" si="112"/>
        <v xml:space="preserve"> </v>
      </c>
      <c r="FZ26" s="10" t="str">
        <f t="shared" si="112"/>
        <v xml:space="preserve"> </v>
      </c>
      <c r="GA26" s="10" t="str">
        <f t="shared" si="112"/>
        <v xml:space="preserve"> </v>
      </c>
      <c r="GB26" s="10" t="str">
        <f t="shared" si="112"/>
        <v xml:space="preserve"> </v>
      </c>
      <c r="GC26" s="10" t="str">
        <f t="shared" si="112"/>
        <v xml:space="preserve"> </v>
      </c>
      <c r="GF26" s="10" t="str">
        <f t="shared" si="113"/>
        <v xml:space="preserve"> </v>
      </c>
      <c r="GG26" s="10" t="str">
        <f t="shared" si="113"/>
        <v xml:space="preserve"> </v>
      </c>
      <c r="GH26" s="10" t="str">
        <f t="shared" si="113"/>
        <v xml:space="preserve"> </v>
      </c>
      <c r="GI26" s="10" t="str">
        <f t="shared" si="113"/>
        <v xml:space="preserve"> </v>
      </c>
      <c r="GJ26" s="10" t="str">
        <f t="shared" si="113"/>
        <v xml:space="preserve"> </v>
      </c>
      <c r="GM26" s="10" t="str">
        <f t="shared" si="114"/>
        <v xml:space="preserve"> </v>
      </c>
      <c r="GN26" s="10" t="str">
        <f t="shared" si="114"/>
        <v xml:space="preserve"> </v>
      </c>
      <c r="GO26" s="10" t="str">
        <f t="shared" si="114"/>
        <v xml:space="preserve"> </v>
      </c>
      <c r="GP26" s="10" t="str">
        <f t="shared" si="114"/>
        <v xml:space="preserve"> </v>
      </c>
      <c r="GQ26" s="10" t="str">
        <f t="shared" si="114"/>
        <v xml:space="preserve"> </v>
      </c>
      <c r="GT26" s="10" t="str">
        <f t="shared" si="115"/>
        <v xml:space="preserve"> </v>
      </c>
      <c r="GU26" s="10" t="str">
        <f t="shared" si="115"/>
        <v xml:space="preserve"> </v>
      </c>
      <c r="GV26" s="10" t="str">
        <f t="shared" si="115"/>
        <v xml:space="preserve"> </v>
      </c>
      <c r="GW26" s="10" t="str">
        <f t="shared" si="115"/>
        <v xml:space="preserve"> </v>
      </c>
      <c r="GX26" s="10" t="str">
        <f t="shared" si="115"/>
        <v xml:space="preserve"> </v>
      </c>
      <c r="HA26" s="10" t="str">
        <f t="shared" si="116"/>
        <v xml:space="preserve"> </v>
      </c>
      <c r="HB26" s="10" t="str">
        <f t="shared" si="116"/>
        <v xml:space="preserve"> </v>
      </c>
      <c r="HC26" s="10" t="str">
        <f t="shared" si="116"/>
        <v xml:space="preserve"> </v>
      </c>
      <c r="HD26" s="10" t="str">
        <f t="shared" si="116"/>
        <v xml:space="preserve"> </v>
      </c>
      <c r="HE26" s="10" t="str">
        <f t="shared" si="116"/>
        <v xml:space="preserve"> </v>
      </c>
      <c r="HH26" s="10" t="str">
        <f t="shared" si="117"/>
        <v xml:space="preserve"> </v>
      </c>
      <c r="HI26" s="10" t="str">
        <f t="shared" si="117"/>
        <v xml:space="preserve"> </v>
      </c>
      <c r="HJ26" s="10" t="str">
        <f t="shared" si="117"/>
        <v xml:space="preserve"> </v>
      </c>
      <c r="HK26" s="10" t="str">
        <f t="shared" si="117"/>
        <v xml:space="preserve"> </v>
      </c>
      <c r="HL26" s="10" t="str">
        <f t="shared" si="117"/>
        <v xml:space="preserve"> </v>
      </c>
      <c r="HO26" s="10" t="str">
        <f t="shared" si="118"/>
        <v xml:space="preserve"> </v>
      </c>
      <c r="HP26" s="10" t="str">
        <f t="shared" si="118"/>
        <v xml:space="preserve"> </v>
      </c>
      <c r="HQ26" s="10" t="str">
        <f t="shared" si="118"/>
        <v xml:space="preserve"> </v>
      </c>
      <c r="HR26" s="10" t="str">
        <f t="shared" si="118"/>
        <v xml:space="preserve"> </v>
      </c>
      <c r="HS26" s="10" t="str">
        <f t="shared" si="118"/>
        <v xml:space="preserve"> </v>
      </c>
      <c r="HV26" s="10" t="str">
        <f t="shared" si="119"/>
        <v xml:space="preserve"> </v>
      </c>
      <c r="HW26" s="10" t="str">
        <f t="shared" si="119"/>
        <v xml:space="preserve"> </v>
      </c>
      <c r="HX26" s="10" t="str">
        <f t="shared" si="119"/>
        <v xml:space="preserve"> </v>
      </c>
      <c r="HY26" s="10" t="str">
        <f t="shared" si="119"/>
        <v xml:space="preserve"> </v>
      </c>
      <c r="HZ26" s="10" t="str">
        <f t="shared" si="119"/>
        <v xml:space="preserve"> </v>
      </c>
      <c r="IC26" s="10" t="str">
        <f t="shared" si="120"/>
        <v xml:space="preserve"> </v>
      </c>
      <c r="ID26" s="10" t="str">
        <f t="shared" si="120"/>
        <v xml:space="preserve"> </v>
      </c>
      <c r="IE26" s="10" t="str">
        <f t="shared" si="120"/>
        <v xml:space="preserve"> </v>
      </c>
      <c r="IF26" s="10" t="str">
        <f t="shared" si="120"/>
        <v xml:space="preserve"> </v>
      </c>
      <c r="IG26" s="10" t="str">
        <f t="shared" si="120"/>
        <v xml:space="preserve"> </v>
      </c>
      <c r="IJ26" s="10" t="str">
        <f t="shared" si="121"/>
        <v xml:space="preserve"> </v>
      </c>
      <c r="IK26" s="10" t="str">
        <f t="shared" si="121"/>
        <v xml:space="preserve"> </v>
      </c>
      <c r="IL26" s="10" t="str">
        <f t="shared" si="121"/>
        <v xml:space="preserve"> </v>
      </c>
      <c r="IM26" s="10" t="str">
        <f t="shared" si="121"/>
        <v xml:space="preserve"> </v>
      </c>
      <c r="IN26" s="10" t="str">
        <f t="shared" si="121"/>
        <v xml:space="preserve"> </v>
      </c>
      <c r="IQ26" s="10" t="str">
        <f t="shared" si="122"/>
        <v xml:space="preserve"> </v>
      </c>
      <c r="IR26" s="10" t="str">
        <f t="shared" si="122"/>
        <v xml:space="preserve"> </v>
      </c>
      <c r="IS26" s="10" t="str">
        <f t="shared" si="122"/>
        <v xml:space="preserve"> </v>
      </c>
      <c r="IT26" s="10" t="str">
        <f t="shared" si="122"/>
        <v xml:space="preserve"> </v>
      </c>
      <c r="IU26" s="10" t="str">
        <f t="shared" si="122"/>
        <v xml:space="preserve"> </v>
      </c>
      <c r="IX26" s="10" t="str">
        <f t="shared" si="123"/>
        <v xml:space="preserve"> </v>
      </c>
      <c r="IY26" s="10" t="str">
        <f t="shared" si="123"/>
        <v xml:space="preserve"> </v>
      </c>
      <c r="IZ26" s="10" t="str">
        <f t="shared" si="123"/>
        <v xml:space="preserve"> </v>
      </c>
      <c r="JA26" s="10" t="str">
        <f t="shared" si="123"/>
        <v xml:space="preserve"> </v>
      </c>
      <c r="JB26" s="10" t="str">
        <f t="shared" si="123"/>
        <v xml:space="preserve"> </v>
      </c>
      <c r="JE26" s="10" t="str">
        <f t="shared" si="124"/>
        <v xml:space="preserve"> </v>
      </c>
      <c r="JF26" s="10" t="str">
        <f t="shared" si="124"/>
        <v xml:space="preserve"> </v>
      </c>
      <c r="JG26" s="10" t="str">
        <f t="shared" si="124"/>
        <v xml:space="preserve"> </v>
      </c>
      <c r="JH26" s="10" t="str">
        <f t="shared" si="124"/>
        <v xml:space="preserve"> </v>
      </c>
      <c r="JI26" s="10" t="str">
        <f t="shared" si="124"/>
        <v xml:space="preserve"> </v>
      </c>
    </row>
    <row r="27" spans="1:269">
      <c r="A27" s="96"/>
      <c r="B27" s="10">
        <v>19</v>
      </c>
      <c r="C27" s="11" t="s">
        <v>44</v>
      </c>
      <c r="D27" s="11" t="s">
        <v>39</v>
      </c>
      <c r="E27" s="10">
        <v>17</v>
      </c>
      <c r="F27" s="12">
        <f t="shared" si="87"/>
        <v>42543</v>
      </c>
      <c r="G27" s="12">
        <f>WORKDAY(F27,H27-1,Config!D26:D45)</f>
        <v>42545</v>
      </c>
      <c r="H27" s="10">
        <v>3</v>
      </c>
      <c r="I27" s="13">
        <v>0</v>
      </c>
      <c r="J27" s="13">
        <f ca="1">IF(((NETWORKDAYS(F27,TODAY(),Data!C22:C41)*100)/H27)/100 &gt; 0,((NETWORKDAYS(F27,TODAY(),Data!C22:C41)*100)/H27)/100,0)</f>
        <v>546</v>
      </c>
      <c r="K27" s="13" t="str">
        <f t="shared" ca="1" si="127"/>
        <v>100%</v>
      </c>
      <c r="L27" s="13">
        <f t="shared" ca="1" si="128"/>
        <v>1</v>
      </c>
      <c r="M27" s="10" t="str">
        <f t="shared" si="88"/>
        <v xml:space="preserve"> </v>
      </c>
      <c r="N27" s="10" t="str">
        <f t="shared" si="88"/>
        <v xml:space="preserve"> </v>
      </c>
      <c r="O27" s="10" t="str">
        <f t="shared" si="88"/>
        <v xml:space="preserve"> </v>
      </c>
      <c r="P27" s="10" t="str">
        <f t="shared" si="88"/>
        <v xml:space="preserve"> </v>
      </c>
      <c r="Q27" s="10" t="str">
        <f t="shared" si="88"/>
        <v xml:space="preserve"> </v>
      </c>
      <c r="R27" s="14"/>
      <c r="S27" s="14"/>
      <c r="T27" s="10" t="str">
        <f t="shared" si="89"/>
        <v xml:space="preserve"> </v>
      </c>
      <c r="U27" s="10" t="str">
        <f t="shared" si="89"/>
        <v xml:space="preserve"> </v>
      </c>
      <c r="V27" s="10" t="str">
        <f t="shared" si="89"/>
        <v xml:space="preserve"> </v>
      </c>
      <c r="W27" s="10" t="str">
        <f t="shared" si="89"/>
        <v xml:space="preserve"> </v>
      </c>
      <c r="X27" s="10" t="str">
        <f t="shared" si="89"/>
        <v xml:space="preserve"> </v>
      </c>
      <c r="Y27" s="14"/>
      <c r="Z27" s="14"/>
      <c r="AA27" s="10" t="str">
        <f t="shared" si="90"/>
        <v xml:space="preserve"> </v>
      </c>
      <c r="AB27" s="10" t="str">
        <f t="shared" si="90"/>
        <v xml:space="preserve"> </v>
      </c>
      <c r="AC27" s="10" t="str">
        <f t="shared" si="90"/>
        <v xml:space="preserve"> </v>
      </c>
      <c r="AD27" s="10" t="str">
        <f t="shared" si="90"/>
        <v xml:space="preserve"> </v>
      </c>
      <c r="AE27" s="10" t="str">
        <f t="shared" si="90"/>
        <v xml:space="preserve"> </v>
      </c>
      <c r="AF27" s="14"/>
      <c r="AG27" s="14"/>
      <c r="AH27" s="10" t="str">
        <f t="shared" si="91"/>
        <v xml:space="preserve"> </v>
      </c>
      <c r="AI27" s="10" t="str">
        <f t="shared" si="91"/>
        <v xml:space="preserve"> </v>
      </c>
      <c r="AJ27" s="10" t="str">
        <f t="shared" si="91"/>
        <v xml:space="preserve"> </v>
      </c>
      <c r="AK27" s="10" t="str">
        <f t="shared" si="91"/>
        <v xml:space="preserve"> </v>
      </c>
      <c r="AL27" s="10" t="str">
        <f t="shared" si="91"/>
        <v xml:space="preserve"> </v>
      </c>
      <c r="AM27" s="14"/>
      <c r="AN27" s="14"/>
      <c r="AO27" s="10" t="str">
        <f t="shared" si="92"/>
        <v xml:space="preserve"> </v>
      </c>
      <c r="AP27" s="10" t="str">
        <f t="shared" si="92"/>
        <v xml:space="preserve"> </v>
      </c>
      <c r="AQ27" s="10" t="str">
        <f t="shared" si="92"/>
        <v xml:space="preserve"> </v>
      </c>
      <c r="AR27" s="10" t="str">
        <f t="shared" si="92"/>
        <v xml:space="preserve"> </v>
      </c>
      <c r="AS27" s="10" t="str">
        <f t="shared" si="92"/>
        <v xml:space="preserve"> </v>
      </c>
      <c r="AT27" s="14"/>
      <c r="AU27" s="14"/>
      <c r="AV27" s="10" t="str">
        <f t="shared" si="93"/>
        <v xml:space="preserve"> </v>
      </c>
      <c r="AW27" s="10" t="str">
        <f t="shared" si="93"/>
        <v xml:space="preserve"> </v>
      </c>
      <c r="AX27" s="10" t="str">
        <f t="shared" si="93"/>
        <v xml:space="preserve"> </v>
      </c>
      <c r="AY27" s="10" t="str">
        <f t="shared" si="93"/>
        <v xml:space="preserve"> </v>
      </c>
      <c r="AZ27" s="10" t="str">
        <f t="shared" si="93"/>
        <v xml:space="preserve"> </v>
      </c>
      <c r="BA27" s="14"/>
      <c r="BB27" s="14"/>
      <c r="BC27" s="10" t="str">
        <f t="shared" si="94"/>
        <v xml:space="preserve"> </v>
      </c>
      <c r="BD27" s="10" t="str">
        <f t="shared" si="94"/>
        <v xml:space="preserve"> </v>
      </c>
      <c r="BE27" s="10" t="str">
        <f t="shared" si="94"/>
        <v xml:space="preserve"> </v>
      </c>
      <c r="BF27" s="10" t="str">
        <f t="shared" si="94"/>
        <v xml:space="preserve"> </v>
      </c>
      <c r="BG27" s="10" t="str">
        <f t="shared" si="94"/>
        <v xml:space="preserve"> </v>
      </c>
      <c r="BH27" s="14"/>
      <c r="BI27" s="14"/>
      <c r="BJ27" s="10" t="str">
        <f t="shared" si="95"/>
        <v>.</v>
      </c>
      <c r="BK27" s="10" t="str">
        <f t="shared" si="95"/>
        <v>.</v>
      </c>
      <c r="BL27" s="10" t="str">
        <f t="shared" si="95"/>
        <v xml:space="preserve"> </v>
      </c>
      <c r="BM27" s="10" t="str">
        <f t="shared" si="95"/>
        <v xml:space="preserve"> </v>
      </c>
      <c r="BN27" s="10" t="str">
        <f t="shared" si="95"/>
        <v xml:space="preserve"> </v>
      </c>
      <c r="BO27" s="14"/>
      <c r="BP27" s="14"/>
      <c r="BQ27" s="10" t="str">
        <f t="shared" si="96"/>
        <v xml:space="preserve"> </v>
      </c>
      <c r="BR27" s="10" t="str">
        <f t="shared" si="96"/>
        <v xml:space="preserve"> </v>
      </c>
      <c r="BS27" s="10" t="str">
        <f t="shared" si="96"/>
        <v xml:space="preserve"> </v>
      </c>
      <c r="BT27" s="10" t="str">
        <f t="shared" si="96"/>
        <v xml:space="preserve"> </v>
      </c>
      <c r="BU27" s="10" t="str">
        <f t="shared" si="96"/>
        <v xml:space="preserve"> </v>
      </c>
      <c r="BV27" s="14"/>
      <c r="BW27" s="14"/>
      <c r="BX27" s="10" t="str">
        <f t="shared" si="97"/>
        <v xml:space="preserve"> </v>
      </c>
      <c r="BY27" s="10" t="str">
        <f t="shared" si="97"/>
        <v xml:space="preserve"> </v>
      </c>
      <c r="BZ27" s="10" t="str">
        <f t="shared" si="97"/>
        <v xml:space="preserve"> </v>
      </c>
      <c r="CA27" s="10" t="str">
        <f t="shared" si="97"/>
        <v xml:space="preserve"> </v>
      </c>
      <c r="CB27" s="10" t="str">
        <f t="shared" si="97"/>
        <v xml:space="preserve"> </v>
      </c>
      <c r="CC27" s="14"/>
      <c r="CD27" s="14"/>
      <c r="CE27" s="10" t="str">
        <f t="shared" si="98"/>
        <v xml:space="preserve"> </v>
      </c>
      <c r="CF27" s="10" t="str">
        <f t="shared" si="98"/>
        <v xml:space="preserve"> </v>
      </c>
      <c r="CG27" s="10" t="str">
        <f t="shared" si="98"/>
        <v xml:space="preserve"> </v>
      </c>
      <c r="CH27" s="10" t="str">
        <f t="shared" si="98"/>
        <v xml:space="preserve"> </v>
      </c>
      <c r="CI27" s="10" t="str">
        <f t="shared" si="98"/>
        <v xml:space="preserve"> </v>
      </c>
      <c r="CJ27" s="14"/>
      <c r="CK27" s="14"/>
      <c r="CL27" s="10" t="str">
        <f t="shared" si="99"/>
        <v xml:space="preserve"> </v>
      </c>
      <c r="CM27" s="10" t="str">
        <f t="shared" si="99"/>
        <v xml:space="preserve"> </v>
      </c>
      <c r="CN27" s="10" t="str">
        <f t="shared" si="99"/>
        <v xml:space="preserve"> </v>
      </c>
      <c r="CO27" s="10" t="str">
        <f t="shared" si="99"/>
        <v xml:space="preserve"> </v>
      </c>
      <c r="CP27" s="10" t="str">
        <f t="shared" si="99"/>
        <v xml:space="preserve"> </v>
      </c>
      <c r="CQ27" s="14"/>
      <c r="CR27" s="14"/>
      <c r="CS27" s="10" t="str">
        <f t="shared" si="100"/>
        <v xml:space="preserve"> </v>
      </c>
      <c r="CT27" s="10" t="str">
        <f t="shared" si="100"/>
        <v xml:space="preserve"> </v>
      </c>
      <c r="CU27" s="10" t="str">
        <f t="shared" si="100"/>
        <v xml:space="preserve"> </v>
      </c>
      <c r="CV27" s="10" t="str">
        <f t="shared" si="100"/>
        <v xml:space="preserve"> </v>
      </c>
      <c r="CW27" s="10" t="str">
        <f t="shared" si="100"/>
        <v xml:space="preserve"> </v>
      </c>
      <c r="CZ27" s="10" t="str">
        <f t="shared" si="101"/>
        <v xml:space="preserve"> </v>
      </c>
      <c r="DA27" s="10" t="str">
        <f t="shared" si="101"/>
        <v xml:space="preserve"> </v>
      </c>
      <c r="DB27" s="10" t="str">
        <f t="shared" si="101"/>
        <v xml:space="preserve"> </v>
      </c>
      <c r="DC27" s="10" t="str">
        <f t="shared" si="101"/>
        <v xml:space="preserve"> </v>
      </c>
      <c r="DD27" s="10" t="str">
        <f t="shared" si="101"/>
        <v xml:space="preserve"> </v>
      </c>
      <c r="DG27" s="10" t="str">
        <f t="shared" si="102"/>
        <v xml:space="preserve"> </v>
      </c>
      <c r="DH27" s="10" t="str">
        <f t="shared" si="102"/>
        <v xml:space="preserve"> </v>
      </c>
      <c r="DI27" s="10" t="str">
        <f t="shared" si="102"/>
        <v xml:space="preserve"> </v>
      </c>
      <c r="DJ27" s="10" t="str">
        <f t="shared" si="102"/>
        <v xml:space="preserve"> </v>
      </c>
      <c r="DK27" s="10" t="str">
        <f t="shared" si="102"/>
        <v xml:space="preserve"> </v>
      </c>
      <c r="DN27" s="10" t="str">
        <f t="shared" si="103"/>
        <v xml:space="preserve"> </v>
      </c>
      <c r="DO27" s="10" t="str">
        <f t="shared" si="103"/>
        <v xml:space="preserve"> </v>
      </c>
      <c r="DP27" s="10" t="str">
        <f t="shared" si="103"/>
        <v xml:space="preserve"> </v>
      </c>
      <c r="DQ27" s="10" t="str">
        <f t="shared" si="103"/>
        <v xml:space="preserve"> </v>
      </c>
      <c r="DR27" s="10" t="str">
        <f t="shared" si="103"/>
        <v xml:space="preserve"> </v>
      </c>
      <c r="DU27" s="10" t="str">
        <f t="shared" si="104"/>
        <v xml:space="preserve"> </v>
      </c>
      <c r="DV27" s="10" t="str">
        <f t="shared" si="104"/>
        <v xml:space="preserve"> </v>
      </c>
      <c r="DW27" s="10" t="str">
        <f t="shared" si="104"/>
        <v xml:space="preserve"> </v>
      </c>
      <c r="DX27" s="10" t="str">
        <f t="shared" si="104"/>
        <v xml:space="preserve"> </v>
      </c>
      <c r="DY27" s="10" t="str">
        <f t="shared" si="104"/>
        <v xml:space="preserve"> </v>
      </c>
      <c r="EB27" s="10" t="str">
        <f t="shared" si="105"/>
        <v xml:space="preserve"> </v>
      </c>
      <c r="EC27" s="10" t="str">
        <f t="shared" si="105"/>
        <v xml:space="preserve"> </v>
      </c>
      <c r="ED27" s="10" t="str">
        <f t="shared" si="105"/>
        <v xml:space="preserve"> </v>
      </c>
      <c r="EE27" s="10" t="str">
        <f t="shared" si="105"/>
        <v xml:space="preserve"> </v>
      </c>
      <c r="EF27" s="10" t="str">
        <f t="shared" si="105"/>
        <v xml:space="preserve"> </v>
      </c>
      <c r="EI27" s="10" t="str">
        <f t="shared" si="106"/>
        <v xml:space="preserve"> </v>
      </c>
      <c r="EJ27" s="10" t="str">
        <f t="shared" si="106"/>
        <v xml:space="preserve"> </v>
      </c>
      <c r="EK27" s="10" t="str">
        <f t="shared" si="106"/>
        <v xml:space="preserve"> </v>
      </c>
      <c r="EL27" s="10" t="str">
        <f t="shared" si="106"/>
        <v xml:space="preserve"> </v>
      </c>
      <c r="EM27" s="10" t="str">
        <f t="shared" si="106"/>
        <v xml:space="preserve"> </v>
      </c>
      <c r="EP27" s="10" t="str">
        <f t="shared" si="107"/>
        <v xml:space="preserve"> </v>
      </c>
      <c r="EQ27" s="10" t="str">
        <f t="shared" si="107"/>
        <v xml:space="preserve"> </v>
      </c>
      <c r="ER27" s="10" t="str">
        <f t="shared" si="107"/>
        <v xml:space="preserve"> </v>
      </c>
      <c r="ES27" s="10" t="str">
        <f t="shared" si="107"/>
        <v xml:space="preserve"> </v>
      </c>
      <c r="ET27" s="10" t="str">
        <f t="shared" si="107"/>
        <v xml:space="preserve"> </v>
      </c>
      <c r="EW27" s="10" t="str">
        <f t="shared" si="108"/>
        <v xml:space="preserve"> </v>
      </c>
      <c r="EX27" s="10" t="str">
        <f t="shared" si="108"/>
        <v xml:space="preserve"> </v>
      </c>
      <c r="EY27" s="10" t="str">
        <f t="shared" si="108"/>
        <v xml:space="preserve"> </v>
      </c>
      <c r="EZ27" s="10" t="str">
        <f t="shared" si="108"/>
        <v xml:space="preserve"> </v>
      </c>
      <c r="FA27" s="10" t="str">
        <f t="shared" si="108"/>
        <v xml:space="preserve"> </v>
      </c>
      <c r="FD27" s="10" t="str">
        <f t="shared" si="109"/>
        <v xml:space="preserve"> </v>
      </c>
      <c r="FE27" s="10" t="str">
        <f t="shared" si="109"/>
        <v xml:space="preserve"> </v>
      </c>
      <c r="FF27" s="10" t="str">
        <f t="shared" si="109"/>
        <v xml:space="preserve"> </v>
      </c>
      <c r="FG27" s="10" t="str">
        <f t="shared" si="109"/>
        <v xml:space="preserve"> </v>
      </c>
      <c r="FH27" s="10" t="str">
        <f t="shared" si="109"/>
        <v xml:space="preserve"> </v>
      </c>
      <c r="FK27" s="10" t="str">
        <f t="shared" si="110"/>
        <v xml:space="preserve"> </v>
      </c>
      <c r="FL27" s="10" t="str">
        <f t="shared" si="110"/>
        <v xml:space="preserve"> </v>
      </c>
      <c r="FM27" s="10" t="str">
        <f t="shared" si="110"/>
        <v xml:space="preserve"> </v>
      </c>
      <c r="FN27" s="10" t="str">
        <f t="shared" si="110"/>
        <v xml:space="preserve"> </v>
      </c>
      <c r="FO27" s="10" t="str">
        <f t="shared" si="110"/>
        <v xml:space="preserve"> </v>
      </c>
      <c r="FR27" s="10" t="str">
        <f t="shared" si="111"/>
        <v xml:space="preserve"> </v>
      </c>
      <c r="FS27" s="10" t="str">
        <f t="shared" si="111"/>
        <v xml:space="preserve"> </v>
      </c>
      <c r="FT27" s="10" t="str">
        <f t="shared" si="111"/>
        <v xml:space="preserve"> </v>
      </c>
      <c r="FU27" s="10" t="str">
        <f t="shared" si="111"/>
        <v xml:space="preserve"> </v>
      </c>
      <c r="FV27" s="10" t="str">
        <f t="shared" si="111"/>
        <v xml:space="preserve"> </v>
      </c>
      <c r="FY27" s="10" t="str">
        <f t="shared" si="112"/>
        <v xml:space="preserve"> </v>
      </c>
      <c r="FZ27" s="10" t="str">
        <f t="shared" si="112"/>
        <v xml:space="preserve"> </v>
      </c>
      <c r="GA27" s="10" t="str">
        <f t="shared" si="112"/>
        <v xml:space="preserve"> </v>
      </c>
      <c r="GB27" s="10" t="str">
        <f t="shared" si="112"/>
        <v xml:space="preserve"> </v>
      </c>
      <c r="GC27" s="10" t="str">
        <f t="shared" si="112"/>
        <v xml:space="preserve"> </v>
      </c>
      <c r="GF27" s="10" t="str">
        <f t="shared" si="113"/>
        <v xml:space="preserve"> </v>
      </c>
      <c r="GG27" s="10" t="str">
        <f t="shared" si="113"/>
        <v xml:space="preserve"> </v>
      </c>
      <c r="GH27" s="10" t="str">
        <f t="shared" si="113"/>
        <v xml:space="preserve"> </v>
      </c>
      <c r="GI27" s="10" t="str">
        <f t="shared" si="113"/>
        <v xml:space="preserve"> </v>
      </c>
      <c r="GJ27" s="10" t="str">
        <f t="shared" si="113"/>
        <v xml:space="preserve"> </v>
      </c>
      <c r="GM27" s="10" t="str">
        <f t="shared" si="114"/>
        <v xml:space="preserve"> </v>
      </c>
      <c r="GN27" s="10" t="str">
        <f t="shared" si="114"/>
        <v xml:space="preserve"> </v>
      </c>
      <c r="GO27" s="10" t="str">
        <f t="shared" si="114"/>
        <v xml:space="preserve"> </v>
      </c>
      <c r="GP27" s="10" t="str">
        <f t="shared" si="114"/>
        <v xml:space="preserve"> </v>
      </c>
      <c r="GQ27" s="10" t="str">
        <f t="shared" si="114"/>
        <v xml:space="preserve"> </v>
      </c>
      <c r="GT27" s="10" t="str">
        <f t="shared" si="115"/>
        <v xml:space="preserve"> </v>
      </c>
      <c r="GU27" s="10" t="str">
        <f t="shared" si="115"/>
        <v xml:space="preserve"> </v>
      </c>
      <c r="GV27" s="10" t="str">
        <f t="shared" si="115"/>
        <v xml:space="preserve"> </v>
      </c>
      <c r="GW27" s="10" t="str">
        <f t="shared" si="115"/>
        <v xml:space="preserve"> </v>
      </c>
      <c r="GX27" s="10" t="str">
        <f t="shared" si="115"/>
        <v xml:space="preserve"> </v>
      </c>
      <c r="HA27" s="10" t="str">
        <f t="shared" si="116"/>
        <v xml:space="preserve"> </v>
      </c>
      <c r="HB27" s="10" t="str">
        <f t="shared" si="116"/>
        <v xml:space="preserve"> </v>
      </c>
      <c r="HC27" s="10" t="str">
        <f t="shared" si="116"/>
        <v xml:space="preserve"> </v>
      </c>
      <c r="HD27" s="10" t="str">
        <f t="shared" si="116"/>
        <v xml:space="preserve"> </v>
      </c>
      <c r="HE27" s="10" t="str">
        <f t="shared" si="116"/>
        <v xml:space="preserve"> </v>
      </c>
      <c r="HH27" s="10" t="str">
        <f t="shared" si="117"/>
        <v xml:space="preserve"> </v>
      </c>
      <c r="HI27" s="10" t="str">
        <f t="shared" si="117"/>
        <v xml:space="preserve"> </v>
      </c>
      <c r="HJ27" s="10" t="str">
        <f t="shared" si="117"/>
        <v xml:space="preserve"> </v>
      </c>
      <c r="HK27" s="10" t="str">
        <f t="shared" si="117"/>
        <v xml:space="preserve"> </v>
      </c>
      <c r="HL27" s="10" t="str">
        <f t="shared" si="117"/>
        <v xml:space="preserve"> </v>
      </c>
      <c r="HO27" s="10" t="str">
        <f t="shared" si="118"/>
        <v xml:space="preserve"> </v>
      </c>
      <c r="HP27" s="10" t="str">
        <f t="shared" si="118"/>
        <v xml:space="preserve"> </v>
      </c>
      <c r="HQ27" s="10" t="str">
        <f t="shared" si="118"/>
        <v xml:space="preserve"> </v>
      </c>
      <c r="HR27" s="10" t="str">
        <f t="shared" si="118"/>
        <v xml:space="preserve"> </v>
      </c>
      <c r="HS27" s="10" t="str">
        <f t="shared" si="118"/>
        <v xml:space="preserve"> </v>
      </c>
      <c r="HV27" s="10" t="str">
        <f t="shared" si="119"/>
        <v xml:space="preserve"> </v>
      </c>
      <c r="HW27" s="10" t="str">
        <f t="shared" si="119"/>
        <v xml:space="preserve"> </v>
      </c>
      <c r="HX27" s="10" t="str">
        <f t="shared" si="119"/>
        <v xml:space="preserve"> </v>
      </c>
      <c r="HY27" s="10" t="str">
        <f t="shared" si="119"/>
        <v xml:space="preserve"> </v>
      </c>
      <c r="HZ27" s="10" t="str">
        <f t="shared" si="119"/>
        <v xml:space="preserve"> </v>
      </c>
      <c r="IC27" s="10" t="str">
        <f t="shared" si="120"/>
        <v xml:space="preserve"> </v>
      </c>
      <c r="ID27" s="10" t="str">
        <f t="shared" si="120"/>
        <v xml:space="preserve"> </v>
      </c>
      <c r="IE27" s="10" t="str">
        <f t="shared" si="120"/>
        <v xml:space="preserve"> </v>
      </c>
      <c r="IF27" s="10" t="str">
        <f t="shared" si="120"/>
        <v xml:space="preserve"> </v>
      </c>
      <c r="IG27" s="10" t="str">
        <f t="shared" si="120"/>
        <v xml:space="preserve"> </v>
      </c>
      <c r="IJ27" s="10" t="str">
        <f t="shared" si="121"/>
        <v xml:space="preserve"> </v>
      </c>
      <c r="IK27" s="10" t="str">
        <f t="shared" si="121"/>
        <v xml:space="preserve"> </v>
      </c>
      <c r="IL27" s="10" t="str">
        <f t="shared" si="121"/>
        <v xml:space="preserve"> </v>
      </c>
      <c r="IM27" s="10" t="str">
        <f t="shared" si="121"/>
        <v xml:space="preserve"> </v>
      </c>
      <c r="IN27" s="10" t="str">
        <f t="shared" si="121"/>
        <v xml:space="preserve"> </v>
      </c>
      <c r="IQ27" s="10" t="str">
        <f t="shared" si="122"/>
        <v xml:space="preserve"> </v>
      </c>
      <c r="IR27" s="10" t="str">
        <f t="shared" si="122"/>
        <v xml:space="preserve"> </v>
      </c>
      <c r="IS27" s="10" t="str">
        <f t="shared" si="122"/>
        <v xml:space="preserve"> </v>
      </c>
      <c r="IT27" s="10" t="str">
        <f t="shared" si="122"/>
        <v xml:space="preserve"> </v>
      </c>
      <c r="IU27" s="10" t="str">
        <f t="shared" si="122"/>
        <v xml:space="preserve"> </v>
      </c>
      <c r="IX27" s="10" t="str">
        <f t="shared" si="123"/>
        <v xml:space="preserve"> </v>
      </c>
      <c r="IY27" s="10" t="str">
        <f t="shared" si="123"/>
        <v xml:space="preserve"> </v>
      </c>
      <c r="IZ27" s="10" t="str">
        <f t="shared" si="123"/>
        <v xml:space="preserve"> </v>
      </c>
      <c r="JA27" s="10" t="str">
        <f t="shared" si="123"/>
        <v xml:space="preserve"> </v>
      </c>
      <c r="JB27" s="10" t="str">
        <f t="shared" si="123"/>
        <v xml:space="preserve"> </v>
      </c>
      <c r="JE27" s="10" t="str">
        <f t="shared" si="124"/>
        <v xml:space="preserve"> </v>
      </c>
      <c r="JF27" s="10" t="str">
        <f t="shared" si="124"/>
        <v xml:space="preserve"> </v>
      </c>
      <c r="JG27" s="10" t="str">
        <f t="shared" si="124"/>
        <v xml:space="preserve"> </v>
      </c>
      <c r="JH27" s="10" t="str">
        <f t="shared" si="124"/>
        <v xml:space="preserve"> </v>
      </c>
      <c r="JI27" s="10" t="str">
        <f t="shared" si="124"/>
        <v xml:space="preserve"> </v>
      </c>
    </row>
    <row r="28" spans="1:269">
      <c r="A28" s="96"/>
      <c r="B28" s="10">
        <v>20</v>
      </c>
      <c r="C28" s="11" t="s">
        <v>45</v>
      </c>
      <c r="D28" s="11" t="s">
        <v>39</v>
      </c>
      <c r="E28" s="10">
        <v>11</v>
      </c>
      <c r="F28" s="12">
        <f t="shared" si="87"/>
        <v>42531</v>
      </c>
      <c r="G28" s="12">
        <f>WORKDAY(F28,H28-1,Config!D27:D46)</f>
        <v>42534</v>
      </c>
      <c r="H28" s="10">
        <v>2</v>
      </c>
      <c r="I28" s="13">
        <v>0</v>
      </c>
      <c r="J28" s="13">
        <f ca="1">IF(((NETWORKDAYS(F28,TODAY(),Data!C23:C42)*100)/H28)/100 &gt; 0,((NETWORKDAYS(F28,TODAY(),Data!C23:C42)*100)/H28)/100,0)</f>
        <v>823</v>
      </c>
      <c r="K28" s="13" t="str">
        <f t="shared" ca="1" si="127"/>
        <v>100%</v>
      </c>
      <c r="L28" s="13">
        <f t="shared" ca="1" si="128"/>
        <v>1</v>
      </c>
      <c r="M28" s="10" t="str">
        <f t="shared" si="88"/>
        <v xml:space="preserve"> </v>
      </c>
      <c r="N28" s="10" t="str">
        <f t="shared" si="88"/>
        <v xml:space="preserve"> </v>
      </c>
      <c r="O28" s="10" t="str">
        <f t="shared" si="88"/>
        <v xml:space="preserve"> </v>
      </c>
      <c r="P28" s="10" t="str">
        <f t="shared" si="88"/>
        <v xml:space="preserve"> </v>
      </c>
      <c r="Q28" s="10" t="str">
        <f t="shared" si="88"/>
        <v xml:space="preserve"> </v>
      </c>
      <c r="R28" s="14"/>
      <c r="S28" s="14"/>
      <c r="T28" s="10" t="str">
        <f t="shared" si="89"/>
        <v xml:space="preserve"> </v>
      </c>
      <c r="U28" s="10" t="str">
        <f t="shared" si="89"/>
        <v xml:space="preserve"> </v>
      </c>
      <c r="V28" s="10" t="str">
        <f t="shared" si="89"/>
        <v xml:space="preserve"> </v>
      </c>
      <c r="W28" s="10" t="str">
        <f t="shared" si="89"/>
        <v xml:space="preserve"> </v>
      </c>
      <c r="X28" s="10" t="str">
        <f t="shared" si="89"/>
        <v xml:space="preserve"> </v>
      </c>
      <c r="Y28" s="14"/>
      <c r="Z28" s="14"/>
      <c r="AA28" s="10" t="str">
        <f t="shared" si="90"/>
        <v xml:space="preserve"> </v>
      </c>
      <c r="AB28" s="10" t="str">
        <f t="shared" si="90"/>
        <v xml:space="preserve"> </v>
      </c>
      <c r="AC28" s="10" t="str">
        <f t="shared" si="90"/>
        <v xml:space="preserve"> </v>
      </c>
      <c r="AD28" s="10" t="str">
        <f t="shared" si="90"/>
        <v xml:space="preserve"> </v>
      </c>
      <c r="AE28" s="10" t="str">
        <f t="shared" si="90"/>
        <v xml:space="preserve"> </v>
      </c>
      <c r="AF28" s="14"/>
      <c r="AG28" s="14"/>
      <c r="AH28" s="10" t="str">
        <f t="shared" si="91"/>
        <v xml:space="preserve"> </v>
      </c>
      <c r="AI28" s="10" t="str">
        <f t="shared" si="91"/>
        <v xml:space="preserve"> </v>
      </c>
      <c r="AJ28" s="10" t="str">
        <f t="shared" si="91"/>
        <v xml:space="preserve"> </v>
      </c>
      <c r="AK28" s="10" t="str">
        <f t="shared" si="91"/>
        <v xml:space="preserve"> </v>
      </c>
      <c r="AL28" s="10" t="str">
        <f t="shared" si="91"/>
        <v xml:space="preserve"> </v>
      </c>
      <c r="AM28" s="14"/>
      <c r="AN28" s="14"/>
      <c r="AO28" s="10" t="str">
        <f t="shared" si="92"/>
        <v xml:space="preserve"> </v>
      </c>
      <c r="AP28" s="10" t="str">
        <f t="shared" si="92"/>
        <v xml:space="preserve"> </v>
      </c>
      <c r="AQ28" s="10" t="str">
        <f t="shared" si="92"/>
        <v xml:space="preserve"> </v>
      </c>
      <c r="AR28" s="10" t="str">
        <f t="shared" si="92"/>
        <v xml:space="preserve"> </v>
      </c>
      <c r="AS28" s="10" t="str">
        <f t="shared" si="92"/>
        <v xml:space="preserve"> </v>
      </c>
      <c r="AT28" s="14"/>
      <c r="AU28" s="14"/>
      <c r="AV28" s="10" t="str">
        <f t="shared" si="93"/>
        <v xml:space="preserve"> </v>
      </c>
      <c r="AW28" s="10" t="str">
        <f t="shared" si="93"/>
        <v>.</v>
      </c>
      <c r="AX28" s="10" t="str">
        <f t="shared" si="93"/>
        <v>.</v>
      </c>
      <c r="AY28" s="10" t="str">
        <f t="shared" si="93"/>
        <v>.</v>
      </c>
      <c r="AZ28" s="10" t="str">
        <f t="shared" si="93"/>
        <v>.</v>
      </c>
      <c r="BA28" s="14"/>
      <c r="BB28" s="14"/>
      <c r="BC28" s="10" t="str">
        <f t="shared" si="94"/>
        <v xml:space="preserve"> </v>
      </c>
      <c r="BD28" s="10" t="str">
        <f t="shared" si="94"/>
        <v xml:space="preserve"> </v>
      </c>
      <c r="BE28" s="10" t="str">
        <f t="shared" si="94"/>
        <v xml:space="preserve"> </v>
      </c>
      <c r="BF28" s="10" t="str">
        <f t="shared" si="94"/>
        <v xml:space="preserve"> </v>
      </c>
      <c r="BG28" s="10" t="str">
        <f t="shared" si="94"/>
        <v xml:space="preserve"> </v>
      </c>
      <c r="BH28" s="14"/>
      <c r="BI28" s="14"/>
      <c r="BJ28" s="10" t="str">
        <f t="shared" si="95"/>
        <v xml:space="preserve"> </v>
      </c>
      <c r="BK28" s="10" t="str">
        <f t="shared" si="95"/>
        <v xml:space="preserve"> </v>
      </c>
      <c r="BL28" s="10" t="str">
        <f t="shared" si="95"/>
        <v xml:space="preserve"> </v>
      </c>
      <c r="BM28" s="10" t="str">
        <f t="shared" si="95"/>
        <v xml:space="preserve"> </v>
      </c>
      <c r="BN28" s="10" t="str">
        <f t="shared" si="95"/>
        <v xml:space="preserve"> </v>
      </c>
      <c r="BO28" s="14"/>
      <c r="BP28" s="14"/>
      <c r="BQ28" s="10" t="str">
        <f t="shared" si="96"/>
        <v xml:space="preserve"> </v>
      </c>
      <c r="BR28" s="10" t="str">
        <f t="shared" si="96"/>
        <v xml:space="preserve"> </v>
      </c>
      <c r="BS28" s="10" t="str">
        <f t="shared" si="96"/>
        <v xml:space="preserve"> </v>
      </c>
      <c r="BT28" s="10" t="str">
        <f t="shared" si="96"/>
        <v xml:space="preserve"> </v>
      </c>
      <c r="BU28" s="10" t="str">
        <f t="shared" si="96"/>
        <v xml:space="preserve"> </v>
      </c>
      <c r="BV28" s="14"/>
      <c r="BW28" s="14"/>
      <c r="BX28" s="10" t="str">
        <f t="shared" si="97"/>
        <v xml:space="preserve"> </v>
      </c>
      <c r="BY28" s="10" t="str">
        <f t="shared" si="97"/>
        <v xml:space="preserve"> </v>
      </c>
      <c r="BZ28" s="10" t="str">
        <f t="shared" si="97"/>
        <v xml:space="preserve"> </v>
      </c>
      <c r="CA28" s="10" t="str">
        <f t="shared" si="97"/>
        <v xml:space="preserve"> </v>
      </c>
      <c r="CB28" s="10" t="str">
        <f t="shared" si="97"/>
        <v xml:space="preserve"> </v>
      </c>
      <c r="CC28" s="14"/>
      <c r="CD28" s="14"/>
      <c r="CE28" s="10" t="str">
        <f t="shared" si="98"/>
        <v xml:space="preserve"> </v>
      </c>
      <c r="CF28" s="10" t="str">
        <f t="shared" si="98"/>
        <v xml:space="preserve"> </v>
      </c>
      <c r="CG28" s="10" t="str">
        <f t="shared" si="98"/>
        <v xml:space="preserve"> </v>
      </c>
      <c r="CH28" s="10" t="str">
        <f t="shared" si="98"/>
        <v xml:space="preserve"> </v>
      </c>
      <c r="CI28" s="10" t="str">
        <f t="shared" si="98"/>
        <v xml:space="preserve"> </v>
      </c>
      <c r="CJ28" s="14"/>
      <c r="CK28" s="14"/>
      <c r="CL28" s="10" t="str">
        <f t="shared" si="99"/>
        <v xml:space="preserve"> </v>
      </c>
      <c r="CM28" s="10" t="str">
        <f t="shared" si="99"/>
        <v xml:space="preserve"> </v>
      </c>
      <c r="CN28" s="10" t="str">
        <f t="shared" si="99"/>
        <v xml:space="preserve"> </v>
      </c>
      <c r="CO28" s="10" t="str">
        <f t="shared" si="99"/>
        <v xml:space="preserve"> </v>
      </c>
      <c r="CP28" s="10" t="str">
        <f t="shared" si="99"/>
        <v xml:space="preserve"> </v>
      </c>
      <c r="CQ28" s="14"/>
      <c r="CR28" s="14"/>
      <c r="CS28" s="10" t="str">
        <f t="shared" si="100"/>
        <v xml:space="preserve"> </v>
      </c>
      <c r="CT28" s="10" t="str">
        <f t="shared" si="100"/>
        <v xml:space="preserve"> </v>
      </c>
      <c r="CU28" s="10" t="str">
        <f t="shared" si="100"/>
        <v xml:space="preserve"> </v>
      </c>
      <c r="CV28" s="10" t="str">
        <f t="shared" si="100"/>
        <v xml:space="preserve"> </v>
      </c>
      <c r="CW28" s="10" t="str">
        <f t="shared" si="100"/>
        <v xml:space="preserve"> </v>
      </c>
      <c r="CZ28" s="10" t="str">
        <f t="shared" si="101"/>
        <v xml:space="preserve"> </v>
      </c>
      <c r="DA28" s="10" t="str">
        <f t="shared" si="101"/>
        <v xml:space="preserve"> </v>
      </c>
      <c r="DB28" s="10" t="str">
        <f t="shared" si="101"/>
        <v xml:space="preserve"> </v>
      </c>
      <c r="DC28" s="10" t="str">
        <f t="shared" si="101"/>
        <v xml:space="preserve"> </v>
      </c>
      <c r="DD28" s="10" t="str">
        <f t="shared" si="101"/>
        <v xml:space="preserve"> </v>
      </c>
      <c r="DG28" s="10" t="str">
        <f t="shared" si="102"/>
        <v xml:space="preserve"> </v>
      </c>
      <c r="DH28" s="10" t="str">
        <f t="shared" si="102"/>
        <v xml:space="preserve"> </v>
      </c>
      <c r="DI28" s="10" t="str">
        <f t="shared" si="102"/>
        <v xml:space="preserve"> </v>
      </c>
      <c r="DJ28" s="10" t="str">
        <f t="shared" si="102"/>
        <v xml:space="preserve"> </v>
      </c>
      <c r="DK28" s="10" t="str">
        <f t="shared" si="102"/>
        <v xml:space="preserve"> </v>
      </c>
      <c r="DN28" s="10" t="str">
        <f t="shared" si="103"/>
        <v xml:space="preserve"> </v>
      </c>
      <c r="DO28" s="10" t="str">
        <f t="shared" si="103"/>
        <v xml:space="preserve"> </v>
      </c>
      <c r="DP28" s="10" t="str">
        <f t="shared" si="103"/>
        <v xml:space="preserve"> </v>
      </c>
      <c r="DQ28" s="10" t="str">
        <f t="shared" si="103"/>
        <v xml:space="preserve"> </v>
      </c>
      <c r="DR28" s="10" t="str">
        <f t="shared" si="103"/>
        <v xml:space="preserve"> </v>
      </c>
      <c r="DU28" s="10" t="str">
        <f t="shared" si="104"/>
        <v xml:space="preserve"> </v>
      </c>
      <c r="DV28" s="10" t="str">
        <f t="shared" si="104"/>
        <v xml:space="preserve"> </v>
      </c>
      <c r="DW28" s="10" t="str">
        <f t="shared" si="104"/>
        <v xml:space="preserve"> </v>
      </c>
      <c r="DX28" s="10" t="str">
        <f t="shared" si="104"/>
        <v xml:space="preserve"> </v>
      </c>
      <c r="DY28" s="10" t="str">
        <f t="shared" si="104"/>
        <v xml:space="preserve"> </v>
      </c>
      <c r="EB28" s="10" t="str">
        <f t="shared" si="105"/>
        <v xml:space="preserve"> </v>
      </c>
      <c r="EC28" s="10" t="str">
        <f t="shared" si="105"/>
        <v xml:space="preserve"> </v>
      </c>
      <c r="ED28" s="10" t="str">
        <f t="shared" si="105"/>
        <v xml:space="preserve"> </v>
      </c>
      <c r="EE28" s="10" t="str">
        <f t="shared" si="105"/>
        <v xml:space="preserve"> </v>
      </c>
      <c r="EF28" s="10" t="str">
        <f t="shared" si="105"/>
        <v xml:space="preserve"> </v>
      </c>
      <c r="EI28" s="10" t="str">
        <f t="shared" si="106"/>
        <v xml:space="preserve"> </v>
      </c>
      <c r="EJ28" s="10" t="str">
        <f t="shared" si="106"/>
        <v xml:space="preserve"> </v>
      </c>
      <c r="EK28" s="10" t="str">
        <f t="shared" si="106"/>
        <v xml:space="preserve"> </v>
      </c>
      <c r="EL28" s="10" t="str">
        <f t="shared" si="106"/>
        <v xml:space="preserve"> </v>
      </c>
      <c r="EM28" s="10" t="str">
        <f t="shared" si="106"/>
        <v xml:space="preserve"> </v>
      </c>
      <c r="EP28" s="10" t="str">
        <f t="shared" si="107"/>
        <v xml:space="preserve"> </v>
      </c>
      <c r="EQ28" s="10" t="str">
        <f t="shared" si="107"/>
        <v xml:space="preserve"> </v>
      </c>
      <c r="ER28" s="10" t="str">
        <f t="shared" si="107"/>
        <v xml:space="preserve"> </v>
      </c>
      <c r="ES28" s="10" t="str">
        <f t="shared" si="107"/>
        <v xml:space="preserve"> </v>
      </c>
      <c r="ET28" s="10" t="str">
        <f t="shared" si="107"/>
        <v xml:space="preserve"> </v>
      </c>
      <c r="EW28" s="10" t="str">
        <f t="shared" si="108"/>
        <v xml:space="preserve"> </v>
      </c>
      <c r="EX28" s="10" t="str">
        <f t="shared" si="108"/>
        <v xml:space="preserve"> </v>
      </c>
      <c r="EY28" s="10" t="str">
        <f t="shared" si="108"/>
        <v xml:space="preserve"> </v>
      </c>
      <c r="EZ28" s="10" t="str">
        <f t="shared" si="108"/>
        <v xml:space="preserve"> </v>
      </c>
      <c r="FA28" s="10" t="str">
        <f t="shared" si="108"/>
        <v xml:space="preserve"> </v>
      </c>
      <c r="FD28" s="10" t="str">
        <f t="shared" si="109"/>
        <v xml:space="preserve"> </v>
      </c>
      <c r="FE28" s="10" t="str">
        <f t="shared" si="109"/>
        <v xml:space="preserve"> </v>
      </c>
      <c r="FF28" s="10" t="str">
        <f t="shared" si="109"/>
        <v xml:space="preserve"> </v>
      </c>
      <c r="FG28" s="10" t="str">
        <f t="shared" si="109"/>
        <v xml:space="preserve"> </v>
      </c>
      <c r="FH28" s="10" t="str">
        <f t="shared" si="109"/>
        <v xml:space="preserve"> </v>
      </c>
      <c r="FK28" s="10" t="str">
        <f t="shared" si="110"/>
        <v xml:space="preserve"> </v>
      </c>
      <c r="FL28" s="10" t="str">
        <f t="shared" si="110"/>
        <v xml:space="preserve"> </v>
      </c>
      <c r="FM28" s="10" t="str">
        <f t="shared" si="110"/>
        <v xml:space="preserve"> </v>
      </c>
      <c r="FN28" s="10" t="str">
        <f t="shared" si="110"/>
        <v xml:space="preserve"> </v>
      </c>
      <c r="FO28" s="10" t="str">
        <f t="shared" si="110"/>
        <v xml:space="preserve"> </v>
      </c>
      <c r="FR28" s="10" t="str">
        <f t="shared" si="111"/>
        <v xml:space="preserve"> </v>
      </c>
      <c r="FS28" s="10" t="str">
        <f t="shared" si="111"/>
        <v xml:space="preserve"> </v>
      </c>
      <c r="FT28" s="10" t="str">
        <f t="shared" si="111"/>
        <v xml:space="preserve"> </v>
      </c>
      <c r="FU28" s="10" t="str">
        <f t="shared" si="111"/>
        <v xml:space="preserve"> </v>
      </c>
      <c r="FV28" s="10" t="str">
        <f t="shared" si="111"/>
        <v xml:space="preserve"> </v>
      </c>
      <c r="FY28" s="10" t="str">
        <f t="shared" si="112"/>
        <v xml:space="preserve"> </v>
      </c>
      <c r="FZ28" s="10" t="str">
        <f t="shared" si="112"/>
        <v xml:space="preserve"> </v>
      </c>
      <c r="GA28" s="10" t="str">
        <f t="shared" si="112"/>
        <v xml:space="preserve"> </v>
      </c>
      <c r="GB28" s="10" t="str">
        <f t="shared" si="112"/>
        <v xml:space="preserve"> </v>
      </c>
      <c r="GC28" s="10" t="str">
        <f t="shared" si="112"/>
        <v xml:space="preserve"> </v>
      </c>
      <c r="GF28" s="10" t="str">
        <f t="shared" si="113"/>
        <v xml:space="preserve"> </v>
      </c>
      <c r="GG28" s="10" t="str">
        <f t="shared" si="113"/>
        <v xml:space="preserve"> </v>
      </c>
      <c r="GH28" s="10" t="str">
        <f t="shared" si="113"/>
        <v xml:space="preserve"> </v>
      </c>
      <c r="GI28" s="10" t="str">
        <f t="shared" si="113"/>
        <v xml:space="preserve"> </v>
      </c>
      <c r="GJ28" s="10" t="str">
        <f t="shared" si="113"/>
        <v xml:space="preserve"> </v>
      </c>
      <c r="GM28" s="10" t="str">
        <f t="shared" si="114"/>
        <v xml:space="preserve"> </v>
      </c>
      <c r="GN28" s="10" t="str">
        <f t="shared" si="114"/>
        <v xml:space="preserve"> </v>
      </c>
      <c r="GO28" s="10" t="str">
        <f t="shared" si="114"/>
        <v xml:space="preserve"> </v>
      </c>
      <c r="GP28" s="10" t="str">
        <f t="shared" si="114"/>
        <v xml:space="preserve"> </v>
      </c>
      <c r="GQ28" s="10" t="str">
        <f t="shared" si="114"/>
        <v xml:space="preserve"> </v>
      </c>
      <c r="GT28" s="10" t="str">
        <f t="shared" si="115"/>
        <v xml:space="preserve"> </v>
      </c>
      <c r="GU28" s="10" t="str">
        <f t="shared" si="115"/>
        <v xml:space="preserve"> </v>
      </c>
      <c r="GV28" s="10" t="str">
        <f t="shared" si="115"/>
        <v xml:space="preserve"> </v>
      </c>
      <c r="GW28" s="10" t="str">
        <f t="shared" si="115"/>
        <v xml:space="preserve"> </v>
      </c>
      <c r="GX28" s="10" t="str">
        <f t="shared" si="115"/>
        <v xml:space="preserve"> </v>
      </c>
      <c r="HA28" s="10" t="str">
        <f t="shared" si="116"/>
        <v xml:space="preserve"> </v>
      </c>
      <c r="HB28" s="10" t="str">
        <f t="shared" si="116"/>
        <v xml:space="preserve"> </v>
      </c>
      <c r="HC28" s="10" t="str">
        <f t="shared" si="116"/>
        <v xml:space="preserve"> </v>
      </c>
      <c r="HD28" s="10" t="str">
        <f t="shared" si="116"/>
        <v xml:space="preserve"> </v>
      </c>
      <c r="HE28" s="10" t="str">
        <f t="shared" si="116"/>
        <v xml:space="preserve"> </v>
      </c>
      <c r="HH28" s="10" t="str">
        <f t="shared" si="117"/>
        <v xml:space="preserve"> </v>
      </c>
      <c r="HI28" s="10" t="str">
        <f t="shared" si="117"/>
        <v xml:space="preserve"> </v>
      </c>
      <c r="HJ28" s="10" t="str">
        <f t="shared" si="117"/>
        <v xml:space="preserve"> </v>
      </c>
      <c r="HK28" s="10" t="str">
        <f t="shared" si="117"/>
        <v xml:space="preserve"> </v>
      </c>
      <c r="HL28" s="10" t="str">
        <f t="shared" si="117"/>
        <v xml:space="preserve"> </v>
      </c>
      <c r="HO28" s="10" t="str">
        <f t="shared" si="118"/>
        <v xml:space="preserve"> </v>
      </c>
      <c r="HP28" s="10" t="str">
        <f t="shared" si="118"/>
        <v xml:space="preserve"> </v>
      </c>
      <c r="HQ28" s="10" t="str">
        <f t="shared" si="118"/>
        <v xml:space="preserve"> </v>
      </c>
      <c r="HR28" s="10" t="str">
        <f t="shared" si="118"/>
        <v xml:space="preserve"> </v>
      </c>
      <c r="HS28" s="10" t="str">
        <f t="shared" si="118"/>
        <v xml:space="preserve"> </v>
      </c>
      <c r="HV28" s="10" t="str">
        <f t="shared" si="119"/>
        <v xml:space="preserve"> </v>
      </c>
      <c r="HW28" s="10" t="str">
        <f t="shared" si="119"/>
        <v xml:space="preserve"> </v>
      </c>
      <c r="HX28" s="10" t="str">
        <f t="shared" si="119"/>
        <v xml:space="preserve"> </v>
      </c>
      <c r="HY28" s="10" t="str">
        <f t="shared" si="119"/>
        <v xml:space="preserve"> </v>
      </c>
      <c r="HZ28" s="10" t="str">
        <f t="shared" si="119"/>
        <v xml:space="preserve"> </v>
      </c>
      <c r="IC28" s="10" t="str">
        <f t="shared" si="120"/>
        <v xml:space="preserve"> </v>
      </c>
      <c r="ID28" s="10" t="str">
        <f t="shared" si="120"/>
        <v xml:space="preserve"> </v>
      </c>
      <c r="IE28" s="10" t="str">
        <f t="shared" si="120"/>
        <v xml:space="preserve"> </v>
      </c>
      <c r="IF28" s="10" t="str">
        <f t="shared" si="120"/>
        <v xml:space="preserve"> </v>
      </c>
      <c r="IG28" s="10" t="str">
        <f t="shared" si="120"/>
        <v xml:space="preserve"> </v>
      </c>
      <c r="IJ28" s="10" t="str">
        <f t="shared" si="121"/>
        <v xml:space="preserve"> </v>
      </c>
      <c r="IK28" s="10" t="str">
        <f t="shared" si="121"/>
        <v xml:space="preserve"> </v>
      </c>
      <c r="IL28" s="10" t="str">
        <f t="shared" si="121"/>
        <v xml:space="preserve"> </v>
      </c>
      <c r="IM28" s="10" t="str">
        <f t="shared" si="121"/>
        <v xml:space="preserve"> </v>
      </c>
      <c r="IN28" s="10" t="str">
        <f t="shared" si="121"/>
        <v xml:space="preserve"> </v>
      </c>
      <c r="IQ28" s="10" t="str">
        <f t="shared" si="122"/>
        <v xml:space="preserve"> </v>
      </c>
      <c r="IR28" s="10" t="str">
        <f t="shared" si="122"/>
        <v xml:space="preserve"> </v>
      </c>
      <c r="IS28" s="10" t="str">
        <f t="shared" si="122"/>
        <v xml:space="preserve"> </v>
      </c>
      <c r="IT28" s="10" t="str">
        <f t="shared" si="122"/>
        <v xml:space="preserve"> </v>
      </c>
      <c r="IU28" s="10" t="str">
        <f t="shared" si="122"/>
        <v xml:space="preserve"> </v>
      </c>
      <c r="IX28" s="10" t="str">
        <f t="shared" si="123"/>
        <v xml:space="preserve"> </v>
      </c>
      <c r="IY28" s="10" t="str">
        <f t="shared" si="123"/>
        <v xml:space="preserve"> </v>
      </c>
      <c r="IZ28" s="10" t="str">
        <f t="shared" si="123"/>
        <v xml:space="preserve"> </v>
      </c>
      <c r="JA28" s="10" t="str">
        <f t="shared" si="123"/>
        <v xml:space="preserve"> </v>
      </c>
      <c r="JB28" s="10" t="str">
        <f t="shared" si="123"/>
        <v xml:space="preserve"> </v>
      </c>
      <c r="JE28" s="10" t="str">
        <f t="shared" si="124"/>
        <v xml:space="preserve"> </v>
      </c>
      <c r="JF28" s="10" t="str">
        <f t="shared" si="124"/>
        <v xml:space="preserve"> </v>
      </c>
      <c r="JG28" s="10" t="str">
        <f t="shared" si="124"/>
        <v xml:space="preserve"> </v>
      </c>
      <c r="JH28" s="10" t="str">
        <f t="shared" si="124"/>
        <v xml:space="preserve"> </v>
      </c>
      <c r="JI28" s="10" t="str">
        <f t="shared" si="124"/>
        <v xml:space="preserve"> </v>
      </c>
    </row>
    <row r="29" spans="1:269">
      <c r="A29" s="96"/>
      <c r="B29" s="10">
        <v>21</v>
      </c>
      <c r="C29" s="11" t="s">
        <v>46</v>
      </c>
      <c r="D29" s="11" t="s">
        <v>39</v>
      </c>
      <c r="E29" s="10">
        <v>19</v>
      </c>
      <c r="F29" s="12">
        <f t="shared" si="87"/>
        <v>42546</v>
      </c>
      <c r="G29" s="12">
        <f>WORKDAY(F29,H29-1,Config!D28:D47)</f>
        <v>42550</v>
      </c>
      <c r="H29" s="10">
        <v>4</v>
      </c>
      <c r="I29" s="13">
        <v>0</v>
      </c>
      <c r="J29" s="13">
        <f ca="1">IF(((NETWORKDAYS(F29,TODAY(),Data!C24:C43)*100)/H29)/100 &gt; 0,((NETWORKDAYS(F29,TODAY(),Data!C24:C43)*100)/H29)/100,0)</f>
        <v>408.75</v>
      </c>
      <c r="K29" s="13" t="str">
        <f t="shared" ca="1" si="127"/>
        <v>100%</v>
      </c>
      <c r="L29" s="13">
        <f t="shared" ca="1" si="128"/>
        <v>1</v>
      </c>
      <c r="M29" s="10" t="str">
        <f t="shared" si="88"/>
        <v xml:space="preserve"> </v>
      </c>
      <c r="N29" s="10" t="str">
        <f t="shared" si="88"/>
        <v xml:space="preserve"> </v>
      </c>
      <c r="O29" s="10" t="str">
        <f t="shared" si="88"/>
        <v xml:space="preserve"> </v>
      </c>
      <c r="P29" s="10" t="str">
        <f t="shared" si="88"/>
        <v xml:space="preserve"> </v>
      </c>
      <c r="Q29" s="10" t="str">
        <f t="shared" si="88"/>
        <v xml:space="preserve"> </v>
      </c>
      <c r="R29" s="14"/>
      <c r="S29" s="14"/>
      <c r="T29" s="10" t="str">
        <f t="shared" si="89"/>
        <v xml:space="preserve"> </v>
      </c>
      <c r="U29" s="10" t="str">
        <f t="shared" si="89"/>
        <v xml:space="preserve"> </v>
      </c>
      <c r="V29" s="10" t="str">
        <f t="shared" si="89"/>
        <v xml:space="preserve"> </v>
      </c>
      <c r="W29" s="10" t="str">
        <f t="shared" si="89"/>
        <v xml:space="preserve"> </v>
      </c>
      <c r="X29" s="10" t="str">
        <f t="shared" si="89"/>
        <v xml:space="preserve"> </v>
      </c>
      <c r="Y29" s="14"/>
      <c r="Z29" s="14"/>
      <c r="AA29" s="10" t="str">
        <f t="shared" si="90"/>
        <v xml:space="preserve"> </v>
      </c>
      <c r="AB29" s="10" t="str">
        <f t="shared" si="90"/>
        <v xml:space="preserve"> </v>
      </c>
      <c r="AC29" s="10" t="str">
        <f t="shared" si="90"/>
        <v xml:space="preserve"> </v>
      </c>
      <c r="AD29" s="10" t="str">
        <f t="shared" si="90"/>
        <v xml:space="preserve"> </v>
      </c>
      <c r="AE29" s="10" t="str">
        <f t="shared" si="90"/>
        <v xml:space="preserve"> </v>
      </c>
      <c r="AF29" s="14"/>
      <c r="AG29" s="14"/>
      <c r="AH29" s="10" t="str">
        <f t="shared" si="91"/>
        <v xml:space="preserve"> </v>
      </c>
      <c r="AI29" s="10" t="str">
        <f t="shared" si="91"/>
        <v xml:space="preserve"> </v>
      </c>
      <c r="AJ29" s="10" t="str">
        <f t="shared" si="91"/>
        <v xml:space="preserve"> </v>
      </c>
      <c r="AK29" s="10" t="str">
        <f t="shared" si="91"/>
        <v xml:space="preserve"> </v>
      </c>
      <c r="AL29" s="10" t="str">
        <f t="shared" si="91"/>
        <v xml:space="preserve"> </v>
      </c>
      <c r="AM29" s="14"/>
      <c r="AN29" s="14"/>
      <c r="AO29" s="10" t="str">
        <f t="shared" si="92"/>
        <v xml:space="preserve"> </v>
      </c>
      <c r="AP29" s="10" t="str">
        <f t="shared" si="92"/>
        <v xml:space="preserve"> </v>
      </c>
      <c r="AQ29" s="10" t="str">
        <f t="shared" si="92"/>
        <v xml:space="preserve"> </v>
      </c>
      <c r="AR29" s="10" t="str">
        <f t="shared" si="92"/>
        <v xml:space="preserve"> </v>
      </c>
      <c r="AS29" s="10" t="str">
        <f t="shared" si="92"/>
        <v xml:space="preserve"> </v>
      </c>
      <c r="AT29" s="14"/>
      <c r="AU29" s="14"/>
      <c r="AV29" s="10" t="str">
        <f t="shared" si="93"/>
        <v xml:space="preserve"> </v>
      </c>
      <c r="AW29" s="10" t="str">
        <f t="shared" si="93"/>
        <v xml:space="preserve"> </v>
      </c>
      <c r="AX29" s="10" t="str">
        <f t="shared" si="93"/>
        <v xml:space="preserve"> </v>
      </c>
      <c r="AY29" s="10" t="str">
        <f t="shared" si="93"/>
        <v xml:space="preserve"> </v>
      </c>
      <c r="AZ29" s="10" t="str">
        <f t="shared" si="93"/>
        <v xml:space="preserve"> </v>
      </c>
      <c r="BA29" s="14"/>
      <c r="BB29" s="14"/>
      <c r="BC29" s="10" t="str">
        <f t="shared" si="94"/>
        <v xml:space="preserve"> </v>
      </c>
      <c r="BD29" s="10" t="str">
        <f t="shared" si="94"/>
        <v xml:space="preserve"> </v>
      </c>
      <c r="BE29" s="10" t="str">
        <f t="shared" si="94"/>
        <v xml:space="preserve"> </v>
      </c>
      <c r="BF29" s="10" t="str">
        <f t="shared" si="94"/>
        <v xml:space="preserve"> </v>
      </c>
      <c r="BG29" s="10" t="str">
        <f t="shared" si="94"/>
        <v xml:space="preserve"> </v>
      </c>
      <c r="BH29" s="14"/>
      <c r="BI29" s="14"/>
      <c r="BJ29" s="10" t="str">
        <f t="shared" si="95"/>
        <v xml:space="preserve"> </v>
      </c>
      <c r="BK29" s="10" t="str">
        <f t="shared" si="95"/>
        <v xml:space="preserve"> </v>
      </c>
      <c r="BL29" s="10" t="str">
        <f t="shared" si="95"/>
        <v>.</v>
      </c>
      <c r="BM29" s="10" t="str">
        <f t="shared" si="95"/>
        <v>.</v>
      </c>
      <c r="BN29" s="10" t="str">
        <f t="shared" si="95"/>
        <v>.</v>
      </c>
      <c r="BO29" s="14"/>
      <c r="BP29" s="14"/>
      <c r="BQ29" s="10" t="str">
        <f t="shared" si="96"/>
        <v xml:space="preserve"> </v>
      </c>
      <c r="BR29" s="10" t="str">
        <f t="shared" si="96"/>
        <v xml:space="preserve"> </v>
      </c>
      <c r="BS29" s="10" t="str">
        <f t="shared" si="96"/>
        <v xml:space="preserve"> </v>
      </c>
      <c r="BT29" s="10" t="str">
        <f t="shared" si="96"/>
        <v xml:space="preserve"> </v>
      </c>
      <c r="BU29" s="10" t="str">
        <f t="shared" si="96"/>
        <v xml:space="preserve"> </v>
      </c>
      <c r="BV29" s="14"/>
      <c r="BW29" s="14"/>
      <c r="BX29" s="10" t="str">
        <f t="shared" si="97"/>
        <v xml:space="preserve"> </v>
      </c>
      <c r="BY29" s="10" t="str">
        <f t="shared" si="97"/>
        <v xml:space="preserve"> </v>
      </c>
      <c r="BZ29" s="10" t="str">
        <f t="shared" si="97"/>
        <v xml:space="preserve"> </v>
      </c>
      <c r="CA29" s="10" t="str">
        <f t="shared" si="97"/>
        <v xml:space="preserve"> </v>
      </c>
      <c r="CB29" s="10" t="str">
        <f t="shared" si="97"/>
        <v xml:space="preserve"> </v>
      </c>
      <c r="CC29" s="14"/>
      <c r="CD29" s="14"/>
      <c r="CE29" s="10" t="str">
        <f t="shared" si="98"/>
        <v xml:space="preserve"> </v>
      </c>
      <c r="CF29" s="10" t="str">
        <f t="shared" si="98"/>
        <v xml:space="preserve"> </v>
      </c>
      <c r="CG29" s="10" t="str">
        <f t="shared" si="98"/>
        <v xml:space="preserve"> </v>
      </c>
      <c r="CH29" s="10" t="str">
        <f t="shared" si="98"/>
        <v xml:space="preserve"> </v>
      </c>
      <c r="CI29" s="10" t="str">
        <f t="shared" si="98"/>
        <v xml:space="preserve"> </v>
      </c>
      <c r="CJ29" s="14"/>
      <c r="CK29" s="14"/>
      <c r="CL29" s="10" t="str">
        <f t="shared" si="99"/>
        <v xml:space="preserve"> </v>
      </c>
      <c r="CM29" s="10" t="str">
        <f t="shared" si="99"/>
        <v xml:space="preserve"> </v>
      </c>
      <c r="CN29" s="10" t="str">
        <f t="shared" si="99"/>
        <v xml:space="preserve"> </v>
      </c>
      <c r="CO29" s="10" t="str">
        <f t="shared" si="99"/>
        <v xml:space="preserve"> </v>
      </c>
      <c r="CP29" s="10" t="str">
        <f t="shared" si="99"/>
        <v xml:space="preserve"> </v>
      </c>
      <c r="CQ29" s="14"/>
      <c r="CR29" s="14"/>
      <c r="CS29" s="10" t="str">
        <f t="shared" si="100"/>
        <v xml:space="preserve"> </v>
      </c>
      <c r="CT29" s="10" t="str">
        <f t="shared" si="100"/>
        <v xml:space="preserve"> </v>
      </c>
      <c r="CU29" s="10" t="str">
        <f t="shared" si="100"/>
        <v xml:space="preserve"> </v>
      </c>
      <c r="CV29" s="10" t="str">
        <f t="shared" si="100"/>
        <v xml:space="preserve"> </v>
      </c>
      <c r="CW29" s="10" t="str">
        <f t="shared" si="100"/>
        <v xml:space="preserve"> </v>
      </c>
      <c r="CZ29" s="10" t="str">
        <f t="shared" si="101"/>
        <v xml:space="preserve"> </v>
      </c>
      <c r="DA29" s="10" t="str">
        <f t="shared" si="101"/>
        <v xml:space="preserve"> </v>
      </c>
      <c r="DB29" s="10" t="str">
        <f t="shared" si="101"/>
        <v xml:space="preserve"> </v>
      </c>
      <c r="DC29" s="10" t="str">
        <f t="shared" si="101"/>
        <v xml:space="preserve"> </v>
      </c>
      <c r="DD29" s="10" t="str">
        <f t="shared" si="101"/>
        <v xml:space="preserve"> </v>
      </c>
      <c r="DG29" s="10" t="str">
        <f t="shared" si="102"/>
        <v xml:space="preserve"> </v>
      </c>
      <c r="DH29" s="10" t="str">
        <f t="shared" si="102"/>
        <v xml:space="preserve"> </v>
      </c>
      <c r="DI29" s="10" t="str">
        <f t="shared" si="102"/>
        <v xml:space="preserve"> </v>
      </c>
      <c r="DJ29" s="10" t="str">
        <f t="shared" si="102"/>
        <v xml:space="preserve"> </v>
      </c>
      <c r="DK29" s="10" t="str">
        <f t="shared" si="102"/>
        <v xml:space="preserve"> </v>
      </c>
      <c r="DN29" s="10" t="str">
        <f t="shared" si="103"/>
        <v xml:space="preserve"> </v>
      </c>
      <c r="DO29" s="10" t="str">
        <f t="shared" si="103"/>
        <v xml:space="preserve"> </v>
      </c>
      <c r="DP29" s="10" t="str">
        <f t="shared" si="103"/>
        <v xml:space="preserve"> </v>
      </c>
      <c r="DQ29" s="10" t="str">
        <f t="shared" si="103"/>
        <v xml:space="preserve"> </v>
      </c>
      <c r="DR29" s="10" t="str">
        <f t="shared" si="103"/>
        <v xml:space="preserve"> </v>
      </c>
      <c r="DU29" s="10" t="str">
        <f t="shared" si="104"/>
        <v xml:space="preserve"> </v>
      </c>
      <c r="DV29" s="10" t="str">
        <f t="shared" si="104"/>
        <v xml:space="preserve"> </v>
      </c>
      <c r="DW29" s="10" t="str">
        <f t="shared" si="104"/>
        <v xml:space="preserve"> </v>
      </c>
      <c r="DX29" s="10" t="str">
        <f t="shared" si="104"/>
        <v xml:space="preserve"> </v>
      </c>
      <c r="DY29" s="10" t="str">
        <f t="shared" si="104"/>
        <v xml:space="preserve"> </v>
      </c>
      <c r="EB29" s="10" t="str">
        <f t="shared" si="105"/>
        <v xml:space="preserve"> </v>
      </c>
      <c r="EC29" s="10" t="str">
        <f t="shared" si="105"/>
        <v xml:space="preserve"> </v>
      </c>
      <c r="ED29" s="10" t="str">
        <f t="shared" si="105"/>
        <v xml:space="preserve"> </v>
      </c>
      <c r="EE29" s="10" t="str">
        <f t="shared" si="105"/>
        <v xml:space="preserve"> </v>
      </c>
      <c r="EF29" s="10" t="str">
        <f t="shared" si="105"/>
        <v xml:space="preserve"> </v>
      </c>
      <c r="EI29" s="10" t="str">
        <f t="shared" si="106"/>
        <v xml:space="preserve"> </v>
      </c>
      <c r="EJ29" s="10" t="str">
        <f t="shared" si="106"/>
        <v xml:space="preserve"> </v>
      </c>
      <c r="EK29" s="10" t="str">
        <f t="shared" si="106"/>
        <v xml:space="preserve"> </v>
      </c>
      <c r="EL29" s="10" t="str">
        <f t="shared" si="106"/>
        <v xml:space="preserve"> </v>
      </c>
      <c r="EM29" s="10" t="str">
        <f t="shared" si="106"/>
        <v xml:space="preserve"> </v>
      </c>
      <c r="EP29" s="10" t="str">
        <f t="shared" si="107"/>
        <v xml:space="preserve"> </v>
      </c>
      <c r="EQ29" s="10" t="str">
        <f t="shared" si="107"/>
        <v xml:space="preserve"> </v>
      </c>
      <c r="ER29" s="10" t="str">
        <f t="shared" si="107"/>
        <v xml:space="preserve"> </v>
      </c>
      <c r="ES29" s="10" t="str">
        <f t="shared" si="107"/>
        <v xml:space="preserve"> </v>
      </c>
      <c r="ET29" s="10" t="str">
        <f t="shared" si="107"/>
        <v xml:space="preserve"> </v>
      </c>
      <c r="EW29" s="10" t="str">
        <f t="shared" si="108"/>
        <v xml:space="preserve"> </v>
      </c>
      <c r="EX29" s="10" t="str">
        <f t="shared" si="108"/>
        <v xml:space="preserve"> </v>
      </c>
      <c r="EY29" s="10" t="str">
        <f t="shared" si="108"/>
        <v xml:space="preserve"> </v>
      </c>
      <c r="EZ29" s="10" t="str">
        <f t="shared" si="108"/>
        <v xml:space="preserve"> </v>
      </c>
      <c r="FA29" s="10" t="str">
        <f t="shared" si="108"/>
        <v xml:space="preserve"> </v>
      </c>
      <c r="FD29" s="10" t="str">
        <f t="shared" si="109"/>
        <v xml:space="preserve"> </v>
      </c>
      <c r="FE29" s="10" t="str">
        <f t="shared" si="109"/>
        <v xml:space="preserve"> </v>
      </c>
      <c r="FF29" s="10" t="str">
        <f t="shared" si="109"/>
        <v xml:space="preserve"> </v>
      </c>
      <c r="FG29" s="10" t="str">
        <f t="shared" si="109"/>
        <v xml:space="preserve"> </v>
      </c>
      <c r="FH29" s="10" t="str">
        <f t="shared" si="109"/>
        <v xml:space="preserve"> </v>
      </c>
      <c r="FK29" s="10" t="str">
        <f t="shared" si="110"/>
        <v xml:space="preserve"> </v>
      </c>
      <c r="FL29" s="10" t="str">
        <f t="shared" si="110"/>
        <v xml:space="preserve"> </v>
      </c>
      <c r="FM29" s="10" t="str">
        <f t="shared" si="110"/>
        <v xml:space="preserve"> </v>
      </c>
      <c r="FN29" s="10" t="str">
        <f t="shared" si="110"/>
        <v xml:space="preserve"> </v>
      </c>
      <c r="FO29" s="10" t="str">
        <f t="shared" si="110"/>
        <v xml:space="preserve"> </v>
      </c>
      <c r="FR29" s="10" t="str">
        <f t="shared" si="111"/>
        <v xml:space="preserve"> </v>
      </c>
      <c r="FS29" s="10" t="str">
        <f t="shared" si="111"/>
        <v xml:space="preserve"> </v>
      </c>
      <c r="FT29" s="10" t="str">
        <f t="shared" si="111"/>
        <v xml:space="preserve"> </v>
      </c>
      <c r="FU29" s="10" t="str">
        <f t="shared" si="111"/>
        <v xml:space="preserve"> </v>
      </c>
      <c r="FV29" s="10" t="str">
        <f t="shared" si="111"/>
        <v xml:space="preserve"> </v>
      </c>
      <c r="FY29" s="10" t="str">
        <f t="shared" si="112"/>
        <v xml:space="preserve"> </v>
      </c>
      <c r="FZ29" s="10" t="str">
        <f t="shared" si="112"/>
        <v xml:space="preserve"> </v>
      </c>
      <c r="GA29" s="10" t="str">
        <f t="shared" si="112"/>
        <v xml:space="preserve"> </v>
      </c>
      <c r="GB29" s="10" t="str">
        <f t="shared" si="112"/>
        <v xml:space="preserve"> </v>
      </c>
      <c r="GC29" s="10" t="str">
        <f t="shared" si="112"/>
        <v xml:space="preserve"> </v>
      </c>
      <c r="GF29" s="10" t="str">
        <f t="shared" si="113"/>
        <v xml:space="preserve"> </v>
      </c>
      <c r="GG29" s="10" t="str">
        <f t="shared" si="113"/>
        <v xml:space="preserve"> </v>
      </c>
      <c r="GH29" s="10" t="str">
        <f t="shared" si="113"/>
        <v xml:space="preserve"> </v>
      </c>
      <c r="GI29" s="10" t="str">
        <f t="shared" si="113"/>
        <v xml:space="preserve"> </v>
      </c>
      <c r="GJ29" s="10" t="str">
        <f t="shared" si="113"/>
        <v xml:space="preserve"> </v>
      </c>
      <c r="GM29" s="10" t="str">
        <f t="shared" si="114"/>
        <v xml:space="preserve"> </v>
      </c>
      <c r="GN29" s="10" t="str">
        <f t="shared" si="114"/>
        <v xml:space="preserve"> </v>
      </c>
      <c r="GO29" s="10" t="str">
        <f t="shared" si="114"/>
        <v xml:space="preserve"> </v>
      </c>
      <c r="GP29" s="10" t="str">
        <f t="shared" si="114"/>
        <v xml:space="preserve"> </v>
      </c>
      <c r="GQ29" s="10" t="str">
        <f t="shared" si="114"/>
        <v xml:space="preserve"> </v>
      </c>
      <c r="GT29" s="10" t="str">
        <f t="shared" si="115"/>
        <v xml:space="preserve"> </v>
      </c>
      <c r="GU29" s="10" t="str">
        <f t="shared" si="115"/>
        <v xml:space="preserve"> </v>
      </c>
      <c r="GV29" s="10" t="str">
        <f t="shared" si="115"/>
        <v xml:space="preserve"> </v>
      </c>
      <c r="GW29" s="10" t="str">
        <f t="shared" si="115"/>
        <v xml:space="preserve"> </v>
      </c>
      <c r="GX29" s="10" t="str">
        <f t="shared" si="115"/>
        <v xml:space="preserve"> </v>
      </c>
      <c r="HA29" s="10" t="str">
        <f t="shared" si="116"/>
        <v xml:space="preserve"> </v>
      </c>
      <c r="HB29" s="10" t="str">
        <f t="shared" si="116"/>
        <v xml:space="preserve"> </v>
      </c>
      <c r="HC29" s="10" t="str">
        <f t="shared" si="116"/>
        <v xml:space="preserve"> </v>
      </c>
      <c r="HD29" s="10" t="str">
        <f t="shared" si="116"/>
        <v xml:space="preserve"> </v>
      </c>
      <c r="HE29" s="10" t="str">
        <f t="shared" si="116"/>
        <v xml:space="preserve"> </v>
      </c>
      <c r="HH29" s="10" t="str">
        <f t="shared" si="117"/>
        <v xml:space="preserve"> </v>
      </c>
      <c r="HI29" s="10" t="str">
        <f t="shared" si="117"/>
        <v xml:space="preserve"> </v>
      </c>
      <c r="HJ29" s="10" t="str">
        <f t="shared" si="117"/>
        <v xml:space="preserve"> </v>
      </c>
      <c r="HK29" s="10" t="str">
        <f t="shared" si="117"/>
        <v xml:space="preserve"> </v>
      </c>
      <c r="HL29" s="10" t="str">
        <f t="shared" si="117"/>
        <v xml:space="preserve"> </v>
      </c>
      <c r="HO29" s="10" t="str">
        <f t="shared" si="118"/>
        <v xml:space="preserve"> </v>
      </c>
      <c r="HP29" s="10" t="str">
        <f t="shared" si="118"/>
        <v xml:space="preserve"> </v>
      </c>
      <c r="HQ29" s="10" t="str">
        <f t="shared" si="118"/>
        <v xml:space="preserve"> </v>
      </c>
      <c r="HR29" s="10" t="str">
        <f t="shared" si="118"/>
        <v xml:space="preserve"> </v>
      </c>
      <c r="HS29" s="10" t="str">
        <f t="shared" si="118"/>
        <v xml:space="preserve"> </v>
      </c>
      <c r="HV29" s="10" t="str">
        <f t="shared" si="119"/>
        <v xml:space="preserve"> </v>
      </c>
      <c r="HW29" s="10" t="str">
        <f t="shared" si="119"/>
        <v xml:space="preserve"> </v>
      </c>
      <c r="HX29" s="10" t="str">
        <f t="shared" si="119"/>
        <v xml:space="preserve"> </v>
      </c>
      <c r="HY29" s="10" t="str">
        <f t="shared" si="119"/>
        <v xml:space="preserve"> </v>
      </c>
      <c r="HZ29" s="10" t="str">
        <f t="shared" si="119"/>
        <v xml:space="preserve"> </v>
      </c>
      <c r="IC29" s="10" t="str">
        <f t="shared" si="120"/>
        <v xml:space="preserve"> </v>
      </c>
      <c r="ID29" s="10" t="str">
        <f t="shared" si="120"/>
        <v xml:space="preserve"> </v>
      </c>
      <c r="IE29" s="10" t="str">
        <f t="shared" si="120"/>
        <v xml:space="preserve"> </v>
      </c>
      <c r="IF29" s="10" t="str">
        <f t="shared" si="120"/>
        <v xml:space="preserve"> </v>
      </c>
      <c r="IG29" s="10" t="str">
        <f t="shared" si="120"/>
        <v xml:space="preserve"> </v>
      </c>
      <c r="IJ29" s="10" t="str">
        <f t="shared" si="121"/>
        <v xml:space="preserve"> </v>
      </c>
      <c r="IK29" s="10" t="str">
        <f t="shared" si="121"/>
        <v xml:space="preserve"> </v>
      </c>
      <c r="IL29" s="10" t="str">
        <f t="shared" si="121"/>
        <v xml:space="preserve"> </v>
      </c>
      <c r="IM29" s="10" t="str">
        <f t="shared" si="121"/>
        <v xml:space="preserve"> </v>
      </c>
      <c r="IN29" s="10" t="str">
        <f t="shared" si="121"/>
        <v xml:space="preserve"> </v>
      </c>
      <c r="IQ29" s="10" t="str">
        <f t="shared" si="122"/>
        <v xml:space="preserve"> </v>
      </c>
      <c r="IR29" s="10" t="str">
        <f t="shared" si="122"/>
        <v xml:space="preserve"> </v>
      </c>
      <c r="IS29" s="10" t="str">
        <f t="shared" si="122"/>
        <v xml:space="preserve"> </v>
      </c>
      <c r="IT29" s="10" t="str">
        <f t="shared" si="122"/>
        <v xml:space="preserve"> </v>
      </c>
      <c r="IU29" s="10" t="str">
        <f t="shared" si="122"/>
        <v xml:space="preserve"> </v>
      </c>
      <c r="IX29" s="10" t="str">
        <f t="shared" si="123"/>
        <v xml:space="preserve"> </v>
      </c>
      <c r="IY29" s="10" t="str">
        <f t="shared" si="123"/>
        <v xml:space="preserve"> </v>
      </c>
      <c r="IZ29" s="10" t="str">
        <f t="shared" si="123"/>
        <v xml:space="preserve"> </v>
      </c>
      <c r="JA29" s="10" t="str">
        <f t="shared" si="123"/>
        <v xml:space="preserve"> </v>
      </c>
      <c r="JB29" s="10" t="str">
        <f t="shared" si="123"/>
        <v xml:space="preserve"> </v>
      </c>
      <c r="JE29" s="10" t="str">
        <f t="shared" si="124"/>
        <v xml:space="preserve"> </v>
      </c>
      <c r="JF29" s="10" t="str">
        <f t="shared" si="124"/>
        <v xml:space="preserve"> </v>
      </c>
      <c r="JG29" s="10" t="str">
        <f t="shared" si="124"/>
        <v xml:space="preserve"> </v>
      </c>
      <c r="JH29" s="10" t="str">
        <f t="shared" si="124"/>
        <v xml:space="preserve"> </v>
      </c>
      <c r="JI29" s="10" t="str">
        <f t="shared" si="124"/>
        <v xml:space="preserve"> </v>
      </c>
    </row>
    <row r="30" spans="1:269">
      <c r="A30" s="96"/>
      <c r="B30" s="10">
        <v>22</v>
      </c>
      <c r="C30" s="11" t="s">
        <v>47</v>
      </c>
      <c r="D30" s="11" t="s">
        <v>39</v>
      </c>
      <c r="E30" s="10">
        <v>20</v>
      </c>
      <c r="F30" s="12">
        <f t="shared" si="87"/>
        <v>42535</v>
      </c>
      <c r="G30" s="12">
        <f>WORKDAY(F30,H30-1,Config!D29:D48)</f>
        <v>42536</v>
      </c>
      <c r="H30" s="10">
        <v>2</v>
      </c>
      <c r="I30" s="13">
        <v>0</v>
      </c>
      <c r="J30" s="13">
        <f ca="1">IF(((NETWORKDAYS(F30,TODAY(),Data!C25:C44)*100)/H30)/100 &gt; 0,((NETWORKDAYS(F30,TODAY(),Data!C25:C44)*100)/H30)/100,0)</f>
        <v>822</v>
      </c>
      <c r="K30" s="13" t="str">
        <f t="shared" ca="1" si="127"/>
        <v>100%</v>
      </c>
      <c r="L30" s="13">
        <f t="shared" ca="1" si="128"/>
        <v>1</v>
      </c>
      <c r="M30" s="10" t="str">
        <f t="shared" si="88"/>
        <v xml:space="preserve"> </v>
      </c>
      <c r="N30" s="10" t="str">
        <f t="shared" si="88"/>
        <v xml:space="preserve"> </v>
      </c>
      <c r="O30" s="10" t="str">
        <f t="shared" si="88"/>
        <v xml:space="preserve"> </v>
      </c>
      <c r="P30" s="10" t="str">
        <f t="shared" si="88"/>
        <v xml:space="preserve"> </v>
      </c>
      <c r="Q30" s="10" t="str">
        <f t="shared" si="88"/>
        <v xml:space="preserve"> </v>
      </c>
      <c r="R30" s="14"/>
      <c r="S30" s="14"/>
      <c r="T30" s="10" t="str">
        <f t="shared" si="89"/>
        <v xml:space="preserve"> </v>
      </c>
      <c r="U30" s="10" t="str">
        <f t="shared" si="89"/>
        <v xml:space="preserve"> </v>
      </c>
      <c r="V30" s="10" t="str">
        <f t="shared" si="89"/>
        <v xml:space="preserve"> </v>
      </c>
      <c r="W30" s="10" t="str">
        <f t="shared" si="89"/>
        <v xml:space="preserve"> </v>
      </c>
      <c r="X30" s="10" t="str">
        <f t="shared" si="89"/>
        <v xml:space="preserve"> </v>
      </c>
      <c r="Y30" s="14"/>
      <c r="Z30" s="14"/>
      <c r="AA30" s="10" t="str">
        <f t="shared" si="90"/>
        <v xml:space="preserve"> </v>
      </c>
      <c r="AB30" s="10" t="str">
        <f t="shared" si="90"/>
        <v xml:space="preserve"> </v>
      </c>
      <c r="AC30" s="10" t="str">
        <f t="shared" si="90"/>
        <v xml:space="preserve"> </v>
      </c>
      <c r="AD30" s="10" t="str">
        <f t="shared" si="90"/>
        <v xml:space="preserve"> </v>
      </c>
      <c r="AE30" s="10" t="str">
        <f t="shared" si="90"/>
        <v xml:space="preserve"> </v>
      </c>
      <c r="AF30" s="14"/>
      <c r="AG30" s="14"/>
      <c r="AH30" s="10" t="str">
        <f t="shared" si="91"/>
        <v xml:space="preserve"> </v>
      </c>
      <c r="AI30" s="10" t="str">
        <f t="shared" si="91"/>
        <v xml:space="preserve"> </v>
      </c>
      <c r="AJ30" s="10" t="str">
        <f t="shared" si="91"/>
        <v xml:space="preserve"> </v>
      </c>
      <c r="AK30" s="10" t="str">
        <f t="shared" si="91"/>
        <v xml:space="preserve"> </v>
      </c>
      <c r="AL30" s="10" t="str">
        <f t="shared" si="91"/>
        <v xml:space="preserve"> </v>
      </c>
      <c r="AM30" s="14"/>
      <c r="AN30" s="14"/>
      <c r="AO30" s="10" t="str">
        <f t="shared" si="92"/>
        <v xml:space="preserve"> </v>
      </c>
      <c r="AP30" s="10" t="str">
        <f t="shared" si="92"/>
        <v xml:space="preserve"> </v>
      </c>
      <c r="AQ30" s="10" t="str">
        <f t="shared" si="92"/>
        <v xml:space="preserve"> </v>
      </c>
      <c r="AR30" s="10" t="str">
        <f t="shared" si="92"/>
        <v xml:space="preserve"> </v>
      </c>
      <c r="AS30" s="10" t="str">
        <f t="shared" si="92"/>
        <v xml:space="preserve"> </v>
      </c>
      <c r="AT30" s="14"/>
      <c r="AU30" s="14"/>
      <c r="AV30" s="10" t="str">
        <f t="shared" si="93"/>
        <v xml:space="preserve"> </v>
      </c>
      <c r="AW30" s="10" t="str">
        <f t="shared" si="93"/>
        <v xml:space="preserve"> </v>
      </c>
      <c r="AX30" s="10" t="str">
        <f t="shared" si="93"/>
        <v xml:space="preserve"> </v>
      </c>
      <c r="AY30" s="10" t="str">
        <f t="shared" si="93"/>
        <v xml:space="preserve"> </v>
      </c>
      <c r="AZ30" s="10" t="str">
        <f t="shared" si="93"/>
        <v xml:space="preserve"> </v>
      </c>
      <c r="BA30" s="14"/>
      <c r="BB30" s="14"/>
      <c r="BC30" s="10" t="str">
        <f t="shared" si="94"/>
        <v xml:space="preserve"> </v>
      </c>
      <c r="BD30" s="10" t="str">
        <f t="shared" si="94"/>
        <v xml:space="preserve"> </v>
      </c>
      <c r="BE30" s="10" t="str">
        <f t="shared" si="94"/>
        <v xml:space="preserve"> </v>
      </c>
      <c r="BF30" s="10" t="str">
        <f t="shared" si="94"/>
        <v xml:space="preserve"> </v>
      </c>
      <c r="BG30" s="10" t="str">
        <f t="shared" si="94"/>
        <v xml:space="preserve"> </v>
      </c>
      <c r="BH30" s="14"/>
      <c r="BI30" s="14"/>
      <c r="BJ30" s="10" t="str">
        <f t="shared" si="95"/>
        <v xml:space="preserve"> </v>
      </c>
      <c r="BK30" s="10" t="str">
        <f t="shared" si="95"/>
        <v xml:space="preserve"> </v>
      </c>
      <c r="BL30" s="10" t="str">
        <f t="shared" si="95"/>
        <v xml:space="preserve"> </v>
      </c>
      <c r="BM30" s="10" t="str">
        <f t="shared" si="95"/>
        <v xml:space="preserve"> </v>
      </c>
      <c r="BN30" s="10" t="str">
        <f t="shared" si="95"/>
        <v xml:space="preserve"> </v>
      </c>
      <c r="BO30" s="14"/>
      <c r="BP30" s="14"/>
      <c r="BQ30" s="10" t="str">
        <f t="shared" si="96"/>
        <v xml:space="preserve"> </v>
      </c>
      <c r="BR30" s="10" t="str">
        <f t="shared" si="96"/>
        <v xml:space="preserve"> </v>
      </c>
      <c r="BS30" s="10" t="str">
        <f t="shared" si="96"/>
        <v xml:space="preserve"> </v>
      </c>
      <c r="BT30" s="10" t="str">
        <f t="shared" si="96"/>
        <v xml:space="preserve"> </v>
      </c>
      <c r="BU30" s="10" t="str">
        <f t="shared" si="96"/>
        <v xml:space="preserve"> </v>
      </c>
      <c r="BV30" s="14"/>
      <c r="BW30" s="14"/>
      <c r="BX30" s="10" t="str">
        <f t="shared" si="97"/>
        <v xml:space="preserve"> </v>
      </c>
      <c r="BY30" s="10" t="str">
        <f t="shared" si="97"/>
        <v xml:space="preserve"> </v>
      </c>
      <c r="BZ30" s="10" t="str">
        <f t="shared" si="97"/>
        <v xml:space="preserve"> </v>
      </c>
      <c r="CA30" s="10" t="str">
        <f t="shared" si="97"/>
        <v xml:space="preserve"> </v>
      </c>
      <c r="CB30" s="10" t="str">
        <f t="shared" si="97"/>
        <v xml:space="preserve"> </v>
      </c>
      <c r="CC30" s="14"/>
      <c r="CD30" s="14"/>
      <c r="CE30" s="10" t="str">
        <f t="shared" si="98"/>
        <v xml:space="preserve"> </v>
      </c>
      <c r="CF30" s="10" t="str">
        <f t="shared" si="98"/>
        <v xml:space="preserve"> </v>
      </c>
      <c r="CG30" s="10" t="str">
        <f t="shared" si="98"/>
        <v xml:space="preserve"> </v>
      </c>
      <c r="CH30" s="10" t="str">
        <f t="shared" si="98"/>
        <v xml:space="preserve"> </v>
      </c>
      <c r="CI30" s="10" t="str">
        <f t="shared" si="98"/>
        <v xml:space="preserve"> </v>
      </c>
      <c r="CJ30" s="14"/>
      <c r="CK30" s="14"/>
      <c r="CL30" s="10" t="str">
        <f t="shared" si="99"/>
        <v xml:space="preserve"> </v>
      </c>
      <c r="CM30" s="10" t="str">
        <f t="shared" si="99"/>
        <v xml:space="preserve"> </v>
      </c>
      <c r="CN30" s="10" t="str">
        <f t="shared" si="99"/>
        <v xml:space="preserve"> </v>
      </c>
      <c r="CO30" s="10" t="str">
        <f t="shared" si="99"/>
        <v xml:space="preserve"> </v>
      </c>
      <c r="CP30" s="10" t="str">
        <f t="shared" si="99"/>
        <v xml:space="preserve"> </v>
      </c>
      <c r="CQ30" s="14"/>
      <c r="CR30" s="14"/>
      <c r="CS30" s="10" t="str">
        <f t="shared" si="100"/>
        <v xml:space="preserve"> </v>
      </c>
      <c r="CT30" s="10" t="str">
        <f t="shared" si="100"/>
        <v xml:space="preserve"> </v>
      </c>
      <c r="CU30" s="10" t="str">
        <f t="shared" si="100"/>
        <v xml:space="preserve"> </v>
      </c>
      <c r="CV30" s="10" t="str">
        <f t="shared" si="100"/>
        <v xml:space="preserve"> </v>
      </c>
      <c r="CW30" s="10" t="str">
        <f t="shared" si="100"/>
        <v xml:space="preserve"> </v>
      </c>
      <c r="CZ30" s="10" t="str">
        <f t="shared" si="101"/>
        <v xml:space="preserve"> </v>
      </c>
      <c r="DA30" s="10" t="str">
        <f t="shared" si="101"/>
        <v xml:space="preserve"> </v>
      </c>
      <c r="DB30" s="10" t="str">
        <f t="shared" si="101"/>
        <v xml:space="preserve"> </v>
      </c>
      <c r="DC30" s="10" t="str">
        <f t="shared" si="101"/>
        <v xml:space="preserve"> </v>
      </c>
      <c r="DD30" s="10" t="str">
        <f t="shared" si="101"/>
        <v xml:space="preserve"> </v>
      </c>
      <c r="DG30" s="10" t="str">
        <f t="shared" si="102"/>
        <v xml:space="preserve"> </v>
      </c>
      <c r="DH30" s="10" t="str">
        <f t="shared" si="102"/>
        <v xml:space="preserve"> </v>
      </c>
      <c r="DI30" s="10" t="str">
        <f t="shared" si="102"/>
        <v xml:space="preserve"> </v>
      </c>
      <c r="DJ30" s="10" t="str">
        <f t="shared" si="102"/>
        <v xml:space="preserve"> </v>
      </c>
      <c r="DK30" s="10" t="str">
        <f t="shared" si="102"/>
        <v xml:space="preserve"> </v>
      </c>
      <c r="DN30" s="10" t="str">
        <f t="shared" si="103"/>
        <v xml:space="preserve"> </v>
      </c>
      <c r="DO30" s="10" t="str">
        <f t="shared" si="103"/>
        <v xml:space="preserve"> </v>
      </c>
      <c r="DP30" s="10" t="str">
        <f t="shared" si="103"/>
        <v xml:space="preserve"> </v>
      </c>
      <c r="DQ30" s="10" t="str">
        <f t="shared" si="103"/>
        <v xml:space="preserve"> </v>
      </c>
      <c r="DR30" s="10" t="str">
        <f t="shared" si="103"/>
        <v xml:space="preserve"> </v>
      </c>
      <c r="DU30" s="10" t="str">
        <f t="shared" si="104"/>
        <v xml:space="preserve"> </v>
      </c>
      <c r="DV30" s="10" t="str">
        <f t="shared" si="104"/>
        <v xml:space="preserve"> </v>
      </c>
      <c r="DW30" s="10" t="str">
        <f t="shared" si="104"/>
        <v xml:space="preserve"> </v>
      </c>
      <c r="DX30" s="10" t="str">
        <f t="shared" si="104"/>
        <v xml:space="preserve"> </v>
      </c>
      <c r="DY30" s="10" t="str">
        <f t="shared" si="104"/>
        <v xml:space="preserve"> </v>
      </c>
      <c r="EB30" s="10" t="str">
        <f t="shared" si="105"/>
        <v xml:space="preserve"> </v>
      </c>
      <c r="EC30" s="10" t="str">
        <f t="shared" si="105"/>
        <v xml:space="preserve"> </v>
      </c>
      <c r="ED30" s="10" t="str">
        <f t="shared" si="105"/>
        <v xml:space="preserve"> </v>
      </c>
      <c r="EE30" s="10" t="str">
        <f t="shared" si="105"/>
        <v xml:space="preserve"> </v>
      </c>
      <c r="EF30" s="10" t="str">
        <f t="shared" si="105"/>
        <v xml:space="preserve"> </v>
      </c>
      <c r="EI30" s="10" t="str">
        <f t="shared" si="106"/>
        <v xml:space="preserve"> </v>
      </c>
      <c r="EJ30" s="10" t="str">
        <f t="shared" si="106"/>
        <v xml:space="preserve"> </v>
      </c>
      <c r="EK30" s="10" t="str">
        <f t="shared" si="106"/>
        <v xml:space="preserve"> </v>
      </c>
      <c r="EL30" s="10" t="str">
        <f t="shared" si="106"/>
        <v xml:space="preserve"> </v>
      </c>
      <c r="EM30" s="10" t="str">
        <f t="shared" si="106"/>
        <v xml:space="preserve"> </v>
      </c>
      <c r="EP30" s="10" t="str">
        <f t="shared" si="107"/>
        <v xml:space="preserve"> </v>
      </c>
      <c r="EQ30" s="10" t="str">
        <f t="shared" si="107"/>
        <v xml:space="preserve"> </v>
      </c>
      <c r="ER30" s="10" t="str">
        <f t="shared" si="107"/>
        <v xml:space="preserve"> </v>
      </c>
      <c r="ES30" s="10" t="str">
        <f t="shared" si="107"/>
        <v xml:space="preserve"> </v>
      </c>
      <c r="ET30" s="10" t="str">
        <f t="shared" si="107"/>
        <v xml:space="preserve"> </v>
      </c>
      <c r="EW30" s="10" t="str">
        <f t="shared" si="108"/>
        <v xml:space="preserve"> </v>
      </c>
      <c r="EX30" s="10" t="str">
        <f t="shared" si="108"/>
        <v xml:space="preserve"> </v>
      </c>
      <c r="EY30" s="10" t="str">
        <f t="shared" si="108"/>
        <v xml:space="preserve"> </v>
      </c>
      <c r="EZ30" s="10" t="str">
        <f t="shared" si="108"/>
        <v xml:space="preserve"> </v>
      </c>
      <c r="FA30" s="10" t="str">
        <f t="shared" si="108"/>
        <v xml:space="preserve"> </v>
      </c>
      <c r="FD30" s="10" t="str">
        <f t="shared" si="109"/>
        <v xml:space="preserve"> </v>
      </c>
      <c r="FE30" s="10" t="str">
        <f t="shared" si="109"/>
        <v xml:space="preserve"> </v>
      </c>
      <c r="FF30" s="10" t="str">
        <f t="shared" si="109"/>
        <v xml:space="preserve"> </v>
      </c>
      <c r="FG30" s="10" t="str">
        <f t="shared" si="109"/>
        <v xml:space="preserve"> </v>
      </c>
      <c r="FH30" s="10" t="str">
        <f t="shared" si="109"/>
        <v xml:space="preserve"> </v>
      </c>
      <c r="FK30" s="10" t="str">
        <f t="shared" si="110"/>
        <v xml:space="preserve"> </v>
      </c>
      <c r="FL30" s="10" t="str">
        <f t="shared" si="110"/>
        <v xml:space="preserve"> </v>
      </c>
      <c r="FM30" s="10" t="str">
        <f t="shared" si="110"/>
        <v xml:space="preserve"> </v>
      </c>
      <c r="FN30" s="10" t="str">
        <f t="shared" si="110"/>
        <v xml:space="preserve"> </v>
      </c>
      <c r="FO30" s="10" t="str">
        <f t="shared" si="110"/>
        <v xml:space="preserve"> </v>
      </c>
      <c r="FR30" s="10" t="str">
        <f t="shared" si="111"/>
        <v xml:space="preserve"> </v>
      </c>
      <c r="FS30" s="10" t="str">
        <f t="shared" si="111"/>
        <v xml:space="preserve"> </v>
      </c>
      <c r="FT30" s="10" t="str">
        <f t="shared" si="111"/>
        <v xml:space="preserve"> </v>
      </c>
      <c r="FU30" s="10" t="str">
        <f t="shared" si="111"/>
        <v xml:space="preserve"> </v>
      </c>
      <c r="FV30" s="10" t="str">
        <f t="shared" si="111"/>
        <v xml:space="preserve"> </v>
      </c>
      <c r="FY30" s="10" t="str">
        <f t="shared" si="112"/>
        <v xml:space="preserve"> </v>
      </c>
      <c r="FZ30" s="10" t="str">
        <f t="shared" si="112"/>
        <v xml:space="preserve"> </v>
      </c>
      <c r="GA30" s="10" t="str">
        <f t="shared" si="112"/>
        <v xml:space="preserve"> </v>
      </c>
      <c r="GB30" s="10" t="str">
        <f t="shared" si="112"/>
        <v xml:space="preserve"> </v>
      </c>
      <c r="GC30" s="10" t="str">
        <f t="shared" si="112"/>
        <v xml:space="preserve"> </v>
      </c>
      <c r="GF30" s="10" t="str">
        <f t="shared" si="113"/>
        <v xml:space="preserve"> </v>
      </c>
      <c r="GG30" s="10" t="str">
        <f t="shared" si="113"/>
        <v xml:space="preserve"> </v>
      </c>
      <c r="GH30" s="10" t="str">
        <f t="shared" si="113"/>
        <v xml:space="preserve"> </v>
      </c>
      <c r="GI30" s="10" t="str">
        <f t="shared" si="113"/>
        <v xml:space="preserve"> </v>
      </c>
      <c r="GJ30" s="10" t="str">
        <f t="shared" si="113"/>
        <v xml:space="preserve"> </v>
      </c>
      <c r="GM30" s="10" t="str">
        <f t="shared" si="114"/>
        <v xml:space="preserve"> </v>
      </c>
      <c r="GN30" s="10" t="str">
        <f t="shared" si="114"/>
        <v xml:space="preserve"> </v>
      </c>
      <c r="GO30" s="10" t="str">
        <f t="shared" si="114"/>
        <v xml:space="preserve"> </v>
      </c>
      <c r="GP30" s="10" t="str">
        <f t="shared" si="114"/>
        <v xml:space="preserve"> </v>
      </c>
      <c r="GQ30" s="10" t="str">
        <f t="shared" si="114"/>
        <v xml:space="preserve"> </v>
      </c>
      <c r="GT30" s="10" t="str">
        <f t="shared" si="115"/>
        <v xml:space="preserve"> </v>
      </c>
      <c r="GU30" s="10" t="str">
        <f t="shared" si="115"/>
        <v xml:space="preserve"> </v>
      </c>
      <c r="GV30" s="10" t="str">
        <f t="shared" si="115"/>
        <v xml:space="preserve"> </v>
      </c>
      <c r="GW30" s="10" t="str">
        <f t="shared" si="115"/>
        <v xml:space="preserve"> </v>
      </c>
      <c r="GX30" s="10" t="str">
        <f t="shared" si="115"/>
        <v xml:space="preserve"> </v>
      </c>
      <c r="HA30" s="10" t="str">
        <f t="shared" si="116"/>
        <v xml:space="preserve"> </v>
      </c>
      <c r="HB30" s="10" t="str">
        <f t="shared" si="116"/>
        <v xml:space="preserve"> </v>
      </c>
      <c r="HC30" s="10" t="str">
        <f t="shared" si="116"/>
        <v xml:space="preserve"> </v>
      </c>
      <c r="HD30" s="10" t="str">
        <f t="shared" si="116"/>
        <v xml:space="preserve"> </v>
      </c>
      <c r="HE30" s="10" t="str">
        <f t="shared" si="116"/>
        <v xml:space="preserve"> </v>
      </c>
      <c r="HH30" s="10" t="str">
        <f t="shared" si="117"/>
        <v xml:space="preserve"> </v>
      </c>
      <c r="HI30" s="10" t="str">
        <f t="shared" si="117"/>
        <v xml:space="preserve"> </v>
      </c>
      <c r="HJ30" s="10" t="str">
        <f t="shared" si="117"/>
        <v xml:space="preserve"> </v>
      </c>
      <c r="HK30" s="10" t="str">
        <f t="shared" si="117"/>
        <v xml:space="preserve"> </v>
      </c>
      <c r="HL30" s="10" t="str">
        <f t="shared" si="117"/>
        <v xml:space="preserve"> </v>
      </c>
      <c r="HO30" s="10" t="str">
        <f t="shared" si="118"/>
        <v xml:space="preserve"> </v>
      </c>
      <c r="HP30" s="10" t="str">
        <f t="shared" si="118"/>
        <v xml:space="preserve"> </v>
      </c>
      <c r="HQ30" s="10" t="str">
        <f t="shared" si="118"/>
        <v xml:space="preserve"> </v>
      </c>
      <c r="HR30" s="10" t="str">
        <f t="shared" si="118"/>
        <v xml:space="preserve"> </v>
      </c>
      <c r="HS30" s="10" t="str">
        <f t="shared" si="118"/>
        <v xml:space="preserve"> </v>
      </c>
      <c r="HV30" s="10" t="str">
        <f t="shared" si="119"/>
        <v xml:space="preserve"> </v>
      </c>
      <c r="HW30" s="10" t="str">
        <f t="shared" si="119"/>
        <v xml:space="preserve"> </v>
      </c>
      <c r="HX30" s="10" t="str">
        <f t="shared" si="119"/>
        <v xml:space="preserve"> </v>
      </c>
      <c r="HY30" s="10" t="str">
        <f t="shared" si="119"/>
        <v xml:space="preserve"> </v>
      </c>
      <c r="HZ30" s="10" t="str">
        <f t="shared" si="119"/>
        <v xml:space="preserve"> </v>
      </c>
      <c r="IC30" s="10" t="str">
        <f t="shared" si="120"/>
        <v xml:space="preserve"> </v>
      </c>
      <c r="ID30" s="10" t="str">
        <f t="shared" si="120"/>
        <v xml:space="preserve"> </v>
      </c>
      <c r="IE30" s="10" t="str">
        <f t="shared" si="120"/>
        <v xml:space="preserve"> </v>
      </c>
      <c r="IF30" s="10" t="str">
        <f t="shared" si="120"/>
        <v xml:space="preserve"> </v>
      </c>
      <c r="IG30" s="10" t="str">
        <f t="shared" si="120"/>
        <v xml:space="preserve"> </v>
      </c>
      <c r="IJ30" s="10" t="str">
        <f t="shared" si="121"/>
        <v xml:space="preserve"> </v>
      </c>
      <c r="IK30" s="10" t="str">
        <f t="shared" si="121"/>
        <v xml:space="preserve"> </v>
      </c>
      <c r="IL30" s="10" t="str">
        <f t="shared" si="121"/>
        <v xml:space="preserve"> </v>
      </c>
      <c r="IM30" s="10" t="str">
        <f t="shared" si="121"/>
        <v xml:space="preserve"> </v>
      </c>
      <c r="IN30" s="10" t="str">
        <f t="shared" si="121"/>
        <v xml:space="preserve"> </v>
      </c>
      <c r="IQ30" s="10" t="str">
        <f t="shared" si="122"/>
        <v xml:space="preserve"> </v>
      </c>
      <c r="IR30" s="10" t="str">
        <f t="shared" si="122"/>
        <v xml:space="preserve"> </v>
      </c>
      <c r="IS30" s="10" t="str">
        <f t="shared" si="122"/>
        <v xml:space="preserve"> </v>
      </c>
      <c r="IT30" s="10" t="str">
        <f t="shared" si="122"/>
        <v xml:space="preserve"> </v>
      </c>
      <c r="IU30" s="10" t="str">
        <f t="shared" si="122"/>
        <v xml:space="preserve"> </v>
      </c>
      <c r="IX30" s="10" t="str">
        <f t="shared" si="123"/>
        <v xml:space="preserve"> </v>
      </c>
      <c r="IY30" s="10" t="str">
        <f t="shared" si="123"/>
        <v xml:space="preserve"> </v>
      </c>
      <c r="IZ30" s="10" t="str">
        <f t="shared" si="123"/>
        <v xml:space="preserve"> </v>
      </c>
      <c r="JA30" s="10" t="str">
        <f t="shared" si="123"/>
        <v xml:space="preserve"> </v>
      </c>
      <c r="JB30" s="10" t="str">
        <f t="shared" si="123"/>
        <v xml:space="preserve"> </v>
      </c>
      <c r="JE30" s="10" t="str">
        <f t="shared" si="124"/>
        <v xml:space="preserve"> </v>
      </c>
      <c r="JF30" s="10" t="str">
        <f t="shared" si="124"/>
        <v xml:space="preserve"> </v>
      </c>
      <c r="JG30" s="10" t="str">
        <f t="shared" si="124"/>
        <v xml:space="preserve"> </v>
      </c>
      <c r="JH30" s="10" t="str">
        <f t="shared" si="124"/>
        <v xml:space="preserve"> </v>
      </c>
      <c r="JI30" s="10" t="str">
        <f t="shared" si="124"/>
        <v xml:space="preserve"> </v>
      </c>
    </row>
    <row r="31" spans="1:269">
      <c r="A31" s="96"/>
      <c r="B31" s="10">
        <v>23</v>
      </c>
      <c r="C31" s="11" t="s">
        <v>48</v>
      </c>
      <c r="D31" s="11" t="s">
        <v>39</v>
      </c>
      <c r="E31" s="10">
        <v>21</v>
      </c>
      <c r="F31" s="12">
        <f t="shared" si="87"/>
        <v>42551</v>
      </c>
      <c r="G31" s="12">
        <f>WORKDAY(F31,H31-1,Config!D30:D49)</f>
        <v>42552</v>
      </c>
      <c r="H31" s="10">
        <v>2</v>
      </c>
      <c r="I31" s="13">
        <v>0</v>
      </c>
      <c r="J31" s="13">
        <f ca="1">IF(((NETWORKDAYS(F31,TODAY(),Data!C26:C45)*100)/H31)/100 &gt; 0,((NETWORKDAYS(F31,TODAY(),Data!C26:C45)*100)/H31)/100,0)</f>
        <v>816</v>
      </c>
      <c r="K31" s="13" t="str">
        <f t="shared" ca="1" si="127"/>
        <v>100%</v>
      </c>
      <c r="L31" s="13">
        <f t="shared" ca="1" si="128"/>
        <v>1</v>
      </c>
      <c r="M31" s="10" t="str">
        <f t="shared" si="88"/>
        <v xml:space="preserve"> </v>
      </c>
      <c r="N31" s="10" t="str">
        <f t="shared" si="88"/>
        <v xml:space="preserve"> </v>
      </c>
      <c r="O31" s="10" t="str">
        <f t="shared" si="88"/>
        <v xml:space="preserve"> </v>
      </c>
      <c r="P31" s="10" t="str">
        <f t="shared" si="88"/>
        <v xml:space="preserve"> </v>
      </c>
      <c r="Q31" s="10" t="str">
        <f t="shared" si="88"/>
        <v xml:space="preserve"> </v>
      </c>
      <c r="R31" s="14"/>
      <c r="S31" s="14"/>
      <c r="T31" s="10" t="str">
        <f t="shared" si="89"/>
        <v xml:space="preserve"> </v>
      </c>
      <c r="U31" s="10" t="str">
        <f t="shared" si="89"/>
        <v xml:space="preserve"> </v>
      </c>
      <c r="V31" s="10" t="str">
        <f t="shared" si="89"/>
        <v xml:space="preserve"> </v>
      </c>
      <c r="W31" s="10" t="str">
        <f t="shared" si="89"/>
        <v xml:space="preserve"> </v>
      </c>
      <c r="X31" s="10" t="str">
        <f t="shared" si="89"/>
        <v xml:space="preserve"> </v>
      </c>
      <c r="Y31" s="14"/>
      <c r="Z31" s="14"/>
      <c r="AA31" s="10" t="str">
        <f t="shared" si="90"/>
        <v xml:space="preserve"> </v>
      </c>
      <c r="AB31" s="10" t="str">
        <f t="shared" si="90"/>
        <v xml:space="preserve"> </v>
      </c>
      <c r="AC31" s="10" t="str">
        <f t="shared" si="90"/>
        <v xml:space="preserve"> </v>
      </c>
      <c r="AD31" s="10" t="str">
        <f t="shared" si="90"/>
        <v xml:space="preserve"> </v>
      </c>
      <c r="AE31" s="10" t="str">
        <f t="shared" si="90"/>
        <v xml:space="preserve"> </v>
      </c>
      <c r="AF31" s="14"/>
      <c r="AG31" s="14"/>
      <c r="AH31" s="10" t="str">
        <f t="shared" si="91"/>
        <v xml:space="preserve"> </v>
      </c>
      <c r="AI31" s="10" t="str">
        <f t="shared" si="91"/>
        <v xml:space="preserve"> </v>
      </c>
      <c r="AJ31" s="10" t="str">
        <f t="shared" si="91"/>
        <v xml:space="preserve"> </v>
      </c>
      <c r="AK31" s="10" t="str">
        <f t="shared" si="91"/>
        <v xml:space="preserve"> </v>
      </c>
      <c r="AL31" s="10" t="str">
        <f t="shared" si="91"/>
        <v xml:space="preserve"> </v>
      </c>
      <c r="AM31" s="14"/>
      <c r="AN31" s="14"/>
      <c r="AO31" s="10" t="str">
        <f t="shared" si="92"/>
        <v xml:space="preserve"> </v>
      </c>
      <c r="AP31" s="10" t="str">
        <f t="shared" si="92"/>
        <v xml:space="preserve"> </v>
      </c>
      <c r="AQ31" s="10" t="str">
        <f t="shared" si="92"/>
        <v xml:space="preserve"> </v>
      </c>
      <c r="AR31" s="10" t="str">
        <f t="shared" si="92"/>
        <v xml:space="preserve"> </v>
      </c>
      <c r="AS31" s="10" t="str">
        <f t="shared" si="92"/>
        <v xml:space="preserve"> </v>
      </c>
      <c r="AT31" s="14"/>
      <c r="AU31" s="14"/>
      <c r="AV31" s="10" t="str">
        <f t="shared" si="93"/>
        <v xml:space="preserve"> </v>
      </c>
      <c r="AW31" s="10" t="str">
        <f t="shared" si="93"/>
        <v xml:space="preserve"> </v>
      </c>
      <c r="AX31" s="10" t="str">
        <f t="shared" si="93"/>
        <v xml:space="preserve"> </v>
      </c>
      <c r="AY31" s="10" t="str">
        <f t="shared" si="93"/>
        <v xml:space="preserve"> </v>
      </c>
      <c r="AZ31" s="10" t="str">
        <f t="shared" si="93"/>
        <v xml:space="preserve"> </v>
      </c>
      <c r="BA31" s="14"/>
      <c r="BB31" s="14"/>
      <c r="BC31" s="10" t="str">
        <f t="shared" si="94"/>
        <v xml:space="preserve"> </v>
      </c>
      <c r="BD31" s="10" t="str">
        <f t="shared" si="94"/>
        <v xml:space="preserve"> </v>
      </c>
      <c r="BE31" s="10" t="str">
        <f t="shared" si="94"/>
        <v xml:space="preserve"> </v>
      </c>
      <c r="BF31" s="10" t="str">
        <f t="shared" si="94"/>
        <v xml:space="preserve"> </v>
      </c>
      <c r="BG31" s="10" t="str">
        <f t="shared" si="94"/>
        <v xml:space="preserve"> </v>
      </c>
      <c r="BH31" s="14"/>
      <c r="BI31" s="14"/>
      <c r="BJ31" s="10" t="str">
        <f t="shared" si="95"/>
        <v xml:space="preserve"> </v>
      </c>
      <c r="BK31" s="10" t="str">
        <f t="shared" si="95"/>
        <v xml:space="preserve"> </v>
      </c>
      <c r="BL31" s="10" t="str">
        <f t="shared" si="95"/>
        <v xml:space="preserve"> </v>
      </c>
      <c r="BM31" s="10" t="str">
        <f t="shared" si="95"/>
        <v xml:space="preserve"> </v>
      </c>
      <c r="BN31" s="10" t="str">
        <f t="shared" si="95"/>
        <v xml:space="preserve"> </v>
      </c>
      <c r="BO31" s="14"/>
      <c r="BP31" s="14"/>
      <c r="BQ31" s="10" t="str">
        <f t="shared" si="96"/>
        <v>.</v>
      </c>
      <c r="BR31" s="10" t="str">
        <f t="shared" si="96"/>
        <v>.</v>
      </c>
      <c r="BS31" s="10" t="str">
        <f t="shared" si="96"/>
        <v xml:space="preserve"> </v>
      </c>
      <c r="BT31" s="10" t="str">
        <f t="shared" si="96"/>
        <v xml:space="preserve"> </v>
      </c>
      <c r="BU31" s="10" t="str">
        <f t="shared" si="96"/>
        <v xml:space="preserve"> </v>
      </c>
      <c r="BV31" s="14"/>
      <c r="BW31" s="14"/>
      <c r="BX31" s="10" t="str">
        <f t="shared" si="97"/>
        <v xml:space="preserve"> </v>
      </c>
      <c r="BY31" s="10" t="str">
        <f t="shared" si="97"/>
        <v xml:space="preserve"> </v>
      </c>
      <c r="BZ31" s="10" t="str">
        <f t="shared" si="97"/>
        <v xml:space="preserve"> </v>
      </c>
      <c r="CA31" s="10" t="str">
        <f t="shared" si="97"/>
        <v xml:space="preserve"> </v>
      </c>
      <c r="CB31" s="10" t="str">
        <f t="shared" si="97"/>
        <v xml:space="preserve"> </v>
      </c>
      <c r="CC31" s="14"/>
      <c r="CD31" s="14"/>
      <c r="CE31" s="10" t="str">
        <f t="shared" si="98"/>
        <v xml:space="preserve"> </v>
      </c>
      <c r="CF31" s="10" t="str">
        <f t="shared" si="98"/>
        <v xml:space="preserve"> </v>
      </c>
      <c r="CG31" s="10" t="str">
        <f t="shared" si="98"/>
        <v xml:space="preserve"> </v>
      </c>
      <c r="CH31" s="10" t="str">
        <f t="shared" si="98"/>
        <v xml:space="preserve"> </v>
      </c>
      <c r="CI31" s="10" t="str">
        <f t="shared" si="98"/>
        <v xml:space="preserve"> </v>
      </c>
      <c r="CJ31" s="14"/>
      <c r="CK31" s="14"/>
      <c r="CL31" s="10" t="str">
        <f t="shared" si="99"/>
        <v xml:space="preserve"> </v>
      </c>
      <c r="CM31" s="10" t="str">
        <f t="shared" si="99"/>
        <v xml:space="preserve"> </v>
      </c>
      <c r="CN31" s="10" t="str">
        <f t="shared" si="99"/>
        <v xml:space="preserve"> </v>
      </c>
      <c r="CO31" s="10" t="str">
        <f t="shared" si="99"/>
        <v xml:space="preserve"> </v>
      </c>
      <c r="CP31" s="10" t="str">
        <f t="shared" si="99"/>
        <v xml:space="preserve"> </v>
      </c>
      <c r="CQ31" s="14"/>
      <c r="CR31" s="14"/>
      <c r="CS31" s="10" t="str">
        <f t="shared" si="100"/>
        <v xml:space="preserve"> </v>
      </c>
      <c r="CT31" s="10" t="str">
        <f t="shared" si="100"/>
        <v xml:space="preserve"> </v>
      </c>
      <c r="CU31" s="10" t="str">
        <f t="shared" si="100"/>
        <v xml:space="preserve"> </v>
      </c>
      <c r="CV31" s="10" t="str">
        <f t="shared" si="100"/>
        <v xml:space="preserve"> </v>
      </c>
      <c r="CW31" s="10" t="str">
        <f t="shared" si="100"/>
        <v xml:space="preserve"> </v>
      </c>
      <c r="CZ31" s="10" t="str">
        <f t="shared" si="101"/>
        <v xml:space="preserve"> </v>
      </c>
      <c r="DA31" s="10" t="str">
        <f t="shared" si="101"/>
        <v xml:space="preserve"> </v>
      </c>
      <c r="DB31" s="10" t="str">
        <f t="shared" si="101"/>
        <v xml:space="preserve"> </v>
      </c>
      <c r="DC31" s="10" t="str">
        <f t="shared" si="101"/>
        <v xml:space="preserve"> </v>
      </c>
      <c r="DD31" s="10" t="str">
        <f t="shared" si="101"/>
        <v xml:space="preserve"> </v>
      </c>
      <c r="DG31" s="10" t="str">
        <f t="shared" si="102"/>
        <v xml:space="preserve"> </v>
      </c>
      <c r="DH31" s="10" t="str">
        <f t="shared" si="102"/>
        <v xml:space="preserve"> </v>
      </c>
      <c r="DI31" s="10" t="str">
        <f t="shared" si="102"/>
        <v xml:space="preserve"> </v>
      </c>
      <c r="DJ31" s="10" t="str">
        <f t="shared" si="102"/>
        <v xml:space="preserve"> </v>
      </c>
      <c r="DK31" s="10" t="str">
        <f t="shared" si="102"/>
        <v xml:space="preserve"> </v>
      </c>
      <c r="DN31" s="10" t="str">
        <f t="shared" si="103"/>
        <v xml:space="preserve"> </v>
      </c>
      <c r="DO31" s="10" t="str">
        <f t="shared" si="103"/>
        <v xml:space="preserve"> </v>
      </c>
      <c r="DP31" s="10" t="str">
        <f t="shared" si="103"/>
        <v xml:space="preserve"> </v>
      </c>
      <c r="DQ31" s="10" t="str">
        <f t="shared" si="103"/>
        <v xml:space="preserve"> </v>
      </c>
      <c r="DR31" s="10" t="str">
        <f t="shared" si="103"/>
        <v xml:space="preserve"> </v>
      </c>
      <c r="DU31" s="10" t="str">
        <f t="shared" si="104"/>
        <v xml:space="preserve"> </v>
      </c>
      <c r="DV31" s="10" t="str">
        <f t="shared" si="104"/>
        <v xml:space="preserve"> </v>
      </c>
      <c r="DW31" s="10" t="str">
        <f t="shared" si="104"/>
        <v xml:space="preserve"> </v>
      </c>
      <c r="DX31" s="10" t="str">
        <f t="shared" si="104"/>
        <v xml:space="preserve"> </v>
      </c>
      <c r="DY31" s="10" t="str">
        <f t="shared" si="104"/>
        <v xml:space="preserve"> </v>
      </c>
      <c r="EB31" s="10" t="str">
        <f t="shared" si="105"/>
        <v xml:space="preserve"> </v>
      </c>
      <c r="EC31" s="10" t="str">
        <f t="shared" si="105"/>
        <v xml:space="preserve"> </v>
      </c>
      <c r="ED31" s="10" t="str">
        <f t="shared" si="105"/>
        <v xml:space="preserve"> </v>
      </c>
      <c r="EE31" s="10" t="str">
        <f t="shared" si="105"/>
        <v xml:space="preserve"> </v>
      </c>
      <c r="EF31" s="10" t="str">
        <f t="shared" si="105"/>
        <v xml:space="preserve"> </v>
      </c>
      <c r="EI31" s="10" t="str">
        <f t="shared" si="106"/>
        <v xml:space="preserve"> </v>
      </c>
      <c r="EJ31" s="10" t="str">
        <f t="shared" si="106"/>
        <v xml:space="preserve"> </v>
      </c>
      <c r="EK31" s="10" t="str">
        <f t="shared" si="106"/>
        <v xml:space="preserve"> </v>
      </c>
      <c r="EL31" s="10" t="str">
        <f t="shared" si="106"/>
        <v xml:space="preserve"> </v>
      </c>
      <c r="EM31" s="10" t="str">
        <f t="shared" si="106"/>
        <v xml:space="preserve"> </v>
      </c>
      <c r="EP31" s="10" t="str">
        <f t="shared" si="107"/>
        <v xml:space="preserve"> </v>
      </c>
      <c r="EQ31" s="10" t="str">
        <f t="shared" si="107"/>
        <v xml:space="preserve"> </v>
      </c>
      <c r="ER31" s="10" t="str">
        <f t="shared" si="107"/>
        <v xml:space="preserve"> </v>
      </c>
      <c r="ES31" s="10" t="str">
        <f t="shared" si="107"/>
        <v xml:space="preserve"> </v>
      </c>
      <c r="ET31" s="10" t="str">
        <f t="shared" si="107"/>
        <v xml:space="preserve"> </v>
      </c>
      <c r="EW31" s="10" t="str">
        <f t="shared" si="108"/>
        <v xml:space="preserve"> </v>
      </c>
      <c r="EX31" s="10" t="str">
        <f t="shared" si="108"/>
        <v xml:space="preserve"> </v>
      </c>
      <c r="EY31" s="10" t="str">
        <f t="shared" si="108"/>
        <v xml:space="preserve"> </v>
      </c>
      <c r="EZ31" s="10" t="str">
        <f t="shared" si="108"/>
        <v xml:space="preserve"> </v>
      </c>
      <c r="FA31" s="10" t="str">
        <f t="shared" si="108"/>
        <v xml:space="preserve"> </v>
      </c>
      <c r="FD31" s="10" t="str">
        <f t="shared" si="109"/>
        <v xml:space="preserve"> </v>
      </c>
      <c r="FE31" s="10" t="str">
        <f t="shared" si="109"/>
        <v xml:space="preserve"> </v>
      </c>
      <c r="FF31" s="10" t="str">
        <f t="shared" si="109"/>
        <v xml:space="preserve"> </v>
      </c>
      <c r="FG31" s="10" t="str">
        <f t="shared" si="109"/>
        <v xml:space="preserve"> </v>
      </c>
      <c r="FH31" s="10" t="str">
        <f t="shared" si="109"/>
        <v xml:space="preserve"> </v>
      </c>
      <c r="FK31" s="10" t="str">
        <f t="shared" si="110"/>
        <v xml:space="preserve"> </v>
      </c>
      <c r="FL31" s="10" t="str">
        <f t="shared" si="110"/>
        <v xml:space="preserve"> </v>
      </c>
      <c r="FM31" s="10" t="str">
        <f t="shared" si="110"/>
        <v xml:space="preserve"> </v>
      </c>
      <c r="FN31" s="10" t="str">
        <f t="shared" si="110"/>
        <v xml:space="preserve"> </v>
      </c>
      <c r="FO31" s="10" t="str">
        <f t="shared" si="110"/>
        <v xml:space="preserve"> </v>
      </c>
      <c r="FR31" s="10" t="str">
        <f t="shared" si="111"/>
        <v xml:space="preserve"> </v>
      </c>
      <c r="FS31" s="10" t="str">
        <f t="shared" si="111"/>
        <v xml:space="preserve"> </v>
      </c>
      <c r="FT31" s="10" t="str">
        <f t="shared" si="111"/>
        <v xml:space="preserve"> </v>
      </c>
      <c r="FU31" s="10" t="str">
        <f t="shared" si="111"/>
        <v xml:space="preserve"> </v>
      </c>
      <c r="FV31" s="10" t="str">
        <f t="shared" si="111"/>
        <v xml:space="preserve"> </v>
      </c>
      <c r="FY31" s="10" t="str">
        <f t="shared" si="112"/>
        <v xml:space="preserve"> </v>
      </c>
      <c r="FZ31" s="10" t="str">
        <f t="shared" si="112"/>
        <v xml:space="preserve"> </v>
      </c>
      <c r="GA31" s="10" t="str">
        <f t="shared" si="112"/>
        <v xml:space="preserve"> </v>
      </c>
      <c r="GB31" s="10" t="str">
        <f t="shared" si="112"/>
        <v xml:space="preserve"> </v>
      </c>
      <c r="GC31" s="10" t="str">
        <f t="shared" si="112"/>
        <v xml:space="preserve"> </v>
      </c>
      <c r="GF31" s="10" t="str">
        <f t="shared" si="113"/>
        <v xml:space="preserve"> </v>
      </c>
      <c r="GG31" s="10" t="str">
        <f t="shared" si="113"/>
        <v xml:space="preserve"> </v>
      </c>
      <c r="GH31" s="10" t="str">
        <f t="shared" si="113"/>
        <v xml:space="preserve"> </v>
      </c>
      <c r="GI31" s="10" t="str">
        <f t="shared" si="113"/>
        <v xml:space="preserve"> </v>
      </c>
      <c r="GJ31" s="10" t="str">
        <f t="shared" si="113"/>
        <v xml:space="preserve"> </v>
      </c>
      <c r="GM31" s="10" t="str">
        <f t="shared" si="114"/>
        <v xml:space="preserve"> </v>
      </c>
      <c r="GN31" s="10" t="str">
        <f t="shared" si="114"/>
        <v xml:space="preserve"> </v>
      </c>
      <c r="GO31" s="10" t="str">
        <f t="shared" si="114"/>
        <v xml:space="preserve"> </v>
      </c>
      <c r="GP31" s="10" t="str">
        <f t="shared" si="114"/>
        <v xml:space="preserve"> </v>
      </c>
      <c r="GQ31" s="10" t="str">
        <f t="shared" si="114"/>
        <v xml:space="preserve"> </v>
      </c>
      <c r="GT31" s="10" t="str">
        <f t="shared" si="115"/>
        <v xml:space="preserve"> </v>
      </c>
      <c r="GU31" s="10" t="str">
        <f t="shared" si="115"/>
        <v xml:space="preserve"> </v>
      </c>
      <c r="GV31" s="10" t="str">
        <f t="shared" si="115"/>
        <v xml:space="preserve"> </v>
      </c>
      <c r="GW31" s="10" t="str">
        <f t="shared" si="115"/>
        <v xml:space="preserve"> </v>
      </c>
      <c r="GX31" s="10" t="str">
        <f t="shared" si="115"/>
        <v xml:space="preserve"> </v>
      </c>
      <c r="HA31" s="10" t="str">
        <f t="shared" si="116"/>
        <v xml:space="preserve"> </v>
      </c>
      <c r="HB31" s="10" t="str">
        <f t="shared" si="116"/>
        <v xml:space="preserve"> </v>
      </c>
      <c r="HC31" s="10" t="str">
        <f t="shared" si="116"/>
        <v xml:space="preserve"> </v>
      </c>
      <c r="HD31" s="10" t="str">
        <f t="shared" si="116"/>
        <v xml:space="preserve"> </v>
      </c>
      <c r="HE31" s="10" t="str">
        <f t="shared" si="116"/>
        <v xml:space="preserve"> </v>
      </c>
      <c r="HH31" s="10" t="str">
        <f t="shared" si="117"/>
        <v xml:space="preserve"> </v>
      </c>
      <c r="HI31" s="10" t="str">
        <f t="shared" si="117"/>
        <v xml:space="preserve"> </v>
      </c>
      <c r="HJ31" s="10" t="str">
        <f t="shared" si="117"/>
        <v xml:space="preserve"> </v>
      </c>
      <c r="HK31" s="10" t="str">
        <f t="shared" si="117"/>
        <v xml:space="preserve"> </v>
      </c>
      <c r="HL31" s="10" t="str">
        <f t="shared" si="117"/>
        <v xml:space="preserve"> </v>
      </c>
      <c r="HO31" s="10" t="str">
        <f t="shared" si="118"/>
        <v xml:space="preserve"> </v>
      </c>
      <c r="HP31" s="10" t="str">
        <f t="shared" si="118"/>
        <v xml:space="preserve"> </v>
      </c>
      <c r="HQ31" s="10" t="str">
        <f t="shared" si="118"/>
        <v xml:space="preserve"> </v>
      </c>
      <c r="HR31" s="10" t="str">
        <f t="shared" si="118"/>
        <v xml:space="preserve"> </v>
      </c>
      <c r="HS31" s="10" t="str">
        <f t="shared" si="118"/>
        <v xml:space="preserve"> </v>
      </c>
      <c r="HV31" s="10" t="str">
        <f t="shared" si="119"/>
        <v xml:space="preserve"> </v>
      </c>
      <c r="HW31" s="10" t="str">
        <f t="shared" si="119"/>
        <v xml:space="preserve"> </v>
      </c>
      <c r="HX31" s="10" t="str">
        <f t="shared" si="119"/>
        <v xml:space="preserve"> </v>
      </c>
      <c r="HY31" s="10" t="str">
        <f t="shared" si="119"/>
        <v xml:space="preserve"> </v>
      </c>
      <c r="HZ31" s="10" t="str">
        <f t="shared" si="119"/>
        <v xml:space="preserve"> </v>
      </c>
      <c r="IC31" s="10" t="str">
        <f t="shared" si="120"/>
        <v xml:space="preserve"> </v>
      </c>
      <c r="ID31" s="10" t="str">
        <f t="shared" si="120"/>
        <v xml:space="preserve"> </v>
      </c>
      <c r="IE31" s="10" t="str">
        <f t="shared" si="120"/>
        <v xml:space="preserve"> </v>
      </c>
      <c r="IF31" s="10" t="str">
        <f t="shared" si="120"/>
        <v xml:space="preserve"> </v>
      </c>
      <c r="IG31" s="10" t="str">
        <f t="shared" si="120"/>
        <v xml:space="preserve"> </v>
      </c>
      <c r="IJ31" s="10" t="str">
        <f t="shared" si="121"/>
        <v xml:space="preserve"> </v>
      </c>
      <c r="IK31" s="10" t="str">
        <f t="shared" si="121"/>
        <v xml:space="preserve"> </v>
      </c>
      <c r="IL31" s="10" t="str">
        <f t="shared" si="121"/>
        <v xml:space="preserve"> </v>
      </c>
      <c r="IM31" s="10" t="str">
        <f t="shared" si="121"/>
        <v xml:space="preserve"> </v>
      </c>
      <c r="IN31" s="10" t="str">
        <f t="shared" si="121"/>
        <v xml:space="preserve"> </v>
      </c>
      <c r="IQ31" s="10" t="str">
        <f t="shared" si="122"/>
        <v xml:space="preserve"> </v>
      </c>
      <c r="IR31" s="10" t="str">
        <f t="shared" si="122"/>
        <v xml:space="preserve"> </v>
      </c>
      <c r="IS31" s="10" t="str">
        <f t="shared" si="122"/>
        <v xml:space="preserve"> </v>
      </c>
      <c r="IT31" s="10" t="str">
        <f t="shared" si="122"/>
        <v xml:space="preserve"> </v>
      </c>
      <c r="IU31" s="10" t="str">
        <f t="shared" si="122"/>
        <v xml:space="preserve"> </v>
      </c>
      <c r="IX31" s="10" t="str">
        <f t="shared" si="123"/>
        <v xml:space="preserve"> </v>
      </c>
      <c r="IY31" s="10" t="str">
        <f t="shared" si="123"/>
        <v xml:space="preserve"> </v>
      </c>
      <c r="IZ31" s="10" t="str">
        <f t="shared" si="123"/>
        <v xml:space="preserve"> </v>
      </c>
      <c r="JA31" s="10" t="str">
        <f t="shared" si="123"/>
        <v xml:space="preserve"> </v>
      </c>
      <c r="JB31" s="10" t="str">
        <f t="shared" si="123"/>
        <v xml:space="preserve"> </v>
      </c>
      <c r="JE31" s="10" t="str">
        <f t="shared" si="124"/>
        <v xml:space="preserve"> </v>
      </c>
      <c r="JF31" s="10" t="str">
        <f t="shared" si="124"/>
        <v xml:space="preserve"> </v>
      </c>
      <c r="JG31" s="10" t="str">
        <f t="shared" si="124"/>
        <v xml:space="preserve"> </v>
      </c>
      <c r="JH31" s="10" t="str">
        <f t="shared" si="124"/>
        <v xml:space="preserve"> </v>
      </c>
      <c r="JI31" s="10" t="str">
        <f t="shared" si="124"/>
        <v xml:space="preserve"> </v>
      </c>
    </row>
    <row r="32" spans="1:269">
      <c r="A32" s="96"/>
      <c r="B32" s="10">
        <v>24</v>
      </c>
      <c r="C32" s="11" t="s">
        <v>49</v>
      </c>
      <c r="D32" s="11" t="s">
        <v>39</v>
      </c>
      <c r="E32" s="10">
        <v>22</v>
      </c>
      <c r="F32" s="12">
        <f t="shared" si="87"/>
        <v>42537</v>
      </c>
      <c r="G32" s="12">
        <f>WORKDAY(F32,H32-1,Config!D31:D50)</f>
        <v>42538</v>
      </c>
      <c r="H32" s="10">
        <v>2</v>
      </c>
      <c r="I32" s="13">
        <v>1</v>
      </c>
      <c r="J32" s="13">
        <f ca="1">IF(((NETWORKDAYS(F32,TODAY(),Data!C27:C46)*100)/H32)/100 &gt; 0,((NETWORKDAYS(F32,TODAY(),Data!C27:C46)*100)/H32)/100,0)</f>
        <v>821</v>
      </c>
      <c r="K32" s="13" t="str">
        <f t="shared" ca="1" si="127"/>
        <v>100%</v>
      </c>
      <c r="L32" s="13">
        <f t="shared" ca="1" si="128"/>
        <v>0</v>
      </c>
      <c r="M32" s="10" t="str">
        <f t="shared" si="88"/>
        <v xml:space="preserve"> </v>
      </c>
      <c r="N32" s="10" t="str">
        <f t="shared" si="88"/>
        <v xml:space="preserve"> </v>
      </c>
      <c r="O32" s="10" t="str">
        <f t="shared" si="88"/>
        <v xml:space="preserve"> </v>
      </c>
      <c r="P32" s="10" t="str">
        <f t="shared" si="88"/>
        <v xml:space="preserve"> </v>
      </c>
      <c r="Q32" s="10" t="str">
        <f t="shared" si="88"/>
        <v xml:space="preserve"> </v>
      </c>
      <c r="R32" s="14"/>
      <c r="S32" s="14"/>
      <c r="T32" s="10" t="str">
        <f t="shared" si="89"/>
        <v xml:space="preserve"> </v>
      </c>
      <c r="U32" s="10" t="str">
        <f t="shared" si="89"/>
        <v xml:space="preserve"> </v>
      </c>
      <c r="V32" s="10" t="str">
        <f t="shared" si="89"/>
        <v xml:space="preserve"> </v>
      </c>
      <c r="W32" s="10" t="str">
        <f t="shared" si="89"/>
        <v xml:space="preserve"> </v>
      </c>
      <c r="X32" s="10" t="str">
        <f t="shared" si="89"/>
        <v xml:space="preserve"> </v>
      </c>
      <c r="Y32" s="14"/>
      <c r="Z32" s="14"/>
      <c r="AA32" s="10" t="str">
        <f t="shared" si="90"/>
        <v xml:space="preserve"> </v>
      </c>
      <c r="AB32" s="10" t="str">
        <f t="shared" si="90"/>
        <v xml:space="preserve"> </v>
      </c>
      <c r="AC32" s="10" t="str">
        <f t="shared" si="90"/>
        <v xml:space="preserve"> </v>
      </c>
      <c r="AD32" s="10" t="str">
        <f t="shared" si="90"/>
        <v xml:space="preserve"> </v>
      </c>
      <c r="AE32" s="10" t="str">
        <f t="shared" si="90"/>
        <v xml:space="preserve"> </v>
      </c>
      <c r="AF32" s="14"/>
      <c r="AG32" s="14"/>
      <c r="AH32" s="10" t="str">
        <f t="shared" si="91"/>
        <v xml:space="preserve"> </v>
      </c>
      <c r="AI32" s="10" t="str">
        <f t="shared" si="91"/>
        <v xml:space="preserve"> </v>
      </c>
      <c r="AJ32" s="10" t="str">
        <f t="shared" si="91"/>
        <v xml:space="preserve"> </v>
      </c>
      <c r="AK32" s="10" t="str">
        <f t="shared" si="91"/>
        <v xml:space="preserve"> </v>
      </c>
      <c r="AL32" s="10" t="str">
        <f t="shared" si="91"/>
        <v xml:space="preserve"> </v>
      </c>
      <c r="AM32" s="14"/>
      <c r="AN32" s="14"/>
      <c r="AO32" s="10" t="str">
        <f t="shared" si="92"/>
        <v xml:space="preserve"> </v>
      </c>
      <c r="AP32" s="10" t="str">
        <f t="shared" si="92"/>
        <v xml:space="preserve"> </v>
      </c>
      <c r="AQ32" s="10" t="str">
        <f t="shared" si="92"/>
        <v xml:space="preserve"> </v>
      </c>
      <c r="AR32" s="10" t="str">
        <f t="shared" si="92"/>
        <v xml:space="preserve"> </v>
      </c>
      <c r="AS32" s="10" t="str">
        <f t="shared" si="92"/>
        <v xml:space="preserve"> </v>
      </c>
      <c r="AT32" s="14"/>
      <c r="AU32" s="14"/>
      <c r="AV32" s="10" t="str">
        <f t="shared" si="93"/>
        <v xml:space="preserve"> </v>
      </c>
      <c r="AW32" s="10" t="str">
        <f t="shared" si="93"/>
        <v xml:space="preserve"> </v>
      </c>
      <c r="AX32" s="10" t="str">
        <f t="shared" si="93"/>
        <v xml:space="preserve"> </v>
      </c>
      <c r="AY32" s="10" t="str">
        <f t="shared" si="93"/>
        <v xml:space="preserve"> </v>
      </c>
      <c r="AZ32" s="10" t="str">
        <f t="shared" si="93"/>
        <v xml:space="preserve"> </v>
      </c>
      <c r="BA32" s="14"/>
      <c r="BB32" s="14"/>
      <c r="BC32" s="10" t="str">
        <f t="shared" si="94"/>
        <v>.</v>
      </c>
      <c r="BD32" s="10" t="str">
        <f t="shared" si="94"/>
        <v>.</v>
      </c>
      <c r="BE32" s="10" t="str">
        <f t="shared" si="94"/>
        <v xml:space="preserve"> </v>
      </c>
      <c r="BF32" s="10" t="str">
        <f t="shared" si="94"/>
        <v xml:space="preserve"> </v>
      </c>
      <c r="BG32" s="10" t="str">
        <f t="shared" si="94"/>
        <v xml:space="preserve"> </v>
      </c>
      <c r="BH32" s="14"/>
      <c r="BI32" s="14"/>
      <c r="BJ32" s="10" t="str">
        <f t="shared" si="95"/>
        <v xml:space="preserve"> </v>
      </c>
      <c r="BK32" s="10" t="str">
        <f t="shared" si="95"/>
        <v xml:space="preserve"> </v>
      </c>
      <c r="BL32" s="10" t="str">
        <f t="shared" si="95"/>
        <v xml:space="preserve"> </v>
      </c>
      <c r="BM32" s="10" t="str">
        <f t="shared" si="95"/>
        <v xml:space="preserve"> </v>
      </c>
      <c r="BN32" s="10" t="str">
        <f t="shared" si="95"/>
        <v xml:space="preserve"> </v>
      </c>
      <c r="BO32" s="14"/>
      <c r="BP32" s="14"/>
      <c r="BQ32" s="10" t="str">
        <f t="shared" si="96"/>
        <v xml:space="preserve"> </v>
      </c>
      <c r="BR32" s="10" t="str">
        <f t="shared" si="96"/>
        <v xml:space="preserve"> </v>
      </c>
      <c r="BS32" s="10" t="str">
        <f t="shared" si="96"/>
        <v xml:space="preserve"> </v>
      </c>
      <c r="BT32" s="10" t="str">
        <f t="shared" si="96"/>
        <v xml:space="preserve"> </v>
      </c>
      <c r="BU32" s="10" t="str">
        <f t="shared" si="96"/>
        <v xml:space="preserve"> </v>
      </c>
      <c r="BV32" s="14"/>
      <c r="BW32" s="14"/>
      <c r="BX32" s="10" t="str">
        <f t="shared" si="97"/>
        <v xml:space="preserve"> </v>
      </c>
      <c r="BY32" s="10" t="str">
        <f t="shared" si="97"/>
        <v xml:space="preserve"> </v>
      </c>
      <c r="BZ32" s="10" t="str">
        <f t="shared" si="97"/>
        <v xml:space="preserve"> </v>
      </c>
      <c r="CA32" s="10" t="str">
        <f t="shared" si="97"/>
        <v xml:space="preserve"> </v>
      </c>
      <c r="CB32" s="10" t="str">
        <f t="shared" si="97"/>
        <v xml:space="preserve"> </v>
      </c>
      <c r="CC32" s="14"/>
      <c r="CD32" s="14"/>
      <c r="CE32" s="10" t="str">
        <f t="shared" si="98"/>
        <v xml:space="preserve"> </v>
      </c>
      <c r="CF32" s="10" t="str">
        <f t="shared" si="98"/>
        <v xml:space="preserve"> </v>
      </c>
      <c r="CG32" s="10" t="str">
        <f t="shared" si="98"/>
        <v xml:space="preserve"> </v>
      </c>
      <c r="CH32" s="10" t="str">
        <f t="shared" si="98"/>
        <v xml:space="preserve"> </v>
      </c>
      <c r="CI32" s="10" t="str">
        <f t="shared" si="98"/>
        <v xml:space="preserve"> </v>
      </c>
      <c r="CJ32" s="14"/>
      <c r="CK32" s="14"/>
      <c r="CL32" s="10" t="str">
        <f t="shared" si="99"/>
        <v xml:space="preserve"> </v>
      </c>
      <c r="CM32" s="10" t="str">
        <f t="shared" si="99"/>
        <v xml:space="preserve"> </v>
      </c>
      <c r="CN32" s="10" t="str">
        <f t="shared" si="99"/>
        <v xml:space="preserve"> </v>
      </c>
      <c r="CO32" s="10" t="str">
        <f t="shared" si="99"/>
        <v xml:space="preserve"> </v>
      </c>
      <c r="CP32" s="10" t="str">
        <f t="shared" si="99"/>
        <v xml:space="preserve"> </v>
      </c>
      <c r="CQ32" s="14"/>
      <c r="CR32" s="14"/>
      <c r="CS32" s="10" t="str">
        <f t="shared" si="100"/>
        <v xml:space="preserve"> </v>
      </c>
      <c r="CT32" s="10" t="str">
        <f t="shared" si="100"/>
        <v xml:space="preserve"> </v>
      </c>
      <c r="CU32" s="10" t="str">
        <f t="shared" si="100"/>
        <v xml:space="preserve"> </v>
      </c>
      <c r="CV32" s="10" t="str">
        <f t="shared" si="100"/>
        <v xml:space="preserve"> </v>
      </c>
      <c r="CW32" s="10" t="str">
        <f t="shared" si="100"/>
        <v xml:space="preserve"> </v>
      </c>
      <c r="CZ32" s="10" t="str">
        <f t="shared" si="101"/>
        <v xml:space="preserve"> </v>
      </c>
      <c r="DA32" s="10" t="str">
        <f t="shared" si="101"/>
        <v xml:space="preserve"> </v>
      </c>
      <c r="DB32" s="10" t="str">
        <f t="shared" si="101"/>
        <v xml:space="preserve"> </v>
      </c>
      <c r="DC32" s="10" t="str">
        <f t="shared" si="101"/>
        <v xml:space="preserve"> </v>
      </c>
      <c r="DD32" s="10" t="str">
        <f t="shared" si="101"/>
        <v xml:space="preserve"> </v>
      </c>
      <c r="DG32" s="10" t="str">
        <f t="shared" si="102"/>
        <v xml:space="preserve"> </v>
      </c>
      <c r="DH32" s="10" t="str">
        <f t="shared" si="102"/>
        <v xml:space="preserve"> </v>
      </c>
      <c r="DI32" s="10" t="str">
        <f t="shared" si="102"/>
        <v xml:space="preserve"> </v>
      </c>
      <c r="DJ32" s="10" t="str">
        <f t="shared" si="102"/>
        <v xml:space="preserve"> </v>
      </c>
      <c r="DK32" s="10" t="str">
        <f t="shared" si="102"/>
        <v xml:space="preserve"> </v>
      </c>
      <c r="DN32" s="10" t="str">
        <f t="shared" si="103"/>
        <v xml:space="preserve"> </v>
      </c>
      <c r="DO32" s="10" t="str">
        <f t="shared" si="103"/>
        <v xml:space="preserve"> </v>
      </c>
      <c r="DP32" s="10" t="str">
        <f t="shared" si="103"/>
        <v xml:space="preserve"> </v>
      </c>
      <c r="DQ32" s="10" t="str">
        <f t="shared" si="103"/>
        <v xml:space="preserve"> </v>
      </c>
      <c r="DR32" s="10" t="str">
        <f t="shared" si="103"/>
        <v xml:space="preserve"> </v>
      </c>
      <c r="DU32" s="10" t="str">
        <f t="shared" si="104"/>
        <v xml:space="preserve"> </v>
      </c>
      <c r="DV32" s="10" t="str">
        <f t="shared" si="104"/>
        <v xml:space="preserve"> </v>
      </c>
      <c r="DW32" s="10" t="str">
        <f t="shared" si="104"/>
        <v xml:space="preserve"> </v>
      </c>
      <c r="DX32" s="10" t="str">
        <f t="shared" si="104"/>
        <v xml:space="preserve"> </v>
      </c>
      <c r="DY32" s="10" t="str">
        <f t="shared" si="104"/>
        <v xml:space="preserve"> </v>
      </c>
      <c r="EB32" s="10" t="str">
        <f t="shared" si="105"/>
        <v xml:space="preserve"> </v>
      </c>
      <c r="EC32" s="10" t="str">
        <f t="shared" si="105"/>
        <v xml:space="preserve"> </v>
      </c>
      <c r="ED32" s="10" t="str">
        <f t="shared" si="105"/>
        <v xml:space="preserve"> </v>
      </c>
      <c r="EE32" s="10" t="str">
        <f t="shared" si="105"/>
        <v xml:space="preserve"> </v>
      </c>
      <c r="EF32" s="10" t="str">
        <f t="shared" si="105"/>
        <v xml:space="preserve"> </v>
      </c>
      <c r="EI32" s="10" t="str">
        <f t="shared" si="106"/>
        <v xml:space="preserve"> </v>
      </c>
      <c r="EJ32" s="10" t="str">
        <f t="shared" si="106"/>
        <v xml:space="preserve"> </v>
      </c>
      <c r="EK32" s="10" t="str">
        <f t="shared" si="106"/>
        <v xml:space="preserve"> </v>
      </c>
      <c r="EL32" s="10" t="str">
        <f t="shared" si="106"/>
        <v xml:space="preserve"> </v>
      </c>
      <c r="EM32" s="10" t="str">
        <f t="shared" si="106"/>
        <v xml:space="preserve"> </v>
      </c>
      <c r="EP32" s="10" t="str">
        <f t="shared" si="107"/>
        <v xml:space="preserve"> </v>
      </c>
      <c r="EQ32" s="10" t="str">
        <f t="shared" si="107"/>
        <v xml:space="preserve"> </v>
      </c>
      <c r="ER32" s="10" t="str">
        <f t="shared" si="107"/>
        <v xml:space="preserve"> </v>
      </c>
      <c r="ES32" s="10" t="str">
        <f t="shared" si="107"/>
        <v xml:space="preserve"> </v>
      </c>
      <c r="ET32" s="10" t="str">
        <f t="shared" si="107"/>
        <v xml:space="preserve"> </v>
      </c>
      <c r="EW32" s="10" t="str">
        <f t="shared" si="108"/>
        <v xml:space="preserve"> </v>
      </c>
      <c r="EX32" s="10" t="str">
        <f t="shared" si="108"/>
        <v xml:space="preserve"> </v>
      </c>
      <c r="EY32" s="10" t="str">
        <f t="shared" si="108"/>
        <v xml:space="preserve"> </v>
      </c>
      <c r="EZ32" s="10" t="str">
        <f t="shared" si="108"/>
        <v xml:space="preserve"> </v>
      </c>
      <c r="FA32" s="10" t="str">
        <f t="shared" si="108"/>
        <v xml:space="preserve"> </v>
      </c>
      <c r="FD32" s="10" t="str">
        <f t="shared" si="109"/>
        <v xml:space="preserve"> </v>
      </c>
      <c r="FE32" s="10" t="str">
        <f t="shared" si="109"/>
        <v xml:space="preserve"> </v>
      </c>
      <c r="FF32" s="10" t="str">
        <f t="shared" si="109"/>
        <v xml:space="preserve"> </v>
      </c>
      <c r="FG32" s="10" t="str">
        <f t="shared" si="109"/>
        <v xml:space="preserve"> </v>
      </c>
      <c r="FH32" s="10" t="str">
        <f t="shared" si="109"/>
        <v xml:space="preserve"> </v>
      </c>
      <c r="FK32" s="10" t="str">
        <f t="shared" si="110"/>
        <v xml:space="preserve"> </v>
      </c>
      <c r="FL32" s="10" t="str">
        <f t="shared" si="110"/>
        <v xml:space="preserve"> </v>
      </c>
      <c r="FM32" s="10" t="str">
        <f t="shared" si="110"/>
        <v xml:space="preserve"> </v>
      </c>
      <c r="FN32" s="10" t="str">
        <f t="shared" si="110"/>
        <v xml:space="preserve"> </v>
      </c>
      <c r="FO32" s="10" t="str">
        <f t="shared" si="110"/>
        <v xml:space="preserve"> </v>
      </c>
      <c r="FR32" s="10" t="str">
        <f t="shared" si="111"/>
        <v xml:space="preserve"> </v>
      </c>
      <c r="FS32" s="10" t="str">
        <f t="shared" si="111"/>
        <v xml:space="preserve"> </v>
      </c>
      <c r="FT32" s="10" t="str">
        <f t="shared" si="111"/>
        <v xml:space="preserve"> </v>
      </c>
      <c r="FU32" s="10" t="str">
        <f t="shared" si="111"/>
        <v xml:space="preserve"> </v>
      </c>
      <c r="FV32" s="10" t="str">
        <f t="shared" si="111"/>
        <v xml:space="preserve"> </v>
      </c>
      <c r="FY32" s="10" t="str">
        <f t="shared" si="112"/>
        <v xml:space="preserve"> </v>
      </c>
      <c r="FZ32" s="10" t="str">
        <f t="shared" si="112"/>
        <v xml:space="preserve"> </v>
      </c>
      <c r="GA32" s="10" t="str">
        <f t="shared" si="112"/>
        <v xml:space="preserve"> </v>
      </c>
      <c r="GB32" s="10" t="str">
        <f t="shared" si="112"/>
        <v xml:space="preserve"> </v>
      </c>
      <c r="GC32" s="10" t="str">
        <f t="shared" si="112"/>
        <v xml:space="preserve"> </v>
      </c>
      <c r="GF32" s="10" t="str">
        <f t="shared" si="113"/>
        <v xml:space="preserve"> </v>
      </c>
      <c r="GG32" s="10" t="str">
        <f t="shared" si="113"/>
        <v xml:space="preserve"> </v>
      </c>
      <c r="GH32" s="10" t="str">
        <f t="shared" si="113"/>
        <v xml:space="preserve"> </v>
      </c>
      <c r="GI32" s="10" t="str">
        <f t="shared" si="113"/>
        <v xml:space="preserve"> </v>
      </c>
      <c r="GJ32" s="10" t="str">
        <f t="shared" si="113"/>
        <v xml:space="preserve"> </v>
      </c>
      <c r="GM32" s="10" t="str">
        <f t="shared" si="114"/>
        <v xml:space="preserve"> </v>
      </c>
      <c r="GN32" s="10" t="str">
        <f t="shared" si="114"/>
        <v xml:space="preserve"> </v>
      </c>
      <c r="GO32" s="10" t="str">
        <f t="shared" si="114"/>
        <v xml:space="preserve"> </v>
      </c>
      <c r="GP32" s="10" t="str">
        <f t="shared" si="114"/>
        <v xml:space="preserve"> </v>
      </c>
      <c r="GQ32" s="10" t="str">
        <f t="shared" si="114"/>
        <v xml:space="preserve"> </v>
      </c>
      <c r="GT32" s="10" t="str">
        <f t="shared" si="115"/>
        <v xml:space="preserve"> </v>
      </c>
      <c r="GU32" s="10" t="str">
        <f t="shared" si="115"/>
        <v xml:space="preserve"> </v>
      </c>
      <c r="GV32" s="10" t="str">
        <f t="shared" si="115"/>
        <v xml:space="preserve"> </v>
      </c>
      <c r="GW32" s="10" t="str">
        <f t="shared" si="115"/>
        <v xml:space="preserve"> </v>
      </c>
      <c r="GX32" s="10" t="str">
        <f t="shared" si="115"/>
        <v xml:space="preserve"> </v>
      </c>
      <c r="HA32" s="10" t="str">
        <f t="shared" si="116"/>
        <v xml:space="preserve"> </v>
      </c>
      <c r="HB32" s="10" t="str">
        <f t="shared" si="116"/>
        <v xml:space="preserve"> </v>
      </c>
      <c r="HC32" s="10" t="str">
        <f t="shared" si="116"/>
        <v xml:space="preserve"> </v>
      </c>
      <c r="HD32" s="10" t="str">
        <f t="shared" si="116"/>
        <v xml:space="preserve"> </v>
      </c>
      <c r="HE32" s="10" t="str">
        <f t="shared" si="116"/>
        <v xml:space="preserve"> </v>
      </c>
      <c r="HH32" s="10" t="str">
        <f t="shared" si="117"/>
        <v xml:space="preserve"> </v>
      </c>
      <c r="HI32" s="10" t="str">
        <f t="shared" si="117"/>
        <v xml:space="preserve"> </v>
      </c>
      <c r="HJ32" s="10" t="str">
        <f t="shared" si="117"/>
        <v xml:space="preserve"> </v>
      </c>
      <c r="HK32" s="10" t="str">
        <f t="shared" si="117"/>
        <v xml:space="preserve"> </v>
      </c>
      <c r="HL32" s="10" t="str">
        <f t="shared" si="117"/>
        <v xml:space="preserve"> </v>
      </c>
      <c r="HO32" s="10" t="str">
        <f t="shared" si="118"/>
        <v xml:space="preserve"> </v>
      </c>
      <c r="HP32" s="10" t="str">
        <f t="shared" si="118"/>
        <v xml:space="preserve"> </v>
      </c>
      <c r="HQ32" s="10" t="str">
        <f t="shared" si="118"/>
        <v xml:space="preserve"> </v>
      </c>
      <c r="HR32" s="10" t="str">
        <f t="shared" si="118"/>
        <v xml:space="preserve"> </v>
      </c>
      <c r="HS32" s="10" t="str">
        <f t="shared" si="118"/>
        <v xml:space="preserve"> </v>
      </c>
      <c r="HV32" s="10" t="str">
        <f t="shared" si="119"/>
        <v xml:space="preserve"> </v>
      </c>
      <c r="HW32" s="10" t="str">
        <f t="shared" si="119"/>
        <v xml:space="preserve"> </v>
      </c>
      <c r="HX32" s="10" t="str">
        <f t="shared" si="119"/>
        <v xml:space="preserve"> </v>
      </c>
      <c r="HY32" s="10" t="str">
        <f t="shared" si="119"/>
        <v xml:space="preserve"> </v>
      </c>
      <c r="HZ32" s="10" t="str">
        <f t="shared" si="119"/>
        <v xml:space="preserve"> </v>
      </c>
      <c r="IC32" s="10" t="str">
        <f t="shared" si="120"/>
        <v xml:space="preserve"> </v>
      </c>
      <c r="ID32" s="10" t="str">
        <f t="shared" si="120"/>
        <v xml:space="preserve"> </v>
      </c>
      <c r="IE32" s="10" t="str">
        <f t="shared" si="120"/>
        <v xml:space="preserve"> </v>
      </c>
      <c r="IF32" s="10" t="str">
        <f t="shared" si="120"/>
        <v xml:space="preserve"> </v>
      </c>
      <c r="IG32" s="10" t="str">
        <f t="shared" si="120"/>
        <v xml:space="preserve"> </v>
      </c>
      <c r="IJ32" s="10" t="str">
        <f t="shared" si="121"/>
        <v xml:space="preserve"> </v>
      </c>
      <c r="IK32" s="10" t="str">
        <f t="shared" si="121"/>
        <v xml:space="preserve"> </v>
      </c>
      <c r="IL32" s="10" t="str">
        <f t="shared" si="121"/>
        <v xml:space="preserve"> </v>
      </c>
      <c r="IM32" s="10" t="str">
        <f t="shared" si="121"/>
        <v xml:space="preserve"> </v>
      </c>
      <c r="IN32" s="10" t="str">
        <f t="shared" si="121"/>
        <v xml:space="preserve"> </v>
      </c>
      <c r="IQ32" s="10" t="str">
        <f t="shared" si="122"/>
        <v xml:space="preserve"> </v>
      </c>
      <c r="IR32" s="10" t="str">
        <f t="shared" si="122"/>
        <v xml:space="preserve"> </v>
      </c>
      <c r="IS32" s="10" t="str">
        <f t="shared" si="122"/>
        <v xml:space="preserve"> </v>
      </c>
      <c r="IT32" s="10" t="str">
        <f t="shared" si="122"/>
        <v xml:space="preserve"> </v>
      </c>
      <c r="IU32" s="10" t="str">
        <f t="shared" si="122"/>
        <v xml:space="preserve"> </v>
      </c>
      <c r="IX32" s="10" t="str">
        <f t="shared" si="123"/>
        <v xml:space="preserve"> </v>
      </c>
      <c r="IY32" s="10" t="str">
        <f t="shared" si="123"/>
        <v xml:space="preserve"> </v>
      </c>
      <c r="IZ32" s="10" t="str">
        <f t="shared" si="123"/>
        <v xml:space="preserve"> </v>
      </c>
      <c r="JA32" s="10" t="str">
        <f t="shared" si="123"/>
        <v xml:space="preserve"> </v>
      </c>
      <c r="JB32" s="10" t="str">
        <f t="shared" si="123"/>
        <v xml:space="preserve"> </v>
      </c>
      <c r="JE32" s="10" t="str">
        <f t="shared" si="124"/>
        <v xml:space="preserve"> </v>
      </c>
      <c r="JF32" s="10" t="str">
        <f t="shared" si="124"/>
        <v xml:space="preserve"> </v>
      </c>
      <c r="JG32" s="10" t="str">
        <f t="shared" si="124"/>
        <v xml:space="preserve"> </v>
      </c>
      <c r="JH32" s="10" t="str">
        <f t="shared" si="124"/>
        <v xml:space="preserve"> </v>
      </c>
      <c r="JI32" s="10" t="str">
        <f t="shared" si="124"/>
        <v xml:space="preserve"> </v>
      </c>
    </row>
    <row r="33" spans="1:269">
      <c r="A33" s="96"/>
      <c r="B33" s="10">
        <v>25</v>
      </c>
      <c r="C33" s="11" t="s">
        <v>50</v>
      </c>
      <c r="D33" s="11" t="s">
        <v>39</v>
      </c>
      <c r="E33" s="10">
        <v>23</v>
      </c>
      <c r="F33" s="12">
        <f t="shared" si="87"/>
        <v>42553</v>
      </c>
      <c r="G33" s="12">
        <f>WORKDAY(F33,H33-1,Config!D32:D51)</f>
        <v>42557</v>
      </c>
      <c r="H33" s="10">
        <v>4</v>
      </c>
      <c r="I33" s="13">
        <v>0.45</v>
      </c>
      <c r="J33" s="13">
        <f ca="1">IF(((NETWORKDAYS(F33,TODAY(),Data!C28:C47)*100)/H33)/100 &gt; 0,((NETWORKDAYS(F33,TODAY(),Data!C28:C47)*100)/H33)/100,0)</f>
        <v>407.5</v>
      </c>
      <c r="K33" s="13" t="str">
        <f t="shared" ca="1" si="127"/>
        <v>100%</v>
      </c>
      <c r="L33" s="13">
        <f t="shared" ca="1" si="128"/>
        <v>0.55000000000000004</v>
      </c>
      <c r="M33" s="10" t="str">
        <f t="shared" si="88"/>
        <v xml:space="preserve"> </v>
      </c>
      <c r="N33" s="10" t="str">
        <f t="shared" si="88"/>
        <v xml:space="preserve"> </v>
      </c>
      <c r="O33" s="10" t="str">
        <f t="shared" si="88"/>
        <v xml:space="preserve"> </v>
      </c>
      <c r="P33" s="10" t="str">
        <f t="shared" si="88"/>
        <v xml:space="preserve"> </v>
      </c>
      <c r="Q33" s="10" t="str">
        <f t="shared" si="88"/>
        <v xml:space="preserve"> </v>
      </c>
      <c r="R33" s="14"/>
      <c r="S33" s="14"/>
      <c r="T33" s="10" t="str">
        <f t="shared" si="89"/>
        <v xml:space="preserve"> </v>
      </c>
      <c r="U33" s="10" t="str">
        <f t="shared" si="89"/>
        <v xml:space="preserve"> </v>
      </c>
      <c r="V33" s="10" t="str">
        <f t="shared" si="89"/>
        <v xml:space="preserve"> </v>
      </c>
      <c r="W33" s="10" t="str">
        <f t="shared" si="89"/>
        <v xml:space="preserve"> </v>
      </c>
      <c r="X33" s="10" t="str">
        <f t="shared" si="89"/>
        <v xml:space="preserve"> </v>
      </c>
      <c r="Y33" s="14"/>
      <c r="Z33" s="14"/>
      <c r="AA33" s="10" t="str">
        <f t="shared" si="90"/>
        <v xml:space="preserve"> </v>
      </c>
      <c r="AB33" s="10" t="str">
        <f t="shared" si="90"/>
        <v xml:space="preserve"> </v>
      </c>
      <c r="AC33" s="10" t="str">
        <f t="shared" si="90"/>
        <v xml:space="preserve"> </v>
      </c>
      <c r="AD33" s="10" t="str">
        <f t="shared" si="90"/>
        <v xml:space="preserve"> </v>
      </c>
      <c r="AE33" s="10" t="str">
        <f t="shared" si="90"/>
        <v xml:space="preserve"> </v>
      </c>
      <c r="AF33" s="14"/>
      <c r="AG33" s="14"/>
      <c r="AH33" s="10" t="str">
        <f t="shared" si="91"/>
        <v xml:space="preserve"> </v>
      </c>
      <c r="AI33" s="10" t="str">
        <f t="shared" si="91"/>
        <v xml:space="preserve"> </v>
      </c>
      <c r="AJ33" s="10" t="str">
        <f t="shared" si="91"/>
        <v xml:space="preserve"> </v>
      </c>
      <c r="AK33" s="10" t="str">
        <f t="shared" si="91"/>
        <v xml:space="preserve"> </v>
      </c>
      <c r="AL33" s="10" t="str">
        <f t="shared" si="91"/>
        <v xml:space="preserve"> </v>
      </c>
      <c r="AM33" s="14"/>
      <c r="AN33" s="14"/>
      <c r="AO33" s="10" t="str">
        <f t="shared" si="92"/>
        <v xml:space="preserve"> </v>
      </c>
      <c r="AP33" s="10" t="str">
        <f t="shared" si="92"/>
        <v xml:space="preserve"> </v>
      </c>
      <c r="AQ33" s="10" t="str">
        <f t="shared" si="92"/>
        <v xml:space="preserve"> </v>
      </c>
      <c r="AR33" s="10" t="str">
        <f t="shared" si="92"/>
        <v xml:space="preserve"> </v>
      </c>
      <c r="AS33" s="10" t="str">
        <f t="shared" si="92"/>
        <v xml:space="preserve"> </v>
      </c>
      <c r="AT33" s="14"/>
      <c r="AU33" s="14"/>
      <c r="AV33" s="10" t="str">
        <f t="shared" si="93"/>
        <v xml:space="preserve"> </v>
      </c>
      <c r="AW33" s="10" t="str">
        <f t="shared" si="93"/>
        <v xml:space="preserve"> </v>
      </c>
      <c r="AX33" s="10" t="str">
        <f t="shared" si="93"/>
        <v xml:space="preserve"> </v>
      </c>
      <c r="AY33" s="10" t="str">
        <f t="shared" si="93"/>
        <v xml:space="preserve"> </v>
      </c>
      <c r="AZ33" s="10" t="str">
        <f t="shared" si="93"/>
        <v xml:space="preserve"> </v>
      </c>
      <c r="BA33" s="14"/>
      <c r="BB33" s="14"/>
      <c r="BC33" s="10" t="str">
        <f t="shared" si="94"/>
        <v xml:space="preserve"> </v>
      </c>
      <c r="BD33" s="10" t="str">
        <f t="shared" si="94"/>
        <v xml:space="preserve"> </v>
      </c>
      <c r="BE33" s="10" t="str">
        <f t="shared" si="94"/>
        <v xml:space="preserve"> </v>
      </c>
      <c r="BF33" s="10" t="str">
        <f t="shared" si="94"/>
        <v xml:space="preserve"> </v>
      </c>
      <c r="BG33" s="10" t="str">
        <f t="shared" si="94"/>
        <v xml:space="preserve"> </v>
      </c>
      <c r="BH33" s="14"/>
      <c r="BI33" s="14"/>
      <c r="BJ33" s="10" t="str">
        <f t="shared" si="95"/>
        <v xml:space="preserve"> </v>
      </c>
      <c r="BK33" s="10" t="str">
        <f t="shared" si="95"/>
        <v xml:space="preserve"> </v>
      </c>
      <c r="BL33" s="10" t="str">
        <f t="shared" si="95"/>
        <v xml:space="preserve"> </v>
      </c>
      <c r="BM33" s="10" t="str">
        <f t="shared" si="95"/>
        <v xml:space="preserve"> </v>
      </c>
      <c r="BN33" s="10" t="str">
        <f t="shared" si="95"/>
        <v xml:space="preserve"> </v>
      </c>
      <c r="BO33" s="14"/>
      <c r="BP33" s="14"/>
      <c r="BQ33" s="10" t="str">
        <f t="shared" si="96"/>
        <v xml:space="preserve"> </v>
      </c>
      <c r="BR33" s="10" t="str">
        <f t="shared" si="96"/>
        <v xml:space="preserve"> </v>
      </c>
      <c r="BS33" s="10" t="str">
        <f t="shared" si="96"/>
        <v>.</v>
      </c>
      <c r="BT33" s="10" t="str">
        <f t="shared" si="96"/>
        <v>.</v>
      </c>
      <c r="BU33" s="10" t="str">
        <f t="shared" si="96"/>
        <v>.</v>
      </c>
      <c r="BV33" s="14"/>
      <c r="BW33" s="14"/>
      <c r="BX33" s="10" t="str">
        <f t="shared" si="97"/>
        <v xml:space="preserve"> </v>
      </c>
      <c r="BY33" s="10" t="str">
        <f t="shared" si="97"/>
        <v xml:space="preserve"> </v>
      </c>
      <c r="BZ33" s="10" t="str">
        <f t="shared" si="97"/>
        <v xml:space="preserve"> </v>
      </c>
      <c r="CA33" s="10" t="str">
        <f t="shared" si="97"/>
        <v xml:space="preserve"> </v>
      </c>
      <c r="CB33" s="10" t="str">
        <f t="shared" si="97"/>
        <v xml:space="preserve"> </v>
      </c>
      <c r="CC33" s="14"/>
      <c r="CD33" s="14"/>
      <c r="CE33" s="10" t="str">
        <f t="shared" si="98"/>
        <v xml:space="preserve"> </v>
      </c>
      <c r="CF33" s="10" t="str">
        <f t="shared" si="98"/>
        <v xml:space="preserve"> </v>
      </c>
      <c r="CG33" s="10" t="str">
        <f t="shared" si="98"/>
        <v xml:space="preserve"> </v>
      </c>
      <c r="CH33" s="10" t="str">
        <f t="shared" si="98"/>
        <v xml:space="preserve"> </v>
      </c>
      <c r="CI33" s="10" t="str">
        <f t="shared" si="98"/>
        <v xml:space="preserve"> </v>
      </c>
      <c r="CJ33" s="14"/>
      <c r="CK33" s="14"/>
      <c r="CL33" s="10" t="str">
        <f t="shared" si="99"/>
        <v xml:space="preserve"> </v>
      </c>
      <c r="CM33" s="10" t="str">
        <f t="shared" si="99"/>
        <v xml:space="preserve"> </v>
      </c>
      <c r="CN33" s="10" t="str">
        <f t="shared" si="99"/>
        <v xml:space="preserve"> </v>
      </c>
      <c r="CO33" s="10" t="str">
        <f t="shared" si="99"/>
        <v xml:space="preserve"> </v>
      </c>
      <c r="CP33" s="10" t="str">
        <f t="shared" si="99"/>
        <v xml:space="preserve"> </v>
      </c>
      <c r="CQ33" s="14"/>
      <c r="CR33" s="14"/>
      <c r="CS33" s="10" t="str">
        <f t="shared" si="100"/>
        <v xml:space="preserve"> </v>
      </c>
      <c r="CT33" s="10" t="str">
        <f t="shared" si="100"/>
        <v xml:space="preserve"> </v>
      </c>
      <c r="CU33" s="10" t="str">
        <f t="shared" si="100"/>
        <v xml:space="preserve"> </v>
      </c>
      <c r="CV33" s="10" t="str">
        <f t="shared" si="100"/>
        <v xml:space="preserve"> </v>
      </c>
      <c r="CW33" s="10" t="str">
        <f t="shared" si="100"/>
        <v xml:space="preserve"> </v>
      </c>
      <c r="CZ33" s="10" t="str">
        <f t="shared" si="101"/>
        <v xml:space="preserve"> </v>
      </c>
      <c r="DA33" s="10" t="str">
        <f t="shared" si="101"/>
        <v xml:space="preserve"> </v>
      </c>
      <c r="DB33" s="10" t="str">
        <f t="shared" si="101"/>
        <v xml:space="preserve"> </v>
      </c>
      <c r="DC33" s="10" t="str">
        <f t="shared" si="101"/>
        <v xml:space="preserve"> </v>
      </c>
      <c r="DD33" s="10" t="str">
        <f t="shared" si="101"/>
        <v xml:space="preserve"> </v>
      </c>
      <c r="DG33" s="10" t="str">
        <f t="shared" si="102"/>
        <v xml:space="preserve"> </v>
      </c>
      <c r="DH33" s="10" t="str">
        <f t="shared" si="102"/>
        <v xml:space="preserve"> </v>
      </c>
      <c r="DI33" s="10" t="str">
        <f t="shared" si="102"/>
        <v xml:space="preserve"> </v>
      </c>
      <c r="DJ33" s="10" t="str">
        <f t="shared" si="102"/>
        <v xml:space="preserve"> </v>
      </c>
      <c r="DK33" s="10" t="str">
        <f t="shared" si="102"/>
        <v xml:space="preserve"> </v>
      </c>
      <c r="DN33" s="10" t="str">
        <f t="shared" si="103"/>
        <v xml:space="preserve"> </v>
      </c>
      <c r="DO33" s="10" t="str">
        <f t="shared" si="103"/>
        <v xml:space="preserve"> </v>
      </c>
      <c r="DP33" s="10" t="str">
        <f t="shared" si="103"/>
        <v xml:space="preserve"> </v>
      </c>
      <c r="DQ33" s="10" t="str">
        <f t="shared" si="103"/>
        <v xml:space="preserve"> </v>
      </c>
      <c r="DR33" s="10" t="str">
        <f t="shared" si="103"/>
        <v xml:space="preserve"> </v>
      </c>
      <c r="DU33" s="10" t="str">
        <f t="shared" si="104"/>
        <v xml:space="preserve"> </v>
      </c>
      <c r="DV33" s="10" t="str">
        <f t="shared" si="104"/>
        <v xml:space="preserve"> </v>
      </c>
      <c r="DW33" s="10" t="str">
        <f t="shared" si="104"/>
        <v xml:space="preserve"> </v>
      </c>
      <c r="DX33" s="10" t="str">
        <f t="shared" si="104"/>
        <v xml:space="preserve"> </v>
      </c>
      <c r="DY33" s="10" t="str">
        <f t="shared" si="104"/>
        <v xml:space="preserve"> </v>
      </c>
      <c r="EB33" s="10" t="str">
        <f t="shared" si="105"/>
        <v xml:space="preserve"> </v>
      </c>
      <c r="EC33" s="10" t="str">
        <f t="shared" si="105"/>
        <v xml:space="preserve"> </v>
      </c>
      <c r="ED33" s="10" t="str">
        <f t="shared" si="105"/>
        <v xml:space="preserve"> </v>
      </c>
      <c r="EE33" s="10" t="str">
        <f t="shared" si="105"/>
        <v xml:space="preserve"> </v>
      </c>
      <c r="EF33" s="10" t="str">
        <f t="shared" si="105"/>
        <v xml:space="preserve"> </v>
      </c>
      <c r="EI33" s="10" t="str">
        <f t="shared" si="106"/>
        <v xml:space="preserve"> </v>
      </c>
      <c r="EJ33" s="10" t="str">
        <f t="shared" si="106"/>
        <v xml:space="preserve"> </v>
      </c>
      <c r="EK33" s="10" t="str">
        <f t="shared" si="106"/>
        <v xml:space="preserve"> </v>
      </c>
      <c r="EL33" s="10" t="str">
        <f t="shared" si="106"/>
        <v xml:space="preserve"> </v>
      </c>
      <c r="EM33" s="10" t="str">
        <f t="shared" si="106"/>
        <v xml:space="preserve"> </v>
      </c>
      <c r="EP33" s="10" t="str">
        <f t="shared" si="107"/>
        <v xml:space="preserve"> </v>
      </c>
      <c r="EQ33" s="10" t="str">
        <f t="shared" si="107"/>
        <v xml:space="preserve"> </v>
      </c>
      <c r="ER33" s="10" t="str">
        <f t="shared" si="107"/>
        <v xml:space="preserve"> </v>
      </c>
      <c r="ES33" s="10" t="str">
        <f t="shared" si="107"/>
        <v xml:space="preserve"> </v>
      </c>
      <c r="ET33" s="10" t="str">
        <f t="shared" si="107"/>
        <v xml:space="preserve"> </v>
      </c>
      <c r="EW33" s="10" t="str">
        <f t="shared" si="108"/>
        <v xml:space="preserve"> </v>
      </c>
      <c r="EX33" s="10" t="str">
        <f t="shared" si="108"/>
        <v xml:space="preserve"> </v>
      </c>
      <c r="EY33" s="10" t="str">
        <f t="shared" si="108"/>
        <v xml:space="preserve"> </v>
      </c>
      <c r="EZ33" s="10" t="str">
        <f t="shared" si="108"/>
        <v xml:space="preserve"> </v>
      </c>
      <c r="FA33" s="10" t="str">
        <f t="shared" si="108"/>
        <v xml:space="preserve"> </v>
      </c>
      <c r="FD33" s="10" t="str">
        <f t="shared" si="109"/>
        <v xml:space="preserve"> </v>
      </c>
      <c r="FE33" s="10" t="str">
        <f t="shared" si="109"/>
        <v xml:space="preserve"> </v>
      </c>
      <c r="FF33" s="10" t="str">
        <f t="shared" si="109"/>
        <v xml:space="preserve"> </v>
      </c>
      <c r="FG33" s="10" t="str">
        <f t="shared" si="109"/>
        <v xml:space="preserve"> </v>
      </c>
      <c r="FH33" s="10" t="str">
        <f t="shared" si="109"/>
        <v xml:space="preserve"> </v>
      </c>
      <c r="FK33" s="10" t="str">
        <f t="shared" si="110"/>
        <v xml:space="preserve"> </v>
      </c>
      <c r="FL33" s="10" t="str">
        <f t="shared" si="110"/>
        <v xml:space="preserve"> </v>
      </c>
      <c r="FM33" s="10" t="str">
        <f t="shared" si="110"/>
        <v xml:space="preserve"> </v>
      </c>
      <c r="FN33" s="10" t="str">
        <f t="shared" si="110"/>
        <v xml:space="preserve"> </v>
      </c>
      <c r="FO33" s="10" t="str">
        <f t="shared" si="110"/>
        <v xml:space="preserve"> </v>
      </c>
      <c r="FR33" s="10" t="str">
        <f t="shared" si="111"/>
        <v xml:space="preserve"> </v>
      </c>
      <c r="FS33" s="10" t="str">
        <f t="shared" si="111"/>
        <v xml:space="preserve"> </v>
      </c>
      <c r="FT33" s="10" t="str">
        <f t="shared" si="111"/>
        <v xml:space="preserve"> </v>
      </c>
      <c r="FU33" s="10" t="str">
        <f t="shared" si="111"/>
        <v xml:space="preserve"> </v>
      </c>
      <c r="FV33" s="10" t="str">
        <f t="shared" si="111"/>
        <v xml:space="preserve"> </v>
      </c>
      <c r="FY33" s="10" t="str">
        <f t="shared" si="112"/>
        <v xml:space="preserve"> </v>
      </c>
      <c r="FZ33" s="10" t="str">
        <f t="shared" si="112"/>
        <v xml:space="preserve"> </v>
      </c>
      <c r="GA33" s="10" t="str">
        <f t="shared" si="112"/>
        <v xml:space="preserve"> </v>
      </c>
      <c r="GB33" s="10" t="str">
        <f t="shared" si="112"/>
        <v xml:space="preserve"> </v>
      </c>
      <c r="GC33" s="10" t="str">
        <f t="shared" si="112"/>
        <v xml:space="preserve"> </v>
      </c>
      <c r="GF33" s="10" t="str">
        <f t="shared" si="113"/>
        <v xml:space="preserve"> </v>
      </c>
      <c r="GG33" s="10" t="str">
        <f t="shared" si="113"/>
        <v xml:space="preserve"> </v>
      </c>
      <c r="GH33" s="10" t="str">
        <f t="shared" si="113"/>
        <v xml:space="preserve"> </v>
      </c>
      <c r="GI33" s="10" t="str">
        <f t="shared" si="113"/>
        <v xml:space="preserve"> </v>
      </c>
      <c r="GJ33" s="10" t="str">
        <f t="shared" si="113"/>
        <v xml:space="preserve"> </v>
      </c>
      <c r="GM33" s="10" t="str">
        <f t="shared" si="114"/>
        <v xml:space="preserve"> </v>
      </c>
      <c r="GN33" s="10" t="str">
        <f t="shared" si="114"/>
        <v xml:space="preserve"> </v>
      </c>
      <c r="GO33" s="10" t="str">
        <f t="shared" si="114"/>
        <v xml:space="preserve"> </v>
      </c>
      <c r="GP33" s="10" t="str">
        <f t="shared" si="114"/>
        <v xml:space="preserve"> </v>
      </c>
      <c r="GQ33" s="10" t="str">
        <f t="shared" si="114"/>
        <v xml:space="preserve"> </v>
      </c>
      <c r="GT33" s="10" t="str">
        <f t="shared" si="115"/>
        <v xml:space="preserve"> </v>
      </c>
      <c r="GU33" s="10" t="str">
        <f t="shared" si="115"/>
        <v xml:space="preserve"> </v>
      </c>
      <c r="GV33" s="10" t="str">
        <f t="shared" si="115"/>
        <v xml:space="preserve"> </v>
      </c>
      <c r="GW33" s="10" t="str">
        <f t="shared" si="115"/>
        <v xml:space="preserve"> </v>
      </c>
      <c r="GX33" s="10" t="str">
        <f t="shared" si="115"/>
        <v xml:space="preserve"> </v>
      </c>
      <c r="HA33" s="10" t="str">
        <f t="shared" si="116"/>
        <v xml:space="preserve"> </v>
      </c>
      <c r="HB33" s="10" t="str">
        <f t="shared" si="116"/>
        <v xml:space="preserve"> </v>
      </c>
      <c r="HC33" s="10" t="str">
        <f t="shared" si="116"/>
        <v xml:space="preserve"> </v>
      </c>
      <c r="HD33" s="10" t="str">
        <f t="shared" si="116"/>
        <v xml:space="preserve"> </v>
      </c>
      <c r="HE33" s="10" t="str">
        <f t="shared" si="116"/>
        <v xml:space="preserve"> </v>
      </c>
      <c r="HH33" s="10" t="str">
        <f t="shared" si="117"/>
        <v xml:space="preserve"> </v>
      </c>
      <c r="HI33" s="10" t="str">
        <f t="shared" si="117"/>
        <v xml:space="preserve"> </v>
      </c>
      <c r="HJ33" s="10" t="str">
        <f t="shared" si="117"/>
        <v xml:space="preserve"> </v>
      </c>
      <c r="HK33" s="10" t="str">
        <f t="shared" si="117"/>
        <v xml:space="preserve"> </v>
      </c>
      <c r="HL33" s="10" t="str">
        <f t="shared" si="117"/>
        <v xml:space="preserve"> </v>
      </c>
      <c r="HO33" s="10" t="str">
        <f t="shared" si="118"/>
        <v xml:space="preserve"> </v>
      </c>
      <c r="HP33" s="10" t="str">
        <f t="shared" si="118"/>
        <v xml:space="preserve"> </v>
      </c>
      <c r="HQ33" s="10" t="str">
        <f t="shared" si="118"/>
        <v xml:space="preserve"> </v>
      </c>
      <c r="HR33" s="10" t="str">
        <f t="shared" si="118"/>
        <v xml:space="preserve"> </v>
      </c>
      <c r="HS33" s="10" t="str">
        <f t="shared" si="118"/>
        <v xml:space="preserve"> </v>
      </c>
      <c r="HV33" s="10" t="str">
        <f t="shared" si="119"/>
        <v xml:space="preserve"> </v>
      </c>
      <c r="HW33" s="10" t="str">
        <f t="shared" si="119"/>
        <v xml:space="preserve"> </v>
      </c>
      <c r="HX33" s="10" t="str">
        <f t="shared" si="119"/>
        <v xml:space="preserve"> </v>
      </c>
      <c r="HY33" s="10" t="str">
        <f t="shared" si="119"/>
        <v xml:space="preserve"> </v>
      </c>
      <c r="HZ33" s="10" t="str">
        <f t="shared" si="119"/>
        <v xml:space="preserve"> </v>
      </c>
      <c r="IC33" s="10" t="str">
        <f t="shared" si="120"/>
        <v xml:space="preserve"> </v>
      </c>
      <c r="ID33" s="10" t="str">
        <f t="shared" si="120"/>
        <v xml:space="preserve"> </v>
      </c>
      <c r="IE33" s="10" t="str">
        <f t="shared" si="120"/>
        <v xml:space="preserve"> </v>
      </c>
      <c r="IF33" s="10" t="str">
        <f t="shared" si="120"/>
        <v xml:space="preserve"> </v>
      </c>
      <c r="IG33" s="10" t="str">
        <f t="shared" si="120"/>
        <v xml:space="preserve"> </v>
      </c>
      <c r="IJ33" s="10" t="str">
        <f t="shared" si="121"/>
        <v xml:space="preserve"> </v>
      </c>
      <c r="IK33" s="10" t="str">
        <f t="shared" si="121"/>
        <v xml:space="preserve"> </v>
      </c>
      <c r="IL33" s="10" t="str">
        <f t="shared" si="121"/>
        <v xml:space="preserve"> </v>
      </c>
      <c r="IM33" s="10" t="str">
        <f t="shared" si="121"/>
        <v xml:space="preserve"> </v>
      </c>
      <c r="IN33" s="10" t="str">
        <f t="shared" si="121"/>
        <v xml:space="preserve"> </v>
      </c>
      <c r="IQ33" s="10" t="str">
        <f t="shared" si="122"/>
        <v xml:space="preserve"> </v>
      </c>
      <c r="IR33" s="10" t="str">
        <f t="shared" si="122"/>
        <v xml:space="preserve"> </v>
      </c>
      <c r="IS33" s="10" t="str">
        <f t="shared" si="122"/>
        <v xml:space="preserve"> </v>
      </c>
      <c r="IT33" s="10" t="str">
        <f t="shared" si="122"/>
        <v xml:space="preserve"> </v>
      </c>
      <c r="IU33" s="10" t="str">
        <f t="shared" si="122"/>
        <v xml:space="preserve"> </v>
      </c>
      <c r="IX33" s="10" t="str">
        <f t="shared" si="123"/>
        <v xml:space="preserve"> </v>
      </c>
      <c r="IY33" s="10" t="str">
        <f t="shared" si="123"/>
        <v xml:space="preserve"> </v>
      </c>
      <c r="IZ33" s="10" t="str">
        <f t="shared" si="123"/>
        <v xml:space="preserve"> </v>
      </c>
      <c r="JA33" s="10" t="str">
        <f t="shared" si="123"/>
        <v xml:space="preserve"> </v>
      </c>
      <c r="JB33" s="10" t="str">
        <f t="shared" si="123"/>
        <v xml:space="preserve"> </v>
      </c>
      <c r="JE33" s="10" t="str">
        <f t="shared" si="124"/>
        <v xml:space="preserve"> </v>
      </c>
      <c r="JF33" s="10" t="str">
        <f t="shared" si="124"/>
        <v xml:space="preserve"> </v>
      </c>
      <c r="JG33" s="10" t="str">
        <f t="shared" si="124"/>
        <v xml:space="preserve"> </v>
      </c>
      <c r="JH33" s="10" t="str">
        <f t="shared" si="124"/>
        <v xml:space="preserve"> </v>
      </c>
      <c r="JI33" s="10" t="str">
        <f t="shared" si="124"/>
        <v xml:space="preserve"> </v>
      </c>
    </row>
    <row r="34" spans="1:269">
      <c r="A34" s="96"/>
      <c r="B34" s="10">
        <v>26</v>
      </c>
      <c r="C34" s="11" t="s">
        <v>51</v>
      </c>
      <c r="D34" s="11" t="s">
        <v>52</v>
      </c>
      <c r="E34" s="10">
        <v>24</v>
      </c>
      <c r="F34" s="12">
        <f t="shared" si="87"/>
        <v>42539</v>
      </c>
      <c r="G34" s="12">
        <f>WORKDAY(F34,H34-1,Config!D34:D53)</f>
        <v>42541</v>
      </c>
      <c r="H34" s="10">
        <v>2</v>
      </c>
      <c r="I34" s="13">
        <v>0</v>
      </c>
      <c r="J34" s="13">
        <f ca="1">IF(((NETWORKDAYS(F34,TODAY(),Data!C30:C49)*100)/H34)/100 &gt; 0,((NETWORKDAYS(F34,TODAY(),Data!C30:C49)*100)/H34)/100,0)</f>
        <v>820</v>
      </c>
      <c r="K34" s="13" t="str">
        <f t="shared" ref="K34:K52" ca="1" si="129">IF(J34&gt;1, "100%",$J34)</f>
        <v>100%</v>
      </c>
      <c r="L34" s="13">
        <f t="shared" ref="L34:L52" ca="1" si="130">K34-I34</f>
        <v>1</v>
      </c>
      <c r="M34" s="10" t="str">
        <f>IF(AND(M$6&gt;=$F34,M$6&lt;=$G34),"."," ")</f>
        <v xml:space="preserve"> </v>
      </c>
      <c r="N34" s="10" t="str">
        <f t="shared" ref="N34:Q39" si="131">IF(AND(N$6&gt;=$F34,N$6&lt;=$G34),"."," ")</f>
        <v xml:space="preserve"> </v>
      </c>
      <c r="O34" s="10" t="str">
        <f t="shared" si="131"/>
        <v xml:space="preserve"> </v>
      </c>
      <c r="P34" s="10" t="str">
        <f t="shared" si="131"/>
        <v xml:space="preserve"> </v>
      </c>
      <c r="Q34" s="10" t="str">
        <f t="shared" si="131"/>
        <v xml:space="preserve"> </v>
      </c>
      <c r="R34" s="14"/>
      <c r="S34" s="14"/>
      <c r="T34" s="10" t="str">
        <f t="shared" ref="T34:X39" si="132">IF(AND(T$6&gt;=$F34,T$6&lt;=$G34),"."," ")</f>
        <v xml:space="preserve"> </v>
      </c>
      <c r="U34" s="10" t="str">
        <f t="shared" si="132"/>
        <v xml:space="preserve"> </v>
      </c>
      <c r="V34" s="10" t="str">
        <f t="shared" si="132"/>
        <v xml:space="preserve"> </v>
      </c>
      <c r="W34" s="10" t="str">
        <f t="shared" si="132"/>
        <v xml:space="preserve"> </v>
      </c>
      <c r="X34" s="10" t="str">
        <f t="shared" si="132"/>
        <v xml:space="preserve"> </v>
      </c>
      <c r="Y34" s="14"/>
      <c r="Z34" s="14"/>
      <c r="AA34" s="10" t="str">
        <f t="shared" ref="AA34:AE39" si="133">IF(AND(AA$6&gt;=$F34,AA$6&lt;=$G34),"."," ")</f>
        <v xml:space="preserve"> </v>
      </c>
      <c r="AB34" s="10" t="str">
        <f t="shared" si="133"/>
        <v xml:space="preserve"> </v>
      </c>
      <c r="AC34" s="10" t="str">
        <f t="shared" si="133"/>
        <v xml:space="preserve"> </v>
      </c>
      <c r="AD34" s="10" t="str">
        <f t="shared" si="133"/>
        <v xml:space="preserve"> </v>
      </c>
      <c r="AE34" s="10" t="str">
        <f t="shared" si="133"/>
        <v xml:space="preserve"> </v>
      </c>
      <c r="AF34" s="14"/>
      <c r="AG34" s="14"/>
      <c r="AH34" s="10" t="str">
        <f t="shared" ref="AH34:AL39" si="134">IF(AND(AH$6&gt;=$F34,AH$6&lt;=$G34),"."," ")</f>
        <v xml:space="preserve"> </v>
      </c>
      <c r="AI34" s="10" t="str">
        <f t="shared" si="134"/>
        <v xml:space="preserve"> </v>
      </c>
      <c r="AJ34" s="10" t="str">
        <f t="shared" si="134"/>
        <v xml:space="preserve"> </v>
      </c>
      <c r="AK34" s="10" t="str">
        <f t="shared" si="134"/>
        <v xml:space="preserve"> </v>
      </c>
      <c r="AL34" s="10" t="str">
        <f t="shared" si="134"/>
        <v xml:space="preserve"> </v>
      </c>
      <c r="AM34" s="14"/>
      <c r="AN34" s="14"/>
      <c r="AO34" s="10" t="str">
        <f t="shared" ref="AO34:AS39" si="135">IF(AND(AO$6&gt;=$F34,AO$6&lt;=$G34),"."," ")</f>
        <v xml:space="preserve"> </v>
      </c>
      <c r="AP34" s="10" t="str">
        <f t="shared" si="135"/>
        <v xml:space="preserve"> </v>
      </c>
      <c r="AQ34" s="10" t="str">
        <f t="shared" si="135"/>
        <v xml:space="preserve"> </v>
      </c>
      <c r="AR34" s="10" t="str">
        <f t="shared" si="135"/>
        <v xml:space="preserve"> </v>
      </c>
      <c r="AS34" s="10" t="str">
        <f t="shared" si="135"/>
        <v xml:space="preserve"> </v>
      </c>
      <c r="AT34" s="14"/>
      <c r="AU34" s="14"/>
      <c r="AV34" s="10" t="str">
        <f t="shared" ref="AV34:AZ39" si="136">IF(AND(AV$6&gt;=$F34,AV$6&lt;=$G34),"."," ")</f>
        <v xml:space="preserve"> </v>
      </c>
      <c r="AW34" s="10" t="str">
        <f t="shared" si="136"/>
        <v xml:space="preserve"> </v>
      </c>
      <c r="AX34" s="10" t="str">
        <f t="shared" si="136"/>
        <v xml:space="preserve"> </v>
      </c>
      <c r="AY34" s="10" t="str">
        <f t="shared" si="136"/>
        <v xml:space="preserve"> </v>
      </c>
      <c r="AZ34" s="10" t="str">
        <f t="shared" si="136"/>
        <v xml:space="preserve"> </v>
      </c>
      <c r="BA34" s="14"/>
      <c r="BB34" s="14"/>
      <c r="BC34" s="10" t="str">
        <f t="shared" ref="BC34:BG39" si="137">IF(AND(BC$6&gt;=$F34,BC$6&lt;=$G34),"."," ")</f>
        <v xml:space="preserve"> </v>
      </c>
      <c r="BD34" s="10" t="str">
        <f t="shared" si="137"/>
        <v xml:space="preserve"> </v>
      </c>
      <c r="BE34" s="10" t="str">
        <f t="shared" si="137"/>
        <v>.</v>
      </c>
      <c r="BF34" s="10" t="str">
        <f t="shared" si="137"/>
        <v>.</v>
      </c>
      <c r="BG34" s="10" t="str">
        <f t="shared" si="137"/>
        <v>.</v>
      </c>
      <c r="BH34" s="14"/>
      <c r="BI34" s="14"/>
      <c r="BJ34" s="10" t="str">
        <f t="shared" ref="BJ34:BN39" si="138">IF(AND(BJ$6&gt;=$F34,BJ$6&lt;=$G34),"."," ")</f>
        <v xml:space="preserve"> </v>
      </c>
      <c r="BK34" s="10" t="str">
        <f t="shared" si="138"/>
        <v xml:space="preserve"> </v>
      </c>
      <c r="BL34" s="10" t="str">
        <f t="shared" si="138"/>
        <v xml:space="preserve"> </v>
      </c>
      <c r="BM34" s="10" t="str">
        <f t="shared" si="138"/>
        <v xml:space="preserve"> </v>
      </c>
      <c r="BN34" s="10" t="str">
        <f t="shared" si="138"/>
        <v xml:space="preserve"> </v>
      </c>
      <c r="BO34" s="14"/>
      <c r="BP34" s="14"/>
      <c r="BQ34" s="10" t="str">
        <f t="shared" ref="BQ34:BU39" si="139">IF(AND(BQ$6&gt;=$F34,BQ$6&lt;=$G34),"."," ")</f>
        <v xml:space="preserve"> </v>
      </c>
      <c r="BR34" s="10" t="str">
        <f t="shared" si="139"/>
        <v xml:space="preserve"> </v>
      </c>
      <c r="BS34" s="10" t="str">
        <f t="shared" si="139"/>
        <v xml:space="preserve"> </v>
      </c>
      <c r="BT34" s="10" t="str">
        <f t="shared" si="139"/>
        <v xml:space="preserve"> </v>
      </c>
      <c r="BU34" s="10" t="str">
        <f t="shared" si="139"/>
        <v xml:space="preserve"> </v>
      </c>
      <c r="BV34" s="14"/>
      <c r="BW34" s="14"/>
      <c r="BX34" s="10" t="str">
        <f t="shared" ref="BX34:CB39" si="140">IF(AND(BX$6&gt;=$F34,BX$6&lt;=$G34),"."," ")</f>
        <v xml:space="preserve"> </v>
      </c>
      <c r="BY34" s="10" t="str">
        <f t="shared" si="140"/>
        <v xml:space="preserve"> </v>
      </c>
      <c r="BZ34" s="10" t="str">
        <f t="shared" si="140"/>
        <v xml:space="preserve"> </v>
      </c>
      <c r="CA34" s="10" t="str">
        <f t="shared" si="140"/>
        <v xml:space="preserve"> </v>
      </c>
      <c r="CB34" s="10" t="str">
        <f t="shared" si="140"/>
        <v xml:space="preserve"> </v>
      </c>
      <c r="CC34" s="14"/>
      <c r="CD34" s="14"/>
      <c r="CE34" s="10" t="str">
        <f t="shared" ref="CE34:CI39" si="141">IF(AND(CE$6&gt;=$F34,CE$6&lt;=$G34),"."," ")</f>
        <v xml:space="preserve"> </v>
      </c>
      <c r="CF34" s="10" t="str">
        <f t="shared" si="141"/>
        <v xml:space="preserve"> </v>
      </c>
      <c r="CG34" s="10" t="str">
        <f t="shared" si="141"/>
        <v xml:space="preserve"> </v>
      </c>
      <c r="CH34" s="10" t="str">
        <f t="shared" si="141"/>
        <v xml:space="preserve"> </v>
      </c>
      <c r="CI34" s="10" t="str">
        <f t="shared" si="141"/>
        <v xml:space="preserve"> </v>
      </c>
      <c r="CJ34" s="14"/>
      <c r="CK34" s="14"/>
      <c r="CL34" s="10" t="str">
        <f t="shared" ref="CL34:CP39" si="142">IF(AND(CL$6&gt;=$F34,CL$6&lt;=$G34),"."," ")</f>
        <v xml:space="preserve"> </v>
      </c>
      <c r="CM34" s="10" t="str">
        <f t="shared" si="142"/>
        <v xml:space="preserve"> </v>
      </c>
      <c r="CN34" s="10" t="str">
        <f t="shared" si="142"/>
        <v xml:space="preserve"> </v>
      </c>
      <c r="CO34" s="10" t="str">
        <f t="shared" si="142"/>
        <v xml:space="preserve"> </v>
      </c>
      <c r="CP34" s="10" t="str">
        <f t="shared" si="142"/>
        <v xml:space="preserve"> </v>
      </c>
      <c r="CQ34" s="14"/>
      <c r="CR34" s="14"/>
      <c r="CS34" s="10" t="str">
        <f t="shared" ref="CS34:CW39" si="143">IF(AND(CS$6&gt;=$F34,CS$6&lt;=$G34),"."," ")</f>
        <v xml:space="preserve"> </v>
      </c>
      <c r="CT34" s="10" t="str">
        <f t="shared" si="143"/>
        <v xml:space="preserve"> </v>
      </c>
      <c r="CU34" s="10" t="str">
        <f t="shared" si="143"/>
        <v xml:space="preserve"> </v>
      </c>
      <c r="CV34" s="10" t="str">
        <f t="shared" si="143"/>
        <v xml:space="preserve"> </v>
      </c>
      <c r="CW34" s="10" t="str">
        <f t="shared" si="143"/>
        <v xml:space="preserve"> </v>
      </c>
      <c r="CZ34" s="10" t="str">
        <f t="shared" ref="CZ34:DD39" si="144">IF(AND(CZ$6&gt;=$F34,CZ$6&lt;=$G34),"."," ")</f>
        <v xml:space="preserve"> </v>
      </c>
      <c r="DA34" s="10" t="str">
        <f t="shared" si="144"/>
        <v xml:space="preserve"> </v>
      </c>
      <c r="DB34" s="10" t="str">
        <f t="shared" si="144"/>
        <v xml:space="preserve"> </v>
      </c>
      <c r="DC34" s="10" t="str">
        <f t="shared" si="144"/>
        <v xml:space="preserve"> </v>
      </c>
      <c r="DD34" s="10" t="str">
        <f t="shared" si="144"/>
        <v xml:space="preserve"> </v>
      </c>
      <c r="DG34" s="10" t="str">
        <f t="shared" ref="DG34:DK39" si="145">IF(AND(DG$6&gt;=$F34,DG$6&lt;=$G34),"."," ")</f>
        <v xml:space="preserve"> </v>
      </c>
      <c r="DH34" s="10" t="str">
        <f t="shared" si="145"/>
        <v xml:space="preserve"> </v>
      </c>
      <c r="DI34" s="10" t="str">
        <f t="shared" si="145"/>
        <v xml:space="preserve"> </v>
      </c>
      <c r="DJ34" s="10" t="str">
        <f t="shared" si="145"/>
        <v xml:space="preserve"> </v>
      </c>
      <c r="DK34" s="10" t="str">
        <f t="shared" si="145"/>
        <v xml:space="preserve"> </v>
      </c>
      <c r="DN34" s="10" t="str">
        <f t="shared" ref="DN34:DR39" si="146">IF(AND(DN$6&gt;=$F34,DN$6&lt;=$G34),"."," ")</f>
        <v xml:space="preserve"> </v>
      </c>
      <c r="DO34" s="10" t="str">
        <f t="shared" si="146"/>
        <v xml:space="preserve"> </v>
      </c>
      <c r="DP34" s="10" t="str">
        <f t="shared" si="146"/>
        <v xml:space="preserve"> </v>
      </c>
      <c r="DQ34" s="10" t="str">
        <f t="shared" si="146"/>
        <v xml:space="preserve"> </v>
      </c>
      <c r="DR34" s="10" t="str">
        <f t="shared" si="146"/>
        <v xml:space="preserve"> </v>
      </c>
      <c r="DU34" s="10" t="str">
        <f t="shared" ref="DU34:DY39" si="147">IF(AND(DU$6&gt;=$F34,DU$6&lt;=$G34),"."," ")</f>
        <v xml:space="preserve"> </v>
      </c>
      <c r="DV34" s="10" t="str">
        <f t="shared" si="147"/>
        <v xml:space="preserve"> </v>
      </c>
      <c r="DW34" s="10" t="str">
        <f t="shared" si="147"/>
        <v xml:space="preserve"> </v>
      </c>
      <c r="DX34" s="10" t="str">
        <f t="shared" si="147"/>
        <v xml:space="preserve"> </v>
      </c>
      <c r="DY34" s="10" t="str">
        <f t="shared" si="147"/>
        <v xml:space="preserve"> </v>
      </c>
      <c r="EB34" s="10" t="str">
        <f t="shared" ref="EB34:EF39" si="148">IF(AND(EB$6&gt;=$F34,EB$6&lt;=$G34),"."," ")</f>
        <v xml:space="preserve"> </v>
      </c>
      <c r="EC34" s="10" t="str">
        <f t="shared" si="148"/>
        <v xml:space="preserve"> </v>
      </c>
      <c r="ED34" s="10" t="str">
        <f t="shared" si="148"/>
        <v xml:space="preserve"> </v>
      </c>
      <c r="EE34" s="10" t="str">
        <f t="shared" si="148"/>
        <v xml:space="preserve"> </v>
      </c>
      <c r="EF34" s="10" t="str">
        <f t="shared" si="148"/>
        <v xml:space="preserve"> </v>
      </c>
      <c r="EI34" s="10" t="str">
        <f t="shared" ref="EI34:EM39" si="149">IF(AND(EI$6&gt;=$F34,EI$6&lt;=$G34),"."," ")</f>
        <v xml:space="preserve"> </v>
      </c>
      <c r="EJ34" s="10" t="str">
        <f t="shared" si="149"/>
        <v xml:space="preserve"> </v>
      </c>
      <c r="EK34" s="10" t="str">
        <f t="shared" si="149"/>
        <v xml:space="preserve"> </v>
      </c>
      <c r="EL34" s="10" t="str">
        <f t="shared" si="149"/>
        <v xml:space="preserve"> </v>
      </c>
      <c r="EM34" s="10" t="str">
        <f t="shared" si="149"/>
        <v xml:space="preserve"> </v>
      </c>
      <c r="EP34" s="10" t="str">
        <f t="shared" ref="EP34:ET39" si="150">IF(AND(EP$6&gt;=$F34,EP$6&lt;=$G34),"."," ")</f>
        <v xml:space="preserve"> </v>
      </c>
      <c r="EQ34" s="10" t="str">
        <f t="shared" si="150"/>
        <v xml:space="preserve"> </v>
      </c>
      <c r="ER34" s="10" t="str">
        <f t="shared" si="150"/>
        <v xml:space="preserve"> </v>
      </c>
      <c r="ES34" s="10" t="str">
        <f t="shared" si="150"/>
        <v xml:space="preserve"> </v>
      </c>
      <c r="ET34" s="10" t="str">
        <f t="shared" si="150"/>
        <v xml:space="preserve"> </v>
      </c>
      <c r="EW34" s="10" t="str">
        <f t="shared" ref="EW34:FA39" si="151">IF(AND(EW$6&gt;=$F34,EW$6&lt;=$G34),"."," ")</f>
        <v xml:space="preserve"> </v>
      </c>
      <c r="EX34" s="10" t="str">
        <f t="shared" si="151"/>
        <v xml:space="preserve"> </v>
      </c>
      <c r="EY34" s="10" t="str">
        <f t="shared" si="151"/>
        <v xml:space="preserve"> </v>
      </c>
      <c r="EZ34" s="10" t="str">
        <f t="shared" si="151"/>
        <v xml:space="preserve"> </v>
      </c>
      <c r="FA34" s="10" t="str">
        <f t="shared" si="151"/>
        <v xml:space="preserve"> </v>
      </c>
      <c r="FD34" s="10" t="str">
        <f t="shared" ref="FD34:FH39" si="152">IF(AND(FD$6&gt;=$F34,FD$6&lt;=$G34),"."," ")</f>
        <v xml:space="preserve"> </v>
      </c>
      <c r="FE34" s="10" t="str">
        <f t="shared" si="152"/>
        <v xml:space="preserve"> </v>
      </c>
      <c r="FF34" s="10" t="str">
        <f t="shared" si="152"/>
        <v xml:space="preserve"> </v>
      </c>
      <c r="FG34" s="10" t="str">
        <f t="shared" si="152"/>
        <v xml:space="preserve"> </v>
      </c>
      <c r="FH34" s="10" t="str">
        <f t="shared" si="152"/>
        <v xml:space="preserve"> </v>
      </c>
      <c r="FK34" s="10" t="str">
        <f t="shared" ref="FK34:FO39" si="153">IF(AND(FK$6&gt;=$F34,FK$6&lt;=$G34),"."," ")</f>
        <v xml:space="preserve"> </v>
      </c>
      <c r="FL34" s="10" t="str">
        <f t="shared" si="153"/>
        <v xml:space="preserve"> </v>
      </c>
      <c r="FM34" s="10" t="str">
        <f t="shared" si="153"/>
        <v xml:space="preserve"> </v>
      </c>
      <c r="FN34" s="10" t="str">
        <f t="shared" si="153"/>
        <v xml:space="preserve"> </v>
      </c>
      <c r="FO34" s="10" t="str">
        <f t="shared" si="153"/>
        <v xml:space="preserve"> </v>
      </c>
      <c r="FR34" s="10" t="str">
        <f t="shared" ref="FR34:FV39" si="154">IF(AND(FR$6&gt;=$F34,FR$6&lt;=$G34),"."," ")</f>
        <v xml:space="preserve"> </v>
      </c>
      <c r="FS34" s="10" t="str">
        <f t="shared" si="154"/>
        <v xml:space="preserve"> </v>
      </c>
      <c r="FT34" s="10" t="str">
        <f t="shared" si="154"/>
        <v xml:space="preserve"> </v>
      </c>
      <c r="FU34" s="10" t="str">
        <f t="shared" si="154"/>
        <v xml:space="preserve"> </v>
      </c>
      <c r="FV34" s="10" t="str">
        <f t="shared" si="154"/>
        <v xml:space="preserve"> </v>
      </c>
      <c r="FY34" s="10" t="str">
        <f t="shared" ref="FY34:GC39" si="155">IF(AND(FY$6&gt;=$F34,FY$6&lt;=$G34),"."," ")</f>
        <v xml:space="preserve"> </v>
      </c>
      <c r="FZ34" s="10" t="str">
        <f t="shared" si="155"/>
        <v xml:space="preserve"> </v>
      </c>
      <c r="GA34" s="10" t="str">
        <f t="shared" si="155"/>
        <v xml:space="preserve"> </v>
      </c>
      <c r="GB34" s="10" t="str">
        <f t="shared" si="155"/>
        <v xml:space="preserve"> </v>
      </c>
      <c r="GC34" s="10" t="str">
        <f t="shared" si="155"/>
        <v xml:space="preserve"> </v>
      </c>
      <c r="GF34" s="10" t="str">
        <f t="shared" ref="GF34:GJ39" si="156">IF(AND(GF$6&gt;=$F34,GF$6&lt;=$G34),"."," ")</f>
        <v xml:space="preserve"> </v>
      </c>
      <c r="GG34" s="10" t="str">
        <f t="shared" si="156"/>
        <v xml:space="preserve"> </v>
      </c>
      <c r="GH34" s="10" t="str">
        <f t="shared" si="156"/>
        <v xml:space="preserve"> </v>
      </c>
      <c r="GI34" s="10" t="str">
        <f t="shared" si="156"/>
        <v xml:space="preserve"> </v>
      </c>
      <c r="GJ34" s="10" t="str">
        <f t="shared" si="156"/>
        <v xml:space="preserve"> </v>
      </c>
      <c r="GM34" s="10" t="str">
        <f t="shared" ref="GM34:GQ39" si="157">IF(AND(GM$6&gt;=$F34,GM$6&lt;=$G34),"."," ")</f>
        <v xml:space="preserve"> </v>
      </c>
      <c r="GN34" s="10" t="str">
        <f t="shared" si="157"/>
        <v xml:space="preserve"> </v>
      </c>
      <c r="GO34" s="10" t="str">
        <f t="shared" si="157"/>
        <v xml:space="preserve"> </v>
      </c>
      <c r="GP34" s="10" t="str">
        <f t="shared" si="157"/>
        <v xml:space="preserve"> </v>
      </c>
      <c r="GQ34" s="10" t="str">
        <f t="shared" si="157"/>
        <v xml:space="preserve"> </v>
      </c>
      <c r="GT34" s="10" t="str">
        <f t="shared" ref="GT34:GX39" si="158">IF(AND(GT$6&gt;=$F34,GT$6&lt;=$G34),"."," ")</f>
        <v xml:space="preserve"> </v>
      </c>
      <c r="GU34" s="10" t="str">
        <f t="shared" si="158"/>
        <v xml:space="preserve"> </v>
      </c>
      <c r="GV34" s="10" t="str">
        <f t="shared" si="158"/>
        <v xml:space="preserve"> </v>
      </c>
      <c r="GW34" s="10" t="str">
        <f t="shared" si="158"/>
        <v xml:space="preserve"> </v>
      </c>
      <c r="GX34" s="10" t="str">
        <f t="shared" si="158"/>
        <v xml:space="preserve"> </v>
      </c>
      <c r="HA34" s="10" t="str">
        <f t="shared" ref="HA34:HE39" si="159">IF(AND(HA$6&gt;=$F34,HA$6&lt;=$G34),"."," ")</f>
        <v xml:space="preserve"> </v>
      </c>
      <c r="HB34" s="10" t="str">
        <f t="shared" si="159"/>
        <v xml:space="preserve"> </v>
      </c>
      <c r="HC34" s="10" t="str">
        <f t="shared" si="159"/>
        <v xml:space="preserve"> </v>
      </c>
      <c r="HD34" s="10" t="str">
        <f t="shared" si="159"/>
        <v xml:space="preserve"> </v>
      </c>
      <c r="HE34" s="10" t="str">
        <f t="shared" si="159"/>
        <v xml:space="preserve"> </v>
      </c>
      <c r="HH34" s="10" t="str">
        <f t="shared" ref="HH34:HL39" si="160">IF(AND(HH$6&gt;=$F34,HH$6&lt;=$G34),"."," ")</f>
        <v xml:space="preserve"> </v>
      </c>
      <c r="HI34" s="10" t="str">
        <f t="shared" si="160"/>
        <v xml:space="preserve"> </v>
      </c>
      <c r="HJ34" s="10" t="str">
        <f t="shared" si="160"/>
        <v xml:space="preserve"> </v>
      </c>
      <c r="HK34" s="10" t="str">
        <f t="shared" si="160"/>
        <v xml:space="preserve"> </v>
      </c>
      <c r="HL34" s="10" t="str">
        <f t="shared" si="160"/>
        <v xml:space="preserve"> </v>
      </c>
      <c r="HO34" s="10" t="str">
        <f t="shared" ref="HO34:HS39" si="161">IF(AND(HO$6&gt;=$F34,HO$6&lt;=$G34),"."," ")</f>
        <v xml:space="preserve"> </v>
      </c>
      <c r="HP34" s="10" t="str">
        <f t="shared" si="161"/>
        <v xml:space="preserve"> </v>
      </c>
      <c r="HQ34" s="10" t="str">
        <f t="shared" si="161"/>
        <v xml:space="preserve"> </v>
      </c>
      <c r="HR34" s="10" t="str">
        <f t="shared" si="161"/>
        <v xml:space="preserve"> </v>
      </c>
      <c r="HS34" s="10" t="str">
        <f t="shared" si="161"/>
        <v xml:space="preserve"> </v>
      </c>
      <c r="HV34" s="10" t="str">
        <f t="shared" ref="HV34:HZ39" si="162">IF(AND(HV$6&gt;=$F34,HV$6&lt;=$G34),"."," ")</f>
        <v xml:space="preserve"> </v>
      </c>
      <c r="HW34" s="10" t="str">
        <f t="shared" si="162"/>
        <v xml:space="preserve"> </v>
      </c>
      <c r="HX34" s="10" t="str">
        <f t="shared" si="162"/>
        <v xml:space="preserve"> </v>
      </c>
      <c r="HY34" s="10" t="str">
        <f t="shared" si="162"/>
        <v xml:space="preserve"> </v>
      </c>
      <c r="HZ34" s="10" t="str">
        <f t="shared" si="162"/>
        <v xml:space="preserve"> </v>
      </c>
      <c r="IC34" s="10" t="str">
        <f t="shared" ref="IC34:IG39" si="163">IF(AND(IC$6&gt;=$F34,IC$6&lt;=$G34),"."," ")</f>
        <v xml:space="preserve"> </v>
      </c>
      <c r="ID34" s="10" t="str">
        <f t="shared" si="163"/>
        <v xml:space="preserve"> </v>
      </c>
      <c r="IE34" s="10" t="str">
        <f t="shared" si="163"/>
        <v xml:space="preserve"> </v>
      </c>
      <c r="IF34" s="10" t="str">
        <f t="shared" si="163"/>
        <v xml:space="preserve"> </v>
      </c>
      <c r="IG34" s="10" t="str">
        <f t="shared" si="163"/>
        <v xml:space="preserve"> </v>
      </c>
      <c r="IJ34" s="10" t="str">
        <f t="shared" ref="IJ34:IN39" si="164">IF(AND(IJ$6&gt;=$F34,IJ$6&lt;=$G34),"."," ")</f>
        <v xml:space="preserve"> </v>
      </c>
      <c r="IK34" s="10" t="str">
        <f t="shared" si="164"/>
        <v xml:space="preserve"> </v>
      </c>
      <c r="IL34" s="10" t="str">
        <f t="shared" si="164"/>
        <v xml:space="preserve"> </v>
      </c>
      <c r="IM34" s="10" t="str">
        <f t="shared" si="164"/>
        <v xml:space="preserve"> </v>
      </c>
      <c r="IN34" s="10" t="str">
        <f t="shared" si="164"/>
        <v xml:space="preserve"> </v>
      </c>
      <c r="IQ34" s="10" t="str">
        <f t="shared" ref="IQ34:IU39" si="165">IF(AND(IQ$6&gt;=$F34,IQ$6&lt;=$G34),"."," ")</f>
        <v xml:space="preserve"> </v>
      </c>
      <c r="IR34" s="10" t="str">
        <f t="shared" si="165"/>
        <v xml:space="preserve"> </v>
      </c>
      <c r="IS34" s="10" t="str">
        <f t="shared" si="165"/>
        <v xml:space="preserve"> </v>
      </c>
      <c r="IT34" s="10" t="str">
        <f t="shared" si="165"/>
        <v xml:space="preserve"> </v>
      </c>
      <c r="IU34" s="10" t="str">
        <f t="shared" si="165"/>
        <v xml:space="preserve"> </v>
      </c>
      <c r="IX34" s="10" t="str">
        <f t="shared" ref="IX34:JB39" si="166">IF(AND(IX$6&gt;=$F34,IX$6&lt;=$G34),"."," ")</f>
        <v xml:space="preserve"> </v>
      </c>
      <c r="IY34" s="10" t="str">
        <f t="shared" si="166"/>
        <v xml:space="preserve"> </v>
      </c>
      <c r="IZ34" s="10" t="str">
        <f t="shared" si="166"/>
        <v xml:space="preserve"> </v>
      </c>
      <c r="JA34" s="10" t="str">
        <f t="shared" si="166"/>
        <v xml:space="preserve"> </v>
      </c>
      <c r="JB34" s="10" t="str">
        <f t="shared" si="166"/>
        <v xml:space="preserve"> </v>
      </c>
      <c r="JE34" s="10" t="str">
        <f t="shared" ref="JE34:JI39" si="167">IF(AND(JE$6&gt;=$F34,JE$6&lt;=$G34),"."," ")</f>
        <v xml:space="preserve"> </v>
      </c>
      <c r="JF34" s="10" t="str">
        <f t="shared" si="167"/>
        <v xml:space="preserve"> </v>
      </c>
      <c r="JG34" s="10" t="str">
        <f t="shared" si="167"/>
        <v xml:space="preserve"> </v>
      </c>
      <c r="JH34" s="10" t="str">
        <f t="shared" si="167"/>
        <v xml:space="preserve"> </v>
      </c>
      <c r="JI34" s="10" t="str">
        <f t="shared" si="167"/>
        <v xml:space="preserve"> </v>
      </c>
    </row>
    <row r="35" spans="1:269">
      <c r="A35" s="96"/>
      <c r="B35" s="10">
        <v>27</v>
      </c>
      <c r="C35" s="11" t="s">
        <v>53</v>
      </c>
      <c r="D35" s="11" t="s">
        <v>31</v>
      </c>
      <c r="E35" s="10">
        <v>25</v>
      </c>
      <c r="F35" s="12">
        <f t="shared" si="87"/>
        <v>42558</v>
      </c>
      <c r="G35" s="12">
        <f>WORKDAY(F35,H35-1,Config!D35:D54)</f>
        <v>42559</v>
      </c>
      <c r="H35" s="10">
        <v>2</v>
      </c>
      <c r="I35" s="13">
        <v>0</v>
      </c>
      <c r="J35" s="13">
        <f ca="1">IF(((NETWORKDAYS(F35,TODAY(),Data!C31:C50)*100)/H35)/100 &gt; 0,((NETWORKDAYS(F35,TODAY(),Data!C31:C50)*100)/H35)/100,0)</f>
        <v>813.5</v>
      </c>
      <c r="K35" s="13" t="str">
        <f t="shared" ca="1" si="129"/>
        <v>100%</v>
      </c>
      <c r="L35" s="13">
        <f t="shared" ca="1" si="130"/>
        <v>1</v>
      </c>
      <c r="M35" s="10" t="str">
        <f t="shared" ref="M35:M39" si="168">IF(AND(M$6&gt;=$F35,M$6&lt;=$G35),"."," ")</f>
        <v xml:space="preserve"> </v>
      </c>
      <c r="N35" s="10" t="str">
        <f t="shared" si="131"/>
        <v xml:space="preserve"> </v>
      </c>
      <c r="O35" s="10" t="str">
        <f t="shared" si="131"/>
        <v xml:space="preserve"> </v>
      </c>
      <c r="P35" s="10" t="str">
        <f t="shared" si="131"/>
        <v xml:space="preserve"> </v>
      </c>
      <c r="Q35" s="10" t="str">
        <f t="shared" si="131"/>
        <v xml:space="preserve"> </v>
      </c>
      <c r="R35" s="14"/>
      <c r="S35" s="14"/>
      <c r="T35" s="10" t="str">
        <f t="shared" si="132"/>
        <v xml:space="preserve"> </v>
      </c>
      <c r="U35" s="10" t="str">
        <f t="shared" si="132"/>
        <v xml:space="preserve"> </v>
      </c>
      <c r="V35" s="10" t="str">
        <f t="shared" si="132"/>
        <v xml:space="preserve"> </v>
      </c>
      <c r="W35" s="10" t="str">
        <f t="shared" si="132"/>
        <v xml:space="preserve"> </v>
      </c>
      <c r="X35" s="10" t="str">
        <f t="shared" si="132"/>
        <v xml:space="preserve"> </v>
      </c>
      <c r="Y35" s="14"/>
      <c r="Z35" s="14"/>
      <c r="AA35" s="10" t="str">
        <f t="shared" si="133"/>
        <v xml:space="preserve"> </v>
      </c>
      <c r="AB35" s="10" t="str">
        <f t="shared" si="133"/>
        <v xml:space="preserve"> </v>
      </c>
      <c r="AC35" s="10" t="str">
        <f t="shared" si="133"/>
        <v xml:space="preserve"> </v>
      </c>
      <c r="AD35" s="10" t="str">
        <f t="shared" si="133"/>
        <v xml:space="preserve"> </v>
      </c>
      <c r="AE35" s="10" t="str">
        <f t="shared" si="133"/>
        <v xml:space="preserve"> </v>
      </c>
      <c r="AF35" s="14"/>
      <c r="AG35" s="14"/>
      <c r="AH35" s="10" t="str">
        <f t="shared" si="134"/>
        <v xml:space="preserve"> </v>
      </c>
      <c r="AI35" s="10" t="str">
        <f t="shared" si="134"/>
        <v xml:space="preserve"> </v>
      </c>
      <c r="AJ35" s="10" t="str">
        <f t="shared" si="134"/>
        <v xml:space="preserve"> </v>
      </c>
      <c r="AK35" s="10" t="str">
        <f t="shared" si="134"/>
        <v xml:space="preserve"> </v>
      </c>
      <c r="AL35" s="10" t="str">
        <f t="shared" si="134"/>
        <v xml:space="preserve"> </v>
      </c>
      <c r="AM35" s="14"/>
      <c r="AN35" s="14"/>
      <c r="AO35" s="10" t="str">
        <f t="shared" si="135"/>
        <v xml:space="preserve"> </v>
      </c>
      <c r="AP35" s="10" t="str">
        <f t="shared" si="135"/>
        <v xml:space="preserve"> </v>
      </c>
      <c r="AQ35" s="10" t="str">
        <f t="shared" si="135"/>
        <v xml:space="preserve"> </v>
      </c>
      <c r="AR35" s="10" t="str">
        <f t="shared" si="135"/>
        <v xml:space="preserve"> </v>
      </c>
      <c r="AS35" s="10" t="str">
        <f t="shared" si="135"/>
        <v xml:space="preserve"> </v>
      </c>
      <c r="AT35" s="14"/>
      <c r="AU35" s="14"/>
      <c r="AV35" s="10" t="str">
        <f t="shared" si="136"/>
        <v xml:space="preserve"> </v>
      </c>
      <c r="AW35" s="10" t="str">
        <f t="shared" si="136"/>
        <v xml:space="preserve"> </v>
      </c>
      <c r="AX35" s="10" t="str">
        <f t="shared" si="136"/>
        <v xml:space="preserve"> </v>
      </c>
      <c r="AY35" s="10" t="str">
        <f t="shared" si="136"/>
        <v xml:space="preserve"> </v>
      </c>
      <c r="AZ35" s="10" t="str">
        <f t="shared" si="136"/>
        <v xml:space="preserve"> </v>
      </c>
      <c r="BA35" s="14"/>
      <c r="BB35" s="14"/>
      <c r="BC35" s="10" t="str">
        <f t="shared" si="137"/>
        <v xml:space="preserve"> </v>
      </c>
      <c r="BD35" s="10" t="str">
        <f t="shared" si="137"/>
        <v xml:space="preserve"> </v>
      </c>
      <c r="BE35" s="10" t="str">
        <f t="shared" si="137"/>
        <v xml:space="preserve"> </v>
      </c>
      <c r="BF35" s="10" t="str">
        <f t="shared" si="137"/>
        <v xml:space="preserve"> </v>
      </c>
      <c r="BG35" s="10" t="str">
        <f t="shared" si="137"/>
        <v xml:space="preserve"> </v>
      </c>
      <c r="BH35" s="14"/>
      <c r="BI35" s="14"/>
      <c r="BJ35" s="10" t="str">
        <f t="shared" si="138"/>
        <v xml:space="preserve"> </v>
      </c>
      <c r="BK35" s="10" t="str">
        <f t="shared" si="138"/>
        <v xml:space="preserve"> </v>
      </c>
      <c r="BL35" s="10" t="str">
        <f t="shared" si="138"/>
        <v xml:space="preserve"> </v>
      </c>
      <c r="BM35" s="10" t="str">
        <f t="shared" si="138"/>
        <v xml:space="preserve"> </v>
      </c>
      <c r="BN35" s="10" t="str">
        <f t="shared" si="138"/>
        <v xml:space="preserve"> </v>
      </c>
      <c r="BO35" s="14"/>
      <c r="BP35" s="14"/>
      <c r="BQ35" s="10" t="str">
        <f t="shared" si="139"/>
        <v xml:space="preserve"> </v>
      </c>
      <c r="BR35" s="10" t="str">
        <f t="shared" si="139"/>
        <v xml:space="preserve"> </v>
      </c>
      <c r="BS35" s="10" t="str">
        <f t="shared" si="139"/>
        <v xml:space="preserve"> </v>
      </c>
      <c r="BT35" s="10" t="str">
        <f t="shared" si="139"/>
        <v xml:space="preserve"> </v>
      </c>
      <c r="BU35" s="10" t="str">
        <f t="shared" si="139"/>
        <v xml:space="preserve"> </v>
      </c>
      <c r="BV35" s="14"/>
      <c r="BW35" s="14"/>
      <c r="BX35" s="10" t="str">
        <f t="shared" si="140"/>
        <v>.</v>
      </c>
      <c r="BY35" s="10" t="str">
        <f t="shared" si="140"/>
        <v>.</v>
      </c>
      <c r="BZ35" s="10" t="str">
        <f t="shared" si="140"/>
        <v xml:space="preserve"> </v>
      </c>
      <c r="CA35" s="10" t="str">
        <f t="shared" si="140"/>
        <v xml:space="preserve"> </v>
      </c>
      <c r="CB35" s="10" t="str">
        <f t="shared" si="140"/>
        <v xml:space="preserve"> </v>
      </c>
      <c r="CC35" s="14"/>
      <c r="CD35" s="14"/>
      <c r="CE35" s="10" t="str">
        <f t="shared" si="141"/>
        <v xml:space="preserve"> </v>
      </c>
      <c r="CF35" s="10" t="str">
        <f t="shared" si="141"/>
        <v xml:space="preserve"> </v>
      </c>
      <c r="CG35" s="10" t="str">
        <f t="shared" si="141"/>
        <v xml:space="preserve"> </v>
      </c>
      <c r="CH35" s="10" t="str">
        <f t="shared" si="141"/>
        <v xml:space="preserve"> </v>
      </c>
      <c r="CI35" s="10" t="str">
        <f t="shared" si="141"/>
        <v xml:space="preserve"> </v>
      </c>
      <c r="CJ35" s="14"/>
      <c r="CK35" s="14"/>
      <c r="CL35" s="10" t="str">
        <f t="shared" si="142"/>
        <v xml:space="preserve"> </v>
      </c>
      <c r="CM35" s="10" t="str">
        <f t="shared" si="142"/>
        <v xml:space="preserve"> </v>
      </c>
      <c r="CN35" s="10" t="str">
        <f t="shared" si="142"/>
        <v xml:space="preserve"> </v>
      </c>
      <c r="CO35" s="10" t="str">
        <f t="shared" si="142"/>
        <v xml:space="preserve"> </v>
      </c>
      <c r="CP35" s="10" t="str">
        <f t="shared" si="142"/>
        <v xml:space="preserve"> </v>
      </c>
      <c r="CQ35" s="14"/>
      <c r="CR35" s="14"/>
      <c r="CS35" s="10" t="str">
        <f t="shared" si="143"/>
        <v xml:space="preserve"> </v>
      </c>
      <c r="CT35" s="10" t="str">
        <f t="shared" si="143"/>
        <v xml:space="preserve"> </v>
      </c>
      <c r="CU35" s="10" t="str">
        <f t="shared" si="143"/>
        <v xml:space="preserve"> </v>
      </c>
      <c r="CV35" s="10" t="str">
        <f t="shared" si="143"/>
        <v xml:space="preserve"> </v>
      </c>
      <c r="CW35" s="10" t="str">
        <f t="shared" si="143"/>
        <v xml:space="preserve"> </v>
      </c>
      <c r="CZ35" s="10" t="str">
        <f t="shared" si="144"/>
        <v xml:space="preserve"> </v>
      </c>
      <c r="DA35" s="10" t="str">
        <f t="shared" si="144"/>
        <v xml:space="preserve"> </v>
      </c>
      <c r="DB35" s="10" t="str">
        <f t="shared" si="144"/>
        <v xml:space="preserve"> </v>
      </c>
      <c r="DC35" s="10" t="str">
        <f t="shared" si="144"/>
        <v xml:space="preserve"> </v>
      </c>
      <c r="DD35" s="10" t="str">
        <f t="shared" si="144"/>
        <v xml:space="preserve"> </v>
      </c>
      <c r="DG35" s="10" t="str">
        <f t="shared" si="145"/>
        <v xml:space="preserve"> </v>
      </c>
      <c r="DH35" s="10" t="str">
        <f t="shared" si="145"/>
        <v xml:space="preserve"> </v>
      </c>
      <c r="DI35" s="10" t="str">
        <f t="shared" si="145"/>
        <v xml:space="preserve"> </v>
      </c>
      <c r="DJ35" s="10" t="str">
        <f t="shared" si="145"/>
        <v xml:space="preserve"> </v>
      </c>
      <c r="DK35" s="10" t="str">
        <f t="shared" si="145"/>
        <v xml:space="preserve"> </v>
      </c>
      <c r="DN35" s="10" t="str">
        <f t="shared" si="146"/>
        <v xml:space="preserve"> </v>
      </c>
      <c r="DO35" s="10" t="str">
        <f t="shared" si="146"/>
        <v xml:space="preserve"> </v>
      </c>
      <c r="DP35" s="10" t="str">
        <f t="shared" si="146"/>
        <v xml:space="preserve"> </v>
      </c>
      <c r="DQ35" s="10" t="str">
        <f t="shared" si="146"/>
        <v xml:space="preserve"> </v>
      </c>
      <c r="DR35" s="10" t="str">
        <f t="shared" si="146"/>
        <v xml:space="preserve"> </v>
      </c>
      <c r="DU35" s="10" t="str">
        <f t="shared" si="147"/>
        <v xml:space="preserve"> </v>
      </c>
      <c r="DV35" s="10" t="str">
        <f t="shared" si="147"/>
        <v xml:space="preserve"> </v>
      </c>
      <c r="DW35" s="10" t="str">
        <f t="shared" si="147"/>
        <v xml:space="preserve"> </v>
      </c>
      <c r="DX35" s="10" t="str">
        <f t="shared" si="147"/>
        <v xml:space="preserve"> </v>
      </c>
      <c r="DY35" s="10" t="str">
        <f t="shared" si="147"/>
        <v xml:space="preserve"> </v>
      </c>
      <c r="EB35" s="10" t="str">
        <f t="shared" si="148"/>
        <v xml:space="preserve"> </v>
      </c>
      <c r="EC35" s="10" t="str">
        <f t="shared" si="148"/>
        <v xml:space="preserve"> </v>
      </c>
      <c r="ED35" s="10" t="str">
        <f t="shared" si="148"/>
        <v xml:space="preserve"> </v>
      </c>
      <c r="EE35" s="10" t="str">
        <f t="shared" si="148"/>
        <v xml:space="preserve"> </v>
      </c>
      <c r="EF35" s="10" t="str">
        <f t="shared" si="148"/>
        <v xml:space="preserve"> </v>
      </c>
      <c r="EI35" s="10" t="str">
        <f t="shared" si="149"/>
        <v xml:space="preserve"> </v>
      </c>
      <c r="EJ35" s="10" t="str">
        <f t="shared" si="149"/>
        <v xml:space="preserve"> </v>
      </c>
      <c r="EK35" s="10" t="str">
        <f t="shared" si="149"/>
        <v xml:space="preserve"> </v>
      </c>
      <c r="EL35" s="10" t="str">
        <f t="shared" si="149"/>
        <v xml:space="preserve"> </v>
      </c>
      <c r="EM35" s="10" t="str">
        <f t="shared" si="149"/>
        <v xml:space="preserve"> </v>
      </c>
      <c r="EP35" s="10" t="str">
        <f t="shared" si="150"/>
        <v xml:space="preserve"> </v>
      </c>
      <c r="EQ35" s="10" t="str">
        <f t="shared" si="150"/>
        <v xml:space="preserve"> </v>
      </c>
      <c r="ER35" s="10" t="str">
        <f t="shared" si="150"/>
        <v xml:space="preserve"> </v>
      </c>
      <c r="ES35" s="10" t="str">
        <f t="shared" si="150"/>
        <v xml:space="preserve"> </v>
      </c>
      <c r="ET35" s="10" t="str">
        <f t="shared" si="150"/>
        <v xml:space="preserve"> </v>
      </c>
      <c r="EW35" s="10" t="str">
        <f t="shared" si="151"/>
        <v xml:space="preserve"> </v>
      </c>
      <c r="EX35" s="10" t="str">
        <f t="shared" si="151"/>
        <v xml:space="preserve"> </v>
      </c>
      <c r="EY35" s="10" t="str">
        <f t="shared" si="151"/>
        <v xml:space="preserve"> </v>
      </c>
      <c r="EZ35" s="10" t="str">
        <f t="shared" si="151"/>
        <v xml:space="preserve"> </v>
      </c>
      <c r="FA35" s="10" t="str">
        <f t="shared" si="151"/>
        <v xml:space="preserve"> </v>
      </c>
      <c r="FD35" s="10" t="str">
        <f t="shared" si="152"/>
        <v xml:space="preserve"> </v>
      </c>
      <c r="FE35" s="10" t="str">
        <f t="shared" si="152"/>
        <v xml:space="preserve"> </v>
      </c>
      <c r="FF35" s="10" t="str">
        <f t="shared" si="152"/>
        <v xml:space="preserve"> </v>
      </c>
      <c r="FG35" s="10" t="str">
        <f t="shared" si="152"/>
        <v xml:space="preserve"> </v>
      </c>
      <c r="FH35" s="10" t="str">
        <f t="shared" si="152"/>
        <v xml:space="preserve"> </v>
      </c>
      <c r="FK35" s="10" t="str">
        <f t="shared" si="153"/>
        <v xml:space="preserve"> </v>
      </c>
      <c r="FL35" s="10" t="str">
        <f t="shared" si="153"/>
        <v xml:space="preserve"> </v>
      </c>
      <c r="FM35" s="10" t="str">
        <f t="shared" si="153"/>
        <v xml:space="preserve"> </v>
      </c>
      <c r="FN35" s="10" t="str">
        <f t="shared" si="153"/>
        <v xml:space="preserve"> </v>
      </c>
      <c r="FO35" s="10" t="str">
        <f t="shared" si="153"/>
        <v xml:space="preserve"> </v>
      </c>
      <c r="FR35" s="10" t="str">
        <f t="shared" si="154"/>
        <v xml:space="preserve"> </v>
      </c>
      <c r="FS35" s="10" t="str">
        <f t="shared" si="154"/>
        <v xml:space="preserve"> </v>
      </c>
      <c r="FT35" s="10" t="str">
        <f t="shared" si="154"/>
        <v xml:space="preserve"> </v>
      </c>
      <c r="FU35" s="10" t="str">
        <f t="shared" si="154"/>
        <v xml:space="preserve"> </v>
      </c>
      <c r="FV35" s="10" t="str">
        <f t="shared" si="154"/>
        <v xml:space="preserve"> </v>
      </c>
      <c r="FY35" s="10" t="str">
        <f t="shared" si="155"/>
        <v xml:space="preserve"> </v>
      </c>
      <c r="FZ35" s="10" t="str">
        <f t="shared" si="155"/>
        <v xml:space="preserve"> </v>
      </c>
      <c r="GA35" s="10" t="str">
        <f t="shared" si="155"/>
        <v xml:space="preserve"> </v>
      </c>
      <c r="GB35" s="10" t="str">
        <f t="shared" si="155"/>
        <v xml:space="preserve"> </v>
      </c>
      <c r="GC35" s="10" t="str">
        <f t="shared" si="155"/>
        <v xml:space="preserve"> </v>
      </c>
      <c r="GF35" s="10" t="str">
        <f t="shared" si="156"/>
        <v xml:space="preserve"> </v>
      </c>
      <c r="GG35" s="10" t="str">
        <f t="shared" si="156"/>
        <v xml:space="preserve"> </v>
      </c>
      <c r="GH35" s="10" t="str">
        <f t="shared" si="156"/>
        <v xml:space="preserve"> </v>
      </c>
      <c r="GI35" s="10" t="str">
        <f t="shared" si="156"/>
        <v xml:space="preserve"> </v>
      </c>
      <c r="GJ35" s="10" t="str">
        <f t="shared" si="156"/>
        <v xml:space="preserve"> </v>
      </c>
      <c r="GM35" s="10" t="str">
        <f t="shared" si="157"/>
        <v xml:space="preserve"> </v>
      </c>
      <c r="GN35" s="10" t="str">
        <f t="shared" si="157"/>
        <v xml:space="preserve"> </v>
      </c>
      <c r="GO35" s="10" t="str">
        <f t="shared" si="157"/>
        <v xml:space="preserve"> </v>
      </c>
      <c r="GP35" s="10" t="str">
        <f t="shared" si="157"/>
        <v xml:space="preserve"> </v>
      </c>
      <c r="GQ35" s="10" t="str">
        <f t="shared" si="157"/>
        <v xml:space="preserve"> </v>
      </c>
      <c r="GT35" s="10" t="str">
        <f t="shared" si="158"/>
        <v xml:space="preserve"> </v>
      </c>
      <c r="GU35" s="10" t="str">
        <f t="shared" si="158"/>
        <v xml:space="preserve"> </v>
      </c>
      <c r="GV35" s="10" t="str">
        <f t="shared" si="158"/>
        <v xml:space="preserve"> </v>
      </c>
      <c r="GW35" s="10" t="str">
        <f t="shared" si="158"/>
        <v xml:space="preserve"> </v>
      </c>
      <c r="GX35" s="10" t="str">
        <f t="shared" si="158"/>
        <v xml:space="preserve"> </v>
      </c>
      <c r="HA35" s="10" t="str">
        <f t="shared" si="159"/>
        <v xml:space="preserve"> </v>
      </c>
      <c r="HB35" s="10" t="str">
        <f t="shared" si="159"/>
        <v xml:space="preserve"> </v>
      </c>
      <c r="HC35" s="10" t="str">
        <f t="shared" si="159"/>
        <v xml:space="preserve"> </v>
      </c>
      <c r="HD35" s="10" t="str">
        <f t="shared" si="159"/>
        <v xml:space="preserve"> </v>
      </c>
      <c r="HE35" s="10" t="str">
        <f t="shared" si="159"/>
        <v xml:space="preserve"> </v>
      </c>
      <c r="HH35" s="10" t="str">
        <f t="shared" si="160"/>
        <v xml:space="preserve"> </v>
      </c>
      <c r="HI35" s="10" t="str">
        <f t="shared" si="160"/>
        <v xml:space="preserve"> </v>
      </c>
      <c r="HJ35" s="10" t="str">
        <f t="shared" si="160"/>
        <v xml:space="preserve"> </v>
      </c>
      <c r="HK35" s="10" t="str">
        <f t="shared" si="160"/>
        <v xml:space="preserve"> </v>
      </c>
      <c r="HL35" s="10" t="str">
        <f t="shared" si="160"/>
        <v xml:space="preserve"> </v>
      </c>
      <c r="HO35" s="10" t="str">
        <f t="shared" si="161"/>
        <v xml:space="preserve"> </v>
      </c>
      <c r="HP35" s="10" t="str">
        <f t="shared" si="161"/>
        <v xml:space="preserve"> </v>
      </c>
      <c r="HQ35" s="10" t="str">
        <f t="shared" si="161"/>
        <v xml:space="preserve"> </v>
      </c>
      <c r="HR35" s="10" t="str">
        <f t="shared" si="161"/>
        <v xml:space="preserve"> </v>
      </c>
      <c r="HS35" s="10" t="str">
        <f t="shared" si="161"/>
        <v xml:space="preserve"> </v>
      </c>
      <c r="HV35" s="10" t="str">
        <f t="shared" si="162"/>
        <v xml:space="preserve"> </v>
      </c>
      <c r="HW35" s="10" t="str">
        <f t="shared" si="162"/>
        <v xml:space="preserve"> </v>
      </c>
      <c r="HX35" s="10" t="str">
        <f t="shared" si="162"/>
        <v xml:space="preserve"> </v>
      </c>
      <c r="HY35" s="10" t="str">
        <f t="shared" si="162"/>
        <v xml:space="preserve"> </v>
      </c>
      <c r="HZ35" s="10" t="str">
        <f t="shared" si="162"/>
        <v xml:space="preserve"> </v>
      </c>
      <c r="IC35" s="10" t="str">
        <f t="shared" si="163"/>
        <v xml:space="preserve"> </v>
      </c>
      <c r="ID35" s="10" t="str">
        <f t="shared" si="163"/>
        <v xml:space="preserve"> </v>
      </c>
      <c r="IE35" s="10" t="str">
        <f t="shared" si="163"/>
        <v xml:space="preserve"> </v>
      </c>
      <c r="IF35" s="10" t="str">
        <f t="shared" si="163"/>
        <v xml:space="preserve"> </v>
      </c>
      <c r="IG35" s="10" t="str">
        <f t="shared" si="163"/>
        <v xml:space="preserve"> </v>
      </c>
      <c r="IJ35" s="10" t="str">
        <f t="shared" si="164"/>
        <v xml:space="preserve"> </v>
      </c>
      <c r="IK35" s="10" t="str">
        <f t="shared" si="164"/>
        <v xml:space="preserve"> </v>
      </c>
      <c r="IL35" s="10" t="str">
        <f t="shared" si="164"/>
        <v xml:space="preserve"> </v>
      </c>
      <c r="IM35" s="10" t="str">
        <f t="shared" si="164"/>
        <v xml:space="preserve"> </v>
      </c>
      <c r="IN35" s="10" t="str">
        <f t="shared" si="164"/>
        <v xml:space="preserve"> </v>
      </c>
      <c r="IQ35" s="10" t="str">
        <f t="shared" si="165"/>
        <v xml:space="preserve"> </v>
      </c>
      <c r="IR35" s="10" t="str">
        <f t="shared" si="165"/>
        <v xml:space="preserve"> </v>
      </c>
      <c r="IS35" s="10" t="str">
        <f t="shared" si="165"/>
        <v xml:space="preserve"> </v>
      </c>
      <c r="IT35" s="10" t="str">
        <f t="shared" si="165"/>
        <v xml:space="preserve"> </v>
      </c>
      <c r="IU35" s="10" t="str">
        <f t="shared" si="165"/>
        <v xml:space="preserve"> </v>
      </c>
      <c r="IX35" s="10" t="str">
        <f t="shared" si="166"/>
        <v xml:space="preserve"> </v>
      </c>
      <c r="IY35" s="10" t="str">
        <f t="shared" si="166"/>
        <v xml:space="preserve"> </v>
      </c>
      <c r="IZ35" s="10" t="str">
        <f t="shared" si="166"/>
        <v xml:space="preserve"> </v>
      </c>
      <c r="JA35" s="10" t="str">
        <f t="shared" si="166"/>
        <v xml:space="preserve"> </v>
      </c>
      <c r="JB35" s="10" t="str">
        <f t="shared" si="166"/>
        <v xml:space="preserve"> </v>
      </c>
      <c r="JE35" s="10" t="str">
        <f t="shared" si="167"/>
        <v xml:space="preserve"> </v>
      </c>
      <c r="JF35" s="10" t="str">
        <f t="shared" si="167"/>
        <v xml:space="preserve"> </v>
      </c>
      <c r="JG35" s="10" t="str">
        <f t="shared" si="167"/>
        <v xml:space="preserve"> </v>
      </c>
      <c r="JH35" s="10" t="str">
        <f t="shared" si="167"/>
        <v xml:space="preserve"> </v>
      </c>
      <c r="JI35" s="10" t="str">
        <f t="shared" si="167"/>
        <v xml:space="preserve"> </v>
      </c>
    </row>
    <row r="36" spans="1:269">
      <c r="A36" s="96"/>
      <c r="B36" s="10">
        <v>28</v>
      </c>
      <c r="C36" s="11" t="s">
        <v>54</v>
      </c>
      <c r="D36" s="11" t="s">
        <v>52</v>
      </c>
      <c r="E36" s="10">
        <v>26</v>
      </c>
      <c r="F36" s="12">
        <f t="shared" si="87"/>
        <v>42542</v>
      </c>
      <c r="G36" s="12">
        <f>WORKDAY(F36,H36-1,Config!D36:D55)</f>
        <v>42543</v>
      </c>
      <c r="H36" s="10">
        <v>2</v>
      </c>
      <c r="I36" s="13">
        <v>0</v>
      </c>
      <c r="J36" s="13">
        <f ca="1">IF(((NETWORKDAYS(F36,TODAY(),Data!C32:C51)*100)/H36)/100 &gt; 0,((NETWORKDAYS(F36,TODAY(),Data!C32:C51)*100)/H36)/100,0)</f>
        <v>819.5</v>
      </c>
      <c r="K36" s="13" t="str">
        <f t="shared" ca="1" si="129"/>
        <v>100%</v>
      </c>
      <c r="L36" s="13">
        <f t="shared" ca="1" si="130"/>
        <v>1</v>
      </c>
      <c r="M36" s="10" t="str">
        <f t="shared" si="168"/>
        <v xml:space="preserve"> </v>
      </c>
      <c r="N36" s="10" t="str">
        <f t="shared" si="131"/>
        <v xml:space="preserve"> </v>
      </c>
      <c r="O36" s="10" t="str">
        <f t="shared" si="131"/>
        <v xml:space="preserve"> </v>
      </c>
      <c r="P36" s="10" t="str">
        <f t="shared" si="131"/>
        <v xml:space="preserve"> </v>
      </c>
      <c r="Q36" s="10" t="str">
        <f t="shared" si="131"/>
        <v xml:space="preserve"> </v>
      </c>
      <c r="R36" s="14"/>
      <c r="S36" s="14"/>
      <c r="T36" s="10" t="str">
        <f t="shared" si="132"/>
        <v xml:space="preserve"> </v>
      </c>
      <c r="U36" s="10" t="str">
        <f t="shared" si="132"/>
        <v xml:space="preserve"> </v>
      </c>
      <c r="V36" s="10" t="str">
        <f t="shared" si="132"/>
        <v xml:space="preserve"> </v>
      </c>
      <c r="W36" s="10" t="str">
        <f t="shared" si="132"/>
        <v xml:space="preserve"> </v>
      </c>
      <c r="X36" s="10" t="str">
        <f t="shared" si="132"/>
        <v xml:space="preserve"> </v>
      </c>
      <c r="Y36" s="14"/>
      <c r="Z36" s="14"/>
      <c r="AA36" s="10" t="str">
        <f t="shared" si="133"/>
        <v xml:space="preserve"> </v>
      </c>
      <c r="AB36" s="10" t="str">
        <f t="shared" si="133"/>
        <v xml:space="preserve"> </v>
      </c>
      <c r="AC36" s="10" t="str">
        <f t="shared" si="133"/>
        <v xml:space="preserve"> </v>
      </c>
      <c r="AD36" s="10" t="str">
        <f t="shared" si="133"/>
        <v xml:space="preserve"> </v>
      </c>
      <c r="AE36" s="10" t="str">
        <f t="shared" si="133"/>
        <v xml:space="preserve"> </v>
      </c>
      <c r="AF36" s="14"/>
      <c r="AG36" s="14"/>
      <c r="AH36" s="10" t="str">
        <f t="shared" si="134"/>
        <v xml:space="preserve"> </v>
      </c>
      <c r="AI36" s="10" t="str">
        <f t="shared" si="134"/>
        <v xml:space="preserve"> </v>
      </c>
      <c r="AJ36" s="10" t="str">
        <f t="shared" si="134"/>
        <v xml:space="preserve"> </v>
      </c>
      <c r="AK36" s="10" t="str">
        <f t="shared" si="134"/>
        <v xml:space="preserve"> </v>
      </c>
      <c r="AL36" s="10" t="str">
        <f t="shared" si="134"/>
        <v xml:space="preserve"> </v>
      </c>
      <c r="AM36" s="14"/>
      <c r="AN36" s="14"/>
      <c r="AO36" s="10" t="str">
        <f t="shared" si="135"/>
        <v xml:space="preserve"> </v>
      </c>
      <c r="AP36" s="10" t="str">
        <f t="shared" si="135"/>
        <v xml:space="preserve"> </v>
      </c>
      <c r="AQ36" s="10" t="str">
        <f t="shared" si="135"/>
        <v xml:space="preserve"> </v>
      </c>
      <c r="AR36" s="10" t="str">
        <f t="shared" si="135"/>
        <v xml:space="preserve"> </v>
      </c>
      <c r="AS36" s="10" t="str">
        <f t="shared" si="135"/>
        <v xml:space="preserve"> </v>
      </c>
      <c r="AT36" s="14"/>
      <c r="AU36" s="14"/>
      <c r="AV36" s="10" t="str">
        <f t="shared" si="136"/>
        <v xml:space="preserve"> </v>
      </c>
      <c r="AW36" s="10" t="str">
        <f t="shared" si="136"/>
        <v xml:space="preserve"> </v>
      </c>
      <c r="AX36" s="10" t="str">
        <f t="shared" si="136"/>
        <v xml:space="preserve"> </v>
      </c>
      <c r="AY36" s="10" t="str">
        <f t="shared" si="136"/>
        <v xml:space="preserve"> </v>
      </c>
      <c r="AZ36" s="10" t="str">
        <f t="shared" si="136"/>
        <v xml:space="preserve"> </v>
      </c>
      <c r="BA36" s="14"/>
      <c r="BB36" s="14"/>
      <c r="BC36" s="10" t="str">
        <f t="shared" si="137"/>
        <v xml:space="preserve"> </v>
      </c>
      <c r="BD36" s="10" t="str">
        <f t="shared" si="137"/>
        <v xml:space="preserve"> </v>
      </c>
      <c r="BE36" s="10" t="str">
        <f t="shared" si="137"/>
        <v xml:space="preserve"> </v>
      </c>
      <c r="BF36" s="10" t="str">
        <f t="shared" si="137"/>
        <v xml:space="preserve"> </v>
      </c>
      <c r="BG36" s="10" t="str">
        <f t="shared" si="137"/>
        <v xml:space="preserve"> </v>
      </c>
      <c r="BH36" s="14"/>
      <c r="BI36" s="14"/>
      <c r="BJ36" s="10" t="str">
        <f t="shared" si="138"/>
        <v xml:space="preserve"> </v>
      </c>
      <c r="BK36" s="10" t="str">
        <f t="shared" si="138"/>
        <v xml:space="preserve"> </v>
      </c>
      <c r="BL36" s="10" t="str">
        <f t="shared" si="138"/>
        <v xml:space="preserve"> </v>
      </c>
      <c r="BM36" s="10" t="str">
        <f t="shared" si="138"/>
        <v xml:space="preserve"> </v>
      </c>
      <c r="BN36" s="10" t="str">
        <f t="shared" si="138"/>
        <v xml:space="preserve"> </v>
      </c>
      <c r="BO36" s="14"/>
      <c r="BP36" s="14"/>
      <c r="BQ36" s="10" t="str">
        <f t="shared" si="139"/>
        <v xml:space="preserve"> </v>
      </c>
      <c r="BR36" s="10" t="str">
        <f t="shared" si="139"/>
        <v xml:space="preserve"> </v>
      </c>
      <c r="BS36" s="10" t="str">
        <f t="shared" si="139"/>
        <v xml:space="preserve"> </v>
      </c>
      <c r="BT36" s="10" t="str">
        <f t="shared" si="139"/>
        <v xml:space="preserve"> </v>
      </c>
      <c r="BU36" s="10" t="str">
        <f t="shared" si="139"/>
        <v xml:space="preserve"> </v>
      </c>
      <c r="BV36" s="14"/>
      <c r="BW36" s="14"/>
      <c r="BX36" s="10" t="str">
        <f t="shared" si="140"/>
        <v xml:space="preserve"> </v>
      </c>
      <c r="BY36" s="10" t="str">
        <f t="shared" si="140"/>
        <v xml:space="preserve"> </v>
      </c>
      <c r="BZ36" s="10" t="str">
        <f t="shared" si="140"/>
        <v xml:space="preserve"> </v>
      </c>
      <c r="CA36" s="10" t="str">
        <f t="shared" si="140"/>
        <v xml:space="preserve"> </v>
      </c>
      <c r="CB36" s="10" t="str">
        <f t="shared" si="140"/>
        <v xml:space="preserve"> </v>
      </c>
      <c r="CC36" s="14"/>
      <c r="CD36" s="14"/>
      <c r="CE36" s="10" t="str">
        <f t="shared" si="141"/>
        <v xml:space="preserve"> </v>
      </c>
      <c r="CF36" s="10" t="str">
        <f t="shared" si="141"/>
        <v xml:space="preserve"> </v>
      </c>
      <c r="CG36" s="10" t="str">
        <f t="shared" si="141"/>
        <v xml:space="preserve"> </v>
      </c>
      <c r="CH36" s="10" t="str">
        <f t="shared" si="141"/>
        <v xml:space="preserve"> </v>
      </c>
      <c r="CI36" s="10" t="str">
        <f t="shared" si="141"/>
        <v xml:space="preserve"> </v>
      </c>
      <c r="CJ36" s="14"/>
      <c r="CK36" s="14"/>
      <c r="CL36" s="10" t="str">
        <f t="shared" si="142"/>
        <v xml:space="preserve"> </v>
      </c>
      <c r="CM36" s="10" t="str">
        <f t="shared" si="142"/>
        <v xml:space="preserve"> </v>
      </c>
      <c r="CN36" s="10" t="str">
        <f t="shared" si="142"/>
        <v xml:space="preserve"> </v>
      </c>
      <c r="CO36" s="10" t="str">
        <f t="shared" si="142"/>
        <v xml:space="preserve"> </v>
      </c>
      <c r="CP36" s="10" t="str">
        <f t="shared" si="142"/>
        <v xml:space="preserve"> </v>
      </c>
      <c r="CQ36" s="14"/>
      <c r="CR36" s="14"/>
      <c r="CS36" s="10" t="str">
        <f t="shared" si="143"/>
        <v xml:space="preserve"> </v>
      </c>
      <c r="CT36" s="10" t="str">
        <f t="shared" si="143"/>
        <v xml:space="preserve"> </v>
      </c>
      <c r="CU36" s="10" t="str">
        <f t="shared" si="143"/>
        <v xml:space="preserve"> </v>
      </c>
      <c r="CV36" s="10" t="str">
        <f t="shared" si="143"/>
        <v xml:space="preserve"> </v>
      </c>
      <c r="CW36" s="10" t="str">
        <f t="shared" si="143"/>
        <v xml:space="preserve"> </v>
      </c>
      <c r="CZ36" s="10" t="str">
        <f t="shared" si="144"/>
        <v xml:space="preserve"> </v>
      </c>
      <c r="DA36" s="10" t="str">
        <f t="shared" si="144"/>
        <v xml:space="preserve"> </v>
      </c>
      <c r="DB36" s="10" t="str">
        <f t="shared" si="144"/>
        <v xml:space="preserve"> </v>
      </c>
      <c r="DC36" s="10" t="str">
        <f t="shared" si="144"/>
        <v xml:space="preserve"> </v>
      </c>
      <c r="DD36" s="10" t="str">
        <f t="shared" si="144"/>
        <v xml:space="preserve"> </v>
      </c>
      <c r="DG36" s="10" t="str">
        <f t="shared" si="145"/>
        <v xml:space="preserve"> </v>
      </c>
      <c r="DH36" s="10" t="str">
        <f t="shared" si="145"/>
        <v xml:space="preserve"> </v>
      </c>
      <c r="DI36" s="10" t="str">
        <f t="shared" si="145"/>
        <v xml:space="preserve"> </v>
      </c>
      <c r="DJ36" s="10" t="str">
        <f t="shared" si="145"/>
        <v xml:space="preserve"> </v>
      </c>
      <c r="DK36" s="10" t="str">
        <f t="shared" si="145"/>
        <v xml:space="preserve"> </v>
      </c>
      <c r="DN36" s="10" t="str">
        <f t="shared" si="146"/>
        <v xml:space="preserve"> </v>
      </c>
      <c r="DO36" s="10" t="str">
        <f t="shared" si="146"/>
        <v xml:space="preserve"> </v>
      </c>
      <c r="DP36" s="10" t="str">
        <f t="shared" si="146"/>
        <v xml:space="preserve"> </v>
      </c>
      <c r="DQ36" s="10" t="str">
        <f t="shared" si="146"/>
        <v xml:space="preserve"> </v>
      </c>
      <c r="DR36" s="10" t="str">
        <f t="shared" si="146"/>
        <v xml:space="preserve"> </v>
      </c>
      <c r="DU36" s="10" t="str">
        <f t="shared" si="147"/>
        <v xml:space="preserve"> </v>
      </c>
      <c r="DV36" s="10" t="str">
        <f t="shared" si="147"/>
        <v xml:space="preserve"> </v>
      </c>
      <c r="DW36" s="10" t="str">
        <f t="shared" si="147"/>
        <v xml:space="preserve"> </v>
      </c>
      <c r="DX36" s="10" t="str">
        <f t="shared" si="147"/>
        <v xml:space="preserve"> </v>
      </c>
      <c r="DY36" s="10" t="str">
        <f t="shared" si="147"/>
        <v xml:space="preserve"> </v>
      </c>
      <c r="EB36" s="10" t="str">
        <f t="shared" si="148"/>
        <v xml:space="preserve"> </v>
      </c>
      <c r="EC36" s="10" t="str">
        <f t="shared" si="148"/>
        <v xml:space="preserve"> </v>
      </c>
      <c r="ED36" s="10" t="str">
        <f t="shared" si="148"/>
        <v xml:space="preserve"> </v>
      </c>
      <c r="EE36" s="10" t="str">
        <f t="shared" si="148"/>
        <v xml:space="preserve"> </v>
      </c>
      <c r="EF36" s="10" t="str">
        <f t="shared" si="148"/>
        <v xml:space="preserve"> </v>
      </c>
      <c r="EI36" s="10" t="str">
        <f t="shared" si="149"/>
        <v xml:space="preserve"> </v>
      </c>
      <c r="EJ36" s="10" t="str">
        <f t="shared" si="149"/>
        <v xml:space="preserve"> </v>
      </c>
      <c r="EK36" s="10" t="str">
        <f t="shared" si="149"/>
        <v xml:space="preserve"> </v>
      </c>
      <c r="EL36" s="10" t="str">
        <f t="shared" si="149"/>
        <v xml:space="preserve"> </v>
      </c>
      <c r="EM36" s="10" t="str">
        <f t="shared" si="149"/>
        <v xml:space="preserve"> </v>
      </c>
      <c r="EP36" s="10" t="str">
        <f t="shared" si="150"/>
        <v xml:space="preserve"> </v>
      </c>
      <c r="EQ36" s="10" t="str">
        <f t="shared" si="150"/>
        <v xml:space="preserve"> </v>
      </c>
      <c r="ER36" s="10" t="str">
        <f t="shared" si="150"/>
        <v xml:space="preserve"> </v>
      </c>
      <c r="ES36" s="10" t="str">
        <f t="shared" si="150"/>
        <v xml:space="preserve"> </v>
      </c>
      <c r="ET36" s="10" t="str">
        <f t="shared" si="150"/>
        <v xml:space="preserve"> </v>
      </c>
      <c r="EW36" s="10" t="str">
        <f t="shared" si="151"/>
        <v xml:space="preserve"> </v>
      </c>
      <c r="EX36" s="10" t="str">
        <f t="shared" si="151"/>
        <v xml:space="preserve"> </v>
      </c>
      <c r="EY36" s="10" t="str">
        <f t="shared" si="151"/>
        <v xml:space="preserve"> </v>
      </c>
      <c r="EZ36" s="10" t="str">
        <f t="shared" si="151"/>
        <v xml:space="preserve"> </v>
      </c>
      <c r="FA36" s="10" t="str">
        <f t="shared" si="151"/>
        <v xml:space="preserve"> </v>
      </c>
      <c r="FD36" s="10" t="str">
        <f t="shared" si="152"/>
        <v xml:space="preserve"> </v>
      </c>
      <c r="FE36" s="10" t="str">
        <f t="shared" si="152"/>
        <v xml:space="preserve"> </v>
      </c>
      <c r="FF36" s="10" t="str">
        <f t="shared" si="152"/>
        <v xml:space="preserve"> </v>
      </c>
      <c r="FG36" s="10" t="str">
        <f t="shared" si="152"/>
        <v xml:space="preserve"> </v>
      </c>
      <c r="FH36" s="10" t="str">
        <f t="shared" si="152"/>
        <v xml:space="preserve"> </v>
      </c>
      <c r="FK36" s="10" t="str">
        <f t="shared" si="153"/>
        <v xml:space="preserve"> </v>
      </c>
      <c r="FL36" s="10" t="str">
        <f t="shared" si="153"/>
        <v xml:space="preserve"> </v>
      </c>
      <c r="FM36" s="10" t="str">
        <f t="shared" si="153"/>
        <v xml:space="preserve"> </v>
      </c>
      <c r="FN36" s="10" t="str">
        <f t="shared" si="153"/>
        <v xml:space="preserve"> </v>
      </c>
      <c r="FO36" s="10" t="str">
        <f t="shared" si="153"/>
        <v xml:space="preserve"> </v>
      </c>
      <c r="FR36" s="10" t="str">
        <f t="shared" si="154"/>
        <v xml:space="preserve"> </v>
      </c>
      <c r="FS36" s="10" t="str">
        <f t="shared" si="154"/>
        <v xml:space="preserve"> </v>
      </c>
      <c r="FT36" s="10" t="str">
        <f t="shared" si="154"/>
        <v xml:space="preserve"> </v>
      </c>
      <c r="FU36" s="10" t="str">
        <f t="shared" si="154"/>
        <v xml:space="preserve"> </v>
      </c>
      <c r="FV36" s="10" t="str">
        <f t="shared" si="154"/>
        <v xml:space="preserve"> </v>
      </c>
      <c r="FY36" s="10" t="str">
        <f t="shared" si="155"/>
        <v xml:space="preserve"> </v>
      </c>
      <c r="FZ36" s="10" t="str">
        <f t="shared" si="155"/>
        <v xml:space="preserve"> </v>
      </c>
      <c r="GA36" s="10" t="str">
        <f t="shared" si="155"/>
        <v xml:space="preserve"> </v>
      </c>
      <c r="GB36" s="10" t="str">
        <f t="shared" si="155"/>
        <v xml:space="preserve"> </v>
      </c>
      <c r="GC36" s="10" t="str">
        <f t="shared" si="155"/>
        <v xml:space="preserve"> </v>
      </c>
      <c r="GF36" s="10" t="str">
        <f t="shared" si="156"/>
        <v xml:space="preserve"> </v>
      </c>
      <c r="GG36" s="10" t="str">
        <f t="shared" si="156"/>
        <v xml:space="preserve"> </v>
      </c>
      <c r="GH36" s="10" t="str">
        <f t="shared" si="156"/>
        <v xml:space="preserve"> </v>
      </c>
      <c r="GI36" s="10" t="str">
        <f t="shared" si="156"/>
        <v xml:space="preserve"> </v>
      </c>
      <c r="GJ36" s="10" t="str">
        <f t="shared" si="156"/>
        <v xml:space="preserve"> </v>
      </c>
      <c r="GM36" s="10" t="str">
        <f t="shared" si="157"/>
        <v xml:space="preserve"> </v>
      </c>
      <c r="GN36" s="10" t="str">
        <f t="shared" si="157"/>
        <v xml:space="preserve"> </v>
      </c>
      <c r="GO36" s="10" t="str">
        <f t="shared" si="157"/>
        <v xml:space="preserve"> </v>
      </c>
      <c r="GP36" s="10" t="str">
        <f t="shared" si="157"/>
        <v xml:space="preserve"> </v>
      </c>
      <c r="GQ36" s="10" t="str">
        <f t="shared" si="157"/>
        <v xml:space="preserve"> </v>
      </c>
      <c r="GT36" s="10" t="str">
        <f t="shared" si="158"/>
        <v xml:space="preserve"> </v>
      </c>
      <c r="GU36" s="10" t="str">
        <f t="shared" si="158"/>
        <v xml:space="preserve"> </v>
      </c>
      <c r="GV36" s="10" t="str">
        <f t="shared" si="158"/>
        <v xml:space="preserve"> </v>
      </c>
      <c r="GW36" s="10" t="str">
        <f t="shared" si="158"/>
        <v xml:space="preserve"> </v>
      </c>
      <c r="GX36" s="10" t="str">
        <f t="shared" si="158"/>
        <v xml:space="preserve"> </v>
      </c>
      <c r="HA36" s="10" t="str">
        <f t="shared" si="159"/>
        <v xml:space="preserve"> </v>
      </c>
      <c r="HB36" s="10" t="str">
        <f t="shared" si="159"/>
        <v xml:space="preserve"> </v>
      </c>
      <c r="HC36" s="10" t="str">
        <f t="shared" si="159"/>
        <v xml:space="preserve"> </v>
      </c>
      <c r="HD36" s="10" t="str">
        <f t="shared" si="159"/>
        <v xml:space="preserve"> </v>
      </c>
      <c r="HE36" s="10" t="str">
        <f t="shared" si="159"/>
        <v xml:space="preserve"> </v>
      </c>
      <c r="HH36" s="10" t="str">
        <f t="shared" si="160"/>
        <v xml:space="preserve"> </v>
      </c>
      <c r="HI36" s="10" t="str">
        <f t="shared" si="160"/>
        <v xml:space="preserve"> </v>
      </c>
      <c r="HJ36" s="10" t="str">
        <f t="shared" si="160"/>
        <v xml:space="preserve"> </v>
      </c>
      <c r="HK36" s="10" t="str">
        <f t="shared" si="160"/>
        <v xml:space="preserve"> </v>
      </c>
      <c r="HL36" s="10" t="str">
        <f t="shared" si="160"/>
        <v xml:space="preserve"> </v>
      </c>
      <c r="HO36" s="10" t="str">
        <f t="shared" si="161"/>
        <v xml:space="preserve"> </v>
      </c>
      <c r="HP36" s="10" t="str">
        <f t="shared" si="161"/>
        <v xml:space="preserve"> </v>
      </c>
      <c r="HQ36" s="10" t="str">
        <f t="shared" si="161"/>
        <v xml:space="preserve"> </v>
      </c>
      <c r="HR36" s="10" t="str">
        <f t="shared" si="161"/>
        <v xml:space="preserve"> </v>
      </c>
      <c r="HS36" s="10" t="str">
        <f t="shared" si="161"/>
        <v xml:space="preserve"> </v>
      </c>
      <c r="HV36" s="10" t="str">
        <f t="shared" si="162"/>
        <v xml:space="preserve"> </v>
      </c>
      <c r="HW36" s="10" t="str">
        <f t="shared" si="162"/>
        <v xml:space="preserve"> </v>
      </c>
      <c r="HX36" s="10" t="str">
        <f t="shared" si="162"/>
        <v xml:space="preserve"> </v>
      </c>
      <c r="HY36" s="10" t="str">
        <f t="shared" si="162"/>
        <v xml:space="preserve"> </v>
      </c>
      <c r="HZ36" s="10" t="str">
        <f t="shared" si="162"/>
        <v xml:space="preserve"> </v>
      </c>
      <c r="IC36" s="10" t="str">
        <f t="shared" si="163"/>
        <v xml:space="preserve"> </v>
      </c>
      <c r="ID36" s="10" t="str">
        <f t="shared" si="163"/>
        <v xml:space="preserve"> </v>
      </c>
      <c r="IE36" s="10" t="str">
        <f t="shared" si="163"/>
        <v xml:space="preserve"> </v>
      </c>
      <c r="IF36" s="10" t="str">
        <f t="shared" si="163"/>
        <v xml:space="preserve"> </v>
      </c>
      <c r="IG36" s="10" t="str">
        <f t="shared" si="163"/>
        <v xml:space="preserve"> </v>
      </c>
      <c r="IJ36" s="10" t="str">
        <f t="shared" si="164"/>
        <v xml:space="preserve"> </v>
      </c>
      <c r="IK36" s="10" t="str">
        <f t="shared" si="164"/>
        <v xml:space="preserve"> </v>
      </c>
      <c r="IL36" s="10" t="str">
        <f t="shared" si="164"/>
        <v xml:space="preserve"> </v>
      </c>
      <c r="IM36" s="10" t="str">
        <f t="shared" si="164"/>
        <v xml:space="preserve"> </v>
      </c>
      <c r="IN36" s="10" t="str">
        <f t="shared" si="164"/>
        <v xml:space="preserve"> </v>
      </c>
      <c r="IQ36" s="10" t="str">
        <f t="shared" si="165"/>
        <v xml:space="preserve"> </v>
      </c>
      <c r="IR36" s="10" t="str">
        <f t="shared" si="165"/>
        <v xml:space="preserve"> </v>
      </c>
      <c r="IS36" s="10" t="str">
        <f t="shared" si="165"/>
        <v xml:space="preserve"> </v>
      </c>
      <c r="IT36" s="10" t="str">
        <f t="shared" si="165"/>
        <v xml:space="preserve"> </v>
      </c>
      <c r="IU36" s="10" t="str">
        <f t="shared" si="165"/>
        <v xml:space="preserve"> </v>
      </c>
      <c r="IX36" s="10" t="str">
        <f t="shared" si="166"/>
        <v xml:space="preserve"> </v>
      </c>
      <c r="IY36" s="10" t="str">
        <f t="shared" si="166"/>
        <v xml:space="preserve"> </v>
      </c>
      <c r="IZ36" s="10" t="str">
        <f t="shared" si="166"/>
        <v xml:space="preserve"> </v>
      </c>
      <c r="JA36" s="10" t="str">
        <f t="shared" si="166"/>
        <v xml:space="preserve"> </v>
      </c>
      <c r="JB36" s="10" t="str">
        <f t="shared" si="166"/>
        <v xml:space="preserve"> </v>
      </c>
      <c r="JE36" s="10" t="str">
        <f t="shared" si="167"/>
        <v xml:space="preserve"> </v>
      </c>
      <c r="JF36" s="10" t="str">
        <f t="shared" si="167"/>
        <v xml:space="preserve"> </v>
      </c>
      <c r="JG36" s="10" t="str">
        <f t="shared" si="167"/>
        <v xml:space="preserve"> </v>
      </c>
      <c r="JH36" s="10" t="str">
        <f t="shared" si="167"/>
        <v xml:space="preserve"> </v>
      </c>
      <c r="JI36" s="10" t="str">
        <f t="shared" si="167"/>
        <v xml:space="preserve"> </v>
      </c>
    </row>
    <row r="37" spans="1:269">
      <c r="A37" s="96"/>
      <c r="B37" s="10">
        <v>29</v>
      </c>
      <c r="C37" s="11" t="s">
        <v>55</v>
      </c>
      <c r="D37" s="11" t="s">
        <v>52</v>
      </c>
      <c r="E37" s="10">
        <v>27</v>
      </c>
      <c r="F37" s="12">
        <f t="shared" si="87"/>
        <v>42560</v>
      </c>
      <c r="G37" s="12">
        <f>WORKDAY(F37,H37-1,Config!D37:D56)</f>
        <v>42564</v>
      </c>
      <c r="H37" s="10">
        <v>4</v>
      </c>
      <c r="I37" s="13">
        <v>0</v>
      </c>
      <c r="J37" s="13">
        <f ca="1">IF(((NETWORKDAYS(F37,TODAY(),Data!C33:C52)*100)/H37)/100 &gt; 0,((NETWORKDAYS(F37,TODAY(),Data!C33:C52)*100)/H37)/100,0)</f>
        <v>406.25</v>
      </c>
      <c r="K37" s="13" t="str">
        <f t="shared" ca="1" si="129"/>
        <v>100%</v>
      </c>
      <c r="L37" s="13">
        <f t="shared" ca="1" si="130"/>
        <v>1</v>
      </c>
      <c r="M37" s="10" t="str">
        <f t="shared" si="168"/>
        <v xml:space="preserve"> </v>
      </c>
      <c r="N37" s="10" t="str">
        <f t="shared" si="131"/>
        <v xml:space="preserve"> </v>
      </c>
      <c r="O37" s="10" t="str">
        <f t="shared" si="131"/>
        <v xml:space="preserve"> </v>
      </c>
      <c r="P37" s="10" t="str">
        <f t="shared" si="131"/>
        <v xml:space="preserve"> </v>
      </c>
      <c r="Q37" s="10" t="str">
        <f t="shared" si="131"/>
        <v xml:space="preserve"> </v>
      </c>
      <c r="R37" s="14"/>
      <c r="S37" s="14"/>
      <c r="T37" s="10" t="str">
        <f t="shared" si="132"/>
        <v xml:space="preserve"> </v>
      </c>
      <c r="U37" s="10" t="str">
        <f t="shared" si="132"/>
        <v xml:space="preserve"> </v>
      </c>
      <c r="V37" s="10" t="str">
        <f t="shared" si="132"/>
        <v xml:space="preserve"> </v>
      </c>
      <c r="W37" s="10" t="str">
        <f t="shared" si="132"/>
        <v xml:space="preserve"> </v>
      </c>
      <c r="X37" s="10" t="str">
        <f t="shared" si="132"/>
        <v xml:space="preserve"> </v>
      </c>
      <c r="Y37" s="14"/>
      <c r="Z37" s="14"/>
      <c r="AA37" s="10" t="str">
        <f t="shared" si="133"/>
        <v xml:space="preserve"> </v>
      </c>
      <c r="AB37" s="10" t="str">
        <f t="shared" si="133"/>
        <v xml:space="preserve"> </v>
      </c>
      <c r="AC37" s="10" t="str">
        <f t="shared" si="133"/>
        <v xml:space="preserve"> </v>
      </c>
      <c r="AD37" s="10" t="str">
        <f t="shared" si="133"/>
        <v xml:space="preserve"> </v>
      </c>
      <c r="AE37" s="10" t="str">
        <f t="shared" si="133"/>
        <v xml:space="preserve"> </v>
      </c>
      <c r="AF37" s="14"/>
      <c r="AG37" s="14"/>
      <c r="AH37" s="10" t="str">
        <f t="shared" si="134"/>
        <v xml:space="preserve"> </v>
      </c>
      <c r="AI37" s="10" t="str">
        <f t="shared" si="134"/>
        <v xml:space="preserve"> </v>
      </c>
      <c r="AJ37" s="10" t="str">
        <f t="shared" si="134"/>
        <v xml:space="preserve"> </v>
      </c>
      <c r="AK37" s="10" t="str">
        <f t="shared" si="134"/>
        <v xml:space="preserve"> </v>
      </c>
      <c r="AL37" s="10" t="str">
        <f t="shared" si="134"/>
        <v xml:space="preserve"> </v>
      </c>
      <c r="AM37" s="14"/>
      <c r="AN37" s="14"/>
      <c r="AO37" s="10" t="str">
        <f t="shared" si="135"/>
        <v xml:space="preserve"> </v>
      </c>
      <c r="AP37" s="10" t="str">
        <f t="shared" si="135"/>
        <v xml:space="preserve"> </v>
      </c>
      <c r="AQ37" s="10" t="str">
        <f t="shared" si="135"/>
        <v xml:space="preserve"> </v>
      </c>
      <c r="AR37" s="10" t="str">
        <f t="shared" si="135"/>
        <v xml:space="preserve"> </v>
      </c>
      <c r="AS37" s="10" t="str">
        <f t="shared" si="135"/>
        <v xml:space="preserve"> </v>
      </c>
      <c r="AT37" s="14"/>
      <c r="AU37" s="14"/>
      <c r="AV37" s="10" t="str">
        <f t="shared" si="136"/>
        <v xml:space="preserve"> </v>
      </c>
      <c r="AW37" s="10" t="str">
        <f t="shared" si="136"/>
        <v xml:space="preserve"> </v>
      </c>
      <c r="AX37" s="10" t="str">
        <f t="shared" si="136"/>
        <v xml:space="preserve"> </v>
      </c>
      <c r="AY37" s="10" t="str">
        <f t="shared" si="136"/>
        <v xml:space="preserve"> </v>
      </c>
      <c r="AZ37" s="10" t="str">
        <f t="shared" si="136"/>
        <v xml:space="preserve"> </v>
      </c>
      <c r="BA37" s="14"/>
      <c r="BB37" s="14"/>
      <c r="BC37" s="10" t="str">
        <f t="shared" si="137"/>
        <v xml:space="preserve"> </v>
      </c>
      <c r="BD37" s="10" t="str">
        <f t="shared" si="137"/>
        <v xml:space="preserve"> </v>
      </c>
      <c r="BE37" s="10" t="str">
        <f t="shared" si="137"/>
        <v xml:space="preserve"> </v>
      </c>
      <c r="BF37" s="10" t="str">
        <f t="shared" si="137"/>
        <v xml:space="preserve"> </v>
      </c>
      <c r="BG37" s="10" t="str">
        <f t="shared" si="137"/>
        <v xml:space="preserve"> </v>
      </c>
      <c r="BH37" s="14"/>
      <c r="BI37" s="14"/>
      <c r="BJ37" s="10" t="str">
        <f t="shared" si="138"/>
        <v xml:space="preserve"> </v>
      </c>
      <c r="BK37" s="10" t="str">
        <f t="shared" si="138"/>
        <v xml:space="preserve"> </v>
      </c>
      <c r="BL37" s="10" t="str">
        <f t="shared" si="138"/>
        <v xml:space="preserve"> </v>
      </c>
      <c r="BM37" s="10" t="str">
        <f t="shared" si="138"/>
        <v xml:space="preserve"> </v>
      </c>
      <c r="BN37" s="10" t="str">
        <f t="shared" si="138"/>
        <v xml:space="preserve"> </v>
      </c>
      <c r="BO37" s="14"/>
      <c r="BP37" s="14"/>
      <c r="BQ37" s="10" t="str">
        <f t="shared" si="139"/>
        <v xml:space="preserve"> </v>
      </c>
      <c r="BR37" s="10" t="str">
        <f t="shared" si="139"/>
        <v xml:space="preserve"> </v>
      </c>
      <c r="BS37" s="10" t="str">
        <f t="shared" si="139"/>
        <v xml:space="preserve"> </v>
      </c>
      <c r="BT37" s="10" t="str">
        <f t="shared" si="139"/>
        <v xml:space="preserve"> </v>
      </c>
      <c r="BU37" s="10" t="str">
        <f t="shared" si="139"/>
        <v xml:space="preserve"> </v>
      </c>
      <c r="BV37" s="14"/>
      <c r="BW37" s="14"/>
      <c r="BX37" s="10" t="str">
        <f t="shared" si="140"/>
        <v xml:space="preserve"> </v>
      </c>
      <c r="BY37" s="10" t="str">
        <f t="shared" si="140"/>
        <v xml:space="preserve"> </v>
      </c>
      <c r="BZ37" s="10" t="str">
        <f t="shared" si="140"/>
        <v>.</v>
      </c>
      <c r="CA37" s="10" t="str">
        <f t="shared" si="140"/>
        <v>.</v>
      </c>
      <c r="CB37" s="10" t="str">
        <f t="shared" si="140"/>
        <v>.</v>
      </c>
      <c r="CC37" s="14"/>
      <c r="CD37" s="14"/>
      <c r="CE37" s="10" t="str">
        <f t="shared" si="141"/>
        <v xml:space="preserve"> </v>
      </c>
      <c r="CF37" s="10" t="str">
        <f t="shared" si="141"/>
        <v xml:space="preserve"> </v>
      </c>
      <c r="CG37" s="10" t="str">
        <f t="shared" si="141"/>
        <v xml:space="preserve"> </v>
      </c>
      <c r="CH37" s="10" t="str">
        <f t="shared" si="141"/>
        <v xml:space="preserve"> </v>
      </c>
      <c r="CI37" s="10" t="str">
        <f t="shared" si="141"/>
        <v xml:space="preserve"> </v>
      </c>
      <c r="CJ37" s="14"/>
      <c r="CK37" s="14"/>
      <c r="CL37" s="10" t="str">
        <f t="shared" si="142"/>
        <v xml:space="preserve"> </v>
      </c>
      <c r="CM37" s="10" t="str">
        <f t="shared" si="142"/>
        <v xml:space="preserve"> </v>
      </c>
      <c r="CN37" s="10" t="str">
        <f t="shared" si="142"/>
        <v xml:space="preserve"> </v>
      </c>
      <c r="CO37" s="10" t="str">
        <f t="shared" si="142"/>
        <v xml:space="preserve"> </v>
      </c>
      <c r="CP37" s="10" t="str">
        <f t="shared" si="142"/>
        <v xml:space="preserve"> </v>
      </c>
      <c r="CQ37" s="14"/>
      <c r="CR37" s="14"/>
      <c r="CS37" s="10" t="str">
        <f t="shared" si="143"/>
        <v xml:space="preserve"> </v>
      </c>
      <c r="CT37" s="10" t="str">
        <f t="shared" si="143"/>
        <v xml:space="preserve"> </v>
      </c>
      <c r="CU37" s="10" t="str">
        <f t="shared" si="143"/>
        <v xml:space="preserve"> </v>
      </c>
      <c r="CV37" s="10" t="str">
        <f t="shared" si="143"/>
        <v xml:space="preserve"> </v>
      </c>
      <c r="CW37" s="10" t="str">
        <f t="shared" si="143"/>
        <v xml:space="preserve"> </v>
      </c>
      <c r="CZ37" s="10" t="str">
        <f t="shared" si="144"/>
        <v xml:space="preserve"> </v>
      </c>
      <c r="DA37" s="10" t="str">
        <f t="shared" si="144"/>
        <v xml:space="preserve"> </v>
      </c>
      <c r="DB37" s="10" t="str">
        <f t="shared" si="144"/>
        <v xml:space="preserve"> </v>
      </c>
      <c r="DC37" s="10" t="str">
        <f t="shared" si="144"/>
        <v xml:space="preserve"> </v>
      </c>
      <c r="DD37" s="10" t="str">
        <f t="shared" si="144"/>
        <v xml:space="preserve"> </v>
      </c>
      <c r="DG37" s="10" t="str">
        <f t="shared" si="145"/>
        <v xml:space="preserve"> </v>
      </c>
      <c r="DH37" s="10" t="str">
        <f t="shared" si="145"/>
        <v xml:space="preserve"> </v>
      </c>
      <c r="DI37" s="10" t="str">
        <f t="shared" si="145"/>
        <v xml:space="preserve"> </v>
      </c>
      <c r="DJ37" s="10" t="str">
        <f t="shared" si="145"/>
        <v xml:space="preserve"> </v>
      </c>
      <c r="DK37" s="10" t="str">
        <f t="shared" si="145"/>
        <v xml:space="preserve"> </v>
      </c>
      <c r="DN37" s="10" t="str">
        <f t="shared" si="146"/>
        <v xml:space="preserve"> </v>
      </c>
      <c r="DO37" s="10" t="str">
        <f t="shared" si="146"/>
        <v xml:space="preserve"> </v>
      </c>
      <c r="DP37" s="10" t="str">
        <f t="shared" si="146"/>
        <v xml:space="preserve"> </v>
      </c>
      <c r="DQ37" s="10" t="str">
        <f t="shared" si="146"/>
        <v xml:space="preserve"> </v>
      </c>
      <c r="DR37" s="10" t="str">
        <f t="shared" si="146"/>
        <v xml:space="preserve"> </v>
      </c>
      <c r="DU37" s="10" t="str">
        <f t="shared" si="147"/>
        <v xml:space="preserve"> </v>
      </c>
      <c r="DV37" s="10" t="str">
        <f t="shared" si="147"/>
        <v xml:space="preserve"> </v>
      </c>
      <c r="DW37" s="10" t="str">
        <f t="shared" si="147"/>
        <v xml:space="preserve"> </v>
      </c>
      <c r="DX37" s="10" t="str">
        <f t="shared" si="147"/>
        <v xml:space="preserve"> </v>
      </c>
      <c r="DY37" s="10" t="str">
        <f t="shared" si="147"/>
        <v xml:space="preserve"> </v>
      </c>
      <c r="EB37" s="10" t="str">
        <f t="shared" si="148"/>
        <v xml:space="preserve"> </v>
      </c>
      <c r="EC37" s="10" t="str">
        <f t="shared" si="148"/>
        <v xml:space="preserve"> </v>
      </c>
      <c r="ED37" s="10" t="str">
        <f t="shared" si="148"/>
        <v xml:space="preserve"> </v>
      </c>
      <c r="EE37" s="10" t="str">
        <f t="shared" si="148"/>
        <v xml:space="preserve"> </v>
      </c>
      <c r="EF37" s="10" t="str">
        <f t="shared" si="148"/>
        <v xml:space="preserve"> </v>
      </c>
      <c r="EI37" s="10" t="str">
        <f t="shared" si="149"/>
        <v xml:space="preserve"> </v>
      </c>
      <c r="EJ37" s="10" t="str">
        <f t="shared" si="149"/>
        <v xml:space="preserve"> </v>
      </c>
      <c r="EK37" s="10" t="str">
        <f t="shared" si="149"/>
        <v xml:space="preserve"> </v>
      </c>
      <c r="EL37" s="10" t="str">
        <f t="shared" si="149"/>
        <v xml:space="preserve"> </v>
      </c>
      <c r="EM37" s="10" t="str">
        <f t="shared" si="149"/>
        <v xml:space="preserve"> </v>
      </c>
      <c r="EP37" s="10" t="str">
        <f t="shared" si="150"/>
        <v xml:space="preserve"> </v>
      </c>
      <c r="EQ37" s="10" t="str">
        <f t="shared" si="150"/>
        <v xml:space="preserve"> </v>
      </c>
      <c r="ER37" s="10" t="str">
        <f t="shared" si="150"/>
        <v xml:space="preserve"> </v>
      </c>
      <c r="ES37" s="10" t="str">
        <f t="shared" si="150"/>
        <v xml:space="preserve"> </v>
      </c>
      <c r="ET37" s="10" t="str">
        <f t="shared" si="150"/>
        <v xml:space="preserve"> </v>
      </c>
      <c r="EW37" s="10" t="str">
        <f t="shared" si="151"/>
        <v xml:space="preserve"> </v>
      </c>
      <c r="EX37" s="10" t="str">
        <f t="shared" si="151"/>
        <v xml:space="preserve"> </v>
      </c>
      <c r="EY37" s="10" t="str">
        <f t="shared" si="151"/>
        <v xml:space="preserve"> </v>
      </c>
      <c r="EZ37" s="10" t="str">
        <f t="shared" si="151"/>
        <v xml:space="preserve"> </v>
      </c>
      <c r="FA37" s="10" t="str">
        <f t="shared" si="151"/>
        <v xml:space="preserve"> </v>
      </c>
      <c r="FD37" s="10" t="str">
        <f t="shared" si="152"/>
        <v xml:space="preserve"> </v>
      </c>
      <c r="FE37" s="10" t="str">
        <f t="shared" si="152"/>
        <v xml:space="preserve"> </v>
      </c>
      <c r="FF37" s="10" t="str">
        <f t="shared" si="152"/>
        <v xml:space="preserve"> </v>
      </c>
      <c r="FG37" s="10" t="str">
        <f t="shared" si="152"/>
        <v xml:space="preserve"> </v>
      </c>
      <c r="FH37" s="10" t="str">
        <f t="shared" si="152"/>
        <v xml:space="preserve"> </v>
      </c>
      <c r="FK37" s="10" t="str">
        <f t="shared" si="153"/>
        <v xml:space="preserve"> </v>
      </c>
      <c r="FL37" s="10" t="str">
        <f t="shared" si="153"/>
        <v xml:space="preserve"> </v>
      </c>
      <c r="FM37" s="10" t="str">
        <f t="shared" si="153"/>
        <v xml:space="preserve"> </v>
      </c>
      <c r="FN37" s="10" t="str">
        <f t="shared" si="153"/>
        <v xml:space="preserve"> </v>
      </c>
      <c r="FO37" s="10" t="str">
        <f t="shared" si="153"/>
        <v xml:space="preserve"> </v>
      </c>
      <c r="FR37" s="10" t="str">
        <f t="shared" si="154"/>
        <v xml:space="preserve"> </v>
      </c>
      <c r="FS37" s="10" t="str">
        <f t="shared" si="154"/>
        <v xml:space="preserve"> </v>
      </c>
      <c r="FT37" s="10" t="str">
        <f t="shared" si="154"/>
        <v xml:space="preserve"> </v>
      </c>
      <c r="FU37" s="10" t="str">
        <f t="shared" si="154"/>
        <v xml:space="preserve"> </v>
      </c>
      <c r="FV37" s="10" t="str">
        <f t="shared" si="154"/>
        <v xml:space="preserve"> </v>
      </c>
      <c r="FY37" s="10" t="str">
        <f t="shared" si="155"/>
        <v xml:space="preserve"> </v>
      </c>
      <c r="FZ37" s="10" t="str">
        <f t="shared" si="155"/>
        <v xml:space="preserve"> </v>
      </c>
      <c r="GA37" s="10" t="str">
        <f t="shared" si="155"/>
        <v xml:space="preserve"> </v>
      </c>
      <c r="GB37" s="10" t="str">
        <f t="shared" si="155"/>
        <v xml:space="preserve"> </v>
      </c>
      <c r="GC37" s="10" t="str">
        <f t="shared" si="155"/>
        <v xml:space="preserve"> </v>
      </c>
      <c r="GF37" s="10" t="str">
        <f t="shared" si="156"/>
        <v xml:space="preserve"> </v>
      </c>
      <c r="GG37" s="10" t="str">
        <f t="shared" si="156"/>
        <v xml:space="preserve"> </v>
      </c>
      <c r="GH37" s="10" t="str">
        <f t="shared" si="156"/>
        <v xml:space="preserve"> </v>
      </c>
      <c r="GI37" s="10" t="str">
        <f t="shared" si="156"/>
        <v xml:space="preserve"> </v>
      </c>
      <c r="GJ37" s="10" t="str">
        <f t="shared" si="156"/>
        <v xml:space="preserve"> </v>
      </c>
      <c r="GM37" s="10" t="str">
        <f t="shared" si="157"/>
        <v xml:space="preserve"> </v>
      </c>
      <c r="GN37" s="10" t="str">
        <f t="shared" si="157"/>
        <v xml:space="preserve"> </v>
      </c>
      <c r="GO37" s="10" t="str">
        <f t="shared" si="157"/>
        <v xml:space="preserve"> </v>
      </c>
      <c r="GP37" s="10" t="str">
        <f t="shared" si="157"/>
        <v xml:space="preserve"> </v>
      </c>
      <c r="GQ37" s="10" t="str">
        <f t="shared" si="157"/>
        <v xml:space="preserve"> </v>
      </c>
      <c r="GT37" s="10" t="str">
        <f t="shared" si="158"/>
        <v xml:space="preserve"> </v>
      </c>
      <c r="GU37" s="10" t="str">
        <f t="shared" si="158"/>
        <v xml:space="preserve"> </v>
      </c>
      <c r="GV37" s="10" t="str">
        <f t="shared" si="158"/>
        <v xml:space="preserve"> </v>
      </c>
      <c r="GW37" s="10" t="str">
        <f t="shared" si="158"/>
        <v xml:space="preserve"> </v>
      </c>
      <c r="GX37" s="10" t="str">
        <f t="shared" si="158"/>
        <v xml:space="preserve"> </v>
      </c>
      <c r="HA37" s="10" t="str">
        <f t="shared" si="159"/>
        <v xml:space="preserve"> </v>
      </c>
      <c r="HB37" s="10" t="str">
        <f t="shared" si="159"/>
        <v xml:space="preserve"> </v>
      </c>
      <c r="HC37" s="10" t="str">
        <f t="shared" si="159"/>
        <v xml:space="preserve"> </v>
      </c>
      <c r="HD37" s="10" t="str">
        <f t="shared" si="159"/>
        <v xml:space="preserve"> </v>
      </c>
      <c r="HE37" s="10" t="str">
        <f t="shared" si="159"/>
        <v xml:space="preserve"> </v>
      </c>
      <c r="HH37" s="10" t="str">
        <f t="shared" si="160"/>
        <v xml:space="preserve"> </v>
      </c>
      <c r="HI37" s="10" t="str">
        <f t="shared" si="160"/>
        <v xml:space="preserve"> </v>
      </c>
      <c r="HJ37" s="10" t="str">
        <f t="shared" si="160"/>
        <v xml:space="preserve"> </v>
      </c>
      <c r="HK37" s="10" t="str">
        <f t="shared" si="160"/>
        <v xml:space="preserve"> </v>
      </c>
      <c r="HL37" s="10" t="str">
        <f t="shared" si="160"/>
        <v xml:space="preserve"> </v>
      </c>
      <c r="HO37" s="10" t="str">
        <f t="shared" si="161"/>
        <v xml:space="preserve"> </v>
      </c>
      <c r="HP37" s="10" t="str">
        <f t="shared" si="161"/>
        <v xml:space="preserve"> </v>
      </c>
      <c r="HQ37" s="10" t="str">
        <f t="shared" si="161"/>
        <v xml:space="preserve"> </v>
      </c>
      <c r="HR37" s="10" t="str">
        <f t="shared" si="161"/>
        <v xml:space="preserve"> </v>
      </c>
      <c r="HS37" s="10" t="str">
        <f t="shared" si="161"/>
        <v xml:space="preserve"> </v>
      </c>
      <c r="HV37" s="10" t="str">
        <f t="shared" si="162"/>
        <v xml:space="preserve"> </v>
      </c>
      <c r="HW37" s="10" t="str">
        <f t="shared" si="162"/>
        <v xml:space="preserve"> </v>
      </c>
      <c r="HX37" s="10" t="str">
        <f t="shared" si="162"/>
        <v xml:space="preserve"> </v>
      </c>
      <c r="HY37" s="10" t="str">
        <f t="shared" si="162"/>
        <v xml:space="preserve"> </v>
      </c>
      <c r="HZ37" s="10" t="str">
        <f t="shared" si="162"/>
        <v xml:space="preserve"> </v>
      </c>
      <c r="IC37" s="10" t="str">
        <f t="shared" si="163"/>
        <v xml:space="preserve"> </v>
      </c>
      <c r="ID37" s="10" t="str">
        <f t="shared" si="163"/>
        <v xml:space="preserve"> </v>
      </c>
      <c r="IE37" s="10" t="str">
        <f t="shared" si="163"/>
        <v xml:space="preserve"> </v>
      </c>
      <c r="IF37" s="10" t="str">
        <f t="shared" si="163"/>
        <v xml:space="preserve"> </v>
      </c>
      <c r="IG37" s="10" t="str">
        <f t="shared" si="163"/>
        <v xml:space="preserve"> </v>
      </c>
      <c r="IJ37" s="10" t="str">
        <f t="shared" si="164"/>
        <v xml:space="preserve"> </v>
      </c>
      <c r="IK37" s="10" t="str">
        <f t="shared" si="164"/>
        <v xml:space="preserve"> </v>
      </c>
      <c r="IL37" s="10" t="str">
        <f t="shared" si="164"/>
        <v xml:space="preserve"> </v>
      </c>
      <c r="IM37" s="10" t="str">
        <f t="shared" si="164"/>
        <v xml:space="preserve"> </v>
      </c>
      <c r="IN37" s="10" t="str">
        <f t="shared" si="164"/>
        <v xml:space="preserve"> </v>
      </c>
      <c r="IQ37" s="10" t="str">
        <f t="shared" si="165"/>
        <v xml:space="preserve"> </v>
      </c>
      <c r="IR37" s="10" t="str">
        <f t="shared" si="165"/>
        <v xml:space="preserve"> </v>
      </c>
      <c r="IS37" s="10" t="str">
        <f t="shared" si="165"/>
        <v xml:space="preserve"> </v>
      </c>
      <c r="IT37" s="10" t="str">
        <f t="shared" si="165"/>
        <v xml:space="preserve"> </v>
      </c>
      <c r="IU37" s="10" t="str">
        <f t="shared" si="165"/>
        <v xml:space="preserve"> </v>
      </c>
      <c r="IX37" s="10" t="str">
        <f t="shared" si="166"/>
        <v xml:space="preserve"> </v>
      </c>
      <c r="IY37" s="10" t="str">
        <f t="shared" si="166"/>
        <v xml:space="preserve"> </v>
      </c>
      <c r="IZ37" s="10" t="str">
        <f t="shared" si="166"/>
        <v xml:space="preserve"> </v>
      </c>
      <c r="JA37" s="10" t="str">
        <f t="shared" si="166"/>
        <v xml:space="preserve"> </v>
      </c>
      <c r="JB37" s="10" t="str">
        <f t="shared" si="166"/>
        <v xml:space="preserve"> </v>
      </c>
      <c r="JE37" s="10" t="str">
        <f t="shared" si="167"/>
        <v xml:space="preserve"> </v>
      </c>
      <c r="JF37" s="10" t="str">
        <f t="shared" si="167"/>
        <v xml:space="preserve"> </v>
      </c>
      <c r="JG37" s="10" t="str">
        <f t="shared" si="167"/>
        <v xml:space="preserve"> </v>
      </c>
      <c r="JH37" s="10" t="str">
        <f t="shared" si="167"/>
        <v xml:space="preserve"> </v>
      </c>
      <c r="JI37" s="10" t="str">
        <f t="shared" si="167"/>
        <v xml:space="preserve"> </v>
      </c>
    </row>
    <row r="38" spans="1:269">
      <c r="A38" s="96"/>
      <c r="B38" s="10">
        <v>30</v>
      </c>
      <c r="C38" s="11" t="s">
        <v>54</v>
      </c>
      <c r="D38" s="11" t="s">
        <v>52</v>
      </c>
      <c r="E38" s="10">
        <v>28</v>
      </c>
      <c r="F38" s="12">
        <f t="shared" si="87"/>
        <v>42544</v>
      </c>
      <c r="G38" s="12">
        <f>WORKDAY(F38,H38-1,Config!D38:D57)</f>
        <v>42545</v>
      </c>
      <c r="H38" s="10">
        <v>2</v>
      </c>
      <c r="I38" s="13">
        <v>0</v>
      </c>
      <c r="J38" s="13">
        <f ca="1">IF(((NETWORKDAYS(F38,TODAY(),Data!C34:C53)*100)/H38)/100 &gt; 0,((NETWORKDAYS(F38,TODAY(),Data!C34:C53)*100)/H38)/100,0)</f>
        <v>818.5</v>
      </c>
      <c r="K38" s="13" t="str">
        <f t="shared" ca="1" si="129"/>
        <v>100%</v>
      </c>
      <c r="L38" s="13">
        <f t="shared" ca="1" si="130"/>
        <v>1</v>
      </c>
      <c r="M38" s="10" t="str">
        <f t="shared" si="168"/>
        <v xml:space="preserve"> </v>
      </c>
      <c r="N38" s="10" t="str">
        <f t="shared" si="131"/>
        <v xml:space="preserve"> </v>
      </c>
      <c r="O38" s="10" t="str">
        <f t="shared" si="131"/>
        <v xml:space="preserve"> </v>
      </c>
      <c r="P38" s="10" t="str">
        <f t="shared" si="131"/>
        <v xml:space="preserve"> </v>
      </c>
      <c r="Q38" s="10" t="str">
        <f t="shared" si="131"/>
        <v xml:space="preserve"> </v>
      </c>
      <c r="R38" s="14"/>
      <c r="S38" s="14"/>
      <c r="T38" s="10" t="str">
        <f t="shared" si="132"/>
        <v xml:space="preserve"> </v>
      </c>
      <c r="U38" s="10" t="str">
        <f t="shared" si="132"/>
        <v xml:space="preserve"> </v>
      </c>
      <c r="V38" s="10" t="str">
        <f t="shared" si="132"/>
        <v xml:space="preserve"> </v>
      </c>
      <c r="W38" s="10" t="str">
        <f t="shared" si="132"/>
        <v xml:space="preserve"> </v>
      </c>
      <c r="X38" s="10" t="str">
        <f t="shared" si="132"/>
        <v xml:space="preserve"> </v>
      </c>
      <c r="Y38" s="14"/>
      <c r="Z38" s="14"/>
      <c r="AA38" s="10" t="str">
        <f t="shared" si="133"/>
        <v xml:space="preserve"> </v>
      </c>
      <c r="AB38" s="10" t="str">
        <f t="shared" si="133"/>
        <v xml:space="preserve"> </v>
      </c>
      <c r="AC38" s="10" t="str">
        <f t="shared" si="133"/>
        <v xml:space="preserve"> </v>
      </c>
      <c r="AD38" s="10" t="str">
        <f t="shared" si="133"/>
        <v xml:space="preserve"> </v>
      </c>
      <c r="AE38" s="10" t="str">
        <f t="shared" si="133"/>
        <v xml:space="preserve"> </v>
      </c>
      <c r="AF38" s="14"/>
      <c r="AG38" s="14"/>
      <c r="AH38" s="10" t="str">
        <f t="shared" si="134"/>
        <v xml:space="preserve"> </v>
      </c>
      <c r="AI38" s="10" t="str">
        <f t="shared" si="134"/>
        <v xml:space="preserve"> </v>
      </c>
      <c r="AJ38" s="10" t="str">
        <f t="shared" si="134"/>
        <v xml:space="preserve"> </v>
      </c>
      <c r="AK38" s="10" t="str">
        <f t="shared" si="134"/>
        <v xml:space="preserve"> </v>
      </c>
      <c r="AL38" s="10" t="str">
        <f t="shared" si="134"/>
        <v xml:space="preserve"> </v>
      </c>
      <c r="AM38" s="14"/>
      <c r="AN38" s="14"/>
      <c r="AO38" s="10" t="str">
        <f t="shared" si="135"/>
        <v xml:space="preserve"> </v>
      </c>
      <c r="AP38" s="10" t="str">
        <f t="shared" si="135"/>
        <v xml:space="preserve"> </v>
      </c>
      <c r="AQ38" s="10" t="str">
        <f t="shared" si="135"/>
        <v xml:space="preserve"> </v>
      </c>
      <c r="AR38" s="10" t="str">
        <f t="shared" si="135"/>
        <v xml:space="preserve"> </v>
      </c>
      <c r="AS38" s="10" t="str">
        <f t="shared" si="135"/>
        <v xml:space="preserve"> </v>
      </c>
      <c r="AT38" s="14"/>
      <c r="AU38" s="14"/>
      <c r="AV38" s="10" t="str">
        <f t="shared" si="136"/>
        <v xml:space="preserve"> </v>
      </c>
      <c r="AW38" s="10" t="str">
        <f t="shared" si="136"/>
        <v xml:space="preserve"> </v>
      </c>
      <c r="AX38" s="10" t="str">
        <f t="shared" si="136"/>
        <v xml:space="preserve"> </v>
      </c>
      <c r="AY38" s="10" t="str">
        <f t="shared" si="136"/>
        <v xml:space="preserve"> </v>
      </c>
      <c r="AZ38" s="10" t="str">
        <f t="shared" si="136"/>
        <v xml:space="preserve"> </v>
      </c>
      <c r="BA38" s="14"/>
      <c r="BB38" s="14"/>
      <c r="BC38" s="10" t="str">
        <f t="shared" si="137"/>
        <v xml:space="preserve"> </v>
      </c>
      <c r="BD38" s="10" t="str">
        <f t="shared" si="137"/>
        <v xml:space="preserve"> </v>
      </c>
      <c r="BE38" s="10" t="str">
        <f t="shared" si="137"/>
        <v xml:space="preserve"> </v>
      </c>
      <c r="BF38" s="10" t="str">
        <f t="shared" si="137"/>
        <v xml:space="preserve"> </v>
      </c>
      <c r="BG38" s="10" t="str">
        <f t="shared" si="137"/>
        <v xml:space="preserve"> </v>
      </c>
      <c r="BH38" s="14"/>
      <c r="BI38" s="14"/>
      <c r="BJ38" s="10" t="str">
        <f t="shared" si="138"/>
        <v>.</v>
      </c>
      <c r="BK38" s="10" t="str">
        <f t="shared" si="138"/>
        <v>.</v>
      </c>
      <c r="BL38" s="10" t="str">
        <f t="shared" si="138"/>
        <v xml:space="preserve"> </v>
      </c>
      <c r="BM38" s="10" t="str">
        <f t="shared" si="138"/>
        <v xml:space="preserve"> </v>
      </c>
      <c r="BN38" s="10" t="str">
        <f t="shared" si="138"/>
        <v xml:space="preserve"> </v>
      </c>
      <c r="BO38" s="14"/>
      <c r="BP38" s="14"/>
      <c r="BQ38" s="10" t="str">
        <f t="shared" si="139"/>
        <v xml:space="preserve"> </v>
      </c>
      <c r="BR38" s="10" t="str">
        <f t="shared" si="139"/>
        <v xml:space="preserve"> </v>
      </c>
      <c r="BS38" s="10" t="str">
        <f t="shared" si="139"/>
        <v xml:space="preserve"> </v>
      </c>
      <c r="BT38" s="10" t="str">
        <f t="shared" si="139"/>
        <v xml:space="preserve"> </v>
      </c>
      <c r="BU38" s="10" t="str">
        <f t="shared" si="139"/>
        <v xml:space="preserve"> </v>
      </c>
      <c r="BV38" s="14"/>
      <c r="BW38" s="14"/>
      <c r="BX38" s="10" t="str">
        <f t="shared" si="140"/>
        <v xml:space="preserve"> </v>
      </c>
      <c r="BY38" s="10" t="str">
        <f t="shared" si="140"/>
        <v xml:space="preserve"> </v>
      </c>
      <c r="BZ38" s="10" t="str">
        <f t="shared" si="140"/>
        <v xml:space="preserve"> </v>
      </c>
      <c r="CA38" s="10" t="str">
        <f t="shared" si="140"/>
        <v xml:space="preserve"> </v>
      </c>
      <c r="CB38" s="10" t="str">
        <f t="shared" si="140"/>
        <v xml:space="preserve"> </v>
      </c>
      <c r="CC38" s="14"/>
      <c r="CD38" s="14"/>
      <c r="CE38" s="10" t="str">
        <f t="shared" si="141"/>
        <v xml:space="preserve"> </v>
      </c>
      <c r="CF38" s="10" t="str">
        <f t="shared" si="141"/>
        <v xml:space="preserve"> </v>
      </c>
      <c r="CG38" s="10" t="str">
        <f t="shared" si="141"/>
        <v xml:space="preserve"> </v>
      </c>
      <c r="CH38" s="10" t="str">
        <f t="shared" si="141"/>
        <v xml:space="preserve"> </v>
      </c>
      <c r="CI38" s="10" t="str">
        <f t="shared" si="141"/>
        <v xml:space="preserve"> </v>
      </c>
      <c r="CJ38" s="14"/>
      <c r="CK38" s="14"/>
      <c r="CL38" s="10" t="str">
        <f t="shared" si="142"/>
        <v xml:space="preserve"> </v>
      </c>
      <c r="CM38" s="10" t="str">
        <f t="shared" si="142"/>
        <v xml:space="preserve"> </v>
      </c>
      <c r="CN38" s="10" t="str">
        <f t="shared" si="142"/>
        <v xml:space="preserve"> </v>
      </c>
      <c r="CO38" s="10" t="str">
        <f t="shared" si="142"/>
        <v xml:space="preserve"> </v>
      </c>
      <c r="CP38" s="10" t="str">
        <f t="shared" si="142"/>
        <v xml:space="preserve"> </v>
      </c>
      <c r="CQ38" s="14"/>
      <c r="CR38" s="14"/>
      <c r="CS38" s="10" t="str">
        <f t="shared" si="143"/>
        <v xml:space="preserve"> </v>
      </c>
      <c r="CT38" s="10" t="str">
        <f t="shared" si="143"/>
        <v xml:space="preserve"> </v>
      </c>
      <c r="CU38" s="10" t="str">
        <f t="shared" si="143"/>
        <v xml:space="preserve"> </v>
      </c>
      <c r="CV38" s="10" t="str">
        <f t="shared" si="143"/>
        <v xml:space="preserve"> </v>
      </c>
      <c r="CW38" s="10" t="str">
        <f t="shared" si="143"/>
        <v xml:space="preserve"> </v>
      </c>
      <c r="CZ38" s="10" t="str">
        <f t="shared" si="144"/>
        <v xml:space="preserve"> </v>
      </c>
      <c r="DA38" s="10" t="str">
        <f t="shared" si="144"/>
        <v xml:space="preserve"> </v>
      </c>
      <c r="DB38" s="10" t="str">
        <f t="shared" si="144"/>
        <v xml:space="preserve"> </v>
      </c>
      <c r="DC38" s="10" t="str">
        <f t="shared" si="144"/>
        <v xml:space="preserve"> </v>
      </c>
      <c r="DD38" s="10" t="str">
        <f t="shared" si="144"/>
        <v xml:space="preserve"> </v>
      </c>
      <c r="DG38" s="10" t="str">
        <f t="shared" si="145"/>
        <v xml:space="preserve"> </v>
      </c>
      <c r="DH38" s="10" t="str">
        <f t="shared" si="145"/>
        <v xml:space="preserve"> </v>
      </c>
      <c r="DI38" s="10" t="str">
        <f t="shared" si="145"/>
        <v xml:space="preserve"> </v>
      </c>
      <c r="DJ38" s="10" t="str">
        <f t="shared" si="145"/>
        <v xml:space="preserve"> </v>
      </c>
      <c r="DK38" s="10" t="str">
        <f t="shared" si="145"/>
        <v xml:space="preserve"> </v>
      </c>
      <c r="DN38" s="10" t="str">
        <f t="shared" si="146"/>
        <v xml:space="preserve"> </v>
      </c>
      <c r="DO38" s="10" t="str">
        <f t="shared" si="146"/>
        <v xml:space="preserve"> </v>
      </c>
      <c r="DP38" s="10" t="str">
        <f t="shared" si="146"/>
        <v xml:space="preserve"> </v>
      </c>
      <c r="DQ38" s="10" t="str">
        <f t="shared" si="146"/>
        <v xml:space="preserve"> </v>
      </c>
      <c r="DR38" s="10" t="str">
        <f t="shared" si="146"/>
        <v xml:space="preserve"> </v>
      </c>
      <c r="DU38" s="10" t="str">
        <f t="shared" si="147"/>
        <v xml:space="preserve"> </v>
      </c>
      <c r="DV38" s="10" t="str">
        <f t="shared" si="147"/>
        <v xml:space="preserve"> </v>
      </c>
      <c r="DW38" s="10" t="str">
        <f t="shared" si="147"/>
        <v xml:space="preserve"> </v>
      </c>
      <c r="DX38" s="10" t="str">
        <f t="shared" si="147"/>
        <v xml:space="preserve"> </v>
      </c>
      <c r="DY38" s="10" t="str">
        <f t="shared" si="147"/>
        <v xml:space="preserve"> </v>
      </c>
      <c r="EB38" s="10" t="str">
        <f t="shared" si="148"/>
        <v xml:space="preserve"> </v>
      </c>
      <c r="EC38" s="10" t="str">
        <f t="shared" si="148"/>
        <v xml:space="preserve"> </v>
      </c>
      <c r="ED38" s="10" t="str">
        <f t="shared" si="148"/>
        <v xml:space="preserve"> </v>
      </c>
      <c r="EE38" s="10" t="str">
        <f t="shared" si="148"/>
        <v xml:space="preserve"> </v>
      </c>
      <c r="EF38" s="10" t="str">
        <f t="shared" si="148"/>
        <v xml:space="preserve"> </v>
      </c>
      <c r="EI38" s="10" t="str">
        <f t="shared" si="149"/>
        <v xml:space="preserve"> </v>
      </c>
      <c r="EJ38" s="10" t="str">
        <f t="shared" si="149"/>
        <v xml:space="preserve"> </v>
      </c>
      <c r="EK38" s="10" t="str">
        <f t="shared" si="149"/>
        <v xml:space="preserve"> </v>
      </c>
      <c r="EL38" s="10" t="str">
        <f t="shared" si="149"/>
        <v xml:space="preserve"> </v>
      </c>
      <c r="EM38" s="10" t="str">
        <f t="shared" si="149"/>
        <v xml:space="preserve"> </v>
      </c>
      <c r="EP38" s="10" t="str">
        <f t="shared" si="150"/>
        <v xml:space="preserve"> </v>
      </c>
      <c r="EQ38" s="10" t="str">
        <f t="shared" si="150"/>
        <v xml:space="preserve"> </v>
      </c>
      <c r="ER38" s="10" t="str">
        <f t="shared" si="150"/>
        <v xml:space="preserve"> </v>
      </c>
      <c r="ES38" s="10" t="str">
        <f t="shared" si="150"/>
        <v xml:space="preserve"> </v>
      </c>
      <c r="ET38" s="10" t="str">
        <f t="shared" si="150"/>
        <v xml:space="preserve"> </v>
      </c>
      <c r="EW38" s="10" t="str">
        <f t="shared" si="151"/>
        <v xml:space="preserve"> </v>
      </c>
      <c r="EX38" s="10" t="str">
        <f t="shared" si="151"/>
        <v xml:space="preserve"> </v>
      </c>
      <c r="EY38" s="10" t="str">
        <f t="shared" si="151"/>
        <v xml:space="preserve"> </v>
      </c>
      <c r="EZ38" s="10" t="str">
        <f t="shared" si="151"/>
        <v xml:space="preserve"> </v>
      </c>
      <c r="FA38" s="10" t="str">
        <f t="shared" si="151"/>
        <v xml:space="preserve"> </v>
      </c>
      <c r="FD38" s="10" t="str">
        <f t="shared" si="152"/>
        <v xml:space="preserve"> </v>
      </c>
      <c r="FE38" s="10" t="str">
        <f t="shared" si="152"/>
        <v xml:space="preserve"> </v>
      </c>
      <c r="FF38" s="10" t="str">
        <f t="shared" si="152"/>
        <v xml:space="preserve"> </v>
      </c>
      <c r="FG38" s="10" t="str">
        <f t="shared" si="152"/>
        <v xml:space="preserve"> </v>
      </c>
      <c r="FH38" s="10" t="str">
        <f t="shared" si="152"/>
        <v xml:space="preserve"> </v>
      </c>
      <c r="FK38" s="10" t="str">
        <f t="shared" si="153"/>
        <v xml:space="preserve"> </v>
      </c>
      <c r="FL38" s="10" t="str">
        <f t="shared" si="153"/>
        <v xml:space="preserve"> </v>
      </c>
      <c r="FM38" s="10" t="str">
        <f t="shared" si="153"/>
        <v xml:space="preserve"> </v>
      </c>
      <c r="FN38" s="10" t="str">
        <f t="shared" si="153"/>
        <v xml:space="preserve"> </v>
      </c>
      <c r="FO38" s="10" t="str">
        <f t="shared" si="153"/>
        <v xml:space="preserve"> </v>
      </c>
      <c r="FR38" s="10" t="str">
        <f t="shared" si="154"/>
        <v xml:space="preserve"> </v>
      </c>
      <c r="FS38" s="10" t="str">
        <f t="shared" si="154"/>
        <v xml:space="preserve"> </v>
      </c>
      <c r="FT38" s="10" t="str">
        <f t="shared" si="154"/>
        <v xml:space="preserve"> </v>
      </c>
      <c r="FU38" s="10" t="str">
        <f t="shared" si="154"/>
        <v xml:space="preserve"> </v>
      </c>
      <c r="FV38" s="10" t="str">
        <f t="shared" si="154"/>
        <v xml:space="preserve"> </v>
      </c>
      <c r="FY38" s="10" t="str">
        <f t="shared" si="155"/>
        <v xml:space="preserve"> </v>
      </c>
      <c r="FZ38" s="10" t="str">
        <f t="shared" si="155"/>
        <v xml:space="preserve"> </v>
      </c>
      <c r="GA38" s="10" t="str">
        <f t="shared" si="155"/>
        <v xml:space="preserve"> </v>
      </c>
      <c r="GB38" s="10" t="str">
        <f t="shared" si="155"/>
        <v xml:space="preserve"> </v>
      </c>
      <c r="GC38" s="10" t="str">
        <f t="shared" si="155"/>
        <v xml:space="preserve"> </v>
      </c>
      <c r="GF38" s="10" t="str">
        <f t="shared" si="156"/>
        <v xml:space="preserve"> </v>
      </c>
      <c r="GG38" s="10" t="str">
        <f t="shared" si="156"/>
        <v xml:space="preserve"> </v>
      </c>
      <c r="GH38" s="10" t="str">
        <f t="shared" si="156"/>
        <v xml:space="preserve"> </v>
      </c>
      <c r="GI38" s="10" t="str">
        <f t="shared" si="156"/>
        <v xml:space="preserve"> </v>
      </c>
      <c r="GJ38" s="10" t="str">
        <f t="shared" si="156"/>
        <v xml:space="preserve"> </v>
      </c>
      <c r="GM38" s="10" t="str">
        <f t="shared" si="157"/>
        <v xml:space="preserve"> </v>
      </c>
      <c r="GN38" s="10" t="str">
        <f t="shared" si="157"/>
        <v xml:space="preserve"> </v>
      </c>
      <c r="GO38" s="10" t="str">
        <f t="shared" si="157"/>
        <v xml:space="preserve"> </v>
      </c>
      <c r="GP38" s="10" t="str">
        <f t="shared" si="157"/>
        <v xml:space="preserve"> </v>
      </c>
      <c r="GQ38" s="10" t="str">
        <f t="shared" si="157"/>
        <v xml:space="preserve"> </v>
      </c>
      <c r="GT38" s="10" t="str">
        <f t="shared" si="158"/>
        <v xml:space="preserve"> </v>
      </c>
      <c r="GU38" s="10" t="str">
        <f t="shared" si="158"/>
        <v xml:space="preserve"> </v>
      </c>
      <c r="GV38" s="10" t="str">
        <f t="shared" si="158"/>
        <v xml:space="preserve"> </v>
      </c>
      <c r="GW38" s="10" t="str">
        <f t="shared" si="158"/>
        <v xml:space="preserve"> </v>
      </c>
      <c r="GX38" s="10" t="str">
        <f t="shared" si="158"/>
        <v xml:space="preserve"> </v>
      </c>
      <c r="HA38" s="10" t="str">
        <f t="shared" si="159"/>
        <v xml:space="preserve"> </v>
      </c>
      <c r="HB38" s="10" t="str">
        <f t="shared" si="159"/>
        <v xml:space="preserve"> </v>
      </c>
      <c r="HC38" s="10" t="str">
        <f t="shared" si="159"/>
        <v xml:space="preserve"> </v>
      </c>
      <c r="HD38" s="10" t="str">
        <f t="shared" si="159"/>
        <v xml:space="preserve"> </v>
      </c>
      <c r="HE38" s="10" t="str">
        <f t="shared" si="159"/>
        <v xml:space="preserve"> </v>
      </c>
      <c r="HH38" s="10" t="str">
        <f t="shared" si="160"/>
        <v xml:space="preserve"> </v>
      </c>
      <c r="HI38" s="10" t="str">
        <f t="shared" si="160"/>
        <v xml:space="preserve"> </v>
      </c>
      <c r="HJ38" s="10" t="str">
        <f t="shared" si="160"/>
        <v xml:space="preserve"> </v>
      </c>
      <c r="HK38" s="10" t="str">
        <f t="shared" si="160"/>
        <v xml:space="preserve"> </v>
      </c>
      <c r="HL38" s="10" t="str">
        <f t="shared" si="160"/>
        <v xml:space="preserve"> </v>
      </c>
      <c r="HO38" s="10" t="str">
        <f t="shared" si="161"/>
        <v xml:space="preserve"> </v>
      </c>
      <c r="HP38" s="10" t="str">
        <f t="shared" si="161"/>
        <v xml:space="preserve"> </v>
      </c>
      <c r="HQ38" s="10" t="str">
        <f t="shared" si="161"/>
        <v xml:space="preserve"> </v>
      </c>
      <c r="HR38" s="10" t="str">
        <f t="shared" si="161"/>
        <v xml:space="preserve"> </v>
      </c>
      <c r="HS38" s="10" t="str">
        <f t="shared" si="161"/>
        <v xml:space="preserve"> </v>
      </c>
      <c r="HV38" s="10" t="str">
        <f t="shared" si="162"/>
        <v xml:space="preserve"> </v>
      </c>
      <c r="HW38" s="10" t="str">
        <f t="shared" si="162"/>
        <v xml:space="preserve"> </v>
      </c>
      <c r="HX38" s="10" t="str">
        <f t="shared" si="162"/>
        <v xml:space="preserve"> </v>
      </c>
      <c r="HY38" s="10" t="str">
        <f t="shared" si="162"/>
        <v xml:space="preserve"> </v>
      </c>
      <c r="HZ38" s="10" t="str">
        <f t="shared" si="162"/>
        <v xml:space="preserve"> </v>
      </c>
      <c r="IC38" s="10" t="str">
        <f t="shared" si="163"/>
        <v xml:space="preserve"> </v>
      </c>
      <c r="ID38" s="10" t="str">
        <f t="shared" si="163"/>
        <v xml:space="preserve"> </v>
      </c>
      <c r="IE38" s="10" t="str">
        <f t="shared" si="163"/>
        <v xml:space="preserve"> </v>
      </c>
      <c r="IF38" s="10" t="str">
        <f t="shared" si="163"/>
        <v xml:space="preserve"> </v>
      </c>
      <c r="IG38" s="10" t="str">
        <f t="shared" si="163"/>
        <v xml:space="preserve"> </v>
      </c>
      <c r="IJ38" s="10" t="str">
        <f t="shared" si="164"/>
        <v xml:space="preserve"> </v>
      </c>
      <c r="IK38" s="10" t="str">
        <f t="shared" si="164"/>
        <v xml:space="preserve"> </v>
      </c>
      <c r="IL38" s="10" t="str">
        <f t="shared" si="164"/>
        <v xml:space="preserve"> </v>
      </c>
      <c r="IM38" s="10" t="str">
        <f t="shared" si="164"/>
        <v xml:space="preserve"> </v>
      </c>
      <c r="IN38" s="10" t="str">
        <f t="shared" si="164"/>
        <v xml:space="preserve"> </v>
      </c>
      <c r="IQ38" s="10" t="str">
        <f t="shared" si="165"/>
        <v xml:space="preserve"> </v>
      </c>
      <c r="IR38" s="10" t="str">
        <f t="shared" si="165"/>
        <v xml:space="preserve"> </v>
      </c>
      <c r="IS38" s="10" t="str">
        <f t="shared" si="165"/>
        <v xml:space="preserve"> </v>
      </c>
      <c r="IT38" s="10" t="str">
        <f t="shared" si="165"/>
        <v xml:space="preserve"> </v>
      </c>
      <c r="IU38" s="10" t="str">
        <f t="shared" si="165"/>
        <v xml:space="preserve"> </v>
      </c>
      <c r="IX38" s="10" t="str">
        <f t="shared" si="166"/>
        <v xml:space="preserve"> </v>
      </c>
      <c r="IY38" s="10" t="str">
        <f t="shared" si="166"/>
        <v xml:space="preserve"> </v>
      </c>
      <c r="IZ38" s="10" t="str">
        <f t="shared" si="166"/>
        <v xml:space="preserve"> </v>
      </c>
      <c r="JA38" s="10" t="str">
        <f t="shared" si="166"/>
        <v xml:space="preserve"> </v>
      </c>
      <c r="JB38" s="10" t="str">
        <f t="shared" si="166"/>
        <v xml:space="preserve"> </v>
      </c>
      <c r="JE38" s="10" t="str">
        <f t="shared" si="167"/>
        <v xml:space="preserve"> </v>
      </c>
      <c r="JF38" s="10" t="str">
        <f t="shared" si="167"/>
        <v xml:space="preserve"> </v>
      </c>
      <c r="JG38" s="10" t="str">
        <f t="shared" si="167"/>
        <v xml:space="preserve"> </v>
      </c>
      <c r="JH38" s="10" t="str">
        <f t="shared" si="167"/>
        <v xml:space="preserve"> </v>
      </c>
      <c r="JI38" s="10" t="str">
        <f t="shared" si="167"/>
        <v xml:space="preserve"> </v>
      </c>
    </row>
    <row r="39" spans="1:269">
      <c r="A39" s="96"/>
      <c r="B39" s="10">
        <v>31</v>
      </c>
      <c r="C39" s="11" t="s">
        <v>56</v>
      </c>
      <c r="D39" s="11" t="s">
        <v>52</v>
      </c>
      <c r="E39" s="10">
        <v>29</v>
      </c>
      <c r="F39" s="12">
        <f t="shared" si="87"/>
        <v>42565</v>
      </c>
      <c r="G39" s="12">
        <f>WORKDAY(F39,H39-1,Config!D39:D58)</f>
        <v>42566</v>
      </c>
      <c r="H39" s="10">
        <v>2</v>
      </c>
      <c r="I39" s="13">
        <v>0</v>
      </c>
      <c r="J39" s="13">
        <f ca="1">IF(((NETWORKDAYS(F39,TODAY(),Data!C35:C54)*100)/H39)/100 &gt; 0,((NETWORKDAYS(F39,TODAY(),Data!C35:C54)*100)/H39)/100,0)</f>
        <v>811</v>
      </c>
      <c r="K39" s="13" t="str">
        <f t="shared" ca="1" si="129"/>
        <v>100%</v>
      </c>
      <c r="L39" s="13">
        <f t="shared" ca="1" si="130"/>
        <v>1</v>
      </c>
      <c r="M39" s="10" t="str">
        <f t="shared" si="168"/>
        <v xml:space="preserve"> </v>
      </c>
      <c r="N39" s="10" t="str">
        <f t="shared" si="131"/>
        <v xml:space="preserve"> </v>
      </c>
      <c r="O39" s="10" t="str">
        <f t="shared" si="131"/>
        <v xml:space="preserve"> </v>
      </c>
      <c r="P39" s="10" t="str">
        <f t="shared" si="131"/>
        <v xml:space="preserve"> </v>
      </c>
      <c r="Q39" s="10" t="str">
        <f t="shared" si="131"/>
        <v xml:space="preserve"> </v>
      </c>
      <c r="R39" s="14"/>
      <c r="S39" s="14"/>
      <c r="T39" s="10" t="str">
        <f t="shared" si="132"/>
        <v xml:space="preserve"> </v>
      </c>
      <c r="U39" s="10" t="str">
        <f t="shared" si="132"/>
        <v xml:space="preserve"> </v>
      </c>
      <c r="V39" s="10" t="str">
        <f t="shared" si="132"/>
        <v xml:space="preserve"> </v>
      </c>
      <c r="W39" s="10" t="str">
        <f t="shared" si="132"/>
        <v xml:space="preserve"> </v>
      </c>
      <c r="X39" s="10" t="str">
        <f t="shared" si="132"/>
        <v xml:space="preserve"> </v>
      </c>
      <c r="Y39" s="14"/>
      <c r="Z39" s="14"/>
      <c r="AA39" s="10" t="str">
        <f t="shared" si="133"/>
        <v xml:space="preserve"> </v>
      </c>
      <c r="AB39" s="10" t="str">
        <f t="shared" si="133"/>
        <v xml:space="preserve"> </v>
      </c>
      <c r="AC39" s="10" t="str">
        <f t="shared" si="133"/>
        <v xml:space="preserve"> </v>
      </c>
      <c r="AD39" s="10" t="str">
        <f t="shared" si="133"/>
        <v xml:space="preserve"> </v>
      </c>
      <c r="AE39" s="10" t="str">
        <f t="shared" si="133"/>
        <v xml:space="preserve"> </v>
      </c>
      <c r="AF39" s="14"/>
      <c r="AG39" s="14"/>
      <c r="AH39" s="10" t="str">
        <f t="shared" si="134"/>
        <v xml:space="preserve"> </v>
      </c>
      <c r="AI39" s="10" t="str">
        <f t="shared" si="134"/>
        <v xml:space="preserve"> </v>
      </c>
      <c r="AJ39" s="10" t="str">
        <f t="shared" si="134"/>
        <v xml:space="preserve"> </v>
      </c>
      <c r="AK39" s="10" t="str">
        <f t="shared" si="134"/>
        <v xml:space="preserve"> </v>
      </c>
      <c r="AL39" s="10" t="str">
        <f t="shared" si="134"/>
        <v xml:space="preserve"> </v>
      </c>
      <c r="AM39" s="14"/>
      <c r="AN39" s="14"/>
      <c r="AO39" s="10" t="str">
        <f t="shared" si="135"/>
        <v xml:space="preserve"> </v>
      </c>
      <c r="AP39" s="10" t="str">
        <f t="shared" si="135"/>
        <v xml:space="preserve"> </v>
      </c>
      <c r="AQ39" s="10" t="str">
        <f t="shared" si="135"/>
        <v xml:space="preserve"> </v>
      </c>
      <c r="AR39" s="10" t="str">
        <f t="shared" si="135"/>
        <v xml:space="preserve"> </v>
      </c>
      <c r="AS39" s="10" t="str">
        <f t="shared" si="135"/>
        <v xml:space="preserve"> </v>
      </c>
      <c r="AT39" s="14"/>
      <c r="AU39" s="14"/>
      <c r="AV39" s="10" t="str">
        <f t="shared" si="136"/>
        <v xml:space="preserve"> </v>
      </c>
      <c r="AW39" s="10" t="str">
        <f t="shared" si="136"/>
        <v xml:space="preserve"> </v>
      </c>
      <c r="AX39" s="10" t="str">
        <f t="shared" si="136"/>
        <v xml:space="preserve"> </v>
      </c>
      <c r="AY39" s="10" t="str">
        <f t="shared" si="136"/>
        <v xml:space="preserve"> </v>
      </c>
      <c r="AZ39" s="10" t="str">
        <f t="shared" si="136"/>
        <v xml:space="preserve"> </v>
      </c>
      <c r="BA39" s="14"/>
      <c r="BB39" s="14"/>
      <c r="BC39" s="10" t="str">
        <f t="shared" si="137"/>
        <v xml:space="preserve"> </v>
      </c>
      <c r="BD39" s="10" t="str">
        <f t="shared" si="137"/>
        <v xml:space="preserve"> </v>
      </c>
      <c r="BE39" s="10" t="str">
        <f t="shared" si="137"/>
        <v xml:space="preserve"> </v>
      </c>
      <c r="BF39" s="10" t="str">
        <f t="shared" si="137"/>
        <v xml:space="preserve"> </v>
      </c>
      <c r="BG39" s="10" t="str">
        <f t="shared" si="137"/>
        <v xml:space="preserve"> </v>
      </c>
      <c r="BH39" s="14"/>
      <c r="BI39" s="14"/>
      <c r="BJ39" s="10" t="str">
        <f t="shared" si="138"/>
        <v xml:space="preserve"> </v>
      </c>
      <c r="BK39" s="10" t="str">
        <f t="shared" si="138"/>
        <v xml:space="preserve"> </v>
      </c>
      <c r="BL39" s="10" t="str">
        <f t="shared" si="138"/>
        <v xml:space="preserve"> </v>
      </c>
      <c r="BM39" s="10" t="str">
        <f t="shared" si="138"/>
        <v xml:space="preserve"> </v>
      </c>
      <c r="BN39" s="10" t="str">
        <f t="shared" si="138"/>
        <v xml:space="preserve"> </v>
      </c>
      <c r="BO39" s="14"/>
      <c r="BP39" s="14"/>
      <c r="BQ39" s="10" t="str">
        <f t="shared" si="139"/>
        <v xml:space="preserve"> </v>
      </c>
      <c r="BR39" s="10" t="str">
        <f t="shared" si="139"/>
        <v xml:space="preserve"> </v>
      </c>
      <c r="BS39" s="10" t="str">
        <f t="shared" si="139"/>
        <v xml:space="preserve"> </v>
      </c>
      <c r="BT39" s="10" t="str">
        <f t="shared" si="139"/>
        <v xml:space="preserve"> </v>
      </c>
      <c r="BU39" s="10" t="str">
        <f t="shared" si="139"/>
        <v xml:space="preserve"> </v>
      </c>
      <c r="BV39" s="14"/>
      <c r="BW39" s="14"/>
      <c r="BX39" s="10" t="str">
        <f t="shared" si="140"/>
        <v xml:space="preserve"> </v>
      </c>
      <c r="BY39" s="10" t="str">
        <f t="shared" si="140"/>
        <v xml:space="preserve"> </v>
      </c>
      <c r="BZ39" s="10" t="str">
        <f t="shared" si="140"/>
        <v xml:space="preserve"> </v>
      </c>
      <c r="CA39" s="10" t="str">
        <f t="shared" si="140"/>
        <v xml:space="preserve"> </v>
      </c>
      <c r="CB39" s="10" t="str">
        <f t="shared" si="140"/>
        <v xml:space="preserve"> </v>
      </c>
      <c r="CC39" s="14"/>
      <c r="CD39" s="14"/>
      <c r="CE39" s="10" t="str">
        <f t="shared" si="141"/>
        <v>.</v>
      </c>
      <c r="CF39" s="10" t="str">
        <f t="shared" si="141"/>
        <v>.</v>
      </c>
      <c r="CG39" s="10" t="str">
        <f t="shared" si="141"/>
        <v xml:space="preserve"> </v>
      </c>
      <c r="CH39" s="10" t="str">
        <f t="shared" si="141"/>
        <v xml:space="preserve"> </v>
      </c>
      <c r="CI39" s="10" t="str">
        <f t="shared" si="141"/>
        <v xml:space="preserve"> </v>
      </c>
      <c r="CJ39" s="14"/>
      <c r="CK39" s="14"/>
      <c r="CL39" s="10" t="str">
        <f t="shared" si="142"/>
        <v xml:space="preserve"> </v>
      </c>
      <c r="CM39" s="10" t="str">
        <f t="shared" si="142"/>
        <v xml:space="preserve"> </v>
      </c>
      <c r="CN39" s="10" t="str">
        <f t="shared" si="142"/>
        <v xml:space="preserve"> </v>
      </c>
      <c r="CO39" s="10" t="str">
        <f t="shared" si="142"/>
        <v xml:space="preserve"> </v>
      </c>
      <c r="CP39" s="10" t="str">
        <f t="shared" si="142"/>
        <v xml:space="preserve"> </v>
      </c>
      <c r="CQ39" s="14"/>
      <c r="CR39" s="14"/>
      <c r="CS39" s="10" t="str">
        <f t="shared" si="143"/>
        <v xml:space="preserve"> </v>
      </c>
      <c r="CT39" s="10" t="str">
        <f t="shared" si="143"/>
        <v xml:space="preserve"> </v>
      </c>
      <c r="CU39" s="10" t="str">
        <f t="shared" si="143"/>
        <v xml:space="preserve"> </v>
      </c>
      <c r="CV39" s="10" t="str">
        <f t="shared" si="143"/>
        <v xml:space="preserve"> </v>
      </c>
      <c r="CW39" s="10" t="str">
        <f t="shared" si="143"/>
        <v xml:space="preserve"> </v>
      </c>
      <c r="CZ39" s="10" t="str">
        <f t="shared" si="144"/>
        <v xml:space="preserve"> </v>
      </c>
      <c r="DA39" s="10" t="str">
        <f t="shared" si="144"/>
        <v xml:space="preserve"> </v>
      </c>
      <c r="DB39" s="10" t="str">
        <f t="shared" si="144"/>
        <v xml:space="preserve"> </v>
      </c>
      <c r="DC39" s="10" t="str">
        <f t="shared" si="144"/>
        <v xml:space="preserve"> </v>
      </c>
      <c r="DD39" s="10" t="str">
        <f t="shared" si="144"/>
        <v xml:space="preserve"> </v>
      </c>
      <c r="DG39" s="10" t="str">
        <f t="shared" si="145"/>
        <v xml:space="preserve"> </v>
      </c>
      <c r="DH39" s="10" t="str">
        <f t="shared" si="145"/>
        <v xml:space="preserve"> </v>
      </c>
      <c r="DI39" s="10" t="str">
        <f t="shared" si="145"/>
        <v xml:space="preserve"> </v>
      </c>
      <c r="DJ39" s="10" t="str">
        <f t="shared" si="145"/>
        <v xml:space="preserve"> </v>
      </c>
      <c r="DK39" s="10" t="str">
        <f t="shared" si="145"/>
        <v xml:space="preserve"> </v>
      </c>
      <c r="DN39" s="10" t="str">
        <f t="shared" si="146"/>
        <v xml:space="preserve"> </v>
      </c>
      <c r="DO39" s="10" t="str">
        <f t="shared" si="146"/>
        <v xml:space="preserve"> </v>
      </c>
      <c r="DP39" s="10" t="str">
        <f t="shared" si="146"/>
        <v xml:space="preserve"> </v>
      </c>
      <c r="DQ39" s="10" t="str">
        <f t="shared" si="146"/>
        <v xml:space="preserve"> </v>
      </c>
      <c r="DR39" s="10" t="str">
        <f t="shared" si="146"/>
        <v xml:space="preserve"> </v>
      </c>
      <c r="DU39" s="10" t="str">
        <f t="shared" si="147"/>
        <v xml:space="preserve"> </v>
      </c>
      <c r="DV39" s="10" t="str">
        <f t="shared" si="147"/>
        <v xml:space="preserve"> </v>
      </c>
      <c r="DW39" s="10" t="str">
        <f t="shared" si="147"/>
        <v xml:space="preserve"> </v>
      </c>
      <c r="DX39" s="10" t="str">
        <f t="shared" si="147"/>
        <v xml:space="preserve"> </v>
      </c>
      <c r="DY39" s="10" t="str">
        <f t="shared" si="147"/>
        <v xml:space="preserve"> </v>
      </c>
      <c r="EB39" s="10" t="str">
        <f t="shared" si="148"/>
        <v xml:space="preserve"> </v>
      </c>
      <c r="EC39" s="10" t="str">
        <f t="shared" si="148"/>
        <v xml:space="preserve"> </v>
      </c>
      <c r="ED39" s="10" t="str">
        <f t="shared" si="148"/>
        <v xml:space="preserve"> </v>
      </c>
      <c r="EE39" s="10" t="str">
        <f t="shared" si="148"/>
        <v xml:space="preserve"> </v>
      </c>
      <c r="EF39" s="10" t="str">
        <f t="shared" si="148"/>
        <v xml:space="preserve"> </v>
      </c>
      <c r="EI39" s="10" t="str">
        <f t="shared" si="149"/>
        <v xml:space="preserve"> </v>
      </c>
      <c r="EJ39" s="10" t="str">
        <f t="shared" si="149"/>
        <v xml:space="preserve"> </v>
      </c>
      <c r="EK39" s="10" t="str">
        <f t="shared" si="149"/>
        <v xml:space="preserve"> </v>
      </c>
      <c r="EL39" s="10" t="str">
        <f t="shared" si="149"/>
        <v xml:space="preserve"> </v>
      </c>
      <c r="EM39" s="10" t="str">
        <f t="shared" si="149"/>
        <v xml:space="preserve"> </v>
      </c>
      <c r="EP39" s="10" t="str">
        <f t="shared" si="150"/>
        <v xml:space="preserve"> </v>
      </c>
      <c r="EQ39" s="10" t="str">
        <f t="shared" si="150"/>
        <v xml:space="preserve"> </v>
      </c>
      <c r="ER39" s="10" t="str">
        <f t="shared" si="150"/>
        <v xml:space="preserve"> </v>
      </c>
      <c r="ES39" s="10" t="str">
        <f t="shared" si="150"/>
        <v xml:space="preserve"> </v>
      </c>
      <c r="ET39" s="10" t="str">
        <f t="shared" si="150"/>
        <v xml:space="preserve"> </v>
      </c>
      <c r="EW39" s="10" t="str">
        <f t="shared" si="151"/>
        <v xml:space="preserve"> </v>
      </c>
      <c r="EX39" s="10" t="str">
        <f t="shared" si="151"/>
        <v xml:space="preserve"> </v>
      </c>
      <c r="EY39" s="10" t="str">
        <f t="shared" si="151"/>
        <v xml:space="preserve"> </v>
      </c>
      <c r="EZ39" s="10" t="str">
        <f t="shared" si="151"/>
        <v xml:space="preserve"> </v>
      </c>
      <c r="FA39" s="10" t="str">
        <f t="shared" si="151"/>
        <v xml:space="preserve"> </v>
      </c>
      <c r="FD39" s="10" t="str">
        <f t="shared" si="152"/>
        <v xml:space="preserve"> </v>
      </c>
      <c r="FE39" s="10" t="str">
        <f t="shared" si="152"/>
        <v xml:space="preserve"> </v>
      </c>
      <c r="FF39" s="10" t="str">
        <f t="shared" si="152"/>
        <v xml:space="preserve"> </v>
      </c>
      <c r="FG39" s="10" t="str">
        <f t="shared" si="152"/>
        <v xml:space="preserve"> </v>
      </c>
      <c r="FH39" s="10" t="str">
        <f t="shared" si="152"/>
        <v xml:space="preserve"> </v>
      </c>
      <c r="FK39" s="10" t="str">
        <f t="shared" si="153"/>
        <v xml:space="preserve"> </v>
      </c>
      <c r="FL39" s="10" t="str">
        <f t="shared" si="153"/>
        <v xml:space="preserve"> </v>
      </c>
      <c r="FM39" s="10" t="str">
        <f t="shared" si="153"/>
        <v xml:space="preserve"> </v>
      </c>
      <c r="FN39" s="10" t="str">
        <f t="shared" si="153"/>
        <v xml:space="preserve"> </v>
      </c>
      <c r="FO39" s="10" t="str">
        <f t="shared" si="153"/>
        <v xml:space="preserve"> </v>
      </c>
      <c r="FR39" s="10" t="str">
        <f t="shared" si="154"/>
        <v xml:space="preserve"> </v>
      </c>
      <c r="FS39" s="10" t="str">
        <f t="shared" si="154"/>
        <v xml:space="preserve"> </v>
      </c>
      <c r="FT39" s="10" t="str">
        <f t="shared" si="154"/>
        <v xml:space="preserve"> </v>
      </c>
      <c r="FU39" s="10" t="str">
        <f t="shared" si="154"/>
        <v xml:space="preserve"> </v>
      </c>
      <c r="FV39" s="10" t="str">
        <f t="shared" si="154"/>
        <v xml:space="preserve"> </v>
      </c>
      <c r="FY39" s="10" t="str">
        <f t="shared" si="155"/>
        <v xml:space="preserve"> </v>
      </c>
      <c r="FZ39" s="10" t="str">
        <f t="shared" si="155"/>
        <v xml:space="preserve"> </v>
      </c>
      <c r="GA39" s="10" t="str">
        <f t="shared" si="155"/>
        <v xml:space="preserve"> </v>
      </c>
      <c r="GB39" s="10" t="str">
        <f t="shared" si="155"/>
        <v xml:space="preserve"> </v>
      </c>
      <c r="GC39" s="10" t="str">
        <f t="shared" si="155"/>
        <v xml:space="preserve"> </v>
      </c>
      <c r="GF39" s="10" t="str">
        <f t="shared" si="156"/>
        <v xml:space="preserve"> </v>
      </c>
      <c r="GG39" s="10" t="str">
        <f t="shared" si="156"/>
        <v xml:space="preserve"> </v>
      </c>
      <c r="GH39" s="10" t="str">
        <f t="shared" si="156"/>
        <v xml:space="preserve"> </v>
      </c>
      <c r="GI39" s="10" t="str">
        <f t="shared" si="156"/>
        <v xml:space="preserve"> </v>
      </c>
      <c r="GJ39" s="10" t="str">
        <f t="shared" si="156"/>
        <v xml:space="preserve"> </v>
      </c>
      <c r="GM39" s="10" t="str">
        <f t="shared" si="157"/>
        <v xml:space="preserve"> </v>
      </c>
      <c r="GN39" s="10" t="str">
        <f t="shared" si="157"/>
        <v xml:space="preserve"> </v>
      </c>
      <c r="GO39" s="10" t="str">
        <f t="shared" si="157"/>
        <v xml:space="preserve"> </v>
      </c>
      <c r="GP39" s="10" t="str">
        <f t="shared" si="157"/>
        <v xml:space="preserve"> </v>
      </c>
      <c r="GQ39" s="10" t="str">
        <f t="shared" si="157"/>
        <v xml:space="preserve"> </v>
      </c>
      <c r="GT39" s="10" t="str">
        <f t="shared" si="158"/>
        <v xml:space="preserve"> </v>
      </c>
      <c r="GU39" s="10" t="str">
        <f t="shared" si="158"/>
        <v xml:space="preserve"> </v>
      </c>
      <c r="GV39" s="10" t="str">
        <f t="shared" si="158"/>
        <v xml:space="preserve"> </v>
      </c>
      <c r="GW39" s="10" t="str">
        <f t="shared" si="158"/>
        <v xml:space="preserve"> </v>
      </c>
      <c r="GX39" s="10" t="str">
        <f t="shared" si="158"/>
        <v xml:space="preserve"> </v>
      </c>
      <c r="HA39" s="10" t="str">
        <f t="shared" si="159"/>
        <v xml:space="preserve"> </v>
      </c>
      <c r="HB39" s="10" t="str">
        <f t="shared" si="159"/>
        <v xml:space="preserve"> </v>
      </c>
      <c r="HC39" s="10" t="str">
        <f t="shared" si="159"/>
        <v xml:space="preserve"> </v>
      </c>
      <c r="HD39" s="10" t="str">
        <f t="shared" si="159"/>
        <v xml:space="preserve"> </v>
      </c>
      <c r="HE39" s="10" t="str">
        <f t="shared" si="159"/>
        <v xml:space="preserve"> </v>
      </c>
      <c r="HH39" s="10" t="str">
        <f t="shared" si="160"/>
        <v xml:space="preserve"> </v>
      </c>
      <c r="HI39" s="10" t="str">
        <f t="shared" si="160"/>
        <v xml:space="preserve"> </v>
      </c>
      <c r="HJ39" s="10" t="str">
        <f t="shared" si="160"/>
        <v xml:space="preserve"> </v>
      </c>
      <c r="HK39" s="10" t="str">
        <f t="shared" si="160"/>
        <v xml:space="preserve"> </v>
      </c>
      <c r="HL39" s="10" t="str">
        <f t="shared" si="160"/>
        <v xml:space="preserve"> </v>
      </c>
      <c r="HO39" s="10" t="str">
        <f t="shared" si="161"/>
        <v xml:space="preserve"> </v>
      </c>
      <c r="HP39" s="10" t="str">
        <f t="shared" si="161"/>
        <v xml:space="preserve"> </v>
      </c>
      <c r="HQ39" s="10" t="str">
        <f t="shared" si="161"/>
        <v xml:space="preserve"> </v>
      </c>
      <c r="HR39" s="10" t="str">
        <f t="shared" si="161"/>
        <v xml:space="preserve"> </v>
      </c>
      <c r="HS39" s="10" t="str">
        <f t="shared" si="161"/>
        <v xml:space="preserve"> </v>
      </c>
      <c r="HV39" s="10" t="str">
        <f t="shared" si="162"/>
        <v xml:space="preserve"> </v>
      </c>
      <c r="HW39" s="10" t="str">
        <f t="shared" si="162"/>
        <v xml:space="preserve"> </v>
      </c>
      <c r="HX39" s="10" t="str">
        <f t="shared" si="162"/>
        <v xml:space="preserve"> </v>
      </c>
      <c r="HY39" s="10" t="str">
        <f t="shared" si="162"/>
        <v xml:space="preserve"> </v>
      </c>
      <c r="HZ39" s="10" t="str">
        <f t="shared" si="162"/>
        <v xml:space="preserve"> </v>
      </c>
      <c r="IC39" s="10" t="str">
        <f t="shared" si="163"/>
        <v xml:space="preserve"> </v>
      </c>
      <c r="ID39" s="10" t="str">
        <f t="shared" si="163"/>
        <v xml:space="preserve"> </v>
      </c>
      <c r="IE39" s="10" t="str">
        <f t="shared" si="163"/>
        <v xml:space="preserve"> </v>
      </c>
      <c r="IF39" s="10" t="str">
        <f t="shared" si="163"/>
        <v xml:space="preserve"> </v>
      </c>
      <c r="IG39" s="10" t="str">
        <f t="shared" si="163"/>
        <v xml:space="preserve"> </v>
      </c>
      <c r="IJ39" s="10" t="str">
        <f t="shared" si="164"/>
        <v xml:space="preserve"> </v>
      </c>
      <c r="IK39" s="10" t="str">
        <f t="shared" si="164"/>
        <v xml:space="preserve"> </v>
      </c>
      <c r="IL39" s="10" t="str">
        <f t="shared" si="164"/>
        <v xml:space="preserve"> </v>
      </c>
      <c r="IM39" s="10" t="str">
        <f t="shared" si="164"/>
        <v xml:space="preserve"> </v>
      </c>
      <c r="IN39" s="10" t="str">
        <f t="shared" si="164"/>
        <v xml:space="preserve"> </v>
      </c>
      <c r="IQ39" s="10" t="str">
        <f t="shared" si="165"/>
        <v xml:space="preserve"> </v>
      </c>
      <c r="IR39" s="10" t="str">
        <f t="shared" si="165"/>
        <v xml:space="preserve"> </v>
      </c>
      <c r="IS39" s="10" t="str">
        <f t="shared" si="165"/>
        <v xml:space="preserve"> </v>
      </c>
      <c r="IT39" s="10" t="str">
        <f t="shared" si="165"/>
        <v xml:space="preserve"> </v>
      </c>
      <c r="IU39" s="10" t="str">
        <f t="shared" si="165"/>
        <v xml:space="preserve"> </v>
      </c>
      <c r="IX39" s="10" t="str">
        <f t="shared" si="166"/>
        <v xml:space="preserve"> </v>
      </c>
      <c r="IY39" s="10" t="str">
        <f t="shared" si="166"/>
        <v xml:space="preserve"> </v>
      </c>
      <c r="IZ39" s="10" t="str">
        <f t="shared" si="166"/>
        <v xml:space="preserve"> </v>
      </c>
      <c r="JA39" s="10" t="str">
        <f t="shared" si="166"/>
        <v xml:space="preserve"> </v>
      </c>
      <c r="JB39" s="10" t="str">
        <f t="shared" si="166"/>
        <v xml:space="preserve"> </v>
      </c>
      <c r="JE39" s="10" t="str">
        <f t="shared" si="167"/>
        <v xml:space="preserve"> </v>
      </c>
      <c r="JF39" s="10" t="str">
        <f t="shared" si="167"/>
        <v xml:space="preserve"> </v>
      </c>
      <c r="JG39" s="10" t="str">
        <f t="shared" si="167"/>
        <v xml:space="preserve"> </v>
      </c>
      <c r="JH39" s="10" t="str">
        <f t="shared" si="167"/>
        <v xml:space="preserve"> </v>
      </c>
      <c r="JI39" s="10" t="str">
        <f t="shared" si="167"/>
        <v xml:space="preserve"> </v>
      </c>
    </row>
    <row r="40" spans="1:269">
      <c r="A40" s="96"/>
      <c r="B40" s="10">
        <v>32</v>
      </c>
      <c r="C40" s="11" t="s">
        <v>57</v>
      </c>
      <c r="D40" s="11" t="s">
        <v>58</v>
      </c>
      <c r="E40" s="10">
        <v>24</v>
      </c>
      <c r="F40" s="12">
        <f t="shared" si="87"/>
        <v>42539</v>
      </c>
      <c r="G40" s="12">
        <f>WORKDAY(F40,H40-1,Config!D41:D60)</f>
        <v>42539</v>
      </c>
      <c r="H40" s="10">
        <v>1</v>
      </c>
      <c r="I40" s="13">
        <v>0</v>
      </c>
      <c r="J40" s="13">
        <f ca="1">IF(((NETWORKDAYS(F40,TODAY(),Data!C37:C56)*100)/H40)/100 &gt; 0,((NETWORKDAYS(F40,TODAY(),Data!C37:C56)*100)/H40)/100,0)</f>
        <v>1640</v>
      </c>
      <c r="K40" s="13" t="str">
        <f t="shared" ca="1" si="129"/>
        <v>100%</v>
      </c>
      <c r="L40" s="13">
        <f t="shared" ca="1" si="130"/>
        <v>1</v>
      </c>
      <c r="M40" s="10" t="str">
        <f t="shared" ref="M40:Q52" si="169">IF(AND(M$6&gt;=$F40,M$6&lt;=$G40),"."," ")</f>
        <v xml:space="preserve"> </v>
      </c>
      <c r="N40" s="10" t="str">
        <f t="shared" si="169"/>
        <v xml:space="preserve"> </v>
      </c>
      <c r="O40" s="10" t="str">
        <f t="shared" si="169"/>
        <v xml:space="preserve"> </v>
      </c>
      <c r="P40" s="10" t="str">
        <f t="shared" si="169"/>
        <v xml:space="preserve"> </v>
      </c>
      <c r="Q40" s="10" t="str">
        <f t="shared" si="169"/>
        <v xml:space="preserve"> </v>
      </c>
      <c r="R40" s="14"/>
      <c r="S40" s="14"/>
      <c r="T40" s="10" t="str">
        <f t="shared" ref="T40:X52" si="170">IF(AND(T$6&gt;=$F40,T$6&lt;=$G40),"."," ")</f>
        <v xml:space="preserve"> </v>
      </c>
      <c r="U40" s="10" t="str">
        <f t="shared" si="170"/>
        <v xml:space="preserve"> </v>
      </c>
      <c r="V40" s="10" t="str">
        <f t="shared" si="170"/>
        <v xml:space="preserve"> </v>
      </c>
      <c r="W40" s="10" t="str">
        <f t="shared" si="170"/>
        <v xml:space="preserve"> </v>
      </c>
      <c r="X40" s="10" t="str">
        <f t="shared" si="170"/>
        <v xml:space="preserve"> </v>
      </c>
      <c r="Y40" s="14"/>
      <c r="Z40" s="14"/>
      <c r="AA40" s="10" t="str">
        <f t="shared" ref="AA40:AE52" si="171">IF(AND(AA$6&gt;=$F40,AA$6&lt;=$G40),"."," ")</f>
        <v xml:space="preserve"> </v>
      </c>
      <c r="AB40" s="10" t="str">
        <f t="shared" si="171"/>
        <v xml:space="preserve"> </v>
      </c>
      <c r="AC40" s="10" t="str">
        <f t="shared" si="171"/>
        <v xml:space="preserve"> </v>
      </c>
      <c r="AD40" s="10" t="str">
        <f t="shared" si="171"/>
        <v xml:space="preserve"> </v>
      </c>
      <c r="AE40" s="10" t="str">
        <f t="shared" si="171"/>
        <v xml:space="preserve"> </v>
      </c>
      <c r="AF40" s="14"/>
      <c r="AG40" s="14"/>
      <c r="AH40" s="10" t="str">
        <f t="shared" ref="AH40:AL52" si="172">IF(AND(AH$6&gt;=$F40,AH$6&lt;=$G40),"."," ")</f>
        <v xml:space="preserve"> </v>
      </c>
      <c r="AI40" s="10" t="str">
        <f t="shared" si="172"/>
        <v xml:space="preserve"> </v>
      </c>
      <c r="AJ40" s="10" t="str">
        <f t="shared" si="172"/>
        <v xml:space="preserve"> </v>
      </c>
      <c r="AK40" s="10" t="str">
        <f t="shared" si="172"/>
        <v xml:space="preserve"> </v>
      </c>
      <c r="AL40" s="10" t="str">
        <f t="shared" si="172"/>
        <v xml:space="preserve"> </v>
      </c>
      <c r="AM40" s="14"/>
      <c r="AN40" s="14"/>
      <c r="AO40" s="10" t="str">
        <f t="shared" ref="AO40:AS52" si="173">IF(AND(AO$6&gt;=$F40,AO$6&lt;=$G40),"."," ")</f>
        <v xml:space="preserve"> </v>
      </c>
      <c r="AP40" s="10" t="str">
        <f t="shared" si="173"/>
        <v xml:space="preserve"> </v>
      </c>
      <c r="AQ40" s="10" t="str">
        <f t="shared" si="173"/>
        <v xml:space="preserve"> </v>
      </c>
      <c r="AR40" s="10" t="str">
        <f t="shared" si="173"/>
        <v xml:space="preserve"> </v>
      </c>
      <c r="AS40" s="10" t="str">
        <f t="shared" si="173"/>
        <v xml:space="preserve"> </v>
      </c>
      <c r="AT40" s="14"/>
      <c r="AU40" s="14"/>
      <c r="AV40" s="10" t="str">
        <f t="shared" ref="AV40:AZ52" si="174">IF(AND(AV$6&gt;=$F40,AV$6&lt;=$G40),"."," ")</f>
        <v xml:space="preserve"> </v>
      </c>
      <c r="AW40" s="10" t="str">
        <f t="shared" si="174"/>
        <v xml:space="preserve"> </v>
      </c>
      <c r="AX40" s="10" t="str">
        <f t="shared" si="174"/>
        <v xml:space="preserve"> </v>
      </c>
      <c r="AY40" s="10" t="str">
        <f t="shared" si="174"/>
        <v xml:space="preserve"> </v>
      </c>
      <c r="AZ40" s="10" t="str">
        <f t="shared" si="174"/>
        <v xml:space="preserve"> </v>
      </c>
      <c r="BA40" s="14"/>
      <c r="BB40" s="14"/>
      <c r="BC40" s="10" t="str">
        <f t="shared" ref="BC40:BG52" si="175">IF(AND(BC$6&gt;=$F40,BC$6&lt;=$G40),"."," ")</f>
        <v xml:space="preserve"> </v>
      </c>
      <c r="BD40" s="10" t="str">
        <f t="shared" si="175"/>
        <v xml:space="preserve"> </v>
      </c>
      <c r="BE40" s="10" t="str">
        <f t="shared" si="175"/>
        <v>.</v>
      </c>
      <c r="BF40" s="10" t="str">
        <f t="shared" si="175"/>
        <v xml:space="preserve"> </v>
      </c>
      <c r="BG40" s="10" t="str">
        <f t="shared" si="175"/>
        <v xml:space="preserve"> </v>
      </c>
      <c r="BH40" s="14"/>
      <c r="BI40" s="14"/>
      <c r="BJ40" s="10" t="str">
        <f t="shared" ref="BJ40:BN52" si="176">IF(AND(BJ$6&gt;=$F40,BJ$6&lt;=$G40),"."," ")</f>
        <v xml:space="preserve"> </v>
      </c>
      <c r="BK40" s="10" t="str">
        <f t="shared" si="176"/>
        <v xml:space="preserve"> </v>
      </c>
      <c r="BL40" s="10" t="str">
        <f t="shared" si="176"/>
        <v xml:space="preserve"> </v>
      </c>
      <c r="BM40" s="10" t="str">
        <f t="shared" si="176"/>
        <v xml:space="preserve"> </v>
      </c>
      <c r="BN40" s="10" t="str">
        <f t="shared" si="176"/>
        <v xml:space="preserve"> </v>
      </c>
      <c r="BO40" s="14"/>
      <c r="BP40" s="14"/>
      <c r="BQ40" s="10" t="str">
        <f t="shared" ref="BQ40:BU52" si="177">IF(AND(BQ$6&gt;=$F40,BQ$6&lt;=$G40),"."," ")</f>
        <v xml:space="preserve"> </v>
      </c>
      <c r="BR40" s="10" t="str">
        <f t="shared" si="177"/>
        <v xml:space="preserve"> </v>
      </c>
      <c r="BS40" s="10" t="str">
        <f t="shared" si="177"/>
        <v xml:space="preserve"> </v>
      </c>
      <c r="BT40" s="10" t="str">
        <f t="shared" si="177"/>
        <v xml:space="preserve"> </v>
      </c>
      <c r="BU40" s="10" t="str">
        <f t="shared" si="177"/>
        <v xml:space="preserve"> </v>
      </c>
      <c r="BV40" s="14"/>
      <c r="BW40" s="14"/>
      <c r="BX40" s="10" t="str">
        <f t="shared" ref="BX40:CB52" si="178">IF(AND(BX$6&gt;=$F40,BX$6&lt;=$G40),"."," ")</f>
        <v xml:space="preserve"> </v>
      </c>
      <c r="BY40" s="10" t="str">
        <f t="shared" si="178"/>
        <v xml:space="preserve"> </v>
      </c>
      <c r="BZ40" s="10" t="str">
        <f t="shared" si="178"/>
        <v xml:space="preserve"> </v>
      </c>
      <c r="CA40" s="10" t="str">
        <f t="shared" si="178"/>
        <v xml:space="preserve"> </v>
      </c>
      <c r="CB40" s="10" t="str">
        <f t="shared" si="178"/>
        <v xml:space="preserve"> </v>
      </c>
      <c r="CC40" s="14"/>
      <c r="CD40" s="14"/>
      <c r="CE40" s="10" t="str">
        <f t="shared" ref="CE40:CI52" si="179">IF(AND(CE$6&gt;=$F40,CE$6&lt;=$G40),"."," ")</f>
        <v xml:space="preserve"> </v>
      </c>
      <c r="CF40" s="10" t="str">
        <f t="shared" si="179"/>
        <v xml:space="preserve"> </v>
      </c>
      <c r="CG40" s="10" t="str">
        <f t="shared" si="179"/>
        <v xml:space="preserve"> </v>
      </c>
      <c r="CH40" s="10" t="str">
        <f t="shared" si="179"/>
        <v xml:space="preserve"> </v>
      </c>
      <c r="CI40" s="10" t="str">
        <f t="shared" si="179"/>
        <v xml:space="preserve"> </v>
      </c>
      <c r="CJ40" s="14"/>
      <c r="CK40" s="14"/>
      <c r="CL40" s="10" t="str">
        <f t="shared" ref="CL40:CP52" si="180">IF(AND(CL$6&gt;=$F40,CL$6&lt;=$G40),"."," ")</f>
        <v xml:space="preserve"> </v>
      </c>
      <c r="CM40" s="10" t="str">
        <f t="shared" si="180"/>
        <v xml:space="preserve"> </v>
      </c>
      <c r="CN40" s="10" t="str">
        <f t="shared" si="180"/>
        <v xml:space="preserve"> </v>
      </c>
      <c r="CO40" s="10" t="str">
        <f t="shared" si="180"/>
        <v xml:space="preserve"> </v>
      </c>
      <c r="CP40" s="10" t="str">
        <f t="shared" si="180"/>
        <v xml:space="preserve"> </v>
      </c>
      <c r="CQ40" s="14"/>
      <c r="CR40" s="14"/>
      <c r="CS40" s="10" t="str">
        <f t="shared" ref="CS40:CW52" si="181">IF(AND(CS$6&gt;=$F40,CS$6&lt;=$G40),"."," ")</f>
        <v xml:space="preserve"> </v>
      </c>
      <c r="CT40" s="10" t="str">
        <f t="shared" si="181"/>
        <v xml:space="preserve"> </v>
      </c>
      <c r="CU40" s="10" t="str">
        <f t="shared" si="181"/>
        <v xml:space="preserve"> </v>
      </c>
      <c r="CV40" s="10" t="str">
        <f t="shared" si="181"/>
        <v xml:space="preserve"> </v>
      </c>
      <c r="CW40" s="10" t="str">
        <f t="shared" si="181"/>
        <v xml:space="preserve"> </v>
      </c>
      <c r="CZ40" s="10" t="str">
        <f t="shared" ref="CZ40:DD52" si="182">IF(AND(CZ$6&gt;=$F40,CZ$6&lt;=$G40),"."," ")</f>
        <v xml:space="preserve"> </v>
      </c>
      <c r="DA40" s="10" t="str">
        <f t="shared" si="182"/>
        <v xml:space="preserve"> </v>
      </c>
      <c r="DB40" s="10" t="str">
        <f t="shared" si="182"/>
        <v xml:space="preserve"> </v>
      </c>
      <c r="DC40" s="10" t="str">
        <f t="shared" si="182"/>
        <v xml:space="preserve"> </v>
      </c>
      <c r="DD40" s="10" t="str">
        <f t="shared" si="182"/>
        <v xml:space="preserve"> </v>
      </c>
      <c r="DG40" s="10" t="str">
        <f t="shared" ref="DG40:DK52" si="183">IF(AND(DG$6&gt;=$F40,DG$6&lt;=$G40),"."," ")</f>
        <v xml:space="preserve"> </v>
      </c>
      <c r="DH40" s="10" t="str">
        <f t="shared" si="183"/>
        <v xml:space="preserve"> </v>
      </c>
      <c r="DI40" s="10" t="str">
        <f t="shared" si="183"/>
        <v xml:space="preserve"> </v>
      </c>
      <c r="DJ40" s="10" t="str">
        <f t="shared" si="183"/>
        <v xml:space="preserve"> </v>
      </c>
      <c r="DK40" s="10" t="str">
        <f t="shared" si="183"/>
        <v xml:space="preserve"> </v>
      </c>
      <c r="DN40" s="10" t="str">
        <f t="shared" ref="DN40:DR52" si="184">IF(AND(DN$6&gt;=$F40,DN$6&lt;=$G40),"."," ")</f>
        <v xml:space="preserve"> </v>
      </c>
      <c r="DO40" s="10" t="str">
        <f t="shared" si="184"/>
        <v xml:space="preserve"> </v>
      </c>
      <c r="DP40" s="10" t="str">
        <f t="shared" si="184"/>
        <v xml:space="preserve"> </v>
      </c>
      <c r="DQ40" s="10" t="str">
        <f t="shared" si="184"/>
        <v xml:space="preserve"> </v>
      </c>
      <c r="DR40" s="10" t="str">
        <f t="shared" si="184"/>
        <v xml:space="preserve"> </v>
      </c>
      <c r="DU40" s="10" t="str">
        <f t="shared" ref="DU40:DY52" si="185">IF(AND(DU$6&gt;=$F40,DU$6&lt;=$G40),"."," ")</f>
        <v xml:space="preserve"> </v>
      </c>
      <c r="DV40" s="10" t="str">
        <f t="shared" si="185"/>
        <v xml:space="preserve"> </v>
      </c>
      <c r="DW40" s="10" t="str">
        <f t="shared" si="185"/>
        <v xml:space="preserve"> </v>
      </c>
      <c r="DX40" s="10" t="str">
        <f t="shared" si="185"/>
        <v xml:space="preserve"> </v>
      </c>
      <c r="DY40" s="10" t="str">
        <f t="shared" si="185"/>
        <v xml:space="preserve"> </v>
      </c>
      <c r="EB40" s="10" t="str">
        <f t="shared" ref="EB40:EF52" si="186">IF(AND(EB$6&gt;=$F40,EB$6&lt;=$G40),"."," ")</f>
        <v xml:space="preserve"> </v>
      </c>
      <c r="EC40" s="10" t="str">
        <f t="shared" si="186"/>
        <v xml:space="preserve"> </v>
      </c>
      <c r="ED40" s="10" t="str">
        <f t="shared" si="186"/>
        <v xml:space="preserve"> </v>
      </c>
      <c r="EE40" s="10" t="str">
        <f t="shared" si="186"/>
        <v xml:space="preserve"> </v>
      </c>
      <c r="EF40" s="10" t="str">
        <f t="shared" si="186"/>
        <v xml:space="preserve"> </v>
      </c>
      <c r="EI40" s="10" t="str">
        <f t="shared" ref="EI40:EM52" si="187">IF(AND(EI$6&gt;=$F40,EI$6&lt;=$G40),"."," ")</f>
        <v xml:space="preserve"> </v>
      </c>
      <c r="EJ40" s="10" t="str">
        <f t="shared" si="187"/>
        <v xml:space="preserve"> </v>
      </c>
      <c r="EK40" s="10" t="str">
        <f t="shared" si="187"/>
        <v xml:space="preserve"> </v>
      </c>
      <c r="EL40" s="10" t="str">
        <f t="shared" si="187"/>
        <v xml:space="preserve"> </v>
      </c>
      <c r="EM40" s="10" t="str">
        <f t="shared" si="187"/>
        <v xml:space="preserve"> </v>
      </c>
      <c r="EP40" s="10" t="str">
        <f t="shared" ref="EP40:ET52" si="188">IF(AND(EP$6&gt;=$F40,EP$6&lt;=$G40),"."," ")</f>
        <v xml:space="preserve"> </v>
      </c>
      <c r="EQ40" s="10" t="str">
        <f t="shared" si="188"/>
        <v xml:space="preserve"> </v>
      </c>
      <c r="ER40" s="10" t="str">
        <f t="shared" si="188"/>
        <v xml:space="preserve"> </v>
      </c>
      <c r="ES40" s="10" t="str">
        <f t="shared" si="188"/>
        <v xml:space="preserve"> </v>
      </c>
      <c r="ET40" s="10" t="str">
        <f t="shared" si="188"/>
        <v xml:space="preserve"> </v>
      </c>
      <c r="EW40" s="10" t="str">
        <f t="shared" ref="EW40:FA52" si="189">IF(AND(EW$6&gt;=$F40,EW$6&lt;=$G40),"."," ")</f>
        <v xml:space="preserve"> </v>
      </c>
      <c r="EX40" s="10" t="str">
        <f t="shared" si="189"/>
        <v xml:space="preserve"> </v>
      </c>
      <c r="EY40" s="10" t="str">
        <f t="shared" si="189"/>
        <v xml:space="preserve"> </v>
      </c>
      <c r="EZ40" s="10" t="str">
        <f t="shared" si="189"/>
        <v xml:space="preserve"> </v>
      </c>
      <c r="FA40" s="10" t="str">
        <f t="shared" si="189"/>
        <v xml:space="preserve"> </v>
      </c>
      <c r="FD40" s="10" t="str">
        <f t="shared" ref="FD40:FH52" si="190">IF(AND(FD$6&gt;=$F40,FD$6&lt;=$G40),"."," ")</f>
        <v xml:space="preserve"> </v>
      </c>
      <c r="FE40" s="10" t="str">
        <f t="shared" si="190"/>
        <v xml:space="preserve"> </v>
      </c>
      <c r="FF40" s="10" t="str">
        <f t="shared" si="190"/>
        <v xml:space="preserve"> </v>
      </c>
      <c r="FG40" s="10" t="str">
        <f t="shared" si="190"/>
        <v xml:space="preserve"> </v>
      </c>
      <c r="FH40" s="10" t="str">
        <f t="shared" si="190"/>
        <v xml:space="preserve"> </v>
      </c>
      <c r="FK40" s="10" t="str">
        <f t="shared" ref="FK40:FO52" si="191">IF(AND(FK$6&gt;=$F40,FK$6&lt;=$G40),"."," ")</f>
        <v xml:space="preserve"> </v>
      </c>
      <c r="FL40" s="10" t="str">
        <f t="shared" si="191"/>
        <v xml:space="preserve"> </v>
      </c>
      <c r="FM40" s="10" t="str">
        <f t="shared" si="191"/>
        <v xml:space="preserve"> </v>
      </c>
      <c r="FN40" s="10" t="str">
        <f t="shared" si="191"/>
        <v xml:space="preserve"> </v>
      </c>
      <c r="FO40" s="10" t="str">
        <f t="shared" si="191"/>
        <v xml:space="preserve"> </v>
      </c>
      <c r="FR40" s="10" t="str">
        <f t="shared" ref="FR40:FV52" si="192">IF(AND(FR$6&gt;=$F40,FR$6&lt;=$G40),"."," ")</f>
        <v xml:space="preserve"> </v>
      </c>
      <c r="FS40" s="10" t="str">
        <f t="shared" si="192"/>
        <v xml:space="preserve"> </v>
      </c>
      <c r="FT40" s="10" t="str">
        <f t="shared" si="192"/>
        <v xml:space="preserve"> </v>
      </c>
      <c r="FU40" s="10" t="str">
        <f t="shared" si="192"/>
        <v xml:space="preserve"> </v>
      </c>
      <c r="FV40" s="10" t="str">
        <f t="shared" si="192"/>
        <v xml:space="preserve"> </v>
      </c>
      <c r="FY40" s="10" t="str">
        <f t="shared" ref="FY40:GC52" si="193">IF(AND(FY$6&gt;=$F40,FY$6&lt;=$G40),"."," ")</f>
        <v xml:space="preserve"> </v>
      </c>
      <c r="FZ40" s="10" t="str">
        <f t="shared" si="193"/>
        <v xml:space="preserve"> </v>
      </c>
      <c r="GA40" s="10" t="str">
        <f t="shared" si="193"/>
        <v xml:space="preserve"> </v>
      </c>
      <c r="GB40" s="10" t="str">
        <f t="shared" si="193"/>
        <v xml:space="preserve"> </v>
      </c>
      <c r="GC40" s="10" t="str">
        <f t="shared" si="193"/>
        <v xml:space="preserve"> </v>
      </c>
      <c r="GF40" s="10" t="str">
        <f t="shared" ref="GF40:GJ52" si="194">IF(AND(GF$6&gt;=$F40,GF$6&lt;=$G40),"."," ")</f>
        <v xml:space="preserve"> </v>
      </c>
      <c r="GG40" s="10" t="str">
        <f t="shared" si="194"/>
        <v xml:space="preserve"> </v>
      </c>
      <c r="GH40" s="10" t="str">
        <f t="shared" si="194"/>
        <v xml:space="preserve"> </v>
      </c>
      <c r="GI40" s="10" t="str">
        <f t="shared" si="194"/>
        <v xml:space="preserve"> </v>
      </c>
      <c r="GJ40" s="10" t="str">
        <f t="shared" si="194"/>
        <v xml:space="preserve"> </v>
      </c>
      <c r="GM40" s="10" t="str">
        <f t="shared" ref="GM40:GQ52" si="195">IF(AND(GM$6&gt;=$F40,GM$6&lt;=$G40),"."," ")</f>
        <v xml:space="preserve"> </v>
      </c>
      <c r="GN40" s="10" t="str">
        <f t="shared" si="195"/>
        <v xml:space="preserve"> </v>
      </c>
      <c r="GO40" s="10" t="str">
        <f t="shared" si="195"/>
        <v xml:space="preserve"> </v>
      </c>
      <c r="GP40" s="10" t="str">
        <f t="shared" si="195"/>
        <v xml:space="preserve"> </v>
      </c>
      <c r="GQ40" s="10" t="str">
        <f t="shared" si="195"/>
        <v xml:space="preserve"> </v>
      </c>
      <c r="GT40" s="10" t="str">
        <f t="shared" ref="GT40:GX52" si="196">IF(AND(GT$6&gt;=$F40,GT$6&lt;=$G40),"."," ")</f>
        <v xml:space="preserve"> </v>
      </c>
      <c r="GU40" s="10" t="str">
        <f t="shared" si="196"/>
        <v xml:space="preserve"> </v>
      </c>
      <c r="GV40" s="10" t="str">
        <f t="shared" si="196"/>
        <v xml:space="preserve"> </v>
      </c>
      <c r="GW40" s="10" t="str">
        <f t="shared" si="196"/>
        <v xml:space="preserve"> </v>
      </c>
      <c r="GX40" s="10" t="str">
        <f t="shared" si="196"/>
        <v xml:space="preserve"> </v>
      </c>
      <c r="HA40" s="10" t="str">
        <f t="shared" ref="HA40:HE52" si="197">IF(AND(HA$6&gt;=$F40,HA$6&lt;=$G40),"."," ")</f>
        <v xml:space="preserve"> </v>
      </c>
      <c r="HB40" s="10" t="str">
        <f t="shared" si="197"/>
        <v xml:space="preserve"> </v>
      </c>
      <c r="HC40" s="10" t="str">
        <f t="shared" si="197"/>
        <v xml:space="preserve"> </v>
      </c>
      <c r="HD40" s="10" t="str">
        <f t="shared" si="197"/>
        <v xml:space="preserve"> </v>
      </c>
      <c r="HE40" s="10" t="str">
        <f t="shared" si="197"/>
        <v xml:space="preserve"> </v>
      </c>
      <c r="HH40" s="10" t="str">
        <f t="shared" ref="HH40:HL52" si="198">IF(AND(HH$6&gt;=$F40,HH$6&lt;=$G40),"."," ")</f>
        <v xml:space="preserve"> </v>
      </c>
      <c r="HI40" s="10" t="str">
        <f t="shared" si="198"/>
        <v xml:space="preserve"> </v>
      </c>
      <c r="HJ40" s="10" t="str">
        <f t="shared" si="198"/>
        <v xml:space="preserve"> </v>
      </c>
      <c r="HK40" s="10" t="str">
        <f t="shared" si="198"/>
        <v xml:space="preserve"> </v>
      </c>
      <c r="HL40" s="10" t="str">
        <f t="shared" si="198"/>
        <v xml:space="preserve"> </v>
      </c>
      <c r="HO40" s="10" t="str">
        <f t="shared" ref="HO40:HS52" si="199">IF(AND(HO$6&gt;=$F40,HO$6&lt;=$G40),"."," ")</f>
        <v xml:space="preserve"> </v>
      </c>
      <c r="HP40" s="10" t="str">
        <f t="shared" si="199"/>
        <v xml:space="preserve"> </v>
      </c>
      <c r="HQ40" s="10" t="str">
        <f t="shared" si="199"/>
        <v xml:space="preserve"> </v>
      </c>
      <c r="HR40" s="10" t="str">
        <f t="shared" si="199"/>
        <v xml:space="preserve"> </v>
      </c>
      <c r="HS40" s="10" t="str">
        <f t="shared" si="199"/>
        <v xml:space="preserve"> </v>
      </c>
      <c r="HV40" s="10" t="str">
        <f t="shared" ref="HV40:HZ52" si="200">IF(AND(HV$6&gt;=$F40,HV$6&lt;=$G40),"."," ")</f>
        <v xml:space="preserve"> </v>
      </c>
      <c r="HW40" s="10" t="str">
        <f t="shared" si="200"/>
        <v xml:space="preserve"> </v>
      </c>
      <c r="HX40" s="10" t="str">
        <f t="shared" si="200"/>
        <v xml:space="preserve"> </v>
      </c>
      <c r="HY40" s="10" t="str">
        <f t="shared" si="200"/>
        <v xml:space="preserve"> </v>
      </c>
      <c r="HZ40" s="10" t="str">
        <f t="shared" si="200"/>
        <v xml:space="preserve"> </v>
      </c>
      <c r="IC40" s="10" t="str">
        <f t="shared" ref="IC40:IG52" si="201">IF(AND(IC$6&gt;=$F40,IC$6&lt;=$G40),"."," ")</f>
        <v xml:space="preserve"> </v>
      </c>
      <c r="ID40" s="10" t="str">
        <f t="shared" si="201"/>
        <v xml:space="preserve"> </v>
      </c>
      <c r="IE40" s="10" t="str">
        <f t="shared" si="201"/>
        <v xml:space="preserve"> </v>
      </c>
      <c r="IF40" s="10" t="str">
        <f t="shared" si="201"/>
        <v xml:space="preserve"> </v>
      </c>
      <c r="IG40" s="10" t="str">
        <f t="shared" si="201"/>
        <v xml:space="preserve"> </v>
      </c>
      <c r="IJ40" s="10" t="str">
        <f t="shared" ref="IJ40:IN52" si="202">IF(AND(IJ$6&gt;=$F40,IJ$6&lt;=$G40),"."," ")</f>
        <v xml:space="preserve"> </v>
      </c>
      <c r="IK40" s="10" t="str">
        <f t="shared" si="202"/>
        <v xml:space="preserve"> </v>
      </c>
      <c r="IL40" s="10" t="str">
        <f t="shared" si="202"/>
        <v xml:space="preserve"> </v>
      </c>
      <c r="IM40" s="10" t="str">
        <f t="shared" si="202"/>
        <v xml:space="preserve"> </v>
      </c>
      <c r="IN40" s="10" t="str">
        <f t="shared" si="202"/>
        <v xml:space="preserve"> </v>
      </c>
      <c r="IQ40" s="10" t="str">
        <f t="shared" ref="IQ40:IU52" si="203">IF(AND(IQ$6&gt;=$F40,IQ$6&lt;=$G40),"."," ")</f>
        <v xml:space="preserve"> </v>
      </c>
      <c r="IR40" s="10" t="str">
        <f t="shared" si="203"/>
        <v xml:space="preserve"> </v>
      </c>
      <c r="IS40" s="10" t="str">
        <f t="shared" si="203"/>
        <v xml:space="preserve"> </v>
      </c>
      <c r="IT40" s="10" t="str">
        <f t="shared" si="203"/>
        <v xml:space="preserve"> </v>
      </c>
      <c r="IU40" s="10" t="str">
        <f t="shared" si="203"/>
        <v xml:space="preserve"> </v>
      </c>
      <c r="IX40" s="10" t="str">
        <f t="shared" ref="IX40:JB52" si="204">IF(AND(IX$6&gt;=$F40,IX$6&lt;=$G40),"."," ")</f>
        <v xml:space="preserve"> </v>
      </c>
      <c r="IY40" s="10" t="str">
        <f t="shared" si="204"/>
        <v xml:space="preserve"> </v>
      </c>
      <c r="IZ40" s="10" t="str">
        <f t="shared" si="204"/>
        <v xml:space="preserve"> </v>
      </c>
      <c r="JA40" s="10" t="str">
        <f t="shared" si="204"/>
        <v xml:space="preserve"> </v>
      </c>
      <c r="JB40" s="10" t="str">
        <f t="shared" si="204"/>
        <v xml:space="preserve"> </v>
      </c>
      <c r="JE40" s="10" t="str">
        <f t="shared" ref="JE40:JI52" si="205">IF(AND(JE$6&gt;=$F40,JE$6&lt;=$G40),"."," ")</f>
        <v xml:space="preserve"> </v>
      </c>
      <c r="JF40" s="10" t="str">
        <f t="shared" si="205"/>
        <v xml:space="preserve"> </v>
      </c>
      <c r="JG40" s="10" t="str">
        <f t="shared" si="205"/>
        <v xml:space="preserve"> </v>
      </c>
      <c r="JH40" s="10" t="str">
        <f t="shared" si="205"/>
        <v xml:space="preserve"> </v>
      </c>
      <c r="JI40" s="10" t="str">
        <f t="shared" si="205"/>
        <v xml:space="preserve"> </v>
      </c>
    </row>
    <row r="41" spans="1:269">
      <c r="A41" s="96"/>
      <c r="B41" s="10">
        <v>33</v>
      </c>
      <c r="C41" s="11" t="s">
        <v>59</v>
      </c>
      <c r="D41" s="11" t="s">
        <v>58</v>
      </c>
      <c r="E41" s="10">
        <v>31</v>
      </c>
      <c r="F41" s="12">
        <f t="shared" si="87"/>
        <v>42567</v>
      </c>
      <c r="G41" s="12">
        <f>WORKDAY(F41,H41-1,Config!D42:D61)</f>
        <v>42567</v>
      </c>
      <c r="H41" s="10">
        <v>1</v>
      </c>
      <c r="I41" s="13">
        <v>0</v>
      </c>
      <c r="J41" s="13">
        <f ca="1">IF(((NETWORKDAYS(F41,TODAY(),Data!C38:C57)*100)/H41)/100 &gt; 0,((NETWORKDAYS(F41,TODAY(),Data!C38:C57)*100)/H41)/100,0)</f>
        <v>1620</v>
      </c>
      <c r="K41" s="13" t="str">
        <f t="shared" ca="1" si="129"/>
        <v>100%</v>
      </c>
      <c r="L41" s="13">
        <f t="shared" ca="1" si="130"/>
        <v>1</v>
      </c>
      <c r="M41" s="10" t="str">
        <f t="shared" si="169"/>
        <v xml:space="preserve"> </v>
      </c>
      <c r="N41" s="10" t="str">
        <f t="shared" si="169"/>
        <v xml:space="preserve"> </v>
      </c>
      <c r="O41" s="10" t="str">
        <f t="shared" si="169"/>
        <v xml:space="preserve"> </v>
      </c>
      <c r="P41" s="10" t="str">
        <f t="shared" si="169"/>
        <v xml:space="preserve"> </v>
      </c>
      <c r="Q41" s="10" t="str">
        <f t="shared" si="169"/>
        <v xml:space="preserve"> </v>
      </c>
      <c r="R41" s="14"/>
      <c r="S41" s="14"/>
      <c r="T41" s="10" t="str">
        <f t="shared" si="170"/>
        <v xml:space="preserve"> </v>
      </c>
      <c r="U41" s="10" t="str">
        <f t="shared" si="170"/>
        <v xml:space="preserve"> </v>
      </c>
      <c r="V41" s="10" t="str">
        <f t="shared" si="170"/>
        <v xml:space="preserve"> </v>
      </c>
      <c r="W41" s="10" t="str">
        <f t="shared" si="170"/>
        <v xml:space="preserve"> </v>
      </c>
      <c r="X41" s="10" t="str">
        <f t="shared" si="170"/>
        <v xml:space="preserve"> </v>
      </c>
      <c r="Y41" s="14"/>
      <c r="Z41" s="14"/>
      <c r="AA41" s="10" t="str">
        <f t="shared" si="171"/>
        <v xml:space="preserve"> </v>
      </c>
      <c r="AB41" s="10" t="str">
        <f t="shared" si="171"/>
        <v xml:space="preserve"> </v>
      </c>
      <c r="AC41" s="10" t="str">
        <f t="shared" si="171"/>
        <v xml:space="preserve"> </v>
      </c>
      <c r="AD41" s="10" t="str">
        <f t="shared" si="171"/>
        <v xml:space="preserve"> </v>
      </c>
      <c r="AE41" s="10" t="str">
        <f t="shared" si="171"/>
        <v xml:space="preserve"> </v>
      </c>
      <c r="AF41" s="14"/>
      <c r="AG41" s="14"/>
      <c r="AH41" s="10" t="str">
        <f t="shared" si="172"/>
        <v xml:space="preserve"> </v>
      </c>
      <c r="AI41" s="10" t="str">
        <f t="shared" si="172"/>
        <v xml:space="preserve"> </v>
      </c>
      <c r="AJ41" s="10" t="str">
        <f t="shared" si="172"/>
        <v xml:space="preserve"> </v>
      </c>
      <c r="AK41" s="10" t="str">
        <f t="shared" si="172"/>
        <v xml:space="preserve"> </v>
      </c>
      <c r="AL41" s="10" t="str">
        <f t="shared" si="172"/>
        <v xml:space="preserve"> </v>
      </c>
      <c r="AM41" s="14"/>
      <c r="AN41" s="14"/>
      <c r="AO41" s="10" t="str">
        <f t="shared" si="173"/>
        <v xml:space="preserve"> </v>
      </c>
      <c r="AP41" s="10" t="str">
        <f t="shared" si="173"/>
        <v xml:space="preserve"> </v>
      </c>
      <c r="AQ41" s="10" t="str">
        <f t="shared" si="173"/>
        <v xml:space="preserve"> </v>
      </c>
      <c r="AR41" s="10" t="str">
        <f t="shared" si="173"/>
        <v xml:space="preserve"> </v>
      </c>
      <c r="AS41" s="10" t="str">
        <f t="shared" si="173"/>
        <v xml:space="preserve"> </v>
      </c>
      <c r="AT41" s="14"/>
      <c r="AU41" s="14"/>
      <c r="AV41" s="10" t="str">
        <f t="shared" si="174"/>
        <v xml:space="preserve"> </v>
      </c>
      <c r="AW41" s="10" t="str">
        <f t="shared" si="174"/>
        <v xml:space="preserve"> </v>
      </c>
      <c r="AX41" s="10" t="str">
        <f t="shared" si="174"/>
        <v xml:space="preserve"> </v>
      </c>
      <c r="AY41" s="10" t="str">
        <f t="shared" si="174"/>
        <v xml:space="preserve"> </v>
      </c>
      <c r="AZ41" s="10" t="str">
        <f t="shared" si="174"/>
        <v xml:space="preserve"> </v>
      </c>
      <c r="BA41" s="14"/>
      <c r="BB41" s="14"/>
      <c r="BC41" s="10" t="str">
        <f t="shared" si="175"/>
        <v xml:space="preserve"> </v>
      </c>
      <c r="BD41" s="10" t="str">
        <f t="shared" si="175"/>
        <v xml:space="preserve"> </v>
      </c>
      <c r="BE41" s="10" t="str">
        <f t="shared" si="175"/>
        <v xml:space="preserve"> </v>
      </c>
      <c r="BF41" s="10" t="str">
        <f t="shared" si="175"/>
        <v xml:space="preserve"> </v>
      </c>
      <c r="BG41" s="10" t="str">
        <f t="shared" si="175"/>
        <v xml:space="preserve"> </v>
      </c>
      <c r="BH41" s="14"/>
      <c r="BI41" s="14"/>
      <c r="BJ41" s="10" t="str">
        <f t="shared" si="176"/>
        <v xml:space="preserve"> </v>
      </c>
      <c r="BK41" s="10" t="str">
        <f t="shared" si="176"/>
        <v xml:space="preserve"> </v>
      </c>
      <c r="BL41" s="10" t="str">
        <f t="shared" si="176"/>
        <v xml:space="preserve"> </v>
      </c>
      <c r="BM41" s="10" t="str">
        <f t="shared" si="176"/>
        <v xml:space="preserve"> </v>
      </c>
      <c r="BN41" s="10" t="str">
        <f t="shared" si="176"/>
        <v xml:space="preserve"> </v>
      </c>
      <c r="BO41" s="14"/>
      <c r="BP41" s="14"/>
      <c r="BQ41" s="10" t="str">
        <f t="shared" si="177"/>
        <v xml:space="preserve"> </v>
      </c>
      <c r="BR41" s="10" t="str">
        <f t="shared" si="177"/>
        <v xml:space="preserve"> </v>
      </c>
      <c r="BS41" s="10" t="str">
        <f t="shared" si="177"/>
        <v xml:space="preserve"> </v>
      </c>
      <c r="BT41" s="10" t="str">
        <f t="shared" si="177"/>
        <v xml:space="preserve"> </v>
      </c>
      <c r="BU41" s="10" t="str">
        <f t="shared" si="177"/>
        <v xml:space="preserve"> </v>
      </c>
      <c r="BV41" s="14"/>
      <c r="BW41" s="14"/>
      <c r="BX41" s="10" t="str">
        <f t="shared" si="178"/>
        <v xml:space="preserve"> </v>
      </c>
      <c r="BY41" s="10" t="str">
        <f t="shared" si="178"/>
        <v xml:space="preserve"> </v>
      </c>
      <c r="BZ41" s="10" t="str">
        <f t="shared" si="178"/>
        <v xml:space="preserve"> </v>
      </c>
      <c r="CA41" s="10" t="str">
        <f t="shared" si="178"/>
        <v xml:space="preserve"> </v>
      </c>
      <c r="CB41" s="10" t="str">
        <f t="shared" si="178"/>
        <v xml:space="preserve"> </v>
      </c>
      <c r="CC41" s="14"/>
      <c r="CD41" s="14"/>
      <c r="CE41" s="10" t="str">
        <f t="shared" si="179"/>
        <v xml:space="preserve"> </v>
      </c>
      <c r="CF41" s="10" t="str">
        <f t="shared" si="179"/>
        <v xml:space="preserve"> </v>
      </c>
      <c r="CG41" s="10" t="str">
        <f t="shared" si="179"/>
        <v>.</v>
      </c>
      <c r="CH41" s="10" t="str">
        <f t="shared" si="179"/>
        <v xml:space="preserve"> </v>
      </c>
      <c r="CI41" s="10" t="str">
        <f t="shared" si="179"/>
        <v xml:space="preserve"> </v>
      </c>
      <c r="CJ41" s="14"/>
      <c r="CK41" s="14"/>
      <c r="CL41" s="10" t="str">
        <f t="shared" si="180"/>
        <v xml:space="preserve"> </v>
      </c>
      <c r="CM41" s="10" t="str">
        <f t="shared" si="180"/>
        <v xml:space="preserve"> </v>
      </c>
      <c r="CN41" s="10" t="str">
        <f t="shared" si="180"/>
        <v xml:space="preserve"> </v>
      </c>
      <c r="CO41" s="10" t="str">
        <f t="shared" si="180"/>
        <v xml:space="preserve"> </v>
      </c>
      <c r="CP41" s="10" t="str">
        <f t="shared" si="180"/>
        <v xml:space="preserve"> </v>
      </c>
      <c r="CQ41" s="14"/>
      <c r="CR41" s="14"/>
      <c r="CS41" s="10" t="str">
        <f t="shared" si="181"/>
        <v xml:space="preserve"> </v>
      </c>
      <c r="CT41" s="10" t="str">
        <f t="shared" si="181"/>
        <v xml:space="preserve"> </v>
      </c>
      <c r="CU41" s="10" t="str">
        <f t="shared" si="181"/>
        <v xml:space="preserve"> </v>
      </c>
      <c r="CV41" s="10" t="str">
        <f t="shared" si="181"/>
        <v xml:space="preserve"> </v>
      </c>
      <c r="CW41" s="10" t="str">
        <f t="shared" si="181"/>
        <v xml:space="preserve"> </v>
      </c>
      <c r="CZ41" s="10" t="str">
        <f t="shared" si="182"/>
        <v xml:space="preserve"> </v>
      </c>
      <c r="DA41" s="10" t="str">
        <f t="shared" si="182"/>
        <v xml:space="preserve"> </v>
      </c>
      <c r="DB41" s="10" t="str">
        <f t="shared" si="182"/>
        <v xml:space="preserve"> </v>
      </c>
      <c r="DC41" s="10" t="str">
        <f t="shared" si="182"/>
        <v xml:space="preserve"> </v>
      </c>
      <c r="DD41" s="10" t="str">
        <f t="shared" si="182"/>
        <v xml:space="preserve"> </v>
      </c>
      <c r="DG41" s="10" t="str">
        <f t="shared" si="183"/>
        <v xml:space="preserve"> </v>
      </c>
      <c r="DH41" s="10" t="str">
        <f t="shared" si="183"/>
        <v xml:space="preserve"> </v>
      </c>
      <c r="DI41" s="10" t="str">
        <f t="shared" si="183"/>
        <v xml:space="preserve"> </v>
      </c>
      <c r="DJ41" s="10" t="str">
        <f t="shared" si="183"/>
        <v xml:space="preserve"> </v>
      </c>
      <c r="DK41" s="10" t="str">
        <f t="shared" si="183"/>
        <v xml:space="preserve"> </v>
      </c>
      <c r="DN41" s="10" t="str">
        <f t="shared" si="184"/>
        <v xml:space="preserve"> </v>
      </c>
      <c r="DO41" s="10" t="str">
        <f t="shared" si="184"/>
        <v xml:space="preserve"> </v>
      </c>
      <c r="DP41" s="10" t="str">
        <f t="shared" si="184"/>
        <v xml:space="preserve"> </v>
      </c>
      <c r="DQ41" s="10" t="str">
        <f t="shared" si="184"/>
        <v xml:space="preserve"> </v>
      </c>
      <c r="DR41" s="10" t="str">
        <f t="shared" si="184"/>
        <v xml:space="preserve"> </v>
      </c>
      <c r="DU41" s="10" t="str">
        <f t="shared" si="185"/>
        <v xml:space="preserve"> </v>
      </c>
      <c r="DV41" s="10" t="str">
        <f t="shared" si="185"/>
        <v xml:space="preserve"> </v>
      </c>
      <c r="DW41" s="10" t="str">
        <f t="shared" si="185"/>
        <v xml:space="preserve"> </v>
      </c>
      <c r="DX41" s="10" t="str">
        <f t="shared" si="185"/>
        <v xml:space="preserve"> </v>
      </c>
      <c r="DY41" s="10" t="str">
        <f t="shared" si="185"/>
        <v xml:space="preserve"> </v>
      </c>
      <c r="EB41" s="10" t="str">
        <f t="shared" si="186"/>
        <v xml:space="preserve"> </v>
      </c>
      <c r="EC41" s="10" t="str">
        <f t="shared" si="186"/>
        <v xml:space="preserve"> </v>
      </c>
      <c r="ED41" s="10" t="str">
        <f t="shared" si="186"/>
        <v xml:space="preserve"> </v>
      </c>
      <c r="EE41" s="10" t="str">
        <f t="shared" si="186"/>
        <v xml:space="preserve"> </v>
      </c>
      <c r="EF41" s="10" t="str">
        <f t="shared" si="186"/>
        <v xml:space="preserve"> </v>
      </c>
      <c r="EI41" s="10" t="str">
        <f t="shared" si="187"/>
        <v xml:space="preserve"> </v>
      </c>
      <c r="EJ41" s="10" t="str">
        <f t="shared" si="187"/>
        <v xml:space="preserve"> </v>
      </c>
      <c r="EK41" s="10" t="str">
        <f t="shared" si="187"/>
        <v xml:space="preserve"> </v>
      </c>
      <c r="EL41" s="10" t="str">
        <f t="shared" si="187"/>
        <v xml:space="preserve"> </v>
      </c>
      <c r="EM41" s="10" t="str">
        <f t="shared" si="187"/>
        <v xml:space="preserve"> </v>
      </c>
      <c r="EP41" s="10" t="str">
        <f t="shared" si="188"/>
        <v xml:space="preserve"> </v>
      </c>
      <c r="EQ41" s="10" t="str">
        <f t="shared" si="188"/>
        <v xml:space="preserve"> </v>
      </c>
      <c r="ER41" s="10" t="str">
        <f t="shared" si="188"/>
        <v xml:space="preserve"> </v>
      </c>
      <c r="ES41" s="10" t="str">
        <f t="shared" si="188"/>
        <v xml:space="preserve"> </v>
      </c>
      <c r="ET41" s="10" t="str">
        <f t="shared" si="188"/>
        <v xml:space="preserve"> </v>
      </c>
      <c r="EW41" s="10" t="str">
        <f t="shared" si="189"/>
        <v xml:space="preserve"> </v>
      </c>
      <c r="EX41" s="10" t="str">
        <f t="shared" si="189"/>
        <v xml:space="preserve"> </v>
      </c>
      <c r="EY41" s="10" t="str">
        <f t="shared" si="189"/>
        <v xml:space="preserve"> </v>
      </c>
      <c r="EZ41" s="10" t="str">
        <f t="shared" si="189"/>
        <v xml:space="preserve"> </v>
      </c>
      <c r="FA41" s="10" t="str">
        <f t="shared" si="189"/>
        <v xml:space="preserve"> </v>
      </c>
      <c r="FD41" s="10" t="str">
        <f t="shared" si="190"/>
        <v xml:space="preserve"> </v>
      </c>
      <c r="FE41" s="10" t="str">
        <f t="shared" si="190"/>
        <v xml:space="preserve"> </v>
      </c>
      <c r="FF41" s="10" t="str">
        <f t="shared" si="190"/>
        <v xml:space="preserve"> </v>
      </c>
      <c r="FG41" s="10" t="str">
        <f t="shared" si="190"/>
        <v xml:space="preserve"> </v>
      </c>
      <c r="FH41" s="10" t="str">
        <f t="shared" si="190"/>
        <v xml:space="preserve"> </v>
      </c>
      <c r="FK41" s="10" t="str">
        <f t="shared" si="191"/>
        <v xml:space="preserve"> </v>
      </c>
      <c r="FL41" s="10" t="str">
        <f t="shared" si="191"/>
        <v xml:space="preserve"> </v>
      </c>
      <c r="FM41" s="10" t="str">
        <f t="shared" si="191"/>
        <v xml:space="preserve"> </v>
      </c>
      <c r="FN41" s="10" t="str">
        <f t="shared" si="191"/>
        <v xml:space="preserve"> </v>
      </c>
      <c r="FO41" s="10" t="str">
        <f t="shared" si="191"/>
        <v xml:space="preserve"> </v>
      </c>
      <c r="FR41" s="10" t="str">
        <f t="shared" si="192"/>
        <v xml:space="preserve"> </v>
      </c>
      <c r="FS41" s="10" t="str">
        <f t="shared" si="192"/>
        <v xml:space="preserve"> </v>
      </c>
      <c r="FT41" s="10" t="str">
        <f t="shared" si="192"/>
        <v xml:space="preserve"> </v>
      </c>
      <c r="FU41" s="10" t="str">
        <f t="shared" si="192"/>
        <v xml:space="preserve"> </v>
      </c>
      <c r="FV41" s="10" t="str">
        <f t="shared" si="192"/>
        <v xml:space="preserve"> </v>
      </c>
      <c r="FY41" s="10" t="str">
        <f t="shared" si="193"/>
        <v xml:space="preserve"> </v>
      </c>
      <c r="FZ41" s="10" t="str">
        <f t="shared" si="193"/>
        <v xml:space="preserve"> </v>
      </c>
      <c r="GA41" s="10" t="str">
        <f t="shared" si="193"/>
        <v xml:space="preserve"> </v>
      </c>
      <c r="GB41" s="10" t="str">
        <f t="shared" si="193"/>
        <v xml:space="preserve"> </v>
      </c>
      <c r="GC41" s="10" t="str">
        <f t="shared" si="193"/>
        <v xml:space="preserve"> </v>
      </c>
      <c r="GF41" s="10" t="str">
        <f t="shared" si="194"/>
        <v xml:space="preserve"> </v>
      </c>
      <c r="GG41" s="10" t="str">
        <f t="shared" si="194"/>
        <v xml:space="preserve"> </v>
      </c>
      <c r="GH41" s="10" t="str">
        <f t="shared" si="194"/>
        <v xml:space="preserve"> </v>
      </c>
      <c r="GI41" s="10" t="str">
        <f t="shared" si="194"/>
        <v xml:space="preserve"> </v>
      </c>
      <c r="GJ41" s="10" t="str">
        <f t="shared" si="194"/>
        <v xml:space="preserve"> </v>
      </c>
      <c r="GM41" s="10" t="str">
        <f t="shared" si="195"/>
        <v xml:space="preserve"> </v>
      </c>
      <c r="GN41" s="10" t="str">
        <f t="shared" si="195"/>
        <v xml:space="preserve"> </v>
      </c>
      <c r="GO41" s="10" t="str">
        <f t="shared" si="195"/>
        <v xml:space="preserve"> </v>
      </c>
      <c r="GP41" s="10" t="str">
        <f t="shared" si="195"/>
        <v xml:space="preserve"> </v>
      </c>
      <c r="GQ41" s="10" t="str">
        <f t="shared" si="195"/>
        <v xml:space="preserve"> </v>
      </c>
      <c r="GT41" s="10" t="str">
        <f t="shared" si="196"/>
        <v xml:space="preserve"> </v>
      </c>
      <c r="GU41" s="10" t="str">
        <f t="shared" si="196"/>
        <v xml:space="preserve"> </v>
      </c>
      <c r="GV41" s="10" t="str">
        <f t="shared" si="196"/>
        <v xml:space="preserve"> </v>
      </c>
      <c r="GW41" s="10" t="str">
        <f t="shared" si="196"/>
        <v xml:space="preserve"> </v>
      </c>
      <c r="GX41" s="10" t="str">
        <f t="shared" si="196"/>
        <v xml:space="preserve"> </v>
      </c>
      <c r="HA41" s="10" t="str">
        <f t="shared" si="197"/>
        <v xml:space="preserve"> </v>
      </c>
      <c r="HB41" s="10" t="str">
        <f t="shared" si="197"/>
        <v xml:space="preserve"> </v>
      </c>
      <c r="HC41" s="10" t="str">
        <f t="shared" si="197"/>
        <v xml:space="preserve"> </v>
      </c>
      <c r="HD41" s="10" t="str">
        <f t="shared" si="197"/>
        <v xml:space="preserve"> </v>
      </c>
      <c r="HE41" s="10" t="str">
        <f t="shared" si="197"/>
        <v xml:space="preserve"> </v>
      </c>
      <c r="HH41" s="10" t="str">
        <f t="shared" si="198"/>
        <v xml:space="preserve"> </v>
      </c>
      <c r="HI41" s="10" t="str">
        <f t="shared" si="198"/>
        <v xml:space="preserve"> </v>
      </c>
      <c r="HJ41" s="10" t="str">
        <f t="shared" si="198"/>
        <v xml:space="preserve"> </v>
      </c>
      <c r="HK41" s="10" t="str">
        <f t="shared" si="198"/>
        <v xml:space="preserve"> </v>
      </c>
      <c r="HL41" s="10" t="str">
        <f t="shared" si="198"/>
        <v xml:space="preserve"> </v>
      </c>
      <c r="HO41" s="10" t="str">
        <f t="shared" si="199"/>
        <v xml:space="preserve"> </v>
      </c>
      <c r="HP41" s="10" t="str">
        <f t="shared" si="199"/>
        <v xml:space="preserve"> </v>
      </c>
      <c r="HQ41" s="10" t="str">
        <f t="shared" si="199"/>
        <v xml:space="preserve"> </v>
      </c>
      <c r="HR41" s="10" t="str">
        <f t="shared" si="199"/>
        <v xml:space="preserve"> </v>
      </c>
      <c r="HS41" s="10" t="str">
        <f t="shared" si="199"/>
        <v xml:space="preserve"> </v>
      </c>
      <c r="HV41" s="10" t="str">
        <f t="shared" si="200"/>
        <v xml:space="preserve"> </v>
      </c>
      <c r="HW41" s="10" t="str">
        <f t="shared" si="200"/>
        <v xml:space="preserve"> </v>
      </c>
      <c r="HX41" s="10" t="str">
        <f t="shared" si="200"/>
        <v xml:space="preserve"> </v>
      </c>
      <c r="HY41" s="10" t="str">
        <f t="shared" si="200"/>
        <v xml:space="preserve"> </v>
      </c>
      <c r="HZ41" s="10" t="str">
        <f t="shared" si="200"/>
        <v xml:space="preserve"> </v>
      </c>
      <c r="IC41" s="10" t="str">
        <f t="shared" si="201"/>
        <v xml:space="preserve"> </v>
      </c>
      <c r="ID41" s="10" t="str">
        <f t="shared" si="201"/>
        <v xml:space="preserve"> </v>
      </c>
      <c r="IE41" s="10" t="str">
        <f t="shared" si="201"/>
        <v xml:space="preserve"> </v>
      </c>
      <c r="IF41" s="10" t="str">
        <f t="shared" si="201"/>
        <v xml:space="preserve"> </v>
      </c>
      <c r="IG41" s="10" t="str">
        <f t="shared" si="201"/>
        <v xml:space="preserve"> </v>
      </c>
      <c r="IJ41" s="10" t="str">
        <f t="shared" si="202"/>
        <v xml:space="preserve"> </v>
      </c>
      <c r="IK41" s="10" t="str">
        <f t="shared" si="202"/>
        <v xml:space="preserve"> </v>
      </c>
      <c r="IL41" s="10" t="str">
        <f t="shared" si="202"/>
        <v xml:space="preserve"> </v>
      </c>
      <c r="IM41" s="10" t="str">
        <f t="shared" si="202"/>
        <v xml:space="preserve"> </v>
      </c>
      <c r="IN41" s="10" t="str">
        <f t="shared" si="202"/>
        <v xml:space="preserve"> </v>
      </c>
      <c r="IQ41" s="10" t="str">
        <f t="shared" si="203"/>
        <v xml:space="preserve"> </v>
      </c>
      <c r="IR41" s="10" t="str">
        <f t="shared" si="203"/>
        <v xml:space="preserve"> </v>
      </c>
      <c r="IS41" s="10" t="str">
        <f t="shared" si="203"/>
        <v xml:space="preserve"> </v>
      </c>
      <c r="IT41" s="10" t="str">
        <f t="shared" si="203"/>
        <v xml:space="preserve"> </v>
      </c>
      <c r="IU41" s="10" t="str">
        <f t="shared" si="203"/>
        <v xml:space="preserve"> </v>
      </c>
      <c r="IX41" s="10" t="str">
        <f t="shared" si="204"/>
        <v xml:space="preserve"> </v>
      </c>
      <c r="IY41" s="10" t="str">
        <f t="shared" si="204"/>
        <v xml:space="preserve"> </v>
      </c>
      <c r="IZ41" s="10" t="str">
        <f t="shared" si="204"/>
        <v xml:space="preserve"> </v>
      </c>
      <c r="JA41" s="10" t="str">
        <f t="shared" si="204"/>
        <v xml:space="preserve"> </v>
      </c>
      <c r="JB41" s="10" t="str">
        <f t="shared" si="204"/>
        <v xml:space="preserve"> </v>
      </c>
      <c r="JE41" s="10" t="str">
        <f t="shared" si="205"/>
        <v xml:space="preserve"> </v>
      </c>
      <c r="JF41" s="10" t="str">
        <f t="shared" si="205"/>
        <v xml:space="preserve"> </v>
      </c>
      <c r="JG41" s="10" t="str">
        <f t="shared" si="205"/>
        <v xml:space="preserve"> </v>
      </c>
      <c r="JH41" s="10" t="str">
        <f t="shared" si="205"/>
        <v xml:space="preserve"> </v>
      </c>
      <c r="JI41" s="10" t="str">
        <f t="shared" si="205"/>
        <v xml:space="preserve"> </v>
      </c>
    </row>
    <row r="42" spans="1:269">
      <c r="A42" s="96"/>
      <c r="B42" s="10">
        <v>34</v>
      </c>
      <c r="C42" s="11" t="s">
        <v>60</v>
      </c>
      <c r="D42" s="11" t="s">
        <v>58</v>
      </c>
      <c r="E42" s="10">
        <v>32</v>
      </c>
      <c r="F42" s="12">
        <f t="shared" si="87"/>
        <v>42540</v>
      </c>
      <c r="G42" s="12">
        <f>WORKDAY(F42,H42-1,Config!D43:D62)</f>
        <v>42541</v>
      </c>
      <c r="H42" s="10">
        <v>2</v>
      </c>
      <c r="I42" s="13">
        <v>0</v>
      </c>
      <c r="J42" s="13">
        <f ca="1">IF(((NETWORKDAYS(F42,TODAY(),Data!C39:C58)*100)/H42)/100 &gt; 0,((NETWORKDAYS(F42,TODAY(),Data!C39:C58)*100)/H42)/100,0)</f>
        <v>820</v>
      </c>
      <c r="K42" s="13" t="str">
        <f t="shared" ca="1" si="129"/>
        <v>100%</v>
      </c>
      <c r="L42" s="13">
        <f t="shared" ca="1" si="130"/>
        <v>1</v>
      </c>
      <c r="M42" s="10" t="str">
        <f t="shared" si="169"/>
        <v xml:space="preserve"> </v>
      </c>
      <c r="N42" s="10" t="str">
        <f t="shared" si="169"/>
        <v xml:space="preserve"> </v>
      </c>
      <c r="O42" s="10" t="str">
        <f t="shared" si="169"/>
        <v xml:space="preserve"> </v>
      </c>
      <c r="P42" s="10" t="str">
        <f t="shared" si="169"/>
        <v xml:space="preserve"> </v>
      </c>
      <c r="Q42" s="10" t="str">
        <f t="shared" si="169"/>
        <v xml:space="preserve"> </v>
      </c>
      <c r="R42" s="14"/>
      <c r="S42" s="14"/>
      <c r="T42" s="10" t="str">
        <f t="shared" si="170"/>
        <v xml:space="preserve"> </v>
      </c>
      <c r="U42" s="10" t="str">
        <f t="shared" si="170"/>
        <v xml:space="preserve"> </v>
      </c>
      <c r="V42" s="10" t="str">
        <f t="shared" si="170"/>
        <v xml:space="preserve"> </v>
      </c>
      <c r="W42" s="10" t="str">
        <f t="shared" si="170"/>
        <v xml:space="preserve"> </v>
      </c>
      <c r="X42" s="10" t="str">
        <f t="shared" si="170"/>
        <v xml:space="preserve"> </v>
      </c>
      <c r="Y42" s="14"/>
      <c r="Z42" s="14"/>
      <c r="AA42" s="10" t="str">
        <f t="shared" si="171"/>
        <v xml:space="preserve"> </v>
      </c>
      <c r="AB42" s="10" t="str">
        <f t="shared" si="171"/>
        <v xml:space="preserve"> </v>
      </c>
      <c r="AC42" s="10" t="str">
        <f t="shared" si="171"/>
        <v xml:space="preserve"> </v>
      </c>
      <c r="AD42" s="10" t="str">
        <f t="shared" si="171"/>
        <v xml:space="preserve"> </v>
      </c>
      <c r="AE42" s="10" t="str">
        <f t="shared" si="171"/>
        <v xml:space="preserve"> </v>
      </c>
      <c r="AF42" s="14"/>
      <c r="AG42" s="14"/>
      <c r="AH42" s="10" t="str">
        <f t="shared" si="172"/>
        <v xml:space="preserve"> </v>
      </c>
      <c r="AI42" s="10" t="str">
        <f t="shared" si="172"/>
        <v xml:space="preserve"> </v>
      </c>
      <c r="AJ42" s="10" t="str">
        <f t="shared" si="172"/>
        <v xml:space="preserve"> </v>
      </c>
      <c r="AK42" s="10" t="str">
        <f t="shared" si="172"/>
        <v xml:space="preserve"> </v>
      </c>
      <c r="AL42" s="10" t="str">
        <f t="shared" si="172"/>
        <v xml:space="preserve"> </v>
      </c>
      <c r="AM42" s="14"/>
      <c r="AN42" s="14"/>
      <c r="AO42" s="10" t="str">
        <f t="shared" si="173"/>
        <v xml:space="preserve"> </v>
      </c>
      <c r="AP42" s="10" t="str">
        <f t="shared" si="173"/>
        <v xml:space="preserve"> </v>
      </c>
      <c r="AQ42" s="10" t="str">
        <f t="shared" si="173"/>
        <v xml:space="preserve"> </v>
      </c>
      <c r="AR42" s="10" t="str">
        <f t="shared" si="173"/>
        <v xml:space="preserve"> </v>
      </c>
      <c r="AS42" s="10" t="str">
        <f t="shared" si="173"/>
        <v xml:space="preserve"> </v>
      </c>
      <c r="AT42" s="14"/>
      <c r="AU42" s="14"/>
      <c r="AV42" s="10" t="str">
        <f t="shared" si="174"/>
        <v xml:space="preserve"> </v>
      </c>
      <c r="AW42" s="10" t="str">
        <f t="shared" si="174"/>
        <v xml:space="preserve"> </v>
      </c>
      <c r="AX42" s="10" t="str">
        <f t="shared" si="174"/>
        <v xml:space="preserve"> </v>
      </c>
      <c r="AY42" s="10" t="str">
        <f t="shared" si="174"/>
        <v xml:space="preserve"> </v>
      </c>
      <c r="AZ42" s="10" t="str">
        <f t="shared" si="174"/>
        <v xml:space="preserve"> </v>
      </c>
      <c r="BA42" s="14"/>
      <c r="BB42" s="14"/>
      <c r="BC42" s="10" t="str">
        <f t="shared" si="175"/>
        <v xml:space="preserve"> </v>
      </c>
      <c r="BD42" s="10" t="str">
        <f t="shared" si="175"/>
        <v xml:space="preserve"> </v>
      </c>
      <c r="BE42" s="10" t="str">
        <f t="shared" si="175"/>
        <v xml:space="preserve"> </v>
      </c>
      <c r="BF42" s="10" t="str">
        <f t="shared" si="175"/>
        <v>.</v>
      </c>
      <c r="BG42" s="10" t="str">
        <f t="shared" si="175"/>
        <v>.</v>
      </c>
      <c r="BH42" s="14"/>
      <c r="BI42" s="14"/>
      <c r="BJ42" s="10" t="str">
        <f t="shared" si="176"/>
        <v xml:space="preserve"> </v>
      </c>
      <c r="BK42" s="10" t="str">
        <f t="shared" si="176"/>
        <v xml:space="preserve"> </v>
      </c>
      <c r="BL42" s="10" t="str">
        <f t="shared" si="176"/>
        <v xml:space="preserve"> </v>
      </c>
      <c r="BM42" s="10" t="str">
        <f t="shared" si="176"/>
        <v xml:space="preserve"> </v>
      </c>
      <c r="BN42" s="10" t="str">
        <f t="shared" si="176"/>
        <v xml:space="preserve"> </v>
      </c>
      <c r="BO42" s="14"/>
      <c r="BP42" s="14"/>
      <c r="BQ42" s="10" t="str">
        <f t="shared" si="177"/>
        <v xml:space="preserve"> </v>
      </c>
      <c r="BR42" s="10" t="str">
        <f t="shared" si="177"/>
        <v xml:space="preserve"> </v>
      </c>
      <c r="BS42" s="10" t="str">
        <f t="shared" si="177"/>
        <v xml:space="preserve"> </v>
      </c>
      <c r="BT42" s="10" t="str">
        <f t="shared" si="177"/>
        <v xml:space="preserve"> </v>
      </c>
      <c r="BU42" s="10" t="str">
        <f t="shared" si="177"/>
        <v xml:space="preserve"> </v>
      </c>
      <c r="BV42" s="14"/>
      <c r="BW42" s="14"/>
      <c r="BX42" s="10" t="str">
        <f t="shared" si="178"/>
        <v xml:space="preserve"> </v>
      </c>
      <c r="BY42" s="10" t="str">
        <f t="shared" si="178"/>
        <v xml:space="preserve"> </v>
      </c>
      <c r="BZ42" s="10" t="str">
        <f t="shared" si="178"/>
        <v xml:space="preserve"> </v>
      </c>
      <c r="CA42" s="10" t="str">
        <f t="shared" si="178"/>
        <v xml:space="preserve"> </v>
      </c>
      <c r="CB42" s="10" t="str">
        <f t="shared" si="178"/>
        <v xml:space="preserve"> </v>
      </c>
      <c r="CC42" s="14"/>
      <c r="CD42" s="14"/>
      <c r="CE42" s="10" t="str">
        <f t="shared" si="179"/>
        <v xml:space="preserve"> </v>
      </c>
      <c r="CF42" s="10" t="str">
        <f t="shared" si="179"/>
        <v xml:space="preserve"> </v>
      </c>
      <c r="CG42" s="10" t="str">
        <f t="shared" si="179"/>
        <v xml:space="preserve"> </v>
      </c>
      <c r="CH42" s="10" t="str">
        <f t="shared" si="179"/>
        <v xml:space="preserve"> </v>
      </c>
      <c r="CI42" s="10" t="str">
        <f t="shared" si="179"/>
        <v xml:space="preserve"> </v>
      </c>
      <c r="CJ42" s="14"/>
      <c r="CK42" s="14"/>
      <c r="CL42" s="10" t="str">
        <f t="shared" si="180"/>
        <v xml:space="preserve"> </v>
      </c>
      <c r="CM42" s="10" t="str">
        <f t="shared" si="180"/>
        <v xml:space="preserve"> </v>
      </c>
      <c r="CN42" s="10" t="str">
        <f t="shared" si="180"/>
        <v xml:space="preserve"> </v>
      </c>
      <c r="CO42" s="10" t="str">
        <f t="shared" si="180"/>
        <v xml:space="preserve"> </v>
      </c>
      <c r="CP42" s="10" t="str">
        <f t="shared" si="180"/>
        <v xml:space="preserve"> </v>
      </c>
      <c r="CQ42" s="14"/>
      <c r="CR42" s="14"/>
      <c r="CS42" s="10" t="str">
        <f t="shared" si="181"/>
        <v xml:space="preserve"> </v>
      </c>
      <c r="CT42" s="10" t="str">
        <f t="shared" si="181"/>
        <v xml:space="preserve"> </v>
      </c>
      <c r="CU42" s="10" t="str">
        <f t="shared" si="181"/>
        <v xml:space="preserve"> </v>
      </c>
      <c r="CV42" s="10" t="str">
        <f t="shared" si="181"/>
        <v xml:space="preserve"> </v>
      </c>
      <c r="CW42" s="10" t="str">
        <f t="shared" si="181"/>
        <v xml:space="preserve"> </v>
      </c>
      <c r="CZ42" s="10" t="str">
        <f t="shared" si="182"/>
        <v xml:space="preserve"> </v>
      </c>
      <c r="DA42" s="10" t="str">
        <f t="shared" si="182"/>
        <v xml:space="preserve"> </v>
      </c>
      <c r="DB42" s="10" t="str">
        <f t="shared" si="182"/>
        <v xml:space="preserve"> </v>
      </c>
      <c r="DC42" s="10" t="str">
        <f t="shared" si="182"/>
        <v xml:space="preserve"> </v>
      </c>
      <c r="DD42" s="10" t="str">
        <f t="shared" si="182"/>
        <v xml:space="preserve"> </v>
      </c>
      <c r="DG42" s="10" t="str">
        <f t="shared" si="183"/>
        <v xml:space="preserve"> </v>
      </c>
      <c r="DH42" s="10" t="str">
        <f t="shared" si="183"/>
        <v xml:space="preserve"> </v>
      </c>
      <c r="DI42" s="10" t="str">
        <f t="shared" si="183"/>
        <v xml:space="preserve"> </v>
      </c>
      <c r="DJ42" s="10" t="str">
        <f t="shared" si="183"/>
        <v xml:space="preserve"> </v>
      </c>
      <c r="DK42" s="10" t="str">
        <f t="shared" si="183"/>
        <v xml:space="preserve"> </v>
      </c>
      <c r="DN42" s="10" t="str">
        <f t="shared" si="184"/>
        <v xml:space="preserve"> </v>
      </c>
      <c r="DO42" s="10" t="str">
        <f t="shared" si="184"/>
        <v xml:space="preserve"> </v>
      </c>
      <c r="DP42" s="10" t="str">
        <f t="shared" si="184"/>
        <v xml:space="preserve"> </v>
      </c>
      <c r="DQ42" s="10" t="str">
        <f t="shared" si="184"/>
        <v xml:space="preserve"> </v>
      </c>
      <c r="DR42" s="10" t="str">
        <f t="shared" si="184"/>
        <v xml:space="preserve"> </v>
      </c>
      <c r="DU42" s="10" t="str">
        <f t="shared" si="185"/>
        <v xml:space="preserve"> </v>
      </c>
      <c r="DV42" s="10" t="str">
        <f t="shared" si="185"/>
        <v xml:space="preserve"> </v>
      </c>
      <c r="DW42" s="10" t="str">
        <f t="shared" si="185"/>
        <v xml:space="preserve"> </v>
      </c>
      <c r="DX42" s="10" t="str">
        <f t="shared" si="185"/>
        <v xml:space="preserve"> </v>
      </c>
      <c r="DY42" s="10" t="str">
        <f t="shared" si="185"/>
        <v xml:space="preserve"> </v>
      </c>
      <c r="EB42" s="10" t="str">
        <f t="shared" si="186"/>
        <v xml:space="preserve"> </v>
      </c>
      <c r="EC42" s="10" t="str">
        <f t="shared" si="186"/>
        <v xml:space="preserve"> </v>
      </c>
      <c r="ED42" s="10" t="str">
        <f t="shared" si="186"/>
        <v xml:space="preserve"> </v>
      </c>
      <c r="EE42" s="10" t="str">
        <f t="shared" si="186"/>
        <v xml:space="preserve"> </v>
      </c>
      <c r="EF42" s="10" t="str">
        <f t="shared" si="186"/>
        <v xml:space="preserve"> </v>
      </c>
      <c r="EI42" s="10" t="str">
        <f t="shared" si="187"/>
        <v xml:space="preserve"> </v>
      </c>
      <c r="EJ42" s="10" t="str">
        <f t="shared" si="187"/>
        <v xml:space="preserve"> </v>
      </c>
      <c r="EK42" s="10" t="str">
        <f t="shared" si="187"/>
        <v xml:space="preserve"> </v>
      </c>
      <c r="EL42" s="10" t="str">
        <f t="shared" si="187"/>
        <v xml:space="preserve"> </v>
      </c>
      <c r="EM42" s="10" t="str">
        <f t="shared" si="187"/>
        <v xml:space="preserve"> </v>
      </c>
      <c r="EP42" s="10" t="str">
        <f t="shared" si="188"/>
        <v xml:space="preserve"> </v>
      </c>
      <c r="EQ42" s="10" t="str">
        <f t="shared" si="188"/>
        <v xml:space="preserve"> </v>
      </c>
      <c r="ER42" s="10" t="str">
        <f t="shared" si="188"/>
        <v xml:space="preserve"> </v>
      </c>
      <c r="ES42" s="10" t="str">
        <f t="shared" si="188"/>
        <v xml:space="preserve"> </v>
      </c>
      <c r="ET42" s="10" t="str">
        <f t="shared" si="188"/>
        <v xml:space="preserve"> </v>
      </c>
      <c r="EW42" s="10" t="str">
        <f t="shared" si="189"/>
        <v xml:space="preserve"> </v>
      </c>
      <c r="EX42" s="10" t="str">
        <f t="shared" si="189"/>
        <v xml:space="preserve"> </v>
      </c>
      <c r="EY42" s="10" t="str">
        <f t="shared" si="189"/>
        <v xml:space="preserve"> </v>
      </c>
      <c r="EZ42" s="10" t="str">
        <f t="shared" si="189"/>
        <v xml:space="preserve"> </v>
      </c>
      <c r="FA42" s="10" t="str">
        <f t="shared" si="189"/>
        <v xml:space="preserve"> </v>
      </c>
      <c r="FD42" s="10" t="str">
        <f t="shared" si="190"/>
        <v xml:space="preserve"> </v>
      </c>
      <c r="FE42" s="10" t="str">
        <f t="shared" si="190"/>
        <v xml:space="preserve"> </v>
      </c>
      <c r="FF42" s="10" t="str">
        <f t="shared" si="190"/>
        <v xml:space="preserve"> </v>
      </c>
      <c r="FG42" s="10" t="str">
        <f t="shared" si="190"/>
        <v xml:space="preserve"> </v>
      </c>
      <c r="FH42" s="10" t="str">
        <f t="shared" si="190"/>
        <v xml:space="preserve"> </v>
      </c>
      <c r="FK42" s="10" t="str">
        <f t="shared" si="191"/>
        <v xml:space="preserve"> </v>
      </c>
      <c r="FL42" s="10" t="str">
        <f t="shared" si="191"/>
        <v xml:space="preserve"> </v>
      </c>
      <c r="FM42" s="10" t="str">
        <f t="shared" si="191"/>
        <v xml:space="preserve"> </v>
      </c>
      <c r="FN42" s="10" t="str">
        <f t="shared" si="191"/>
        <v xml:space="preserve"> </v>
      </c>
      <c r="FO42" s="10" t="str">
        <f t="shared" si="191"/>
        <v xml:space="preserve"> </v>
      </c>
      <c r="FR42" s="10" t="str">
        <f t="shared" si="192"/>
        <v xml:space="preserve"> </v>
      </c>
      <c r="FS42" s="10" t="str">
        <f t="shared" si="192"/>
        <v xml:space="preserve"> </v>
      </c>
      <c r="FT42" s="10" t="str">
        <f t="shared" si="192"/>
        <v xml:space="preserve"> </v>
      </c>
      <c r="FU42" s="10" t="str">
        <f t="shared" si="192"/>
        <v xml:space="preserve"> </v>
      </c>
      <c r="FV42" s="10" t="str">
        <f t="shared" si="192"/>
        <v xml:space="preserve"> </v>
      </c>
      <c r="FY42" s="10" t="str">
        <f t="shared" si="193"/>
        <v xml:space="preserve"> </v>
      </c>
      <c r="FZ42" s="10" t="str">
        <f t="shared" si="193"/>
        <v xml:space="preserve"> </v>
      </c>
      <c r="GA42" s="10" t="str">
        <f t="shared" si="193"/>
        <v xml:space="preserve"> </v>
      </c>
      <c r="GB42" s="10" t="str">
        <f t="shared" si="193"/>
        <v xml:space="preserve"> </v>
      </c>
      <c r="GC42" s="10" t="str">
        <f t="shared" si="193"/>
        <v xml:space="preserve"> </v>
      </c>
      <c r="GF42" s="10" t="str">
        <f t="shared" si="194"/>
        <v xml:space="preserve"> </v>
      </c>
      <c r="GG42" s="10" t="str">
        <f t="shared" si="194"/>
        <v xml:space="preserve"> </v>
      </c>
      <c r="GH42" s="10" t="str">
        <f t="shared" si="194"/>
        <v xml:space="preserve"> </v>
      </c>
      <c r="GI42" s="10" t="str">
        <f t="shared" si="194"/>
        <v xml:space="preserve"> </v>
      </c>
      <c r="GJ42" s="10" t="str">
        <f t="shared" si="194"/>
        <v xml:space="preserve"> </v>
      </c>
      <c r="GM42" s="10" t="str">
        <f t="shared" si="195"/>
        <v xml:space="preserve"> </v>
      </c>
      <c r="GN42" s="10" t="str">
        <f t="shared" si="195"/>
        <v xml:space="preserve"> </v>
      </c>
      <c r="GO42" s="10" t="str">
        <f t="shared" si="195"/>
        <v xml:space="preserve"> </v>
      </c>
      <c r="GP42" s="10" t="str">
        <f t="shared" si="195"/>
        <v xml:space="preserve"> </v>
      </c>
      <c r="GQ42" s="10" t="str">
        <f t="shared" si="195"/>
        <v xml:space="preserve"> </v>
      </c>
      <c r="GT42" s="10" t="str">
        <f t="shared" si="196"/>
        <v xml:space="preserve"> </v>
      </c>
      <c r="GU42" s="10" t="str">
        <f t="shared" si="196"/>
        <v xml:space="preserve"> </v>
      </c>
      <c r="GV42" s="10" t="str">
        <f t="shared" si="196"/>
        <v xml:space="preserve"> </v>
      </c>
      <c r="GW42" s="10" t="str">
        <f t="shared" si="196"/>
        <v xml:space="preserve"> </v>
      </c>
      <c r="GX42" s="10" t="str">
        <f t="shared" si="196"/>
        <v xml:space="preserve"> </v>
      </c>
      <c r="HA42" s="10" t="str">
        <f t="shared" si="197"/>
        <v xml:space="preserve"> </v>
      </c>
      <c r="HB42" s="10" t="str">
        <f t="shared" si="197"/>
        <v xml:space="preserve"> </v>
      </c>
      <c r="HC42" s="10" t="str">
        <f t="shared" si="197"/>
        <v xml:space="preserve"> </v>
      </c>
      <c r="HD42" s="10" t="str">
        <f t="shared" si="197"/>
        <v xml:space="preserve"> </v>
      </c>
      <c r="HE42" s="10" t="str">
        <f t="shared" si="197"/>
        <v xml:space="preserve"> </v>
      </c>
      <c r="HH42" s="10" t="str">
        <f t="shared" si="198"/>
        <v xml:space="preserve"> </v>
      </c>
      <c r="HI42" s="10" t="str">
        <f t="shared" si="198"/>
        <v xml:space="preserve"> </v>
      </c>
      <c r="HJ42" s="10" t="str">
        <f t="shared" si="198"/>
        <v xml:space="preserve"> </v>
      </c>
      <c r="HK42" s="10" t="str">
        <f t="shared" si="198"/>
        <v xml:space="preserve"> </v>
      </c>
      <c r="HL42" s="10" t="str">
        <f t="shared" si="198"/>
        <v xml:space="preserve"> </v>
      </c>
      <c r="HO42" s="10" t="str">
        <f t="shared" si="199"/>
        <v xml:space="preserve"> </v>
      </c>
      <c r="HP42" s="10" t="str">
        <f t="shared" si="199"/>
        <v xml:space="preserve"> </v>
      </c>
      <c r="HQ42" s="10" t="str">
        <f t="shared" si="199"/>
        <v xml:space="preserve"> </v>
      </c>
      <c r="HR42" s="10" t="str">
        <f t="shared" si="199"/>
        <v xml:space="preserve"> </v>
      </c>
      <c r="HS42" s="10" t="str">
        <f t="shared" si="199"/>
        <v xml:space="preserve"> </v>
      </c>
      <c r="HV42" s="10" t="str">
        <f t="shared" si="200"/>
        <v xml:space="preserve"> </v>
      </c>
      <c r="HW42" s="10" t="str">
        <f t="shared" si="200"/>
        <v xml:space="preserve"> </v>
      </c>
      <c r="HX42" s="10" t="str">
        <f t="shared" si="200"/>
        <v xml:space="preserve"> </v>
      </c>
      <c r="HY42" s="10" t="str">
        <f t="shared" si="200"/>
        <v xml:space="preserve"> </v>
      </c>
      <c r="HZ42" s="10" t="str">
        <f t="shared" si="200"/>
        <v xml:space="preserve"> </v>
      </c>
      <c r="IC42" s="10" t="str">
        <f t="shared" si="201"/>
        <v xml:space="preserve"> </v>
      </c>
      <c r="ID42" s="10" t="str">
        <f t="shared" si="201"/>
        <v xml:space="preserve"> </v>
      </c>
      <c r="IE42" s="10" t="str">
        <f t="shared" si="201"/>
        <v xml:space="preserve"> </v>
      </c>
      <c r="IF42" s="10" t="str">
        <f t="shared" si="201"/>
        <v xml:space="preserve"> </v>
      </c>
      <c r="IG42" s="10" t="str">
        <f t="shared" si="201"/>
        <v xml:space="preserve"> </v>
      </c>
      <c r="IJ42" s="10" t="str">
        <f t="shared" si="202"/>
        <v xml:space="preserve"> </v>
      </c>
      <c r="IK42" s="10" t="str">
        <f t="shared" si="202"/>
        <v xml:space="preserve"> </v>
      </c>
      <c r="IL42" s="10" t="str">
        <f t="shared" si="202"/>
        <v xml:space="preserve"> </v>
      </c>
      <c r="IM42" s="10" t="str">
        <f t="shared" si="202"/>
        <v xml:space="preserve"> </v>
      </c>
      <c r="IN42" s="10" t="str">
        <f t="shared" si="202"/>
        <v xml:space="preserve"> </v>
      </c>
      <c r="IQ42" s="10" t="str">
        <f t="shared" si="203"/>
        <v xml:space="preserve"> </v>
      </c>
      <c r="IR42" s="10" t="str">
        <f t="shared" si="203"/>
        <v xml:space="preserve"> </v>
      </c>
      <c r="IS42" s="10" t="str">
        <f t="shared" si="203"/>
        <v xml:space="preserve"> </v>
      </c>
      <c r="IT42" s="10" t="str">
        <f t="shared" si="203"/>
        <v xml:space="preserve"> </v>
      </c>
      <c r="IU42" s="10" t="str">
        <f t="shared" si="203"/>
        <v xml:space="preserve"> </v>
      </c>
      <c r="IX42" s="10" t="str">
        <f t="shared" si="204"/>
        <v xml:space="preserve"> </v>
      </c>
      <c r="IY42" s="10" t="str">
        <f t="shared" si="204"/>
        <v xml:space="preserve"> </v>
      </c>
      <c r="IZ42" s="10" t="str">
        <f t="shared" si="204"/>
        <v xml:space="preserve"> </v>
      </c>
      <c r="JA42" s="10" t="str">
        <f t="shared" si="204"/>
        <v xml:space="preserve"> </v>
      </c>
      <c r="JB42" s="10" t="str">
        <f t="shared" si="204"/>
        <v xml:space="preserve"> </v>
      </c>
      <c r="JE42" s="10" t="str">
        <f t="shared" si="205"/>
        <v xml:space="preserve"> </v>
      </c>
      <c r="JF42" s="10" t="str">
        <f t="shared" si="205"/>
        <v xml:space="preserve"> </v>
      </c>
      <c r="JG42" s="10" t="str">
        <f t="shared" si="205"/>
        <v xml:space="preserve"> </v>
      </c>
      <c r="JH42" s="10" t="str">
        <f t="shared" si="205"/>
        <v xml:space="preserve"> </v>
      </c>
      <c r="JI42" s="10" t="str">
        <f t="shared" si="205"/>
        <v xml:space="preserve"> </v>
      </c>
    </row>
    <row r="43" spans="1:269">
      <c r="A43" s="96"/>
      <c r="B43" s="10">
        <v>35</v>
      </c>
      <c r="C43" s="11" t="s">
        <v>61</v>
      </c>
      <c r="D43" s="11" t="s">
        <v>58</v>
      </c>
      <c r="E43" s="10">
        <v>33</v>
      </c>
      <c r="F43" s="12">
        <f t="shared" si="87"/>
        <v>42568</v>
      </c>
      <c r="G43" s="12">
        <f>WORKDAY(F43,H43-1,Config!D44:D63)</f>
        <v>42568</v>
      </c>
      <c r="H43" s="10">
        <v>1</v>
      </c>
      <c r="I43" s="13">
        <v>0</v>
      </c>
      <c r="J43" s="13">
        <f ca="1">IF(((NETWORKDAYS(F43,TODAY(),Data!C40:C59)*100)/H43)/100 &gt; 0,((NETWORKDAYS(F43,TODAY(),Data!C40:C59)*100)/H43)/100,0)</f>
        <v>1620</v>
      </c>
      <c r="K43" s="13" t="str">
        <f t="shared" ca="1" si="129"/>
        <v>100%</v>
      </c>
      <c r="L43" s="13">
        <f t="shared" ca="1" si="130"/>
        <v>1</v>
      </c>
      <c r="M43" s="10" t="str">
        <f t="shared" si="169"/>
        <v xml:space="preserve"> </v>
      </c>
      <c r="N43" s="10" t="str">
        <f t="shared" si="169"/>
        <v xml:space="preserve"> </v>
      </c>
      <c r="O43" s="10" t="str">
        <f t="shared" si="169"/>
        <v xml:space="preserve"> </v>
      </c>
      <c r="P43" s="10" t="str">
        <f t="shared" si="169"/>
        <v xml:space="preserve"> </v>
      </c>
      <c r="Q43" s="10" t="str">
        <f t="shared" si="169"/>
        <v xml:space="preserve"> </v>
      </c>
      <c r="R43" s="14"/>
      <c r="S43" s="14"/>
      <c r="T43" s="10" t="str">
        <f t="shared" si="170"/>
        <v xml:space="preserve"> </v>
      </c>
      <c r="U43" s="10" t="str">
        <f t="shared" si="170"/>
        <v xml:space="preserve"> </v>
      </c>
      <c r="V43" s="10" t="str">
        <f t="shared" si="170"/>
        <v xml:space="preserve"> </v>
      </c>
      <c r="W43" s="10" t="str">
        <f t="shared" si="170"/>
        <v xml:space="preserve"> </v>
      </c>
      <c r="X43" s="10" t="str">
        <f t="shared" si="170"/>
        <v xml:space="preserve"> </v>
      </c>
      <c r="Y43" s="14"/>
      <c r="Z43" s="14"/>
      <c r="AA43" s="10" t="str">
        <f t="shared" si="171"/>
        <v xml:space="preserve"> </v>
      </c>
      <c r="AB43" s="10" t="str">
        <f t="shared" si="171"/>
        <v xml:space="preserve"> </v>
      </c>
      <c r="AC43" s="10" t="str">
        <f t="shared" si="171"/>
        <v xml:space="preserve"> </v>
      </c>
      <c r="AD43" s="10" t="str">
        <f t="shared" si="171"/>
        <v xml:space="preserve"> </v>
      </c>
      <c r="AE43" s="10" t="str">
        <f t="shared" si="171"/>
        <v xml:space="preserve"> </v>
      </c>
      <c r="AF43" s="14"/>
      <c r="AG43" s="14"/>
      <c r="AH43" s="10" t="str">
        <f t="shared" si="172"/>
        <v xml:space="preserve"> </v>
      </c>
      <c r="AI43" s="10" t="str">
        <f t="shared" si="172"/>
        <v xml:space="preserve"> </v>
      </c>
      <c r="AJ43" s="10" t="str">
        <f t="shared" si="172"/>
        <v xml:space="preserve"> </v>
      </c>
      <c r="AK43" s="10" t="str">
        <f t="shared" si="172"/>
        <v xml:space="preserve"> </v>
      </c>
      <c r="AL43" s="10" t="str">
        <f t="shared" si="172"/>
        <v xml:space="preserve"> </v>
      </c>
      <c r="AM43" s="14"/>
      <c r="AN43" s="14"/>
      <c r="AO43" s="10" t="str">
        <f t="shared" si="173"/>
        <v xml:space="preserve"> </v>
      </c>
      <c r="AP43" s="10" t="str">
        <f t="shared" si="173"/>
        <v xml:space="preserve"> </v>
      </c>
      <c r="AQ43" s="10" t="str">
        <f t="shared" si="173"/>
        <v xml:space="preserve"> </v>
      </c>
      <c r="AR43" s="10" t="str">
        <f t="shared" si="173"/>
        <v xml:space="preserve"> </v>
      </c>
      <c r="AS43" s="10" t="str">
        <f t="shared" si="173"/>
        <v xml:space="preserve"> </v>
      </c>
      <c r="AT43" s="14"/>
      <c r="AU43" s="14"/>
      <c r="AV43" s="10" t="str">
        <f t="shared" si="174"/>
        <v xml:space="preserve"> </v>
      </c>
      <c r="AW43" s="10" t="str">
        <f t="shared" si="174"/>
        <v xml:space="preserve"> </v>
      </c>
      <c r="AX43" s="10" t="str">
        <f t="shared" si="174"/>
        <v xml:space="preserve"> </v>
      </c>
      <c r="AY43" s="10" t="str">
        <f t="shared" si="174"/>
        <v xml:space="preserve"> </v>
      </c>
      <c r="AZ43" s="10" t="str">
        <f t="shared" si="174"/>
        <v xml:space="preserve"> </v>
      </c>
      <c r="BA43" s="14"/>
      <c r="BB43" s="14"/>
      <c r="BC43" s="10" t="str">
        <f t="shared" si="175"/>
        <v xml:space="preserve"> </v>
      </c>
      <c r="BD43" s="10" t="str">
        <f t="shared" si="175"/>
        <v xml:space="preserve"> </v>
      </c>
      <c r="BE43" s="10" t="str">
        <f t="shared" si="175"/>
        <v xml:space="preserve"> </v>
      </c>
      <c r="BF43" s="10" t="str">
        <f t="shared" si="175"/>
        <v xml:space="preserve"> </v>
      </c>
      <c r="BG43" s="10" t="str">
        <f t="shared" si="175"/>
        <v xml:space="preserve"> </v>
      </c>
      <c r="BH43" s="14"/>
      <c r="BI43" s="14"/>
      <c r="BJ43" s="10" t="str">
        <f t="shared" si="176"/>
        <v xml:space="preserve"> </v>
      </c>
      <c r="BK43" s="10" t="str">
        <f t="shared" si="176"/>
        <v xml:space="preserve"> </v>
      </c>
      <c r="BL43" s="10" t="str">
        <f t="shared" si="176"/>
        <v xml:space="preserve"> </v>
      </c>
      <c r="BM43" s="10" t="str">
        <f t="shared" si="176"/>
        <v xml:space="preserve"> </v>
      </c>
      <c r="BN43" s="10" t="str">
        <f t="shared" si="176"/>
        <v xml:space="preserve"> </v>
      </c>
      <c r="BO43" s="14"/>
      <c r="BP43" s="14"/>
      <c r="BQ43" s="10" t="str">
        <f t="shared" si="177"/>
        <v xml:space="preserve"> </v>
      </c>
      <c r="BR43" s="10" t="str">
        <f t="shared" si="177"/>
        <v xml:space="preserve"> </v>
      </c>
      <c r="BS43" s="10" t="str">
        <f t="shared" si="177"/>
        <v xml:space="preserve"> </v>
      </c>
      <c r="BT43" s="10" t="str">
        <f t="shared" si="177"/>
        <v xml:space="preserve"> </v>
      </c>
      <c r="BU43" s="10" t="str">
        <f t="shared" si="177"/>
        <v xml:space="preserve"> </v>
      </c>
      <c r="BV43" s="14"/>
      <c r="BW43" s="14"/>
      <c r="BX43" s="10" t="str">
        <f t="shared" si="178"/>
        <v xml:space="preserve"> </v>
      </c>
      <c r="BY43" s="10" t="str">
        <f t="shared" si="178"/>
        <v xml:space="preserve"> </v>
      </c>
      <c r="BZ43" s="10" t="str">
        <f t="shared" si="178"/>
        <v xml:space="preserve"> </v>
      </c>
      <c r="CA43" s="10" t="str">
        <f t="shared" si="178"/>
        <v xml:space="preserve"> </v>
      </c>
      <c r="CB43" s="10" t="str">
        <f t="shared" si="178"/>
        <v xml:space="preserve"> </v>
      </c>
      <c r="CC43" s="14"/>
      <c r="CD43" s="14"/>
      <c r="CE43" s="10" t="str">
        <f t="shared" si="179"/>
        <v xml:space="preserve"> </v>
      </c>
      <c r="CF43" s="10" t="str">
        <f t="shared" si="179"/>
        <v xml:space="preserve"> </v>
      </c>
      <c r="CG43" s="10" t="str">
        <f t="shared" si="179"/>
        <v xml:space="preserve"> </v>
      </c>
      <c r="CH43" s="10" t="str">
        <f t="shared" si="179"/>
        <v>.</v>
      </c>
      <c r="CI43" s="10" t="str">
        <f t="shared" si="179"/>
        <v xml:space="preserve"> </v>
      </c>
      <c r="CJ43" s="14"/>
      <c r="CK43" s="14"/>
      <c r="CL43" s="10" t="str">
        <f t="shared" si="180"/>
        <v xml:space="preserve"> </v>
      </c>
      <c r="CM43" s="10" t="str">
        <f t="shared" si="180"/>
        <v xml:space="preserve"> </v>
      </c>
      <c r="CN43" s="10" t="str">
        <f t="shared" si="180"/>
        <v xml:space="preserve"> </v>
      </c>
      <c r="CO43" s="10" t="str">
        <f t="shared" si="180"/>
        <v xml:space="preserve"> </v>
      </c>
      <c r="CP43" s="10" t="str">
        <f t="shared" si="180"/>
        <v xml:space="preserve"> </v>
      </c>
      <c r="CQ43" s="14"/>
      <c r="CR43" s="14"/>
      <c r="CS43" s="10" t="str">
        <f t="shared" si="181"/>
        <v xml:space="preserve"> </v>
      </c>
      <c r="CT43" s="10" t="str">
        <f t="shared" si="181"/>
        <v xml:space="preserve"> </v>
      </c>
      <c r="CU43" s="10" t="str">
        <f t="shared" si="181"/>
        <v xml:space="preserve"> </v>
      </c>
      <c r="CV43" s="10" t="str">
        <f t="shared" si="181"/>
        <v xml:space="preserve"> </v>
      </c>
      <c r="CW43" s="10" t="str">
        <f t="shared" si="181"/>
        <v xml:space="preserve"> </v>
      </c>
      <c r="CZ43" s="10" t="str">
        <f t="shared" si="182"/>
        <v xml:space="preserve"> </v>
      </c>
      <c r="DA43" s="10" t="str">
        <f t="shared" si="182"/>
        <v xml:space="preserve"> </v>
      </c>
      <c r="DB43" s="10" t="str">
        <f t="shared" si="182"/>
        <v xml:space="preserve"> </v>
      </c>
      <c r="DC43" s="10" t="str">
        <f t="shared" si="182"/>
        <v xml:space="preserve"> </v>
      </c>
      <c r="DD43" s="10" t="str">
        <f t="shared" si="182"/>
        <v xml:space="preserve"> </v>
      </c>
      <c r="DG43" s="10" t="str">
        <f t="shared" si="183"/>
        <v xml:space="preserve"> </v>
      </c>
      <c r="DH43" s="10" t="str">
        <f t="shared" si="183"/>
        <v xml:space="preserve"> </v>
      </c>
      <c r="DI43" s="10" t="str">
        <f t="shared" si="183"/>
        <v xml:space="preserve"> </v>
      </c>
      <c r="DJ43" s="10" t="str">
        <f t="shared" si="183"/>
        <v xml:space="preserve"> </v>
      </c>
      <c r="DK43" s="10" t="str">
        <f t="shared" si="183"/>
        <v xml:space="preserve"> </v>
      </c>
      <c r="DN43" s="10" t="str">
        <f t="shared" si="184"/>
        <v xml:space="preserve"> </v>
      </c>
      <c r="DO43" s="10" t="str">
        <f t="shared" si="184"/>
        <v xml:space="preserve"> </v>
      </c>
      <c r="DP43" s="10" t="str">
        <f t="shared" si="184"/>
        <v xml:space="preserve"> </v>
      </c>
      <c r="DQ43" s="10" t="str">
        <f t="shared" si="184"/>
        <v xml:space="preserve"> </v>
      </c>
      <c r="DR43" s="10" t="str">
        <f t="shared" si="184"/>
        <v xml:space="preserve"> </v>
      </c>
      <c r="DU43" s="10" t="str">
        <f t="shared" si="185"/>
        <v xml:space="preserve"> </v>
      </c>
      <c r="DV43" s="10" t="str">
        <f t="shared" si="185"/>
        <v xml:space="preserve"> </v>
      </c>
      <c r="DW43" s="10" t="str">
        <f t="shared" si="185"/>
        <v xml:space="preserve"> </v>
      </c>
      <c r="DX43" s="10" t="str">
        <f t="shared" si="185"/>
        <v xml:space="preserve"> </v>
      </c>
      <c r="DY43" s="10" t="str">
        <f t="shared" si="185"/>
        <v xml:space="preserve"> </v>
      </c>
      <c r="EB43" s="10" t="str">
        <f t="shared" si="186"/>
        <v xml:space="preserve"> </v>
      </c>
      <c r="EC43" s="10" t="str">
        <f t="shared" si="186"/>
        <v xml:space="preserve"> </v>
      </c>
      <c r="ED43" s="10" t="str">
        <f t="shared" si="186"/>
        <v xml:space="preserve"> </v>
      </c>
      <c r="EE43" s="10" t="str">
        <f t="shared" si="186"/>
        <v xml:space="preserve"> </v>
      </c>
      <c r="EF43" s="10" t="str">
        <f t="shared" si="186"/>
        <v xml:space="preserve"> </v>
      </c>
      <c r="EI43" s="10" t="str">
        <f t="shared" si="187"/>
        <v xml:space="preserve"> </v>
      </c>
      <c r="EJ43" s="10" t="str">
        <f t="shared" si="187"/>
        <v xml:space="preserve"> </v>
      </c>
      <c r="EK43" s="10" t="str">
        <f t="shared" si="187"/>
        <v xml:space="preserve"> </v>
      </c>
      <c r="EL43" s="10" t="str">
        <f t="shared" si="187"/>
        <v xml:space="preserve"> </v>
      </c>
      <c r="EM43" s="10" t="str">
        <f t="shared" si="187"/>
        <v xml:space="preserve"> </v>
      </c>
      <c r="EP43" s="10" t="str">
        <f t="shared" si="188"/>
        <v xml:space="preserve"> </v>
      </c>
      <c r="EQ43" s="10" t="str">
        <f t="shared" si="188"/>
        <v xml:space="preserve"> </v>
      </c>
      <c r="ER43" s="10" t="str">
        <f t="shared" si="188"/>
        <v xml:space="preserve"> </v>
      </c>
      <c r="ES43" s="10" t="str">
        <f t="shared" si="188"/>
        <v xml:space="preserve"> </v>
      </c>
      <c r="ET43" s="10" t="str">
        <f t="shared" si="188"/>
        <v xml:space="preserve"> </v>
      </c>
      <c r="EW43" s="10" t="str">
        <f t="shared" si="189"/>
        <v xml:space="preserve"> </v>
      </c>
      <c r="EX43" s="10" t="str">
        <f t="shared" si="189"/>
        <v xml:space="preserve"> </v>
      </c>
      <c r="EY43" s="10" t="str">
        <f t="shared" si="189"/>
        <v xml:space="preserve"> </v>
      </c>
      <c r="EZ43" s="10" t="str">
        <f t="shared" si="189"/>
        <v xml:space="preserve"> </v>
      </c>
      <c r="FA43" s="10" t="str">
        <f t="shared" si="189"/>
        <v xml:space="preserve"> </v>
      </c>
      <c r="FD43" s="10" t="str">
        <f t="shared" si="190"/>
        <v xml:space="preserve"> </v>
      </c>
      <c r="FE43" s="10" t="str">
        <f t="shared" si="190"/>
        <v xml:space="preserve"> </v>
      </c>
      <c r="FF43" s="10" t="str">
        <f t="shared" si="190"/>
        <v xml:space="preserve"> </v>
      </c>
      <c r="FG43" s="10" t="str">
        <f t="shared" si="190"/>
        <v xml:space="preserve"> </v>
      </c>
      <c r="FH43" s="10" t="str">
        <f t="shared" si="190"/>
        <v xml:space="preserve"> </v>
      </c>
      <c r="FK43" s="10" t="str">
        <f t="shared" si="191"/>
        <v xml:space="preserve"> </v>
      </c>
      <c r="FL43" s="10" t="str">
        <f t="shared" si="191"/>
        <v xml:space="preserve"> </v>
      </c>
      <c r="FM43" s="10" t="str">
        <f t="shared" si="191"/>
        <v xml:space="preserve"> </v>
      </c>
      <c r="FN43" s="10" t="str">
        <f t="shared" si="191"/>
        <v xml:space="preserve"> </v>
      </c>
      <c r="FO43" s="10" t="str">
        <f t="shared" si="191"/>
        <v xml:space="preserve"> </v>
      </c>
      <c r="FR43" s="10" t="str">
        <f t="shared" si="192"/>
        <v xml:space="preserve"> </v>
      </c>
      <c r="FS43" s="10" t="str">
        <f t="shared" si="192"/>
        <v xml:space="preserve"> </v>
      </c>
      <c r="FT43" s="10" t="str">
        <f t="shared" si="192"/>
        <v xml:space="preserve"> </v>
      </c>
      <c r="FU43" s="10" t="str">
        <f t="shared" si="192"/>
        <v xml:space="preserve"> </v>
      </c>
      <c r="FV43" s="10" t="str">
        <f t="shared" si="192"/>
        <v xml:space="preserve"> </v>
      </c>
      <c r="FY43" s="10" t="str">
        <f t="shared" si="193"/>
        <v xml:space="preserve"> </v>
      </c>
      <c r="FZ43" s="10" t="str">
        <f t="shared" si="193"/>
        <v xml:space="preserve"> </v>
      </c>
      <c r="GA43" s="10" t="str">
        <f t="shared" si="193"/>
        <v xml:space="preserve"> </v>
      </c>
      <c r="GB43" s="10" t="str">
        <f t="shared" si="193"/>
        <v xml:space="preserve"> </v>
      </c>
      <c r="GC43" s="10" t="str">
        <f t="shared" si="193"/>
        <v xml:space="preserve"> </v>
      </c>
      <c r="GF43" s="10" t="str">
        <f t="shared" si="194"/>
        <v xml:space="preserve"> </v>
      </c>
      <c r="GG43" s="10" t="str">
        <f t="shared" si="194"/>
        <v xml:space="preserve"> </v>
      </c>
      <c r="GH43" s="10" t="str">
        <f t="shared" si="194"/>
        <v xml:space="preserve"> </v>
      </c>
      <c r="GI43" s="10" t="str">
        <f t="shared" si="194"/>
        <v xml:space="preserve"> </v>
      </c>
      <c r="GJ43" s="10" t="str">
        <f t="shared" si="194"/>
        <v xml:space="preserve"> </v>
      </c>
      <c r="GM43" s="10" t="str">
        <f t="shared" si="195"/>
        <v xml:space="preserve"> </v>
      </c>
      <c r="GN43" s="10" t="str">
        <f t="shared" si="195"/>
        <v xml:space="preserve"> </v>
      </c>
      <c r="GO43" s="10" t="str">
        <f t="shared" si="195"/>
        <v xml:space="preserve"> </v>
      </c>
      <c r="GP43" s="10" t="str">
        <f t="shared" si="195"/>
        <v xml:space="preserve"> </v>
      </c>
      <c r="GQ43" s="10" t="str">
        <f t="shared" si="195"/>
        <v xml:space="preserve"> </v>
      </c>
      <c r="GT43" s="10" t="str">
        <f t="shared" si="196"/>
        <v xml:space="preserve"> </v>
      </c>
      <c r="GU43" s="10" t="str">
        <f t="shared" si="196"/>
        <v xml:space="preserve"> </v>
      </c>
      <c r="GV43" s="10" t="str">
        <f t="shared" si="196"/>
        <v xml:space="preserve"> </v>
      </c>
      <c r="GW43" s="10" t="str">
        <f t="shared" si="196"/>
        <v xml:space="preserve"> </v>
      </c>
      <c r="GX43" s="10" t="str">
        <f t="shared" si="196"/>
        <v xml:space="preserve"> </v>
      </c>
      <c r="HA43" s="10" t="str">
        <f t="shared" si="197"/>
        <v xml:space="preserve"> </v>
      </c>
      <c r="HB43" s="10" t="str">
        <f t="shared" si="197"/>
        <v xml:space="preserve"> </v>
      </c>
      <c r="HC43" s="10" t="str">
        <f t="shared" si="197"/>
        <v xml:space="preserve"> </v>
      </c>
      <c r="HD43" s="10" t="str">
        <f t="shared" si="197"/>
        <v xml:space="preserve"> </v>
      </c>
      <c r="HE43" s="10" t="str">
        <f t="shared" si="197"/>
        <v xml:space="preserve"> </v>
      </c>
      <c r="HH43" s="10" t="str">
        <f t="shared" si="198"/>
        <v xml:space="preserve"> </v>
      </c>
      <c r="HI43" s="10" t="str">
        <f t="shared" si="198"/>
        <v xml:space="preserve"> </v>
      </c>
      <c r="HJ43" s="10" t="str">
        <f t="shared" si="198"/>
        <v xml:space="preserve"> </v>
      </c>
      <c r="HK43" s="10" t="str">
        <f t="shared" si="198"/>
        <v xml:space="preserve"> </v>
      </c>
      <c r="HL43" s="10" t="str">
        <f t="shared" si="198"/>
        <v xml:space="preserve"> </v>
      </c>
      <c r="HO43" s="10" t="str">
        <f t="shared" si="199"/>
        <v xml:space="preserve"> </v>
      </c>
      <c r="HP43" s="10" t="str">
        <f t="shared" si="199"/>
        <v xml:space="preserve"> </v>
      </c>
      <c r="HQ43" s="10" t="str">
        <f t="shared" si="199"/>
        <v xml:space="preserve"> </v>
      </c>
      <c r="HR43" s="10" t="str">
        <f t="shared" si="199"/>
        <v xml:space="preserve"> </v>
      </c>
      <c r="HS43" s="10" t="str">
        <f t="shared" si="199"/>
        <v xml:space="preserve"> </v>
      </c>
      <c r="HV43" s="10" t="str">
        <f t="shared" si="200"/>
        <v xml:space="preserve"> </v>
      </c>
      <c r="HW43" s="10" t="str">
        <f t="shared" si="200"/>
        <v xml:space="preserve"> </v>
      </c>
      <c r="HX43" s="10" t="str">
        <f t="shared" si="200"/>
        <v xml:space="preserve"> </v>
      </c>
      <c r="HY43" s="10" t="str">
        <f t="shared" si="200"/>
        <v xml:space="preserve"> </v>
      </c>
      <c r="HZ43" s="10" t="str">
        <f t="shared" si="200"/>
        <v xml:space="preserve"> </v>
      </c>
      <c r="IC43" s="10" t="str">
        <f t="shared" si="201"/>
        <v xml:space="preserve"> </v>
      </c>
      <c r="ID43" s="10" t="str">
        <f t="shared" si="201"/>
        <v xml:space="preserve"> </v>
      </c>
      <c r="IE43" s="10" t="str">
        <f t="shared" si="201"/>
        <v xml:space="preserve"> </v>
      </c>
      <c r="IF43" s="10" t="str">
        <f t="shared" si="201"/>
        <v xml:space="preserve"> </v>
      </c>
      <c r="IG43" s="10" t="str">
        <f t="shared" si="201"/>
        <v xml:space="preserve"> </v>
      </c>
      <c r="IJ43" s="10" t="str">
        <f t="shared" si="202"/>
        <v xml:space="preserve"> </v>
      </c>
      <c r="IK43" s="10" t="str">
        <f t="shared" si="202"/>
        <v xml:space="preserve"> </v>
      </c>
      <c r="IL43" s="10" t="str">
        <f t="shared" si="202"/>
        <v xml:space="preserve"> </v>
      </c>
      <c r="IM43" s="10" t="str">
        <f t="shared" si="202"/>
        <v xml:space="preserve"> </v>
      </c>
      <c r="IN43" s="10" t="str">
        <f t="shared" si="202"/>
        <v xml:space="preserve"> </v>
      </c>
      <c r="IQ43" s="10" t="str">
        <f t="shared" si="203"/>
        <v xml:space="preserve"> </v>
      </c>
      <c r="IR43" s="10" t="str">
        <f t="shared" si="203"/>
        <v xml:space="preserve"> </v>
      </c>
      <c r="IS43" s="10" t="str">
        <f t="shared" si="203"/>
        <v xml:space="preserve"> </v>
      </c>
      <c r="IT43" s="10" t="str">
        <f t="shared" si="203"/>
        <v xml:space="preserve"> </v>
      </c>
      <c r="IU43" s="10" t="str">
        <f t="shared" si="203"/>
        <v xml:space="preserve"> </v>
      </c>
      <c r="IX43" s="10" t="str">
        <f t="shared" si="204"/>
        <v xml:space="preserve"> </v>
      </c>
      <c r="IY43" s="10" t="str">
        <f t="shared" si="204"/>
        <v xml:space="preserve"> </v>
      </c>
      <c r="IZ43" s="10" t="str">
        <f t="shared" si="204"/>
        <v xml:space="preserve"> </v>
      </c>
      <c r="JA43" s="10" t="str">
        <f t="shared" si="204"/>
        <v xml:space="preserve"> </v>
      </c>
      <c r="JB43" s="10" t="str">
        <f t="shared" si="204"/>
        <v xml:space="preserve"> </v>
      </c>
      <c r="JE43" s="10" t="str">
        <f t="shared" si="205"/>
        <v xml:space="preserve"> </v>
      </c>
      <c r="JF43" s="10" t="str">
        <f t="shared" si="205"/>
        <v xml:space="preserve"> </v>
      </c>
      <c r="JG43" s="10" t="str">
        <f t="shared" si="205"/>
        <v xml:space="preserve"> </v>
      </c>
      <c r="JH43" s="10" t="str">
        <f t="shared" si="205"/>
        <v xml:space="preserve"> </v>
      </c>
      <c r="JI43" s="10" t="str">
        <f t="shared" si="205"/>
        <v xml:space="preserve"> </v>
      </c>
    </row>
    <row r="44" spans="1:269">
      <c r="A44" s="96"/>
      <c r="B44" s="10">
        <v>36</v>
      </c>
      <c r="C44" s="11" t="s">
        <v>62</v>
      </c>
      <c r="D44" s="11" t="s">
        <v>58</v>
      </c>
      <c r="E44" s="10">
        <v>34</v>
      </c>
      <c r="F44" s="12">
        <f t="shared" si="87"/>
        <v>42542</v>
      </c>
      <c r="G44" s="12">
        <f>WORKDAY(F44,H44-1,Config!D45:D64)</f>
        <v>42542</v>
      </c>
      <c r="H44" s="10">
        <v>1</v>
      </c>
      <c r="I44" s="13">
        <v>0</v>
      </c>
      <c r="J44" s="13">
        <f ca="1">IF(((NETWORKDAYS(F44,TODAY(),Data!C41:C60)*100)/H44)/100 &gt; 0,((NETWORKDAYS(F44,TODAY(),Data!C41:C60)*100)/H44)/100,0)</f>
        <v>1639</v>
      </c>
      <c r="K44" s="13" t="str">
        <f t="shared" ca="1" si="129"/>
        <v>100%</v>
      </c>
      <c r="L44" s="13">
        <f t="shared" ca="1" si="130"/>
        <v>1</v>
      </c>
      <c r="M44" s="10" t="str">
        <f t="shared" si="169"/>
        <v xml:space="preserve"> </v>
      </c>
      <c r="N44" s="10" t="str">
        <f t="shared" si="169"/>
        <v xml:space="preserve"> </v>
      </c>
      <c r="O44" s="10" t="str">
        <f t="shared" si="169"/>
        <v xml:space="preserve"> </v>
      </c>
      <c r="P44" s="10" t="str">
        <f t="shared" si="169"/>
        <v xml:space="preserve"> </v>
      </c>
      <c r="Q44" s="10" t="str">
        <f t="shared" si="169"/>
        <v xml:space="preserve"> </v>
      </c>
      <c r="R44" s="14"/>
      <c r="S44" s="14"/>
      <c r="T44" s="10" t="str">
        <f t="shared" si="170"/>
        <v xml:space="preserve"> </v>
      </c>
      <c r="U44" s="10" t="str">
        <f t="shared" si="170"/>
        <v xml:space="preserve"> </v>
      </c>
      <c r="V44" s="10" t="str">
        <f t="shared" si="170"/>
        <v xml:space="preserve"> </v>
      </c>
      <c r="W44" s="10" t="str">
        <f t="shared" si="170"/>
        <v xml:space="preserve"> </v>
      </c>
      <c r="X44" s="10" t="str">
        <f t="shared" si="170"/>
        <v xml:space="preserve"> </v>
      </c>
      <c r="Y44" s="14"/>
      <c r="Z44" s="14"/>
      <c r="AA44" s="10" t="str">
        <f t="shared" si="171"/>
        <v xml:space="preserve"> </v>
      </c>
      <c r="AB44" s="10" t="str">
        <f t="shared" si="171"/>
        <v xml:space="preserve"> </v>
      </c>
      <c r="AC44" s="10" t="str">
        <f t="shared" si="171"/>
        <v xml:space="preserve"> </v>
      </c>
      <c r="AD44" s="10" t="str">
        <f t="shared" si="171"/>
        <v xml:space="preserve"> </v>
      </c>
      <c r="AE44" s="10" t="str">
        <f t="shared" si="171"/>
        <v xml:space="preserve"> </v>
      </c>
      <c r="AF44" s="14"/>
      <c r="AG44" s="14"/>
      <c r="AH44" s="10" t="str">
        <f t="shared" si="172"/>
        <v xml:space="preserve"> </v>
      </c>
      <c r="AI44" s="10" t="str">
        <f t="shared" si="172"/>
        <v xml:space="preserve"> </v>
      </c>
      <c r="AJ44" s="10" t="str">
        <f t="shared" si="172"/>
        <v xml:space="preserve"> </v>
      </c>
      <c r="AK44" s="10" t="str">
        <f t="shared" si="172"/>
        <v xml:space="preserve"> </v>
      </c>
      <c r="AL44" s="10" t="str">
        <f t="shared" si="172"/>
        <v xml:space="preserve"> </v>
      </c>
      <c r="AM44" s="14"/>
      <c r="AN44" s="14"/>
      <c r="AO44" s="10" t="str">
        <f t="shared" si="173"/>
        <v xml:space="preserve"> </v>
      </c>
      <c r="AP44" s="10" t="str">
        <f t="shared" si="173"/>
        <v xml:space="preserve"> </v>
      </c>
      <c r="AQ44" s="10" t="str">
        <f t="shared" si="173"/>
        <v xml:space="preserve"> </v>
      </c>
      <c r="AR44" s="10" t="str">
        <f t="shared" si="173"/>
        <v xml:space="preserve"> </v>
      </c>
      <c r="AS44" s="10" t="str">
        <f t="shared" si="173"/>
        <v xml:space="preserve"> </v>
      </c>
      <c r="AT44" s="14"/>
      <c r="AU44" s="14"/>
      <c r="AV44" s="10" t="str">
        <f t="shared" si="174"/>
        <v xml:space="preserve"> </v>
      </c>
      <c r="AW44" s="10" t="str">
        <f t="shared" si="174"/>
        <v xml:space="preserve"> </v>
      </c>
      <c r="AX44" s="10" t="str">
        <f t="shared" si="174"/>
        <v xml:space="preserve"> </v>
      </c>
      <c r="AY44" s="10" t="str">
        <f t="shared" si="174"/>
        <v xml:space="preserve"> </v>
      </c>
      <c r="AZ44" s="10" t="str">
        <f t="shared" si="174"/>
        <v xml:space="preserve"> </v>
      </c>
      <c r="BA44" s="14"/>
      <c r="BB44" s="14"/>
      <c r="BC44" s="10" t="str">
        <f t="shared" si="175"/>
        <v xml:space="preserve"> </v>
      </c>
      <c r="BD44" s="10" t="str">
        <f t="shared" si="175"/>
        <v xml:space="preserve"> </v>
      </c>
      <c r="BE44" s="10" t="str">
        <f t="shared" si="175"/>
        <v xml:space="preserve"> </v>
      </c>
      <c r="BF44" s="10" t="str">
        <f t="shared" si="175"/>
        <v xml:space="preserve"> </v>
      </c>
      <c r="BG44" s="10" t="str">
        <f t="shared" si="175"/>
        <v xml:space="preserve"> </v>
      </c>
      <c r="BH44" s="14"/>
      <c r="BI44" s="14"/>
      <c r="BJ44" s="10" t="str">
        <f t="shared" si="176"/>
        <v xml:space="preserve"> </v>
      </c>
      <c r="BK44" s="10" t="str">
        <f t="shared" si="176"/>
        <v xml:space="preserve"> </v>
      </c>
      <c r="BL44" s="10" t="str">
        <f t="shared" si="176"/>
        <v xml:space="preserve"> </v>
      </c>
      <c r="BM44" s="10" t="str">
        <f t="shared" si="176"/>
        <v xml:space="preserve"> </v>
      </c>
      <c r="BN44" s="10" t="str">
        <f t="shared" si="176"/>
        <v xml:space="preserve"> </v>
      </c>
      <c r="BO44" s="14"/>
      <c r="BP44" s="14"/>
      <c r="BQ44" s="10" t="str">
        <f t="shared" si="177"/>
        <v xml:space="preserve"> </v>
      </c>
      <c r="BR44" s="10" t="str">
        <f t="shared" si="177"/>
        <v xml:space="preserve"> </v>
      </c>
      <c r="BS44" s="10" t="str">
        <f t="shared" si="177"/>
        <v xml:space="preserve"> </v>
      </c>
      <c r="BT44" s="10" t="str">
        <f t="shared" si="177"/>
        <v xml:space="preserve"> </v>
      </c>
      <c r="BU44" s="10" t="str">
        <f t="shared" si="177"/>
        <v xml:space="preserve"> </v>
      </c>
      <c r="BV44" s="14"/>
      <c r="BW44" s="14"/>
      <c r="BX44" s="10" t="str">
        <f t="shared" si="178"/>
        <v xml:space="preserve"> </v>
      </c>
      <c r="BY44" s="10" t="str">
        <f t="shared" si="178"/>
        <v xml:space="preserve"> </v>
      </c>
      <c r="BZ44" s="10" t="str">
        <f t="shared" si="178"/>
        <v xml:space="preserve"> </v>
      </c>
      <c r="CA44" s="10" t="str">
        <f t="shared" si="178"/>
        <v xml:space="preserve"> </v>
      </c>
      <c r="CB44" s="10" t="str">
        <f t="shared" si="178"/>
        <v xml:space="preserve"> </v>
      </c>
      <c r="CC44" s="14"/>
      <c r="CD44" s="14"/>
      <c r="CE44" s="10" t="str">
        <f t="shared" si="179"/>
        <v xml:space="preserve"> </v>
      </c>
      <c r="CF44" s="10" t="str">
        <f t="shared" si="179"/>
        <v xml:space="preserve"> </v>
      </c>
      <c r="CG44" s="10" t="str">
        <f t="shared" si="179"/>
        <v xml:space="preserve"> </v>
      </c>
      <c r="CH44" s="10" t="str">
        <f t="shared" si="179"/>
        <v xml:space="preserve"> </v>
      </c>
      <c r="CI44" s="10" t="str">
        <f t="shared" si="179"/>
        <v xml:space="preserve"> </v>
      </c>
      <c r="CJ44" s="14"/>
      <c r="CK44" s="14"/>
      <c r="CL44" s="10" t="str">
        <f t="shared" si="180"/>
        <v xml:space="preserve"> </v>
      </c>
      <c r="CM44" s="10" t="str">
        <f t="shared" si="180"/>
        <v xml:space="preserve"> </v>
      </c>
      <c r="CN44" s="10" t="str">
        <f t="shared" si="180"/>
        <v xml:space="preserve"> </v>
      </c>
      <c r="CO44" s="10" t="str">
        <f t="shared" si="180"/>
        <v xml:space="preserve"> </v>
      </c>
      <c r="CP44" s="10" t="str">
        <f t="shared" si="180"/>
        <v xml:space="preserve"> </v>
      </c>
      <c r="CQ44" s="14"/>
      <c r="CR44" s="14"/>
      <c r="CS44" s="10" t="str">
        <f t="shared" si="181"/>
        <v xml:space="preserve"> </v>
      </c>
      <c r="CT44" s="10" t="str">
        <f t="shared" si="181"/>
        <v xml:space="preserve"> </v>
      </c>
      <c r="CU44" s="10" t="str">
        <f t="shared" si="181"/>
        <v xml:space="preserve"> </v>
      </c>
      <c r="CV44" s="10" t="str">
        <f t="shared" si="181"/>
        <v xml:space="preserve"> </v>
      </c>
      <c r="CW44" s="10" t="str">
        <f t="shared" si="181"/>
        <v xml:space="preserve"> </v>
      </c>
      <c r="CZ44" s="10" t="str">
        <f t="shared" si="182"/>
        <v xml:space="preserve"> </v>
      </c>
      <c r="DA44" s="10" t="str">
        <f t="shared" si="182"/>
        <v xml:space="preserve"> </v>
      </c>
      <c r="DB44" s="10" t="str">
        <f t="shared" si="182"/>
        <v xml:space="preserve"> </v>
      </c>
      <c r="DC44" s="10" t="str">
        <f t="shared" si="182"/>
        <v xml:space="preserve"> </v>
      </c>
      <c r="DD44" s="10" t="str">
        <f t="shared" si="182"/>
        <v xml:space="preserve"> </v>
      </c>
      <c r="DG44" s="10" t="str">
        <f t="shared" si="183"/>
        <v xml:space="preserve"> </v>
      </c>
      <c r="DH44" s="10" t="str">
        <f t="shared" si="183"/>
        <v xml:space="preserve"> </v>
      </c>
      <c r="DI44" s="10" t="str">
        <f t="shared" si="183"/>
        <v xml:space="preserve"> </v>
      </c>
      <c r="DJ44" s="10" t="str">
        <f t="shared" si="183"/>
        <v xml:space="preserve"> </v>
      </c>
      <c r="DK44" s="10" t="str">
        <f t="shared" si="183"/>
        <v xml:space="preserve"> </v>
      </c>
      <c r="DN44" s="10" t="str">
        <f t="shared" si="184"/>
        <v xml:space="preserve"> </v>
      </c>
      <c r="DO44" s="10" t="str">
        <f t="shared" si="184"/>
        <v xml:space="preserve"> </v>
      </c>
      <c r="DP44" s="10" t="str">
        <f t="shared" si="184"/>
        <v xml:space="preserve"> </v>
      </c>
      <c r="DQ44" s="10" t="str">
        <f t="shared" si="184"/>
        <v xml:space="preserve"> </v>
      </c>
      <c r="DR44" s="10" t="str">
        <f t="shared" si="184"/>
        <v xml:space="preserve"> </v>
      </c>
      <c r="DU44" s="10" t="str">
        <f t="shared" si="185"/>
        <v xml:space="preserve"> </v>
      </c>
      <c r="DV44" s="10" t="str">
        <f t="shared" si="185"/>
        <v xml:space="preserve"> </v>
      </c>
      <c r="DW44" s="10" t="str">
        <f t="shared" si="185"/>
        <v xml:space="preserve"> </v>
      </c>
      <c r="DX44" s="10" t="str">
        <f t="shared" si="185"/>
        <v xml:space="preserve"> </v>
      </c>
      <c r="DY44" s="10" t="str">
        <f t="shared" si="185"/>
        <v xml:space="preserve"> </v>
      </c>
      <c r="EB44" s="10" t="str">
        <f t="shared" si="186"/>
        <v xml:space="preserve"> </v>
      </c>
      <c r="EC44" s="10" t="str">
        <f t="shared" si="186"/>
        <v xml:space="preserve"> </v>
      </c>
      <c r="ED44" s="10" t="str">
        <f t="shared" si="186"/>
        <v xml:space="preserve"> </v>
      </c>
      <c r="EE44" s="10" t="str">
        <f t="shared" si="186"/>
        <v xml:space="preserve"> </v>
      </c>
      <c r="EF44" s="10" t="str">
        <f t="shared" si="186"/>
        <v xml:space="preserve"> </v>
      </c>
      <c r="EI44" s="10" t="str">
        <f t="shared" si="187"/>
        <v xml:space="preserve"> </v>
      </c>
      <c r="EJ44" s="10" t="str">
        <f t="shared" si="187"/>
        <v xml:space="preserve"> </v>
      </c>
      <c r="EK44" s="10" t="str">
        <f t="shared" si="187"/>
        <v xml:space="preserve"> </v>
      </c>
      <c r="EL44" s="10" t="str">
        <f t="shared" si="187"/>
        <v xml:space="preserve"> </v>
      </c>
      <c r="EM44" s="10" t="str">
        <f t="shared" si="187"/>
        <v xml:space="preserve"> </v>
      </c>
      <c r="EP44" s="10" t="str">
        <f t="shared" si="188"/>
        <v xml:space="preserve"> </v>
      </c>
      <c r="EQ44" s="10" t="str">
        <f t="shared" si="188"/>
        <v xml:space="preserve"> </v>
      </c>
      <c r="ER44" s="10" t="str">
        <f t="shared" si="188"/>
        <v xml:space="preserve"> </v>
      </c>
      <c r="ES44" s="10" t="str">
        <f t="shared" si="188"/>
        <v xml:space="preserve"> </v>
      </c>
      <c r="ET44" s="10" t="str">
        <f t="shared" si="188"/>
        <v xml:space="preserve"> </v>
      </c>
      <c r="EW44" s="10" t="str">
        <f t="shared" si="189"/>
        <v xml:space="preserve"> </v>
      </c>
      <c r="EX44" s="10" t="str">
        <f t="shared" si="189"/>
        <v xml:space="preserve"> </v>
      </c>
      <c r="EY44" s="10" t="str">
        <f t="shared" si="189"/>
        <v xml:space="preserve"> </v>
      </c>
      <c r="EZ44" s="10" t="str">
        <f t="shared" si="189"/>
        <v xml:space="preserve"> </v>
      </c>
      <c r="FA44" s="10" t="str">
        <f t="shared" si="189"/>
        <v xml:space="preserve"> </v>
      </c>
      <c r="FD44" s="10" t="str">
        <f t="shared" si="190"/>
        <v xml:space="preserve"> </v>
      </c>
      <c r="FE44" s="10" t="str">
        <f t="shared" si="190"/>
        <v xml:space="preserve"> </v>
      </c>
      <c r="FF44" s="10" t="str">
        <f t="shared" si="190"/>
        <v xml:space="preserve"> </v>
      </c>
      <c r="FG44" s="10" t="str">
        <f t="shared" si="190"/>
        <v xml:space="preserve"> </v>
      </c>
      <c r="FH44" s="10" t="str">
        <f t="shared" si="190"/>
        <v xml:space="preserve"> </v>
      </c>
      <c r="FK44" s="10" t="str">
        <f t="shared" si="191"/>
        <v xml:space="preserve"> </v>
      </c>
      <c r="FL44" s="10" t="str">
        <f t="shared" si="191"/>
        <v xml:space="preserve"> </v>
      </c>
      <c r="FM44" s="10" t="str">
        <f t="shared" si="191"/>
        <v xml:space="preserve"> </v>
      </c>
      <c r="FN44" s="10" t="str">
        <f t="shared" si="191"/>
        <v xml:space="preserve"> </v>
      </c>
      <c r="FO44" s="10" t="str">
        <f t="shared" si="191"/>
        <v xml:space="preserve"> </v>
      </c>
      <c r="FR44" s="10" t="str">
        <f t="shared" si="192"/>
        <v xml:space="preserve"> </v>
      </c>
      <c r="FS44" s="10" t="str">
        <f t="shared" si="192"/>
        <v xml:space="preserve"> </v>
      </c>
      <c r="FT44" s="10" t="str">
        <f t="shared" si="192"/>
        <v xml:space="preserve"> </v>
      </c>
      <c r="FU44" s="10" t="str">
        <f t="shared" si="192"/>
        <v xml:space="preserve"> </v>
      </c>
      <c r="FV44" s="10" t="str">
        <f t="shared" si="192"/>
        <v xml:space="preserve"> </v>
      </c>
      <c r="FY44" s="10" t="str">
        <f t="shared" si="193"/>
        <v xml:space="preserve"> </v>
      </c>
      <c r="FZ44" s="10" t="str">
        <f t="shared" si="193"/>
        <v xml:space="preserve"> </v>
      </c>
      <c r="GA44" s="10" t="str">
        <f t="shared" si="193"/>
        <v xml:space="preserve"> </v>
      </c>
      <c r="GB44" s="10" t="str">
        <f t="shared" si="193"/>
        <v xml:space="preserve"> </v>
      </c>
      <c r="GC44" s="10" t="str">
        <f t="shared" si="193"/>
        <v xml:space="preserve"> </v>
      </c>
      <c r="GF44" s="10" t="str">
        <f t="shared" si="194"/>
        <v xml:space="preserve"> </v>
      </c>
      <c r="GG44" s="10" t="str">
        <f t="shared" si="194"/>
        <v xml:space="preserve"> </v>
      </c>
      <c r="GH44" s="10" t="str">
        <f t="shared" si="194"/>
        <v xml:space="preserve"> </v>
      </c>
      <c r="GI44" s="10" t="str">
        <f t="shared" si="194"/>
        <v xml:space="preserve"> </v>
      </c>
      <c r="GJ44" s="10" t="str">
        <f t="shared" si="194"/>
        <v xml:space="preserve"> </v>
      </c>
      <c r="GM44" s="10" t="str">
        <f t="shared" si="195"/>
        <v xml:space="preserve"> </v>
      </c>
      <c r="GN44" s="10" t="str">
        <f t="shared" si="195"/>
        <v xml:space="preserve"> </v>
      </c>
      <c r="GO44" s="10" t="str">
        <f t="shared" si="195"/>
        <v xml:space="preserve"> </v>
      </c>
      <c r="GP44" s="10" t="str">
        <f t="shared" si="195"/>
        <v xml:space="preserve"> </v>
      </c>
      <c r="GQ44" s="10" t="str">
        <f t="shared" si="195"/>
        <v xml:space="preserve"> </v>
      </c>
      <c r="GT44" s="10" t="str">
        <f t="shared" si="196"/>
        <v xml:space="preserve"> </v>
      </c>
      <c r="GU44" s="10" t="str">
        <f t="shared" si="196"/>
        <v xml:space="preserve"> </v>
      </c>
      <c r="GV44" s="10" t="str">
        <f t="shared" si="196"/>
        <v xml:space="preserve"> </v>
      </c>
      <c r="GW44" s="10" t="str">
        <f t="shared" si="196"/>
        <v xml:space="preserve"> </v>
      </c>
      <c r="GX44" s="10" t="str">
        <f t="shared" si="196"/>
        <v xml:space="preserve"> </v>
      </c>
      <c r="HA44" s="10" t="str">
        <f t="shared" si="197"/>
        <v xml:space="preserve"> </v>
      </c>
      <c r="HB44" s="10" t="str">
        <f t="shared" si="197"/>
        <v xml:space="preserve"> </v>
      </c>
      <c r="HC44" s="10" t="str">
        <f t="shared" si="197"/>
        <v xml:space="preserve"> </v>
      </c>
      <c r="HD44" s="10" t="str">
        <f t="shared" si="197"/>
        <v xml:space="preserve"> </v>
      </c>
      <c r="HE44" s="10" t="str">
        <f t="shared" si="197"/>
        <v xml:space="preserve"> </v>
      </c>
      <c r="HH44" s="10" t="str">
        <f t="shared" si="198"/>
        <v xml:space="preserve"> </v>
      </c>
      <c r="HI44" s="10" t="str">
        <f t="shared" si="198"/>
        <v xml:space="preserve"> </v>
      </c>
      <c r="HJ44" s="10" t="str">
        <f t="shared" si="198"/>
        <v xml:space="preserve"> </v>
      </c>
      <c r="HK44" s="10" t="str">
        <f t="shared" si="198"/>
        <v xml:space="preserve"> </v>
      </c>
      <c r="HL44" s="10" t="str">
        <f t="shared" si="198"/>
        <v xml:space="preserve"> </v>
      </c>
      <c r="HO44" s="10" t="str">
        <f t="shared" si="199"/>
        <v xml:space="preserve"> </v>
      </c>
      <c r="HP44" s="10" t="str">
        <f t="shared" si="199"/>
        <v xml:space="preserve"> </v>
      </c>
      <c r="HQ44" s="10" t="str">
        <f t="shared" si="199"/>
        <v xml:space="preserve"> </v>
      </c>
      <c r="HR44" s="10" t="str">
        <f t="shared" si="199"/>
        <v xml:space="preserve"> </v>
      </c>
      <c r="HS44" s="10" t="str">
        <f t="shared" si="199"/>
        <v xml:space="preserve"> </v>
      </c>
      <c r="HV44" s="10" t="str">
        <f t="shared" si="200"/>
        <v xml:space="preserve"> </v>
      </c>
      <c r="HW44" s="10" t="str">
        <f t="shared" si="200"/>
        <v xml:space="preserve"> </v>
      </c>
      <c r="HX44" s="10" t="str">
        <f t="shared" si="200"/>
        <v xml:space="preserve"> </v>
      </c>
      <c r="HY44" s="10" t="str">
        <f t="shared" si="200"/>
        <v xml:space="preserve"> </v>
      </c>
      <c r="HZ44" s="10" t="str">
        <f t="shared" si="200"/>
        <v xml:space="preserve"> </v>
      </c>
      <c r="IC44" s="10" t="str">
        <f t="shared" si="201"/>
        <v xml:space="preserve"> </v>
      </c>
      <c r="ID44" s="10" t="str">
        <f t="shared" si="201"/>
        <v xml:space="preserve"> </v>
      </c>
      <c r="IE44" s="10" t="str">
        <f t="shared" si="201"/>
        <v xml:space="preserve"> </v>
      </c>
      <c r="IF44" s="10" t="str">
        <f t="shared" si="201"/>
        <v xml:space="preserve"> </v>
      </c>
      <c r="IG44" s="10" t="str">
        <f t="shared" si="201"/>
        <v xml:space="preserve"> </v>
      </c>
      <c r="IJ44" s="10" t="str">
        <f t="shared" si="202"/>
        <v xml:space="preserve"> </v>
      </c>
      <c r="IK44" s="10" t="str">
        <f t="shared" si="202"/>
        <v xml:space="preserve"> </v>
      </c>
      <c r="IL44" s="10" t="str">
        <f t="shared" si="202"/>
        <v xml:space="preserve"> </v>
      </c>
      <c r="IM44" s="10" t="str">
        <f t="shared" si="202"/>
        <v xml:space="preserve"> </v>
      </c>
      <c r="IN44" s="10" t="str">
        <f t="shared" si="202"/>
        <v xml:space="preserve"> </v>
      </c>
      <c r="IQ44" s="10" t="str">
        <f t="shared" si="203"/>
        <v xml:space="preserve"> </v>
      </c>
      <c r="IR44" s="10" t="str">
        <f t="shared" si="203"/>
        <v xml:space="preserve"> </v>
      </c>
      <c r="IS44" s="10" t="str">
        <f t="shared" si="203"/>
        <v xml:space="preserve"> </v>
      </c>
      <c r="IT44" s="10" t="str">
        <f t="shared" si="203"/>
        <v xml:space="preserve"> </v>
      </c>
      <c r="IU44" s="10" t="str">
        <f t="shared" si="203"/>
        <v xml:space="preserve"> </v>
      </c>
      <c r="IX44" s="10" t="str">
        <f t="shared" si="204"/>
        <v xml:space="preserve"> </v>
      </c>
      <c r="IY44" s="10" t="str">
        <f t="shared" si="204"/>
        <v xml:space="preserve"> </v>
      </c>
      <c r="IZ44" s="10" t="str">
        <f t="shared" si="204"/>
        <v xml:space="preserve"> </v>
      </c>
      <c r="JA44" s="10" t="str">
        <f t="shared" si="204"/>
        <v xml:space="preserve"> </v>
      </c>
      <c r="JB44" s="10" t="str">
        <f t="shared" si="204"/>
        <v xml:space="preserve"> </v>
      </c>
      <c r="JE44" s="10" t="str">
        <f t="shared" si="205"/>
        <v xml:space="preserve"> </v>
      </c>
      <c r="JF44" s="10" t="str">
        <f t="shared" si="205"/>
        <v xml:space="preserve"> </v>
      </c>
      <c r="JG44" s="10" t="str">
        <f t="shared" si="205"/>
        <v xml:space="preserve"> </v>
      </c>
      <c r="JH44" s="10" t="str">
        <f t="shared" si="205"/>
        <v xml:space="preserve"> </v>
      </c>
      <c r="JI44" s="10" t="str">
        <f t="shared" si="205"/>
        <v xml:space="preserve"> </v>
      </c>
    </row>
    <row r="45" spans="1:269">
      <c r="A45" s="96"/>
      <c r="B45" s="10">
        <v>37</v>
      </c>
      <c r="C45" s="11" t="s">
        <v>63</v>
      </c>
      <c r="D45" s="11" t="s">
        <v>58</v>
      </c>
      <c r="E45" s="10">
        <v>35</v>
      </c>
      <c r="F45" s="12">
        <f t="shared" si="87"/>
        <v>42569</v>
      </c>
      <c r="G45" s="12">
        <f>WORKDAY(F45,H45-1,Config!D46:D65)</f>
        <v>42569</v>
      </c>
      <c r="H45" s="10">
        <v>1</v>
      </c>
      <c r="I45" s="13">
        <v>0</v>
      </c>
      <c r="J45" s="13">
        <f ca="1">IF(((NETWORKDAYS(F45,TODAY(),Data!C42:C61)*100)/H45)/100 &gt; 0,((NETWORKDAYS(F45,TODAY(),Data!C42:C61)*100)/H45)/100,0)</f>
        <v>1620</v>
      </c>
      <c r="K45" s="13" t="str">
        <f t="shared" ca="1" si="129"/>
        <v>100%</v>
      </c>
      <c r="L45" s="13">
        <f t="shared" ca="1" si="130"/>
        <v>1</v>
      </c>
      <c r="M45" s="10" t="str">
        <f t="shared" si="169"/>
        <v xml:space="preserve"> </v>
      </c>
      <c r="N45" s="10" t="str">
        <f t="shared" si="169"/>
        <v xml:space="preserve"> </v>
      </c>
      <c r="O45" s="10" t="str">
        <f t="shared" si="169"/>
        <v xml:space="preserve"> </v>
      </c>
      <c r="P45" s="10" t="str">
        <f t="shared" si="169"/>
        <v xml:space="preserve"> </v>
      </c>
      <c r="Q45" s="10" t="str">
        <f t="shared" si="169"/>
        <v xml:space="preserve"> </v>
      </c>
      <c r="R45" s="14"/>
      <c r="S45" s="14"/>
      <c r="T45" s="10" t="str">
        <f t="shared" si="170"/>
        <v xml:space="preserve"> </v>
      </c>
      <c r="U45" s="10" t="str">
        <f t="shared" si="170"/>
        <v xml:space="preserve"> </v>
      </c>
      <c r="V45" s="10" t="str">
        <f t="shared" si="170"/>
        <v xml:space="preserve"> </v>
      </c>
      <c r="W45" s="10" t="str">
        <f t="shared" si="170"/>
        <v xml:space="preserve"> </v>
      </c>
      <c r="X45" s="10" t="str">
        <f t="shared" si="170"/>
        <v xml:space="preserve"> </v>
      </c>
      <c r="Y45" s="14"/>
      <c r="Z45" s="14"/>
      <c r="AA45" s="10" t="str">
        <f t="shared" si="171"/>
        <v xml:space="preserve"> </v>
      </c>
      <c r="AB45" s="10" t="str">
        <f t="shared" si="171"/>
        <v xml:space="preserve"> </v>
      </c>
      <c r="AC45" s="10" t="str">
        <f t="shared" si="171"/>
        <v xml:space="preserve"> </v>
      </c>
      <c r="AD45" s="10" t="str">
        <f t="shared" si="171"/>
        <v xml:space="preserve"> </v>
      </c>
      <c r="AE45" s="10" t="str">
        <f t="shared" si="171"/>
        <v xml:space="preserve"> </v>
      </c>
      <c r="AF45" s="14"/>
      <c r="AG45" s="14"/>
      <c r="AH45" s="10" t="str">
        <f t="shared" si="172"/>
        <v xml:space="preserve"> </v>
      </c>
      <c r="AI45" s="10" t="str">
        <f t="shared" si="172"/>
        <v xml:space="preserve"> </v>
      </c>
      <c r="AJ45" s="10" t="str">
        <f t="shared" si="172"/>
        <v xml:space="preserve"> </v>
      </c>
      <c r="AK45" s="10" t="str">
        <f t="shared" si="172"/>
        <v xml:space="preserve"> </v>
      </c>
      <c r="AL45" s="10" t="str">
        <f t="shared" si="172"/>
        <v xml:space="preserve"> </v>
      </c>
      <c r="AM45" s="14"/>
      <c r="AN45" s="14"/>
      <c r="AO45" s="10" t="str">
        <f t="shared" si="173"/>
        <v xml:space="preserve"> </v>
      </c>
      <c r="AP45" s="10" t="str">
        <f t="shared" si="173"/>
        <v xml:space="preserve"> </v>
      </c>
      <c r="AQ45" s="10" t="str">
        <f t="shared" si="173"/>
        <v xml:space="preserve"> </v>
      </c>
      <c r="AR45" s="10" t="str">
        <f t="shared" si="173"/>
        <v xml:space="preserve"> </v>
      </c>
      <c r="AS45" s="10" t="str">
        <f t="shared" si="173"/>
        <v xml:space="preserve"> </v>
      </c>
      <c r="AT45" s="14"/>
      <c r="AU45" s="14"/>
      <c r="AV45" s="10" t="str">
        <f t="shared" si="174"/>
        <v xml:space="preserve"> </v>
      </c>
      <c r="AW45" s="10" t="str">
        <f t="shared" si="174"/>
        <v xml:space="preserve"> </v>
      </c>
      <c r="AX45" s="10" t="str">
        <f t="shared" si="174"/>
        <v xml:space="preserve"> </v>
      </c>
      <c r="AY45" s="10" t="str">
        <f t="shared" si="174"/>
        <v xml:space="preserve"> </v>
      </c>
      <c r="AZ45" s="10" t="str">
        <f t="shared" si="174"/>
        <v xml:space="preserve"> </v>
      </c>
      <c r="BA45" s="14"/>
      <c r="BB45" s="14"/>
      <c r="BC45" s="10" t="str">
        <f t="shared" si="175"/>
        <v xml:space="preserve"> </v>
      </c>
      <c r="BD45" s="10" t="str">
        <f t="shared" si="175"/>
        <v xml:space="preserve"> </v>
      </c>
      <c r="BE45" s="10" t="str">
        <f t="shared" si="175"/>
        <v xml:space="preserve"> </v>
      </c>
      <c r="BF45" s="10" t="str">
        <f t="shared" si="175"/>
        <v xml:space="preserve"> </v>
      </c>
      <c r="BG45" s="10" t="str">
        <f t="shared" si="175"/>
        <v xml:space="preserve"> </v>
      </c>
      <c r="BH45" s="14"/>
      <c r="BI45" s="14"/>
      <c r="BJ45" s="10" t="str">
        <f t="shared" si="176"/>
        <v xml:space="preserve"> </v>
      </c>
      <c r="BK45" s="10" t="str">
        <f t="shared" si="176"/>
        <v xml:space="preserve"> </v>
      </c>
      <c r="BL45" s="10" t="str">
        <f t="shared" si="176"/>
        <v xml:space="preserve"> </v>
      </c>
      <c r="BM45" s="10" t="str">
        <f t="shared" si="176"/>
        <v xml:space="preserve"> </v>
      </c>
      <c r="BN45" s="10" t="str">
        <f t="shared" si="176"/>
        <v xml:space="preserve"> </v>
      </c>
      <c r="BO45" s="14"/>
      <c r="BP45" s="14"/>
      <c r="BQ45" s="10" t="str">
        <f t="shared" si="177"/>
        <v xml:space="preserve"> </v>
      </c>
      <c r="BR45" s="10" t="str">
        <f t="shared" si="177"/>
        <v xml:space="preserve"> </v>
      </c>
      <c r="BS45" s="10" t="str">
        <f t="shared" si="177"/>
        <v xml:space="preserve"> </v>
      </c>
      <c r="BT45" s="10" t="str">
        <f t="shared" si="177"/>
        <v xml:space="preserve"> </v>
      </c>
      <c r="BU45" s="10" t="str">
        <f t="shared" si="177"/>
        <v xml:space="preserve"> </v>
      </c>
      <c r="BV45" s="14"/>
      <c r="BW45" s="14"/>
      <c r="BX45" s="10" t="str">
        <f t="shared" si="178"/>
        <v xml:space="preserve"> </v>
      </c>
      <c r="BY45" s="10" t="str">
        <f t="shared" si="178"/>
        <v xml:space="preserve"> </v>
      </c>
      <c r="BZ45" s="10" t="str">
        <f t="shared" si="178"/>
        <v xml:space="preserve"> </v>
      </c>
      <c r="CA45" s="10" t="str">
        <f t="shared" si="178"/>
        <v xml:space="preserve"> </v>
      </c>
      <c r="CB45" s="10" t="str">
        <f t="shared" si="178"/>
        <v xml:space="preserve"> </v>
      </c>
      <c r="CC45" s="14"/>
      <c r="CD45" s="14"/>
      <c r="CE45" s="10" t="str">
        <f t="shared" si="179"/>
        <v xml:space="preserve"> </v>
      </c>
      <c r="CF45" s="10" t="str">
        <f t="shared" si="179"/>
        <v xml:space="preserve"> </v>
      </c>
      <c r="CG45" s="10" t="str">
        <f t="shared" si="179"/>
        <v xml:space="preserve"> </v>
      </c>
      <c r="CH45" s="10" t="str">
        <f t="shared" si="179"/>
        <v xml:space="preserve"> </v>
      </c>
      <c r="CI45" s="10" t="str">
        <f t="shared" si="179"/>
        <v>.</v>
      </c>
      <c r="CJ45" s="14"/>
      <c r="CK45" s="14"/>
      <c r="CL45" s="10" t="str">
        <f t="shared" si="180"/>
        <v xml:space="preserve"> </v>
      </c>
      <c r="CM45" s="10" t="str">
        <f t="shared" si="180"/>
        <v xml:space="preserve"> </v>
      </c>
      <c r="CN45" s="10" t="str">
        <f t="shared" si="180"/>
        <v xml:space="preserve"> </v>
      </c>
      <c r="CO45" s="10" t="str">
        <f t="shared" si="180"/>
        <v xml:space="preserve"> </v>
      </c>
      <c r="CP45" s="10" t="str">
        <f t="shared" si="180"/>
        <v xml:space="preserve"> </v>
      </c>
      <c r="CQ45" s="14"/>
      <c r="CR45" s="14"/>
      <c r="CS45" s="10" t="str">
        <f t="shared" si="181"/>
        <v xml:space="preserve"> </v>
      </c>
      <c r="CT45" s="10" t="str">
        <f t="shared" si="181"/>
        <v xml:space="preserve"> </v>
      </c>
      <c r="CU45" s="10" t="str">
        <f t="shared" si="181"/>
        <v xml:space="preserve"> </v>
      </c>
      <c r="CV45" s="10" t="str">
        <f t="shared" si="181"/>
        <v xml:space="preserve"> </v>
      </c>
      <c r="CW45" s="10" t="str">
        <f t="shared" si="181"/>
        <v xml:space="preserve"> </v>
      </c>
      <c r="CZ45" s="10" t="str">
        <f t="shared" si="182"/>
        <v xml:space="preserve"> </v>
      </c>
      <c r="DA45" s="10" t="str">
        <f t="shared" si="182"/>
        <v xml:space="preserve"> </v>
      </c>
      <c r="DB45" s="10" t="str">
        <f t="shared" si="182"/>
        <v xml:space="preserve"> </v>
      </c>
      <c r="DC45" s="10" t="str">
        <f t="shared" si="182"/>
        <v xml:space="preserve"> </v>
      </c>
      <c r="DD45" s="10" t="str">
        <f t="shared" si="182"/>
        <v xml:space="preserve"> </v>
      </c>
      <c r="DG45" s="10" t="str">
        <f t="shared" si="183"/>
        <v xml:space="preserve"> </v>
      </c>
      <c r="DH45" s="10" t="str">
        <f t="shared" si="183"/>
        <v xml:space="preserve"> </v>
      </c>
      <c r="DI45" s="10" t="str">
        <f t="shared" si="183"/>
        <v xml:space="preserve"> </v>
      </c>
      <c r="DJ45" s="10" t="str">
        <f t="shared" si="183"/>
        <v xml:space="preserve"> </v>
      </c>
      <c r="DK45" s="10" t="str">
        <f t="shared" si="183"/>
        <v xml:space="preserve"> </v>
      </c>
      <c r="DN45" s="10" t="str">
        <f t="shared" si="184"/>
        <v xml:space="preserve"> </v>
      </c>
      <c r="DO45" s="10" t="str">
        <f t="shared" si="184"/>
        <v xml:space="preserve"> </v>
      </c>
      <c r="DP45" s="10" t="str">
        <f t="shared" si="184"/>
        <v xml:space="preserve"> </v>
      </c>
      <c r="DQ45" s="10" t="str">
        <f t="shared" si="184"/>
        <v xml:space="preserve"> </v>
      </c>
      <c r="DR45" s="10" t="str">
        <f t="shared" si="184"/>
        <v xml:space="preserve"> </v>
      </c>
      <c r="DU45" s="10" t="str">
        <f t="shared" si="185"/>
        <v xml:space="preserve"> </v>
      </c>
      <c r="DV45" s="10" t="str">
        <f t="shared" si="185"/>
        <v xml:space="preserve"> </v>
      </c>
      <c r="DW45" s="10" t="str">
        <f t="shared" si="185"/>
        <v xml:space="preserve"> </v>
      </c>
      <c r="DX45" s="10" t="str">
        <f t="shared" si="185"/>
        <v xml:space="preserve"> </v>
      </c>
      <c r="DY45" s="10" t="str">
        <f t="shared" si="185"/>
        <v xml:space="preserve"> </v>
      </c>
      <c r="EB45" s="10" t="str">
        <f t="shared" si="186"/>
        <v xml:space="preserve"> </v>
      </c>
      <c r="EC45" s="10" t="str">
        <f t="shared" si="186"/>
        <v xml:space="preserve"> </v>
      </c>
      <c r="ED45" s="10" t="str">
        <f t="shared" si="186"/>
        <v xml:space="preserve"> </v>
      </c>
      <c r="EE45" s="10" t="str">
        <f t="shared" si="186"/>
        <v xml:space="preserve"> </v>
      </c>
      <c r="EF45" s="10" t="str">
        <f t="shared" si="186"/>
        <v xml:space="preserve"> </v>
      </c>
      <c r="EI45" s="10" t="str">
        <f t="shared" si="187"/>
        <v xml:space="preserve"> </v>
      </c>
      <c r="EJ45" s="10" t="str">
        <f t="shared" si="187"/>
        <v xml:space="preserve"> </v>
      </c>
      <c r="EK45" s="10" t="str">
        <f t="shared" si="187"/>
        <v xml:space="preserve"> </v>
      </c>
      <c r="EL45" s="10" t="str">
        <f t="shared" si="187"/>
        <v xml:space="preserve"> </v>
      </c>
      <c r="EM45" s="10" t="str">
        <f t="shared" si="187"/>
        <v xml:space="preserve"> </v>
      </c>
      <c r="EP45" s="10" t="str">
        <f t="shared" si="188"/>
        <v xml:space="preserve"> </v>
      </c>
      <c r="EQ45" s="10" t="str">
        <f t="shared" si="188"/>
        <v xml:space="preserve"> </v>
      </c>
      <c r="ER45" s="10" t="str">
        <f t="shared" si="188"/>
        <v xml:space="preserve"> </v>
      </c>
      <c r="ES45" s="10" t="str">
        <f t="shared" si="188"/>
        <v xml:space="preserve"> </v>
      </c>
      <c r="ET45" s="10" t="str">
        <f t="shared" si="188"/>
        <v xml:space="preserve"> </v>
      </c>
      <c r="EW45" s="10" t="str">
        <f t="shared" si="189"/>
        <v xml:space="preserve"> </v>
      </c>
      <c r="EX45" s="10" t="str">
        <f t="shared" si="189"/>
        <v xml:space="preserve"> </v>
      </c>
      <c r="EY45" s="10" t="str">
        <f t="shared" si="189"/>
        <v xml:space="preserve"> </v>
      </c>
      <c r="EZ45" s="10" t="str">
        <f t="shared" si="189"/>
        <v xml:space="preserve"> </v>
      </c>
      <c r="FA45" s="10" t="str">
        <f t="shared" si="189"/>
        <v xml:space="preserve"> </v>
      </c>
      <c r="FD45" s="10" t="str">
        <f t="shared" si="190"/>
        <v xml:space="preserve"> </v>
      </c>
      <c r="FE45" s="10" t="str">
        <f t="shared" si="190"/>
        <v xml:space="preserve"> </v>
      </c>
      <c r="FF45" s="10" t="str">
        <f t="shared" si="190"/>
        <v xml:space="preserve"> </v>
      </c>
      <c r="FG45" s="10" t="str">
        <f t="shared" si="190"/>
        <v xml:space="preserve"> </v>
      </c>
      <c r="FH45" s="10" t="str">
        <f t="shared" si="190"/>
        <v xml:space="preserve"> </v>
      </c>
      <c r="FK45" s="10" t="str">
        <f t="shared" si="191"/>
        <v xml:space="preserve"> </v>
      </c>
      <c r="FL45" s="10" t="str">
        <f t="shared" si="191"/>
        <v xml:space="preserve"> </v>
      </c>
      <c r="FM45" s="10" t="str">
        <f t="shared" si="191"/>
        <v xml:space="preserve"> </v>
      </c>
      <c r="FN45" s="10" t="str">
        <f t="shared" si="191"/>
        <v xml:space="preserve"> </v>
      </c>
      <c r="FO45" s="10" t="str">
        <f t="shared" si="191"/>
        <v xml:space="preserve"> </v>
      </c>
      <c r="FR45" s="10" t="str">
        <f t="shared" si="192"/>
        <v xml:space="preserve"> </v>
      </c>
      <c r="FS45" s="10" t="str">
        <f t="shared" si="192"/>
        <v xml:space="preserve"> </v>
      </c>
      <c r="FT45" s="10" t="str">
        <f t="shared" si="192"/>
        <v xml:space="preserve"> </v>
      </c>
      <c r="FU45" s="10" t="str">
        <f t="shared" si="192"/>
        <v xml:space="preserve"> </v>
      </c>
      <c r="FV45" s="10" t="str">
        <f t="shared" si="192"/>
        <v xml:space="preserve"> </v>
      </c>
      <c r="FY45" s="10" t="str">
        <f t="shared" si="193"/>
        <v xml:space="preserve"> </v>
      </c>
      <c r="FZ45" s="10" t="str">
        <f t="shared" si="193"/>
        <v xml:space="preserve"> </v>
      </c>
      <c r="GA45" s="10" t="str">
        <f t="shared" si="193"/>
        <v xml:space="preserve"> </v>
      </c>
      <c r="GB45" s="10" t="str">
        <f t="shared" si="193"/>
        <v xml:space="preserve"> </v>
      </c>
      <c r="GC45" s="10" t="str">
        <f t="shared" si="193"/>
        <v xml:space="preserve"> </v>
      </c>
      <c r="GF45" s="10" t="str">
        <f t="shared" si="194"/>
        <v xml:space="preserve"> </v>
      </c>
      <c r="GG45" s="10" t="str">
        <f t="shared" si="194"/>
        <v xml:space="preserve"> </v>
      </c>
      <c r="GH45" s="10" t="str">
        <f t="shared" si="194"/>
        <v xml:space="preserve"> </v>
      </c>
      <c r="GI45" s="10" t="str">
        <f t="shared" si="194"/>
        <v xml:space="preserve"> </v>
      </c>
      <c r="GJ45" s="10" t="str">
        <f t="shared" si="194"/>
        <v xml:space="preserve"> </v>
      </c>
      <c r="GM45" s="10" t="str">
        <f t="shared" si="195"/>
        <v xml:space="preserve"> </v>
      </c>
      <c r="GN45" s="10" t="str">
        <f t="shared" si="195"/>
        <v xml:space="preserve"> </v>
      </c>
      <c r="GO45" s="10" t="str">
        <f t="shared" si="195"/>
        <v xml:space="preserve"> </v>
      </c>
      <c r="GP45" s="10" t="str">
        <f t="shared" si="195"/>
        <v xml:space="preserve"> </v>
      </c>
      <c r="GQ45" s="10" t="str">
        <f t="shared" si="195"/>
        <v xml:space="preserve"> </v>
      </c>
      <c r="GT45" s="10" t="str">
        <f t="shared" si="196"/>
        <v xml:space="preserve"> </v>
      </c>
      <c r="GU45" s="10" t="str">
        <f t="shared" si="196"/>
        <v xml:space="preserve"> </v>
      </c>
      <c r="GV45" s="10" t="str">
        <f t="shared" si="196"/>
        <v xml:space="preserve"> </v>
      </c>
      <c r="GW45" s="10" t="str">
        <f t="shared" si="196"/>
        <v xml:space="preserve"> </v>
      </c>
      <c r="GX45" s="10" t="str">
        <f t="shared" si="196"/>
        <v xml:space="preserve"> </v>
      </c>
      <c r="HA45" s="10" t="str">
        <f t="shared" si="197"/>
        <v xml:space="preserve"> </v>
      </c>
      <c r="HB45" s="10" t="str">
        <f t="shared" si="197"/>
        <v xml:space="preserve"> </v>
      </c>
      <c r="HC45" s="10" t="str">
        <f t="shared" si="197"/>
        <v xml:space="preserve"> </v>
      </c>
      <c r="HD45" s="10" t="str">
        <f t="shared" si="197"/>
        <v xml:space="preserve"> </v>
      </c>
      <c r="HE45" s="10" t="str">
        <f t="shared" si="197"/>
        <v xml:space="preserve"> </v>
      </c>
      <c r="HH45" s="10" t="str">
        <f t="shared" si="198"/>
        <v xml:space="preserve"> </v>
      </c>
      <c r="HI45" s="10" t="str">
        <f t="shared" si="198"/>
        <v xml:space="preserve"> </v>
      </c>
      <c r="HJ45" s="10" t="str">
        <f t="shared" si="198"/>
        <v xml:space="preserve"> </v>
      </c>
      <c r="HK45" s="10" t="str">
        <f t="shared" si="198"/>
        <v xml:space="preserve"> </v>
      </c>
      <c r="HL45" s="10" t="str">
        <f t="shared" si="198"/>
        <v xml:space="preserve"> </v>
      </c>
      <c r="HO45" s="10" t="str">
        <f t="shared" si="199"/>
        <v xml:space="preserve"> </v>
      </c>
      <c r="HP45" s="10" t="str">
        <f t="shared" si="199"/>
        <v xml:space="preserve"> </v>
      </c>
      <c r="HQ45" s="10" t="str">
        <f t="shared" si="199"/>
        <v xml:space="preserve"> </v>
      </c>
      <c r="HR45" s="10" t="str">
        <f t="shared" si="199"/>
        <v xml:space="preserve"> </v>
      </c>
      <c r="HS45" s="10" t="str">
        <f t="shared" si="199"/>
        <v xml:space="preserve"> </v>
      </c>
      <c r="HV45" s="10" t="str">
        <f t="shared" si="200"/>
        <v xml:space="preserve"> </v>
      </c>
      <c r="HW45" s="10" t="str">
        <f t="shared" si="200"/>
        <v xml:space="preserve"> </v>
      </c>
      <c r="HX45" s="10" t="str">
        <f t="shared" si="200"/>
        <v xml:space="preserve"> </v>
      </c>
      <c r="HY45" s="10" t="str">
        <f t="shared" si="200"/>
        <v xml:space="preserve"> </v>
      </c>
      <c r="HZ45" s="10" t="str">
        <f t="shared" si="200"/>
        <v xml:space="preserve"> </v>
      </c>
      <c r="IC45" s="10" t="str">
        <f t="shared" si="201"/>
        <v xml:space="preserve"> </v>
      </c>
      <c r="ID45" s="10" t="str">
        <f t="shared" si="201"/>
        <v xml:space="preserve"> </v>
      </c>
      <c r="IE45" s="10" t="str">
        <f t="shared" si="201"/>
        <v xml:space="preserve"> </v>
      </c>
      <c r="IF45" s="10" t="str">
        <f t="shared" si="201"/>
        <v xml:space="preserve"> </v>
      </c>
      <c r="IG45" s="10" t="str">
        <f t="shared" si="201"/>
        <v xml:space="preserve"> </v>
      </c>
      <c r="IJ45" s="10" t="str">
        <f t="shared" si="202"/>
        <v xml:space="preserve"> </v>
      </c>
      <c r="IK45" s="10" t="str">
        <f t="shared" si="202"/>
        <v xml:space="preserve"> </v>
      </c>
      <c r="IL45" s="10" t="str">
        <f t="shared" si="202"/>
        <v xml:space="preserve"> </v>
      </c>
      <c r="IM45" s="10" t="str">
        <f t="shared" si="202"/>
        <v xml:space="preserve"> </v>
      </c>
      <c r="IN45" s="10" t="str">
        <f t="shared" si="202"/>
        <v xml:space="preserve"> </v>
      </c>
      <c r="IQ45" s="10" t="str">
        <f t="shared" si="203"/>
        <v xml:space="preserve"> </v>
      </c>
      <c r="IR45" s="10" t="str">
        <f t="shared" si="203"/>
        <v xml:space="preserve"> </v>
      </c>
      <c r="IS45" s="10" t="str">
        <f t="shared" si="203"/>
        <v xml:space="preserve"> </v>
      </c>
      <c r="IT45" s="10" t="str">
        <f t="shared" si="203"/>
        <v xml:space="preserve"> </v>
      </c>
      <c r="IU45" s="10" t="str">
        <f t="shared" si="203"/>
        <v xml:space="preserve"> </v>
      </c>
      <c r="IX45" s="10" t="str">
        <f t="shared" si="204"/>
        <v xml:space="preserve"> </v>
      </c>
      <c r="IY45" s="10" t="str">
        <f t="shared" si="204"/>
        <v xml:space="preserve"> </v>
      </c>
      <c r="IZ45" s="10" t="str">
        <f t="shared" si="204"/>
        <v xml:space="preserve"> </v>
      </c>
      <c r="JA45" s="10" t="str">
        <f t="shared" si="204"/>
        <v xml:space="preserve"> </v>
      </c>
      <c r="JB45" s="10" t="str">
        <f t="shared" si="204"/>
        <v xml:space="preserve"> </v>
      </c>
      <c r="JE45" s="10" t="str">
        <f t="shared" si="205"/>
        <v xml:space="preserve"> </v>
      </c>
      <c r="JF45" s="10" t="str">
        <f t="shared" si="205"/>
        <v xml:space="preserve"> </v>
      </c>
      <c r="JG45" s="10" t="str">
        <f t="shared" si="205"/>
        <v xml:space="preserve"> </v>
      </c>
      <c r="JH45" s="10" t="str">
        <f t="shared" si="205"/>
        <v xml:space="preserve"> </v>
      </c>
      <c r="JI45" s="10" t="str">
        <f t="shared" si="205"/>
        <v xml:space="preserve"> </v>
      </c>
    </row>
    <row r="46" spans="1:269">
      <c r="A46" s="96"/>
      <c r="B46" s="10">
        <v>38</v>
      </c>
      <c r="C46" s="11" t="s">
        <v>64</v>
      </c>
      <c r="D46" s="11" t="s">
        <v>58</v>
      </c>
      <c r="E46" s="10">
        <v>36</v>
      </c>
      <c r="F46" s="12">
        <f t="shared" si="87"/>
        <v>42543</v>
      </c>
      <c r="G46" s="12">
        <f>WORKDAY(F46,H46-1,Config!D47:D66)</f>
        <v>42545</v>
      </c>
      <c r="H46" s="10">
        <v>3</v>
      </c>
      <c r="I46" s="13">
        <v>0</v>
      </c>
      <c r="J46" s="13">
        <f ca="1">IF(((NETWORKDAYS(F46,TODAY(),Data!C43:C62)*100)/H46)/100 &gt; 0,((NETWORKDAYS(F46,TODAY(),Data!C43:C62)*100)/H46)/100,0)</f>
        <v>546</v>
      </c>
      <c r="K46" s="13" t="str">
        <f t="shared" ca="1" si="129"/>
        <v>100%</v>
      </c>
      <c r="L46" s="13">
        <f t="shared" ca="1" si="130"/>
        <v>1</v>
      </c>
      <c r="M46" s="10" t="str">
        <f t="shared" si="169"/>
        <v xml:space="preserve"> </v>
      </c>
      <c r="N46" s="10" t="str">
        <f t="shared" si="169"/>
        <v xml:space="preserve"> </v>
      </c>
      <c r="O46" s="10" t="str">
        <f t="shared" si="169"/>
        <v xml:space="preserve"> </v>
      </c>
      <c r="P46" s="10" t="str">
        <f t="shared" si="169"/>
        <v xml:space="preserve"> </v>
      </c>
      <c r="Q46" s="10" t="str">
        <f t="shared" si="169"/>
        <v xml:space="preserve"> </v>
      </c>
      <c r="R46" s="14"/>
      <c r="S46" s="14"/>
      <c r="T46" s="10" t="str">
        <f t="shared" si="170"/>
        <v xml:space="preserve"> </v>
      </c>
      <c r="U46" s="10" t="str">
        <f t="shared" si="170"/>
        <v xml:space="preserve"> </v>
      </c>
      <c r="V46" s="10" t="str">
        <f t="shared" si="170"/>
        <v xml:space="preserve"> </v>
      </c>
      <c r="W46" s="10" t="str">
        <f t="shared" si="170"/>
        <v xml:space="preserve"> </v>
      </c>
      <c r="X46" s="10" t="str">
        <f t="shared" si="170"/>
        <v xml:space="preserve"> </v>
      </c>
      <c r="Y46" s="14"/>
      <c r="Z46" s="14"/>
      <c r="AA46" s="10" t="str">
        <f t="shared" si="171"/>
        <v xml:space="preserve"> </v>
      </c>
      <c r="AB46" s="10" t="str">
        <f t="shared" si="171"/>
        <v xml:space="preserve"> </v>
      </c>
      <c r="AC46" s="10" t="str">
        <f t="shared" si="171"/>
        <v xml:space="preserve"> </v>
      </c>
      <c r="AD46" s="10" t="str">
        <f t="shared" si="171"/>
        <v xml:space="preserve"> </v>
      </c>
      <c r="AE46" s="10" t="str">
        <f t="shared" si="171"/>
        <v xml:space="preserve"> </v>
      </c>
      <c r="AF46" s="14"/>
      <c r="AG46" s="14"/>
      <c r="AH46" s="10" t="str">
        <f t="shared" si="172"/>
        <v xml:space="preserve"> </v>
      </c>
      <c r="AI46" s="10" t="str">
        <f t="shared" si="172"/>
        <v xml:space="preserve"> </v>
      </c>
      <c r="AJ46" s="10" t="str">
        <f t="shared" si="172"/>
        <v xml:space="preserve"> </v>
      </c>
      <c r="AK46" s="10" t="str">
        <f t="shared" si="172"/>
        <v xml:space="preserve"> </v>
      </c>
      <c r="AL46" s="10" t="str">
        <f t="shared" si="172"/>
        <v xml:space="preserve"> </v>
      </c>
      <c r="AM46" s="14"/>
      <c r="AN46" s="14"/>
      <c r="AO46" s="10" t="str">
        <f t="shared" si="173"/>
        <v xml:space="preserve"> </v>
      </c>
      <c r="AP46" s="10" t="str">
        <f t="shared" si="173"/>
        <v xml:space="preserve"> </v>
      </c>
      <c r="AQ46" s="10" t="str">
        <f t="shared" si="173"/>
        <v xml:space="preserve"> </v>
      </c>
      <c r="AR46" s="10" t="str">
        <f t="shared" si="173"/>
        <v xml:space="preserve"> </v>
      </c>
      <c r="AS46" s="10" t="str">
        <f t="shared" si="173"/>
        <v xml:space="preserve"> </v>
      </c>
      <c r="AT46" s="14"/>
      <c r="AU46" s="14"/>
      <c r="AV46" s="10" t="str">
        <f t="shared" si="174"/>
        <v xml:space="preserve"> </v>
      </c>
      <c r="AW46" s="10" t="str">
        <f t="shared" si="174"/>
        <v xml:space="preserve"> </v>
      </c>
      <c r="AX46" s="10" t="str">
        <f t="shared" si="174"/>
        <v xml:space="preserve"> </v>
      </c>
      <c r="AY46" s="10" t="str">
        <f t="shared" si="174"/>
        <v xml:space="preserve"> </v>
      </c>
      <c r="AZ46" s="10" t="str">
        <f t="shared" si="174"/>
        <v xml:space="preserve"> </v>
      </c>
      <c r="BA46" s="14"/>
      <c r="BB46" s="14"/>
      <c r="BC46" s="10" t="str">
        <f t="shared" si="175"/>
        <v xml:space="preserve"> </v>
      </c>
      <c r="BD46" s="10" t="str">
        <f t="shared" si="175"/>
        <v xml:space="preserve"> </v>
      </c>
      <c r="BE46" s="10" t="str">
        <f t="shared" si="175"/>
        <v xml:space="preserve"> </v>
      </c>
      <c r="BF46" s="10" t="str">
        <f t="shared" si="175"/>
        <v xml:space="preserve"> </v>
      </c>
      <c r="BG46" s="10" t="str">
        <f t="shared" si="175"/>
        <v xml:space="preserve"> </v>
      </c>
      <c r="BH46" s="14"/>
      <c r="BI46" s="14"/>
      <c r="BJ46" s="10" t="str">
        <f t="shared" si="176"/>
        <v>.</v>
      </c>
      <c r="BK46" s="10" t="str">
        <f t="shared" si="176"/>
        <v>.</v>
      </c>
      <c r="BL46" s="10" t="str">
        <f t="shared" si="176"/>
        <v xml:space="preserve"> </v>
      </c>
      <c r="BM46" s="10" t="str">
        <f t="shared" si="176"/>
        <v xml:space="preserve"> </v>
      </c>
      <c r="BN46" s="10" t="str">
        <f t="shared" si="176"/>
        <v xml:space="preserve"> </v>
      </c>
      <c r="BO46" s="14"/>
      <c r="BP46" s="14"/>
      <c r="BQ46" s="10" t="str">
        <f t="shared" si="177"/>
        <v xml:space="preserve"> </v>
      </c>
      <c r="BR46" s="10" t="str">
        <f t="shared" si="177"/>
        <v xml:space="preserve"> </v>
      </c>
      <c r="BS46" s="10" t="str">
        <f t="shared" si="177"/>
        <v xml:space="preserve"> </v>
      </c>
      <c r="BT46" s="10" t="str">
        <f t="shared" si="177"/>
        <v xml:space="preserve"> </v>
      </c>
      <c r="BU46" s="10" t="str">
        <f t="shared" si="177"/>
        <v xml:space="preserve"> </v>
      </c>
      <c r="BV46" s="14"/>
      <c r="BW46" s="14"/>
      <c r="BX46" s="10" t="str">
        <f t="shared" si="178"/>
        <v xml:space="preserve"> </v>
      </c>
      <c r="BY46" s="10" t="str">
        <f t="shared" si="178"/>
        <v xml:space="preserve"> </v>
      </c>
      <c r="BZ46" s="10" t="str">
        <f t="shared" si="178"/>
        <v xml:space="preserve"> </v>
      </c>
      <c r="CA46" s="10" t="str">
        <f t="shared" si="178"/>
        <v xml:space="preserve"> </v>
      </c>
      <c r="CB46" s="10" t="str">
        <f t="shared" si="178"/>
        <v xml:space="preserve"> </v>
      </c>
      <c r="CC46" s="14"/>
      <c r="CD46" s="14"/>
      <c r="CE46" s="10" t="str">
        <f t="shared" si="179"/>
        <v xml:space="preserve"> </v>
      </c>
      <c r="CF46" s="10" t="str">
        <f t="shared" si="179"/>
        <v xml:space="preserve"> </v>
      </c>
      <c r="CG46" s="10" t="str">
        <f t="shared" si="179"/>
        <v xml:space="preserve"> </v>
      </c>
      <c r="CH46" s="10" t="str">
        <f t="shared" si="179"/>
        <v xml:space="preserve"> </v>
      </c>
      <c r="CI46" s="10" t="str">
        <f t="shared" si="179"/>
        <v xml:space="preserve"> </v>
      </c>
      <c r="CJ46" s="14"/>
      <c r="CK46" s="14"/>
      <c r="CL46" s="10" t="str">
        <f t="shared" si="180"/>
        <v xml:space="preserve"> </v>
      </c>
      <c r="CM46" s="10" t="str">
        <f t="shared" si="180"/>
        <v xml:space="preserve"> </v>
      </c>
      <c r="CN46" s="10" t="str">
        <f t="shared" si="180"/>
        <v xml:space="preserve"> </v>
      </c>
      <c r="CO46" s="10" t="str">
        <f t="shared" si="180"/>
        <v xml:space="preserve"> </v>
      </c>
      <c r="CP46" s="10" t="str">
        <f t="shared" si="180"/>
        <v xml:space="preserve"> </v>
      </c>
      <c r="CQ46" s="14"/>
      <c r="CR46" s="14"/>
      <c r="CS46" s="10" t="str">
        <f t="shared" si="181"/>
        <v xml:space="preserve"> </v>
      </c>
      <c r="CT46" s="10" t="str">
        <f t="shared" si="181"/>
        <v xml:space="preserve"> </v>
      </c>
      <c r="CU46" s="10" t="str">
        <f t="shared" si="181"/>
        <v xml:space="preserve"> </v>
      </c>
      <c r="CV46" s="10" t="str">
        <f t="shared" si="181"/>
        <v xml:space="preserve"> </v>
      </c>
      <c r="CW46" s="10" t="str">
        <f t="shared" si="181"/>
        <v xml:space="preserve"> </v>
      </c>
      <c r="CZ46" s="10" t="str">
        <f t="shared" si="182"/>
        <v xml:space="preserve"> </v>
      </c>
      <c r="DA46" s="10" t="str">
        <f t="shared" si="182"/>
        <v xml:space="preserve"> </v>
      </c>
      <c r="DB46" s="10" t="str">
        <f t="shared" si="182"/>
        <v xml:space="preserve"> </v>
      </c>
      <c r="DC46" s="10" t="str">
        <f t="shared" si="182"/>
        <v xml:space="preserve"> </v>
      </c>
      <c r="DD46" s="10" t="str">
        <f t="shared" si="182"/>
        <v xml:space="preserve"> </v>
      </c>
      <c r="DG46" s="10" t="str">
        <f t="shared" si="183"/>
        <v xml:space="preserve"> </v>
      </c>
      <c r="DH46" s="10" t="str">
        <f t="shared" si="183"/>
        <v xml:space="preserve"> </v>
      </c>
      <c r="DI46" s="10" t="str">
        <f t="shared" si="183"/>
        <v xml:space="preserve"> </v>
      </c>
      <c r="DJ46" s="10" t="str">
        <f t="shared" si="183"/>
        <v xml:space="preserve"> </v>
      </c>
      <c r="DK46" s="10" t="str">
        <f t="shared" si="183"/>
        <v xml:space="preserve"> </v>
      </c>
      <c r="DN46" s="10" t="str">
        <f t="shared" si="184"/>
        <v xml:space="preserve"> </v>
      </c>
      <c r="DO46" s="10" t="str">
        <f t="shared" si="184"/>
        <v xml:space="preserve"> </v>
      </c>
      <c r="DP46" s="10" t="str">
        <f t="shared" si="184"/>
        <v xml:space="preserve"> </v>
      </c>
      <c r="DQ46" s="10" t="str">
        <f t="shared" si="184"/>
        <v xml:space="preserve"> </v>
      </c>
      <c r="DR46" s="10" t="str">
        <f t="shared" si="184"/>
        <v xml:space="preserve"> </v>
      </c>
      <c r="DU46" s="10" t="str">
        <f t="shared" si="185"/>
        <v xml:space="preserve"> </v>
      </c>
      <c r="DV46" s="10" t="str">
        <f t="shared" si="185"/>
        <v xml:space="preserve"> </v>
      </c>
      <c r="DW46" s="10" t="str">
        <f t="shared" si="185"/>
        <v xml:space="preserve"> </v>
      </c>
      <c r="DX46" s="10" t="str">
        <f t="shared" si="185"/>
        <v xml:space="preserve"> </v>
      </c>
      <c r="DY46" s="10" t="str">
        <f t="shared" si="185"/>
        <v xml:space="preserve"> </v>
      </c>
      <c r="EB46" s="10" t="str">
        <f t="shared" si="186"/>
        <v xml:space="preserve"> </v>
      </c>
      <c r="EC46" s="10" t="str">
        <f t="shared" si="186"/>
        <v xml:space="preserve"> </v>
      </c>
      <c r="ED46" s="10" t="str">
        <f t="shared" si="186"/>
        <v xml:space="preserve"> </v>
      </c>
      <c r="EE46" s="10" t="str">
        <f t="shared" si="186"/>
        <v xml:space="preserve"> </v>
      </c>
      <c r="EF46" s="10" t="str">
        <f t="shared" si="186"/>
        <v xml:space="preserve"> </v>
      </c>
      <c r="EI46" s="10" t="str">
        <f t="shared" si="187"/>
        <v xml:space="preserve"> </v>
      </c>
      <c r="EJ46" s="10" t="str">
        <f t="shared" si="187"/>
        <v xml:space="preserve"> </v>
      </c>
      <c r="EK46" s="10" t="str">
        <f t="shared" si="187"/>
        <v xml:space="preserve"> </v>
      </c>
      <c r="EL46" s="10" t="str">
        <f t="shared" si="187"/>
        <v xml:space="preserve"> </v>
      </c>
      <c r="EM46" s="10" t="str">
        <f t="shared" si="187"/>
        <v xml:space="preserve"> </v>
      </c>
      <c r="EP46" s="10" t="str">
        <f t="shared" si="188"/>
        <v xml:space="preserve"> </v>
      </c>
      <c r="EQ46" s="10" t="str">
        <f t="shared" si="188"/>
        <v xml:space="preserve"> </v>
      </c>
      <c r="ER46" s="10" t="str">
        <f t="shared" si="188"/>
        <v xml:space="preserve"> </v>
      </c>
      <c r="ES46" s="10" t="str">
        <f t="shared" si="188"/>
        <v xml:space="preserve"> </v>
      </c>
      <c r="ET46" s="10" t="str">
        <f t="shared" si="188"/>
        <v xml:space="preserve"> </v>
      </c>
      <c r="EW46" s="10" t="str">
        <f t="shared" si="189"/>
        <v xml:space="preserve"> </v>
      </c>
      <c r="EX46" s="10" t="str">
        <f t="shared" si="189"/>
        <v xml:space="preserve"> </v>
      </c>
      <c r="EY46" s="10" t="str">
        <f t="shared" si="189"/>
        <v xml:space="preserve"> </v>
      </c>
      <c r="EZ46" s="10" t="str">
        <f t="shared" si="189"/>
        <v xml:space="preserve"> </v>
      </c>
      <c r="FA46" s="10" t="str">
        <f t="shared" si="189"/>
        <v xml:space="preserve"> </v>
      </c>
      <c r="FD46" s="10" t="str">
        <f t="shared" si="190"/>
        <v xml:space="preserve"> </v>
      </c>
      <c r="FE46" s="10" t="str">
        <f t="shared" si="190"/>
        <v xml:space="preserve"> </v>
      </c>
      <c r="FF46" s="10" t="str">
        <f t="shared" si="190"/>
        <v xml:space="preserve"> </v>
      </c>
      <c r="FG46" s="10" t="str">
        <f t="shared" si="190"/>
        <v xml:space="preserve"> </v>
      </c>
      <c r="FH46" s="10" t="str">
        <f t="shared" si="190"/>
        <v xml:space="preserve"> </v>
      </c>
      <c r="FK46" s="10" t="str">
        <f t="shared" si="191"/>
        <v xml:space="preserve"> </v>
      </c>
      <c r="FL46" s="10" t="str">
        <f t="shared" si="191"/>
        <v xml:space="preserve"> </v>
      </c>
      <c r="FM46" s="10" t="str">
        <f t="shared" si="191"/>
        <v xml:space="preserve"> </v>
      </c>
      <c r="FN46" s="10" t="str">
        <f t="shared" si="191"/>
        <v xml:space="preserve"> </v>
      </c>
      <c r="FO46" s="10" t="str">
        <f t="shared" si="191"/>
        <v xml:space="preserve"> </v>
      </c>
      <c r="FR46" s="10" t="str">
        <f t="shared" si="192"/>
        <v xml:space="preserve"> </v>
      </c>
      <c r="FS46" s="10" t="str">
        <f t="shared" si="192"/>
        <v xml:space="preserve"> </v>
      </c>
      <c r="FT46" s="10" t="str">
        <f t="shared" si="192"/>
        <v xml:space="preserve"> </v>
      </c>
      <c r="FU46" s="10" t="str">
        <f t="shared" si="192"/>
        <v xml:space="preserve"> </v>
      </c>
      <c r="FV46" s="10" t="str">
        <f t="shared" si="192"/>
        <v xml:space="preserve"> </v>
      </c>
      <c r="FY46" s="10" t="str">
        <f t="shared" si="193"/>
        <v xml:space="preserve"> </v>
      </c>
      <c r="FZ46" s="10" t="str">
        <f t="shared" si="193"/>
        <v xml:space="preserve"> </v>
      </c>
      <c r="GA46" s="10" t="str">
        <f t="shared" si="193"/>
        <v xml:space="preserve"> </v>
      </c>
      <c r="GB46" s="10" t="str">
        <f t="shared" si="193"/>
        <v xml:space="preserve"> </v>
      </c>
      <c r="GC46" s="10" t="str">
        <f t="shared" si="193"/>
        <v xml:space="preserve"> </v>
      </c>
      <c r="GF46" s="10" t="str">
        <f t="shared" si="194"/>
        <v xml:space="preserve"> </v>
      </c>
      <c r="GG46" s="10" t="str">
        <f t="shared" si="194"/>
        <v xml:space="preserve"> </v>
      </c>
      <c r="GH46" s="10" t="str">
        <f t="shared" si="194"/>
        <v xml:space="preserve"> </v>
      </c>
      <c r="GI46" s="10" t="str">
        <f t="shared" si="194"/>
        <v xml:space="preserve"> </v>
      </c>
      <c r="GJ46" s="10" t="str">
        <f t="shared" si="194"/>
        <v xml:space="preserve"> </v>
      </c>
      <c r="GM46" s="10" t="str">
        <f t="shared" si="195"/>
        <v xml:space="preserve"> </v>
      </c>
      <c r="GN46" s="10" t="str">
        <f t="shared" si="195"/>
        <v xml:space="preserve"> </v>
      </c>
      <c r="GO46" s="10" t="str">
        <f t="shared" si="195"/>
        <v xml:space="preserve"> </v>
      </c>
      <c r="GP46" s="10" t="str">
        <f t="shared" si="195"/>
        <v xml:space="preserve"> </v>
      </c>
      <c r="GQ46" s="10" t="str">
        <f t="shared" si="195"/>
        <v xml:space="preserve"> </v>
      </c>
      <c r="GT46" s="10" t="str">
        <f t="shared" si="196"/>
        <v xml:space="preserve"> </v>
      </c>
      <c r="GU46" s="10" t="str">
        <f t="shared" si="196"/>
        <v xml:space="preserve"> </v>
      </c>
      <c r="GV46" s="10" t="str">
        <f t="shared" si="196"/>
        <v xml:space="preserve"> </v>
      </c>
      <c r="GW46" s="10" t="str">
        <f t="shared" si="196"/>
        <v xml:space="preserve"> </v>
      </c>
      <c r="GX46" s="10" t="str">
        <f t="shared" si="196"/>
        <v xml:space="preserve"> </v>
      </c>
      <c r="HA46" s="10" t="str">
        <f t="shared" si="197"/>
        <v xml:space="preserve"> </v>
      </c>
      <c r="HB46" s="10" t="str">
        <f t="shared" si="197"/>
        <v xml:space="preserve"> </v>
      </c>
      <c r="HC46" s="10" t="str">
        <f t="shared" si="197"/>
        <v xml:space="preserve"> </v>
      </c>
      <c r="HD46" s="10" t="str">
        <f t="shared" si="197"/>
        <v xml:space="preserve"> </v>
      </c>
      <c r="HE46" s="10" t="str">
        <f t="shared" si="197"/>
        <v xml:space="preserve"> </v>
      </c>
      <c r="HH46" s="10" t="str">
        <f t="shared" si="198"/>
        <v xml:space="preserve"> </v>
      </c>
      <c r="HI46" s="10" t="str">
        <f t="shared" si="198"/>
        <v xml:space="preserve"> </v>
      </c>
      <c r="HJ46" s="10" t="str">
        <f t="shared" si="198"/>
        <v xml:space="preserve"> </v>
      </c>
      <c r="HK46" s="10" t="str">
        <f t="shared" si="198"/>
        <v xml:space="preserve"> </v>
      </c>
      <c r="HL46" s="10" t="str">
        <f t="shared" si="198"/>
        <v xml:space="preserve"> </v>
      </c>
      <c r="HO46" s="10" t="str">
        <f t="shared" si="199"/>
        <v xml:space="preserve"> </v>
      </c>
      <c r="HP46" s="10" t="str">
        <f t="shared" si="199"/>
        <v xml:space="preserve"> </v>
      </c>
      <c r="HQ46" s="10" t="str">
        <f t="shared" si="199"/>
        <v xml:space="preserve"> </v>
      </c>
      <c r="HR46" s="10" t="str">
        <f t="shared" si="199"/>
        <v xml:space="preserve"> </v>
      </c>
      <c r="HS46" s="10" t="str">
        <f t="shared" si="199"/>
        <v xml:space="preserve"> </v>
      </c>
      <c r="HV46" s="10" t="str">
        <f t="shared" si="200"/>
        <v xml:space="preserve"> </v>
      </c>
      <c r="HW46" s="10" t="str">
        <f t="shared" si="200"/>
        <v xml:space="preserve"> </v>
      </c>
      <c r="HX46" s="10" t="str">
        <f t="shared" si="200"/>
        <v xml:space="preserve"> </v>
      </c>
      <c r="HY46" s="10" t="str">
        <f t="shared" si="200"/>
        <v xml:space="preserve"> </v>
      </c>
      <c r="HZ46" s="10" t="str">
        <f t="shared" si="200"/>
        <v xml:space="preserve"> </v>
      </c>
      <c r="IC46" s="10" t="str">
        <f t="shared" si="201"/>
        <v xml:space="preserve"> </v>
      </c>
      <c r="ID46" s="10" t="str">
        <f t="shared" si="201"/>
        <v xml:space="preserve"> </v>
      </c>
      <c r="IE46" s="10" t="str">
        <f t="shared" si="201"/>
        <v xml:space="preserve"> </v>
      </c>
      <c r="IF46" s="10" t="str">
        <f t="shared" si="201"/>
        <v xml:space="preserve"> </v>
      </c>
      <c r="IG46" s="10" t="str">
        <f t="shared" si="201"/>
        <v xml:space="preserve"> </v>
      </c>
      <c r="IJ46" s="10" t="str">
        <f t="shared" si="202"/>
        <v xml:space="preserve"> </v>
      </c>
      <c r="IK46" s="10" t="str">
        <f t="shared" si="202"/>
        <v xml:space="preserve"> </v>
      </c>
      <c r="IL46" s="10" t="str">
        <f t="shared" si="202"/>
        <v xml:space="preserve"> </v>
      </c>
      <c r="IM46" s="10" t="str">
        <f t="shared" si="202"/>
        <v xml:space="preserve"> </v>
      </c>
      <c r="IN46" s="10" t="str">
        <f t="shared" si="202"/>
        <v xml:space="preserve"> </v>
      </c>
      <c r="IQ46" s="10" t="str">
        <f t="shared" si="203"/>
        <v xml:space="preserve"> </v>
      </c>
      <c r="IR46" s="10" t="str">
        <f t="shared" si="203"/>
        <v xml:space="preserve"> </v>
      </c>
      <c r="IS46" s="10" t="str">
        <f t="shared" si="203"/>
        <v xml:space="preserve"> </v>
      </c>
      <c r="IT46" s="10" t="str">
        <f t="shared" si="203"/>
        <v xml:space="preserve"> </v>
      </c>
      <c r="IU46" s="10" t="str">
        <f t="shared" si="203"/>
        <v xml:space="preserve"> </v>
      </c>
      <c r="IX46" s="10" t="str">
        <f t="shared" si="204"/>
        <v xml:space="preserve"> </v>
      </c>
      <c r="IY46" s="10" t="str">
        <f t="shared" si="204"/>
        <v xml:space="preserve"> </v>
      </c>
      <c r="IZ46" s="10" t="str">
        <f t="shared" si="204"/>
        <v xml:space="preserve"> </v>
      </c>
      <c r="JA46" s="10" t="str">
        <f t="shared" si="204"/>
        <v xml:space="preserve"> </v>
      </c>
      <c r="JB46" s="10" t="str">
        <f t="shared" si="204"/>
        <v xml:space="preserve"> </v>
      </c>
      <c r="JE46" s="10" t="str">
        <f t="shared" si="205"/>
        <v xml:space="preserve"> </v>
      </c>
      <c r="JF46" s="10" t="str">
        <f t="shared" si="205"/>
        <v xml:space="preserve"> </v>
      </c>
      <c r="JG46" s="10" t="str">
        <f t="shared" si="205"/>
        <v xml:space="preserve"> </v>
      </c>
      <c r="JH46" s="10" t="str">
        <f t="shared" si="205"/>
        <v xml:space="preserve"> </v>
      </c>
      <c r="JI46" s="10" t="str">
        <f t="shared" si="205"/>
        <v xml:space="preserve"> </v>
      </c>
    </row>
    <row r="47" spans="1:269">
      <c r="A47" s="96"/>
      <c r="B47" s="10">
        <v>39</v>
      </c>
      <c r="C47" s="11" t="s">
        <v>65</v>
      </c>
      <c r="D47" s="11" t="s">
        <v>58</v>
      </c>
      <c r="E47" s="10">
        <v>37</v>
      </c>
      <c r="F47" s="12">
        <f t="shared" si="87"/>
        <v>42570</v>
      </c>
      <c r="G47" s="12">
        <f>WORKDAY(F47,H47-1,Config!D48:D67)</f>
        <v>42570</v>
      </c>
      <c r="H47" s="10">
        <v>1</v>
      </c>
      <c r="I47" s="13">
        <v>0</v>
      </c>
      <c r="J47" s="13">
        <f ca="1">IF(((NETWORKDAYS(F47,TODAY(),Data!C44:C63)*100)/H47)/100 &gt; 0,((NETWORKDAYS(F47,TODAY(),Data!C44:C63)*100)/H47)/100,0)</f>
        <v>1619</v>
      </c>
      <c r="K47" s="13" t="str">
        <f t="shared" ca="1" si="129"/>
        <v>100%</v>
      </c>
      <c r="L47" s="13">
        <f t="shared" ca="1" si="130"/>
        <v>1</v>
      </c>
      <c r="M47" s="10" t="str">
        <f t="shared" si="169"/>
        <v xml:space="preserve"> </v>
      </c>
      <c r="N47" s="10" t="str">
        <f t="shared" si="169"/>
        <v xml:space="preserve"> </v>
      </c>
      <c r="O47" s="10" t="str">
        <f t="shared" si="169"/>
        <v xml:space="preserve"> </v>
      </c>
      <c r="P47" s="10" t="str">
        <f t="shared" si="169"/>
        <v xml:space="preserve"> </v>
      </c>
      <c r="Q47" s="10" t="str">
        <f t="shared" si="169"/>
        <v xml:space="preserve"> </v>
      </c>
      <c r="R47" s="14"/>
      <c r="S47" s="14"/>
      <c r="T47" s="10" t="str">
        <f t="shared" si="170"/>
        <v xml:space="preserve"> </v>
      </c>
      <c r="U47" s="10" t="str">
        <f t="shared" si="170"/>
        <v xml:space="preserve"> </v>
      </c>
      <c r="V47" s="10" t="str">
        <f t="shared" si="170"/>
        <v xml:space="preserve"> </v>
      </c>
      <c r="W47" s="10" t="str">
        <f t="shared" si="170"/>
        <v xml:space="preserve"> </v>
      </c>
      <c r="X47" s="10" t="str">
        <f t="shared" si="170"/>
        <v xml:space="preserve"> </v>
      </c>
      <c r="Y47" s="14"/>
      <c r="Z47" s="14"/>
      <c r="AA47" s="10" t="str">
        <f t="shared" si="171"/>
        <v xml:space="preserve"> </v>
      </c>
      <c r="AB47" s="10" t="str">
        <f t="shared" si="171"/>
        <v xml:space="preserve"> </v>
      </c>
      <c r="AC47" s="10" t="str">
        <f t="shared" si="171"/>
        <v xml:space="preserve"> </v>
      </c>
      <c r="AD47" s="10" t="str">
        <f t="shared" si="171"/>
        <v xml:space="preserve"> </v>
      </c>
      <c r="AE47" s="10" t="str">
        <f t="shared" si="171"/>
        <v xml:space="preserve"> </v>
      </c>
      <c r="AF47" s="14"/>
      <c r="AG47" s="14"/>
      <c r="AH47" s="10" t="str">
        <f t="shared" si="172"/>
        <v xml:space="preserve"> </v>
      </c>
      <c r="AI47" s="10" t="str">
        <f t="shared" si="172"/>
        <v xml:space="preserve"> </v>
      </c>
      <c r="AJ47" s="10" t="str">
        <f t="shared" si="172"/>
        <v xml:space="preserve"> </v>
      </c>
      <c r="AK47" s="10" t="str">
        <f t="shared" si="172"/>
        <v xml:space="preserve"> </v>
      </c>
      <c r="AL47" s="10" t="str">
        <f t="shared" si="172"/>
        <v xml:space="preserve"> </v>
      </c>
      <c r="AM47" s="14"/>
      <c r="AN47" s="14"/>
      <c r="AO47" s="10" t="str">
        <f t="shared" si="173"/>
        <v xml:space="preserve"> </v>
      </c>
      <c r="AP47" s="10" t="str">
        <f t="shared" si="173"/>
        <v xml:space="preserve"> </v>
      </c>
      <c r="AQ47" s="10" t="str">
        <f t="shared" si="173"/>
        <v xml:space="preserve"> </v>
      </c>
      <c r="AR47" s="10" t="str">
        <f t="shared" si="173"/>
        <v xml:space="preserve"> </v>
      </c>
      <c r="AS47" s="10" t="str">
        <f t="shared" si="173"/>
        <v xml:space="preserve"> </v>
      </c>
      <c r="AT47" s="14"/>
      <c r="AU47" s="14"/>
      <c r="AV47" s="10" t="str">
        <f t="shared" si="174"/>
        <v xml:space="preserve"> </v>
      </c>
      <c r="AW47" s="10" t="str">
        <f t="shared" si="174"/>
        <v xml:space="preserve"> </v>
      </c>
      <c r="AX47" s="10" t="str">
        <f t="shared" si="174"/>
        <v xml:space="preserve"> </v>
      </c>
      <c r="AY47" s="10" t="str">
        <f t="shared" si="174"/>
        <v xml:space="preserve"> </v>
      </c>
      <c r="AZ47" s="10" t="str">
        <f t="shared" si="174"/>
        <v xml:space="preserve"> </v>
      </c>
      <c r="BA47" s="14"/>
      <c r="BB47" s="14"/>
      <c r="BC47" s="10" t="str">
        <f t="shared" si="175"/>
        <v xml:space="preserve"> </v>
      </c>
      <c r="BD47" s="10" t="str">
        <f t="shared" si="175"/>
        <v xml:space="preserve"> </v>
      </c>
      <c r="BE47" s="10" t="str">
        <f t="shared" si="175"/>
        <v xml:space="preserve"> </v>
      </c>
      <c r="BF47" s="10" t="str">
        <f t="shared" si="175"/>
        <v xml:space="preserve"> </v>
      </c>
      <c r="BG47" s="10" t="str">
        <f t="shared" si="175"/>
        <v xml:space="preserve"> </v>
      </c>
      <c r="BH47" s="14"/>
      <c r="BI47" s="14"/>
      <c r="BJ47" s="10" t="str">
        <f t="shared" si="176"/>
        <v xml:space="preserve"> </v>
      </c>
      <c r="BK47" s="10" t="str">
        <f t="shared" si="176"/>
        <v xml:space="preserve"> </v>
      </c>
      <c r="BL47" s="10" t="str">
        <f t="shared" si="176"/>
        <v xml:space="preserve"> </v>
      </c>
      <c r="BM47" s="10" t="str">
        <f t="shared" si="176"/>
        <v xml:space="preserve"> </v>
      </c>
      <c r="BN47" s="10" t="str">
        <f t="shared" si="176"/>
        <v xml:space="preserve"> </v>
      </c>
      <c r="BO47" s="14"/>
      <c r="BP47" s="14"/>
      <c r="BQ47" s="10" t="str">
        <f t="shared" si="177"/>
        <v xml:space="preserve"> </v>
      </c>
      <c r="BR47" s="10" t="str">
        <f t="shared" si="177"/>
        <v xml:space="preserve"> </v>
      </c>
      <c r="BS47" s="10" t="str">
        <f t="shared" si="177"/>
        <v xml:space="preserve"> </v>
      </c>
      <c r="BT47" s="10" t="str">
        <f t="shared" si="177"/>
        <v xml:space="preserve"> </v>
      </c>
      <c r="BU47" s="10" t="str">
        <f t="shared" si="177"/>
        <v xml:space="preserve"> </v>
      </c>
      <c r="BV47" s="14"/>
      <c r="BW47" s="14"/>
      <c r="BX47" s="10" t="str">
        <f t="shared" si="178"/>
        <v xml:space="preserve"> </v>
      </c>
      <c r="BY47" s="10" t="str">
        <f t="shared" si="178"/>
        <v xml:space="preserve"> </v>
      </c>
      <c r="BZ47" s="10" t="str">
        <f t="shared" si="178"/>
        <v xml:space="preserve"> </v>
      </c>
      <c r="CA47" s="10" t="str">
        <f t="shared" si="178"/>
        <v xml:space="preserve"> </v>
      </c>
      <c r="CB47" s="10" t="str">
        <f t="shared" si="178"/>
        <v xml:space="preserve"> </v>
      </c>
      <c r="CC47" s="14"/>
      <c r="CD47" s="14"/>
      <c r="CE47" s="10" t="str">
        <f t="shared" si="179"/>
        <v xml:space="preserve"> </v>
      </c>
      <c r="CF47" s="10" t="str">
        <f t="shared" si="179"/>
        <v xml:space="preserve"> </v>
      </c>
      <c r="CG47" s="10" t="str">
        <f t="shared" si="179"/>
        <v xml:space="preserve"> </v>
      </c>
      <c r="CH47" s="10" t="str">
        <f t="shared" si="179"/>
        <v xml:space="preserve"> </v>
      </c>
      <c r="CI47" s="10" t="str">
        <f t="shared" si="179"/>
        <v xml:space="preserve"> </v>
      </c>
      <c r="CJ47" s="14"/>
      <c r="CK47" s="14"/>
      <c r="CL47" s="10" t="str">
        <f t="shared" si="180"/>
        <v xml:space="preserve"> </v>
      </c>
      <c r="CM47" s="10" t="str">
        <f t="shared" si="180"/>
        <v xml:space="preserve"> </v>
      </c>
      <c r="CN47" s="10" t="str">
        <f t="shared" si="180"/>
        <v xml:space="preserve"> </v>
      </c>
      <c r="CO47" s="10" t="str">
        <f t="shared" si="180"/>
        <v xml:space="preserve"> </v>
      </c>
      <c r="CP47" s="10" t="str">
        <f t="shared" si="180"/>
        <v xml:space="preserve"> </v>
      </c>
      <c r="CQ47" s="14"/>
      <c r="CR47" s="14"/>
      <c r="CS47" s="10" t="str">
        <f t="shared" si="181"/>
        <v xml:space="preserve"> </v>
      </c>
      <c r="CT47" s="10" t="str">
        <f t="shared" si="181"/>
        <v xml:space="preserve"> </v>
      </c>
      <c r="CU47" s="10" t="str">
        <f t="shared" si="181"/>
        <v xml:space="preserve"> </v>
      </c>
      <c r="CV47" s="10" t="str">
        <f t="shared" si="181"/>
        <v xml:space="preserve"> </v>
      </c>
      <c r="CW47" s="10" t="str">
        <f t="shared" si="181"/>
        <v xml:space="preserve"> </v>
      </c>
      <c r="CZ47" s="10" t="str">
        <f t="shared" si="182"/>
        <v xml:space="preserve"> </v>
      </c>
      <c r="DA47" s="10" t="str">
        <f t="shared" si="182"/>
        <v xml:space="preserve"> </v>
      </c>
      <c r="DB47" s="10" t="str">
        <f t="shared" si="182"/>
        <v xml:space="preserve"> </v>
      </c>
      <c r="DC47" s="10" t="str">
        <f t="shared" si="182"/>
        <v xml:space="preserve"> </v>
      </c>
      <c r="DD47" s="10" t="str">
        <f t="shared" si="182"/>
        <v xml:space="preserve"> </v>
      </c>
      <c r="DG47" s="10" t="str">
        <f t="shared" si="183"/>
        <v xml:space="preserve"> </v>
      </c>
      <c r="DH47" s="10" t="str">
        <f t="shared" si="183"/>
        <v xml:space="preserve"> </v>
      </c>
      <c r="DI47" s="10" t="str">
        <f t="shared" si="183"/>
        <v xml:space="preserve"> </v>
      </c>
      <c r="DJ47" s="10" t="str">
        <f t="shared" si="183"/>
        <v xml:space="preserve"> </v>
      </c>
      <c r="DK47" s="10" t="str">
        <f t="shared" si="183"/>
        <v xml:space="preserve"> </v>
      </c>
      <c r="DN47" s="10" t="str">
        <f t="shared" si="184"/>
        <v xml:space="preserve"> </v>
      </c>
      <c r="DO47" s="10" t="str">
        <f t="shared" si="184"/>
        <v xml:space="preserve"> </v>
      </c>
      <c r="DP47" s="10" t="str">
        <f t="shared" si="184"/>
        <v xml:space="preserve"> </v>
      </c>
      <c r="DQ47" s="10" t="str">
        <f t="shared" si="184"/>
        <v xml:space="preserve"> </v>
      </c>
      <c r="DR47" s="10" t="str">
        <f t="shared" si="184"/>
        <v xml:space="preserve"> </v>
      </c>
      <c r="DU47" s="10" t="str">
        <f t="shared" si="185"/>
        <v xml:space="preserve"> </v>
      </c>
      <c r="DV47" s="10" t="str">
        <f t="shared" si="185"/>
        <v xml:space="preserve"> </v>
      </c>
      <c r="DW47" s="10" t="str">
        <f t="shared" si="185"/>
        <v xml:space="preserve"> </v>
      </c>
      <c r="DX47" s="10" t="str">
        <f t="shared" si="185"/>
        <v xml:space="preserve"> </v>
      </c>
      <c r="DY47" s="10" t="str">
        <f t="shared" si="185"/>
        <v xml:space="preserve"> </v>
      </c>
      <c r="EB47" s="10" t="str">
        <f t="shared" si="186"/>
        <v xml:space="preserve"> </v>
      </c>
      <c r="EC47" s="10" t="str">
        <f t="shared" si="186"/>
        <v xml:space="preserve"> </v>
      </c>
      <c r="ED47" s="10" t="str">
        <f t="shared" si="186"/>
        <v xml:space="preserve"> </v>
      </c>
      <c r="EE47" s="10" t="str">
        <f t="shared" si="186"/>
        <v xml:space="preserve"> </v>
      </c>
      <c r="EF47" s="10" t="str">
        <f t="shared" si="186"/>
        <v xml:space="preserve"> </v>
      </c>
      <c r="EI47" s="10" t="str">
        <f t="shared" si="187"/>
        <v xml:space="preserve"> </v>
      </c>
      <c r="EJ47" s="10" t="str">
        <f t="shared" si="187"/>
        <v xml:space="preserve"> </v>
      </c>
      <c r="EK47" s="10" t="str">
        <f t="shared" si="187"/>
        <v xml:space="preserve"> </v>
      </c>
      <c r="EL47" s="10" t="str">
        <f t="shared" si="187"/>
        <v xml:space="preserve"> </v>
      </c>
      <c r="EM47" s="10" t="str">
        <f t="shared" si="187"/>
        <v xml:space="preserve"> </v>
      </c>
      <c r="EP47" s="10" t="str">
        <f t="shared" si="188"/>
        <v xml:space="preserve"> </v>
      </c>
      <c r="EQ47" s="10" t="str">
        <f t="shared" si="188"/>
        <v xml:space="preserve"> </v>
      </c>
      <c r="ER47" s="10" t="str">
        <f t="shared" si="188"/>
        <v xml:space="preserve"> </v>
      </c>
      <c r="ES47" s="10" t="str">
        <f t="shared" si="188"/>
        <v xml:space="preserve"> </v>
      </c>
      <c r="ET47" s="10" t="str">
        <f t="shared" si="188"/>
        <v xml:space="preserve"> </v>
      </c>
      <c r="EW47" s="10" t="str">
        <f t="shared" si="189"/>
        <v xml:space="preserve"> </v>
      </c>
      <c r="EX47" s="10" t="str">
        <f t="shared" si="189"/>
        <v xml:space="preserve"> </v>
      </c>
      <c r="EY47" s="10" t="str">
        <f t="shared" si="189"/>
        <v xml:space="preserve"> </v>
      </c>
      <c r="EZ47" s="10" t="str">
        <f t="shared" si="189"/>
        <v xml:space="preserve"> </v>
      </c>
      <c r="FA47" s="10" t="str">
        <f t="shared" si="189"/>
        <v xml:space="preserve"> </v>
      </c>
      <c r="FD47" s="10" t="str">
        <f t="shared" si="190"/>
        <v xml:space="preserve"> </v>
      </c>
      <c r="FE47" s="10" t="str">
        <f t="shared" si="190"/>
        <v xml:space="preserve"> </v>
      </c>
      <c r="FF47" s="10" t="str">
        <f t="shared" si="190"/>
        <v xml:space="preserve"> </v>
      </c>
      <c r="FG47" s="10" t="str">
        <f t="shared" si="190"/>
        <v xml:space="preserve"> </v>
      </c>
      <c r="FH47" s="10" t="str">
        <f t="shared" si="190"/>
        <v xml:space="preserve"> </v>
      </c>
      <c r="FK47" s="10" t="str">
        <f t="shared" si="191"/>
        <v xml:space="preserve"> </v>
      </c>
      <c r="FL47" s="10" t="str">
        <f t="shared" si="191"/>
        <v xml:space="preserve"> </v>
      </c>
      <c r="FM47" s="10" t="str">
        <f t="shared" si="191"/>
        <v xml:space="preserve"> </v>
      </c>
      <c r="FN47" s="10" t="str">
        <f t="shared" si="191"/>
        <v xml:space="preserve"> </v>
      </c>
      <c r="FO47" s="10" t="str">
        <f t="shared" si="191"/>
        <v xml:space="preserve"> </v>
      </c>
      <c r="FR47" s="10" t="str">
        <f t="shared" si="192"/>
        <v xml:space="preserve"> </v>
      </c>
      <c r="FS47" s="10" t="str">
        <f t="shared" si="192"/>
        <v xml:space="preserve"> </v>
      </c>
      <c r="FT47" s="10" t="str">
        <f t="shared" si="192"/>
        <v xml:space="preserve"> </v>
      </c>
      <c r="FU47" s="10" t="str">
        <f t="shared" si="192"/>
        <v xml:space="preserve"> </v>
      </c>
      <c r="FV47" s="10" t="str">
        <f t="shared" si="192"/>
        <v xml:space="preserve"> </v>
      </c>
      <c r="FY47" s="10" t="str">
        <f t="shared" si="193"/>
        <v xml:space="preserve"> </v>
      </c>
      <c r="FZ47" s="10" t="str">
        <f t="shared" si="193"/>
        <v xml:space="preserve"> </v>
      </c>
      <c r="GA47" s="10" t="str">
        <f t="shared" si="193"/>
        <v xml:space="preserve"> </v>
      </c>
      <c r="GB47" s="10" t="str">
        <f t="shared" si="193"/>
        <v xml:space="preserve"> </v>
      </c>
      <c r="GC47" s="10" t="str">
        <f t="shared" si="193"/>
        <v xml:space="preserve"> </v>
      </c>
      <c r="GF47" s="10" t="str">
        <f t="shared" si="194"/>
        <v xml:space="preserve"> </v>
      </c>
      <c r="GG47" s="10" t="str">
        <f t="shared" si="194"/>
        <v xml:space="preserve"> </v>
      </c>
      <c r="GH47" s="10" t="str">
        <f t="shared" si="194"/>
        <v xml:space="preserve"> </v>
      </c>
      <c r="GI47" s="10" t="str">
        <f t="shared" si="194"/>
        <v xml:space="preserve"> </v>
      </c>
      <c r="GJ47" s="10" t="str">
        <f t="shared" si="194"/>
        <v xml:space="preserve"> </v>
      </c>
      <c r="GM47" s="10" t="str">
        <f t="shared" si="195"/>
        <v xml:space="preserve"> </v>
      </c>
      <c r="GN47" s="10" t="str">
        <f t="shared" si="195"/>
        <v xml:space="preserve"> </v>
      </c>
      <c r="GO47" s="10" t="str">
        <f t="shared" si="195"/>
        <v xml:space="preserve"> </v>
      </c>
      <c r="GP47" s="10" t="str">
        <f t="shared" si="195"/>
        <v xml:space="preserve"> </v>
      </c>
      <c r="GQ47" s="10" t="str">
        <f t="shared" si="195"/>
        <v xml:space="preserve"> </v>
      </c>
      <c r="GT47" s="10" t="str">
        <f t="shared" si="196"/>
        <v xml:space="preserve"> </v>
      </c>
      <c r="GU47" s="10" t="str">
        <f t="shared" si="196"/>
        <v xml:space="preserve"> </v>
      </c>
      <c r="GV47" s="10" t="str">
        <f t="shared" si="196"/>
        <v xml:space="preserve"> </v>
      </c>
      <c r="GW47" s="10" t="str">
        <f t="shared" si="196"/>
        <v xml:space="preserve"> </v>
      </c>
      <c r="GX47" s="10" t="str">
        <f t="shared" si="196"/>
        <v xml:space="preserve"> </v>
      </c>
      <c r="HA47" s="10" t="str">
        <f t="shared" si="197"/>
        <v xml:space="preserve"> </v>
      </c>
      <c r="HB47" s="10" t="str">
        <f t="shared" si="197"/>
        <v xml:space="preserve"> </v>
      </c>
      <c r="HC47" s="10" t="str">
        <f t="shared" si="197"/>
        <v xml:space="preserve"> </v>
      </c>
      <c r="HD47" s="10" t="str">
        <f t="shared" si="197"/>
        <v xml:space="preserve"> </v>
      </c>
      <c r="HE47" s="10" t="str">
        <f t="shared" si="197"/>
        <v xml:space="preserve"> </v>
      </c>
      <c r="HH47" s="10" t="str">
        <f t="shared" si="198"/>
        <v xml:space="preserve"> </v>
      </c>
      <c r="HI47" s="10" t="str">
        <f t="shared" si="198"/>
        <v xml:space="preserve"> </v>
      </c>
      <c r="HJ47" s="10" t="str">
        <f t="shared" si="198"/>
        <v xml:space="preserve"> </v>
      </c>
      <c r="HK47" s="10" t="str">
        <f t="shared" si="198"/>
        <v xml:space="preserve"> </v>
      </c>
      <c r="HL47" s="10" t="str">
        <f t="shared" si="198"/>
        <v xml:space="preserve"> </v>
      </c>
      <c r="HO47" s="10" t="str">
        <f t="shared" si="199"/>
        <v xml:space="preserve"> </v>
      </c>
      <c r="HP47" s="10" t="str">
        <f t="shared" si="199"/>
        <v xml:space="preserve"> </v>
      </c>
      <c r="HQ47" s="10" t="str">
        <f t="shared" si="199"/>
        <v xml:space="preserve"> </v>
      </c>
      <c r="HR47" s="10" t="str">
        <f t="shared" si="199"/>
        <v xml:space="preserve"> </v>
      </c>
      <c r="HS47" s="10" t="str">
        <f t="shared" si="199"/>
        <v xml:space="preserve"> </v>
      </c>
      <c r="HV47" s="10" t="str">
        <f t="shared" si="200"/>
        <v xml:space="preserve"> </v>
      </c>
      <c r="HW47" s="10" t="str">
        <f t="shared" si="200"/>
        <v xml:space="preserve"> </v>
      </c>
      <c r="HX47" s="10" t="str">
        <f t="shared" si="200"/>
        <v xml:space="preserve"> </v>
      </c>
      <c r="HY47" s="10" t="str">
        <f t="shared" si="200"/>
        <v xml:space="preserve"> </v>
      </c>
      <c r="HZ47" s="10" t="str">
        <f t="shared" si="200"/>
        <v xml:space="preserve"> </v>
      </c>
      <c r="IC47" s="10" t="str">
        <f t="shared" si="201"/>
        <v xml:space="preserve"> </v>
      </c>
      <c r="ID47" s="10" t="str">
        <f t="shared" si="201"/>
        <v xml:space="preserve"> </v>
      </c>
      <c r="IE47" s="10" t="str">
        <f t="shared" si="201"/>
        <v xml:space="preserve"> </v>
      </c>
      <c r="IF47" s="10" t="str">
        <f t="shared" si="201"/>
        <v xml:space="preserve"> </v>
      </c>
      <c r="IG47" s="10" t="str">
        <f t="shared" si="201"/>
        <v xml:space="preserve"> </v>
      </c>
      <c r="IJ47" s="10" t="str">
        <f t="shared" si="202"/>
        <v xml:space="preserve"> </v>
      </c>
      <c r="IK47" s="10" t="str">
        <f t="shared" si="202"/>
        <v xml:space="preserve"> </v>
      </c>
      <c r="IL47" s="10" t="str">
        <f t="shared" si="202"/>
        <v xml:space="preserve"> </v>
      </c>
      <c r="IM47" s="10" t="str">
        <f t="shared" si="202"/>
        <v xml:space="preserve"> </v>
      </c>
      <c r="IN47" s="10" t="str">
        <f t="shared" si="202"/>
        <v xml:space="preserve"> </v>
      </c>
      <c r="IQ47" s="10" t="str">
        <f t="shared" si="203"/>
        <v xml:space="preserve"> </v>
      </c>
      <c r="IR47" s="10" t="str">
        <f t="shared" si="203"/>
        <v xml:space="preserve"> </v>
      </c>
      <c r="IS47" s="10" t="str">
        <f t="shared" si="203"/>
        <v xml:space="preserve"> </v>
      </c>
      <c r="IT47" s="10" t="str">
        <f t="shared" si="203"/>
        <v xml:space="preserve"> </v>
      </c>
      <c r="IU47" s="10" t="str">
        <f t="shared" si="203"/>
        <v xml:space="preserve"> </v>
      </c>
      <c r="IX47" s="10" t="str">
        <f t="shared" si="204"/>
        <v xml:space="preserve"> </v>
      </c>
      <c r="IY47" s="10" t="str">
        <f t="shared" si="204"/>
        <v xml:space="preserve"> </v>
      </c>
      <c r="IZ47" s="10" t="str">
        <f t="shared" si="204"/>
        <v xml:space="preserve"> </v>
      </c>
      <c r="JA47" s="10" t="str">
        <f t="shared" si="204"/>
        <v xml:space="preserve"> </v>
      </c>
      <c r="JB47" s="10" t="str">
        <f t="shared" si="204"/>
        <v xml:space="preserve"> </v>
      </c>
      <c r="JE47" s="10" t="str">
        <f t="shared" si="205"/>
        <v xml:space="preserve"> </v>
      </c>
      <c r="JF47" s="10" t="str">
        <f t="shared" si="205"/>
        <v xml:space="preserve"> </v>
      </c>
      <c r="JG47" s="10" t="str">
        <f t="shared" si="205"/>
        <v xml:space="preserve"> </v>
      </c>
      <c r="JH47" s="10" t="str">
        <f t="shared" si="205"/>
        <v xml:space="preserve"> </v>
      </c>
      <c r="JI47" s="10" t="str">
        <f t="shared" si="205"/>
        <v xml:space="preserve"> </v>
      </c>
    </row>
    <row r="48" spans="1:269">
      <c r="A48" s="96"/>
      <c r="B48" s="10">
        <v>40</v>
      </c>
      <c r="C48" s="11" t="s">
        <v>66</v>
      </c>
      <c r="D48" s="11" t="s">
        <v>58</v>
      </c>
      <c r="E48" s="10">
        <v>38</v>
      </c>
      <c r="F48" s="12">
        <f t="shared" si="87"/>
        <v>42546</v>
      </c>
      <c r="G48" s="12">
        <f>WORKDAY(F48,H48-1,Config!D49:D68)</f>
        <v>42546</v>
      </c>
      <c r="H48" s="10">
        <v>1</v>
      </c>
      <c r="I48" s="13">
        <v>0</v>
      </c>
      <c r="J48" s="13">
        <f ca="1">IF(((NETWORKDAYS(F48,TODAY(),Data!C45:C64)*100)/H48)/100 &gt; 0,((NETWORKDAYS(F48,TODAY(),Data!C45:C64)*100)/H48)/100,0)</f>
        <v>1635</v>
      </c>
      <c r="K48" s="13" t="str">
        <f t="shared" ca="1" si="129"/>
        <v>100%</v>
      </c>
      <c r="L48" s="13">
        <f t="shared" ca="1" si="130"/>
        <v>1</v>
      </c>
      <c r="M48" s="10" t="str">
        <f t="shared" si="169"/>
        <v xml:space="preserve"> </v>
      </c>
      <c r="N48" s="10" t="str">
        <f t="shared" si="169"/>
        <v xml:space="preserve"> </v>
      </c>
      <c r="O48" s="10" t="str">
        <f t="shared" si="169"/>
        <v xml:space="preserve"> </v>
      </c>
      <c r="P48" s="10" t="str">
        <f t="shared" si="169"/>
        <v xml:space="preserve"> </v>
      </c>
      <c r="Q48" s="10" t="str">
        <f t="shared" si="169"/>
        <v xml:space="preserve"> </v>
      </c>
      <c r="R48" s="14"/>
      <c r="S48" s="14"/>
      <c r="T48" s="10" t="str">
        <f t="shared" si="170"/>
        <v xml:space="preserve"> </v>
      </c>
      <c r="U48" s="10" t="str">
        <f t="shared" si="170"/>
        <v xml:space="preserve"> </v>
      </c>
      <c r="V48" s="10" t="str">
        <f t="shared" si="170"/>
        <v xml:space="preserve"> </v>
      </c>
      <c r="W48" s="10" t="str">
        <f t="shared" si="170"/>
        <v xml:space="preserve"> </v>
      </c>
      <c r="X48" s="10" t="str">
        <f t="shared" si="170"/>
        <v xml:space="preserve"> </v>
      </c>
      <c r="Y48" s="14"/>
      <c r="Z48" s="14"/>
      <c r="AA48" s="10" t="str">
        <f t="shared" si="171"/>
        <v xml:space="preserve"> </v>
      </c>
      <c r="AB48" s="10" t="str">
        <f t="shared" si="171"/>
        <v xml:space="preserve"> </v>
      </c>
      <c r="AC48" s="10" t="str">
        <f t="shared" si="171"/>
        <v xml:space="preserve"> </v>
      </c>
      <c r="AD48" s="10" t="str">
        <f t="shared" si="171"/>
        <v xml:space="preserve"> </v>
      </c>
      <c r="AE48" s="10" t="str">
        <f t="shared" si="171"/>
        <v xml:space="preserve"> </v>
      </c>
      <c r="AF48" s="14"/>
      <c r="AG48" s="14"/>
      <c r="AH48" s="10" t="str">
        <f t="shared" si="172"/>
        <v xml:space="preserve"> </v>
      </c>
      <c r="AI48" s="10" t="str">
        <f t="shared" si="172"/>
        <v xml:space="preserve"> </v>
      </c>
      <c r="AJ48" s="10" t="str">
        <f t="shared" si="172"/>
        <v xml:space="preserve"> </v>
      </c>
      <c r="AK48" s="10" t="str">
        <f t="shared" si="172"/>
        <v xml:space="preserve"> </v>
      </c>
      <c r="AL48" s="10" t="str">
        <f t="shared" si="172"/>
        <v xml:space="preserve"> </v>
      </c>
      <c r="AM48" s="14"/>
      <c r="AN48" s="14"/>
      <c r="AO48" s="10" t="str">
        <f t="shared" si="173"/>
        <v xml:space="preserve"> </v>
      </c>
      <c r="AP48" s="10" t="str">
        <f t="shared" si="173"/>
        <v xml:space="preserve"> </v>
      </c>
      <c r="AQ48" s="10" t="str">
        <f t="shared" si="173"/>
        <v xml:space="preserve"> </v>
      </c>
      <c r="AR48" s="10" t="str">
        <f t="shared" si="173"/>
        <v xml:space="preserve"> </v>
      </c>
      <c r="AS48" s="10" t="str">
        <f t="shared" si="173"/>
        <v xml:space="preserve"> </v>
      </c>
      <c r="AT48" s="14"/>
      <c r="AU48" s="14"/>
      <c r="AV48" s="10" t="str">
        <f t="shared" si="174"/>
        <v xml:space="preserve"> </v>
      </c>
      <c r="AW48" s="10" t="str">
        <f t="shared" si="174"/>
        <v xml:space="preserve"> </v>
      </c>
      <c r="AX48" s="10" t="str">
        <f t="shared" si="174"/>
        <v xml:space="preserve"> </v>
      </c>
      <c r="AY48" s="10" t="str">
        <f t="shared" si="174"/>
        <v xml:space="preserve"> </v>
      </c>
      <c r="AZ48" s="10" t="str">
        <f t="shared" si="174"/>
        <v xml:space="preserve"> </v>
      </c>
      <c r="BA48" s="14"/>
      <c r="BB48" s="14"/>
      <c r="BC48" s="10" t="str">
        <f t="shared" si="175"/>
        <v xml:space="preserve"> </v>
      </c>
      <c r="BD48" s="10" t="str">
        <f t="shared" si="175"/>
        <v xml:space="preserve"> </v>
      </c>
      <c r="BE48" s="10" t="str">
        <f t="shared" si="175"/>
        <v xml:space="preserve"> </v>
      </c>
      <c r="BF48" s="10" t="str">
        <f t="shared" si="175"/>
        <v xml:space="preserve"> </v>
      </c>
      <c r="BG48" s="10" t="str">
        <f t="shared" si="175"/>
        <v xml:space="preserve"> </v>
      </c>
      <c r="BH48" s="14"/>
      <c r="BI48" s="14"/>
      <c r="BJ48" s="10" t="str">
        <f t="shared" si="176"/>
        <v xml:space="preserve"> </v>
      </c>
      <c r="BK48" s="10" t="str">
        <f t="shared" si="176"/>
        <v xml:space="preserve"> </v>
      </c>
      <c r="BL48" s="10" t="str">
        <f t="shared" si="176"/>
        <v>.</v>
      </c>
      <c r="BM48" s="10" t="str">
        <f t="shared" si="176"/>
        <v xml:space="preserve"> </v>
      </c>
      <c r="BN48" s="10" t="str">
        <f t="shared" si="176"/>
        <v xml:space="preserve"> </v>
      </c>
      <c r="BO48" s="14"/>
      <c r="BP48" s="14"/>
      <c r="BQ48" s="10" t="str">
        <f t="shared" si="177"/>
        <v xml:space="preserve"> </v>
      </c>
      <c r="BR48" s="10" t="str">
        <f t="shared" si="177"/>
        <v xml:space="preserve"> </v>
      </c>
      <c r="BS48" s="10" t="str">
        <f t="shared" si="177"/>
        <v xml:space="preserve"> </v>
      </c>
      <c r="BT48" s="10" t="str">
        <f t="shared" si="177"/>
        <v xml:space="preserve"> </v>
      </c>
      <c r="BU48" s="10" t="str">
        <f t="shared" si="177"/>
        <v xml:space="preserve"> </v>
      </c>
      <c r="BV48" s="14"/>
      <c r="BW48" s="14"/>
      <c r="BX48" s="10" t="str">
        <f t="shared" si="178"/>
        <v xml:space="preserve"> </v>
      </c>
      <c r="BY48" s="10" t="str">
        <f t="shared" si="178"/>
        <v xml:space="preserve"> </v>
      </c>
      <c r="BZ48" s="10" t="str">
        <f t="shared" si="178"/>
        <v xml:space="preserve"> </v>
      </c>
      <c r="CA48" s="10" t="str">
        <f t="shared" si="178"/>
        <v xml:space="preserve"> </v>
      </c>
      <c r="CB48" s="10" t="str">
        <f t="shared" si="178"/>
        <v xml:space="preserve"> </v>
      </c>
      <c r="CC48" s="14"/>
      <c r="CD48" s="14"/>
      <c r="CE48" s="10" t="str">
        <f t="shared" si="179"/>
        <v xml:space="preserve"> </v>
      </c>
      <c r="CF48" s="10" t="str">
        <f t="shared" si="179"/>
        <v xml:space="preserve"> </v>
      </c>
      <c r="CG48" s="10" t="str">
        <f t="shared" si="179"/>
        <v xml:space="preserve"> </v>
      </c>
      <c r="CH48" s="10" t="str">
        <f t="shared" si="179"/>
        <v xml:space="preserve"> </v>
      </c>
      <c r="CI48" s="10" t="str">
        <f t="shared" si="179"/>
        <v xml:space="preserve"> </v>
      </c>
      <c r="CJ48" s="14"/>
      <c r="CK48" s="14"/>
      <c r="CL48" s="10" t="str">
        <f t="shared" si="180"/>
        <v xml:space="preserve"> </v>
      </c>
      <c r="CM48" s="10" t="str">
        <f t="shared" si="180"/>
        <v xml:space="preserve"> </v>
      </c>
      <c r="CN48" s="10" t="str">
        <f t="shared" si="180"/>
        <v xml:space="preserve"> </v>
      </c>
      <c r="CO48" s="10" t="str">
        <f t="shared" si="180"/>
        <v xml:space="preserve"> </v>
      </c>
      <c r="CP48" s="10" t="str">
        <f t="shared" si="180"/>
        <v xml:space="preserve"> </v>
      </c>
      <c r="CQ48" s="14"/>
      <c r="CR48" s="14"/>
      <c r="CS48" s="10" t="str">
        <f t="shared" si="181"/>
        <v xml:space="preserve"> </v>
      </c>
      <c r="CT48" s="10" t="str">
        <f t="shared" si="181"/>
        <v xml:space="preserve"> </v>
      </c>
      <c r="CU48" s="10" t="str">
        <f t="shared" si="181"/>
        <v xml:space="preserve"> </v>
      </c>
      <c r="CV48" s="10" t="str">
        <f t="shared" si="181"/>
        <v xml:space="preserve"> </v>
      </c>
      <c r="CW48" s="10" t="str">
        <f t="shared" si="181"/>
        <v xml:space="preserve"> </v>
      </c>
      <c r="CZ48" s="10" t="str">
        <f t="shared" si="182"/>
        <v xml:space="preserve"> </v>
      </c>
      <c r="DA48" s="10" t="str">
        <f t="shared" si="182"/>
        <v xml:space="preserve"> </v>
      </c>
      <c r="DB48" s="10" t="str">
        <f t="shared" si="182"/>
        <v xml:space="preserve"> </v>
      </c>
      <c r="DC48" s="10" t="str">
        <f t="shared" si="182"/>
        <v xml:space="preserve"> </v>
      </c>
      <c r="DD48" s="10" t="str">
        <f t="shared" si="182"/>
        <v xml:space="preserve"> </v>
      </c>
      <c r="DG48" s="10" t="str">
        <f t="shared" si="183"/>
        <v xml:space="preserve"> </v>
      </c>
      <c r="DH48" s="10" t="str">
        <f t="shared" si="183"/>
        <v xml:space="preserve"> </v>
      </c>
      <c r="DI48" s="10" t="str">
        <f t="shared" si="183"/>
        <v xml:space="preserve"> </v>
      </c>
      <c r="DJ48" s="10" t="str">
        <f t="shared" si="183"/>
        <v xml:space="preserve"> </v>
      </c>
      <c r="DK48" s="10" t="str">
        <f t="shared" si="183"/>
        <v xml:space="preserve"> </v>
      </c>
      <c r="DN48" s="10" t="str">
        <f t="shared" si="184"/>
        <v xml:space="preserve"> </v>
      </c>
      <c r="DO48" s="10" t="str">
        <f t="shared" si="184"/>
        <v xml:space="preserve"> </v>
      </c>
      <c r="DP48" s="10" t="str">
        <f t="shared" si="184"/>
        <v xml:space="preserve"> </v>
      </c>
      <c r="DQ48" s="10" t="str">
        <f t="shared" si="184"/>
        <v xml:space="preserve"> </v>
      </c>
      <c r="DR48" s="10" t="str">
        <f t="shared" si="184"/>
        <v xml:space="preserve"> </v>
      </c>
      <c r="DU48" s="10" t="str">
        <f t="shared" si="185"/>
        <v xml:space="preserve"> </v>
      </c>
      <c r="DV48" s="10" t="str">
        <f t="shared" si="185"/>
        <v xml:space="preserve"> </v>
      </c>
      <c r="DW48" s="10" t="str">
        <f t="shared" si="185"/>
        <v xml:space="preserve"> </v>
      </c>
      <c r="DX48" s="10" t="str">
        <f t="shared" si="185"/>
        <v xml:space="preserve"> </v>
      </c>
      <c r="DY48" s="10" t="str">
        <f t="shared" si="185"/>
        <v xml:space="preserve"> </v>
      </c>
      <c r="EB48" s="10" t="str">
        <f t="shared" si="186"/>
        <v xml:space="preserve"> </v>
      </c>
      <c r="EC48" s="10" t="str">
        <f t="shared" si="186"/>
        <v xml:space="preserve"> </v>
      </c>
      <c r="ED48" s="10" t="str">
        <f t="shared" si="186"/>
        <v xml:space="preserve"> </v>
      </c>
      <c r="EE48" s="10" t="str">
        <f t="shared" si="186"/>
        <v xml:space="preserve"> </v>
      </c>
      <c r="EF48" s="10" t="str">
        <f t="shared" si="186"/>
        <v xml:space="preserve"> </v>
      </c>
      <c r="EI48" s="10" t="str">
        <f t="shared" si="187"/>
        <v xml:space="preserve"> </v>
      </c>
      <c r="EJ48" s="10" t="str">
        <f t="shared" si="187"/>
        <v xml:space="preserve"> </v>
      </c>
      <c r="EK48" s="10" t="str">
        <f t="shared" si="187"/>
        <v xml:space="preserve"> </v>
      </c>
      <c r="EL48" s="10" t="str">
        <f t="shared" si="187"/>
        <v xml:space="preserve"> </v>
      </c>
      <c r="EM48" s="10" t="str">
        <f t="shared" si="187"/>
        <v xml:space="preserve"> </v>
      </c>
      <c r="EP48" s="10" t="str">
        <f t="shared" si="188"/>
        <v xml:space="preserve"> </v>
      </c>
      <c r="EQ48" s="10" t="str">
        <f t="shared" si="188"/>
        <v xml:space="preserve"> </v>
      </c>
      <c r="ER48" s="10" t="str">
        <f t="shared" si="188"/>
        <v xml:space="preserve"> </v>
      </c>
      <c r="ES48" s="10" t="str">
        <f t="shared" si="188"/>
        <v xml:space="preserve"> </v>
      </c>
      <c r="ET48" s="10" t="str">
        <f t="shared" si="188"/>
        <v xml:space="preserve"> </v>
      </c>
      <c r="EW48" s="10" t="str">
        <f t="shared" si="189"/>
        <v xml:space="preserve"> </v>
      </c>
      <c r="EX48" s="10" t="str">
        <f t="shared" si="189"/>
        <v xml:space="preserve"> </v>
      </c>
      <c r="EY48" s="10" t="str">
        <f t="shared" si="189"/>
        <v xml:space="preserve"> </v>
      </c>
      <c r="EZ48" s="10" t="str">
        <f t="shared" si="189"/>
        <v xml:space="preserve"> </v>
      </c>
      <c r="FA48" s="10" t="str">
        <f t="shared" si="189"/>
        <v xml:space="preserve"> </v>
      </c>
      <c r="FD48" s="10" t="str">
        <f t="shared" si="190"/>
        <v xml:space="preserve"> </v>
      </c>
      <c r="FE48" s="10" t="str">
        <f t="shared" si="190"/>
        <v xml:space="preserve"> </v>
      </c>
      <c r="FF48" s="10" t="str">
        <f t="shared" si="190"/>
        <v xml:space="preserve"> </v>
      </c>
      <c r="FG48" s="10" t="str">
        <f t="shared" si="190"/>
        <v xml:space="preserve"> </v>
      </c>
      <c r="FH48" s="10" t="str">
        <f t="shared" si="190"/>
        <v xml:space="preserve"> </v>
      </c>
      <c r="FK48" s="10" t="str">
        <f t="shared" si="191"/>
        <v xml:space="preserve"> </v>
      </c>
      <c r="FL48" s="10" t="str">
        <f t="shared" si="191"/>
        <v xml:space="preserve"> </v>
      </c>
      <c r="FM48" s="10" t="str">
        <f t="shared" si="191"/>
        <v xml:space="preserve"> </v>
      </c>
      <c r="FN48" s="10" t="str">
        <f t="shared" si="191"/>
        <v xml:space="preserve"> </v>
      </c>
      <c r="FO48" s="10" t="str">
        <f t="shared" si="191"/>
        <v xml:space="preserve"> </v>
      </c>
      <c r="FR48" s="10" t="str">
        <f t="shared" si="192"/>
        <v xml:space="preserve"> </v>
      </c>
      <c r="FS48" s="10" t="str">
        <f t="shared" si="192"/>
        <v xml:space="preserve"> </v>
      </c>
      <c r="FT48" s="10" t="str">
        <f t="shared" si="192"/>
        <v xml:space="preserve"> </v>
      </c>
      <c r="FU48" s="10" t="str">
        <f t="shared" si="192"/>
        <v xml:space="preserve"> </v>
      </c>
      <c r="FV48" s="10" t="str">
        <f t="shared" si="192"/>
        <v xml:space="preserve"> </v>
      </c>
      <c r="FY48" s="10" t="str">
        <f t="shared" si="193"/>
        <v xml:space="preserve"> </v>
      </c>
      <c r="FZ48" s="10" t="str">
        <f t="shared" si="193"/>
        <v xml:space="preserve"> </v>
      </c>
      <c r="GA48" s="10" t="str">
        <f t="shared" si="193"/>
        <v xml:space="preserve"> </v>
      </c>
      <c r="GB48" s="10" t="str">
        <f t="shared" si="193"/>
        <v xml:space="preserve"> </v>
      </c>
      <c r="GC48" s="10" t="str">
        <f t="shared" si="193"/>
        <v xml:space="preserve"> </v>
      </c>
      <c r="GF48" s="10" t="str">
        <f t="shared" si="194"/>
        <v xml:space="preserve"> </v>
      </c>
      <c r="GG48" s="10" t="str">
        <f t="shared" si="194"/>
        <v xml:space="preserve"> </v>
      </c>
      <c r="GH48" s="10" t="str">
        <f t="shared" si="194"/>
        <v xml:space="preserve"> </v>
      </c>
      <c r="GI48" s="10" t="str">
        <f t="shared" si="194"/>
        <v xml:space="preserve"> </v>
      </c>
      <c r="GJ48" s="10" t="str">
        <f t="shared" si="194"/>
        <v xml:space="preserve"> </v>
      </c>
      <c r="GM48" s="10" t="str">
        <f t="shared" si="195"/>
        <v xml:space="preserve"> </v>
      </c>
      <c r="GN48" s="10" t="str">
        <f t="shared" si="195"/>
        <v xml:space="preserve"> </v>
      </c>
      <c r="GO48" s="10" t="str">
        <f t="shared" si="195"/>
        <v xml:space="preserve"> </v>
      </c>
      <c r="GP48" s="10" t="str">
        <f t="shared" si="195"/>
        <v xml:space="preserve"> </v>
      </c>
      <c r="GQ48" s="10" t="str">
        <f t="shared" si="195"/>
        <v xml:space="preserve"> </v>
      </c>
      <c r="GT48" s="10" t="str">
        <f t="shared" si="196"/>
        <v xml:space="preserve"> </v>
      </c>
      <c r="GU48" s="10" t="str">
        <f t="shared" si="196"/>
        <v xml:space="preserve"> </v>
      </c>
      <c r="GV48" s="10" t="str">
        <f t="shared" si="196"/>
        <v xml:space="preserve"> </v>
      </c>
      <c r="GW48" s="10" t="str">
        <f t="shared" si="196"/>
        <v xml:space="preserve"> </v>
      </c>
      <c r="GX48" s="10" t="str">
        <f t="shared" si="196"/>
        <v xml:space="preserve"> </v>
      </c>
      <c r="HA48" s="10" t="str">
        <f t="shared" si="197"/>
        <v xml:space="preserve"> </v>
      </c>
      <c r="HB48" s="10" t="str">
        <f t="shared" si="197"/>
        <v xml:space="preserve"> </v>
      </c>
      <c r="HC48" s="10" t="str">
        <f t="shared" si="197"/>
        <v xml:space="preserve"> </v>
      </c>
      <c r="HD48" s="10" t="str">
        <f t="shared" si="197"/>
        <v xml:space="preserve"> </v>
      </c>
      <c r="HE48" s="10" t="str">
        <f t="shared" si="197"/>
        <v xml:space="preserve"> </v>
      </c>
      <c r="HH48" s="10" t="str">
        <f t="shared" si="198"/>
        <v xml:space="preserve"> </v>
      </c>
      <c r="HI48" s="10" t="str">
        <f t="shared" si="198"/>
        <v xml:space="preserve"> </v>
      </c>
      <c r="HJ48" s="10" t="str">
        <f t="shared" si="198"/>
        <v xml:space="preserve"> </v>
      </c>
      <c r="HK48" s="10" t="str">
        <f t="shared" si="198"/>
        <v xml:space="preserve"> </v>
      </c>
      <c r="HL48" s="10" t="str">
        <f t="shared" si="198"/>
        <v xml:space="preserve"> </v>
      </c>
      <c r="HO48" s="10" t="str">
        <f t="shared" si="199"/>
        <v xml:space="preserve"> </v>
      </c>
      <c r="HP48" s="10" t="str">
        <f t="shared" si="199"/>
        <v xml:space="preserve"> </v>
      </c>
      <c r="HQ48" s="10" t="str">
        <f t="shared" si="199"/>
        <v xml:space="preserve"> </v>
      </c>
      <c r="HR48" s="10" t="str">
        <f t="shared" si="199"/>
        <v xml:space="preserve"> </v>
      </c>
      <c r="HS48" s="10" t="str">
        <f t="shared" si="199"/>
        <v xml:space="preserve"> </v>
      </c>
      <c r="HV48" s="10" t="str">
        <f t="shared" si="200"/>
        <v xml:space="preserve"> </v>
      </c>
      <c r="HW48" s="10" t="str">
        <f t="shared" si="200"/>
        <v xml:space="preserve"> </v>
      </c>
      <c r="HX48" s="10" t="str">
        <f t="shared" si="200"/>
        <v xml:space="preserve"> </v>
      </c>
      <c r="HY48" s="10" t="str">
        <f t="shared" si="200"/>
        <v xml:space="preserve"> </v>
      </c>
      <c r="HZ48" s="10" t="str">
        <f t="shared" si="200"/>
        <v xml:space="preserve"> </v>
      </c>
      <c r="IC48" s="10" t="str">
        <f t="shared" si="201"/>
        <v xml:space="preserve"> </v>
      </c>
      <c r="ID48" s="10" t="str">
        <f t="shared" si="201"/>
        <v xml:space="preserve"> </v>
      </c>
      <c r="IE48" s="10" t="str">
        <f t="shared" si="201"/>
        <v xml:space="preserve"> </v>
      </c>
      <c r="IF48" s="10" t="str">
        <f t="shared" si="201"/>
        <v xml:space="preserve"> </v>
      </c>
      <c r="IG48" s="10" t="str">
        <f t="shared" si="201"/>
        <v xml:space="preserve"> </v>
      </c>
      <c r="IJ48" s="10" t="str">
        <f t="shared" si="202"/>
        <v xml:space="preserve"> </v>
      </c>
      <c r="IK48" s="10" t="str">
        <f t="shared" si="202"/>
        <v xml:space="preserve"> </v>
      </c>
      <c r="IL48" s="10" t="str">
        <f t="shared" si="202"/>
        <v xml:space="preserve"> </v>
      </c>
      <c r="IM48" s="10" t="str">
        <f t="shared" si="202"/>
        <v xml:space="preserve"> </v>
      </c>
      <c r="IN48" s="10" t="str">
        <f t="shared" si="202"/>
        <v xml:space="preserve"> </v>
      </c>
      <c r="IQ48" s="10" t="str">
        <f t="shared" si="203"/>
        <v xml:space="preserve"> </v>
      </c>
      <c r="IR48" s="10" t="str">
        <f t="shared" si="203"/>
        <v xml:space="preserve"> </v>
      </c>
      <c r="IS48" s="10" t="str">
        <f t="shared" si="203"/>
        <v xml:space="preserve"> </v>
      </c>
      <c r="IT48" s="10" t="str">
        <f t="shared" si="203"/>
        <v xml:space="preserve"> </v>
      </c>
      <c r="IU48" s="10" t="str">
        <f t="shared" si="203"/>
        <v xml:space="preserve"> </v>
      </c>
      <c r="IX48" s="10" t="str">
        <f t="shared" si="204"/>
        <v xml:space="preserve"> </v>
      </c>
      <c r="IY48" s="10" t="str">
        <f t="shared" si="204"/>
        <v xml:space="preserve"> </v>
      </c>
      <c r="IZ48" s="10" t="str">
        <f t="shared" si="204"/>
        <v xml:space="preserve"> </v>
      </c>
      <c r="JA48" s="10" t="str">
        <f t="shared" si="204"/>
        <v xml:space="preserve"> </v>
      </c>
      <c r="JB48" s="10" t="str">
        <f t="shared" si="204"/>
        <v xml:space="preserve"> </v>
      </c>
      <c r="JE48" s="10" t="str">
        <f t="shared" si="205"/>
        <v xml:space="preserve"> </v>
      </c>
      <c r="JF48" s="10" t="str">
        <f t="shared" si="205"/>
        <v xml:space="preserve"> </v>
      </c>
      <c r="JG48" s="10" t="str">
        <f t="shared" si="205"/>
        <v xml:space="preserve"> </v>
      </c>
      <c r="JH48" s="10" t="str">
        <f t="shared" si="205"/>
        <v xml:space="preserve"> </v>
      </c>
      <c r="JI48" s="10" t="str">
        <f t="shared" si="205"/>
        <v xml:space="preserve"> </v>
      </c>
    </row>
    <row r="49" spans="1:269">
      <c r="A49" s="96"/>
      <c r="B49" s="10">
        <v>41</v>
      </c>
      <c r="C49" s="11" t="s">
        <v>67</v>
      </c>
      <c r="D49" s="11" t="s">
        <v>58</v>
      </c>
      <c r="E49" s="10">
        <v>39</v>
      </c>
      <c r="F49" s="12">
        <f t="shared" si="87"/>
        <v>42571</v>
      </c>
      <c r="G49" s="12">
        <f>WORKDAY(F49,H49-1,Config!D50:D69)</f>
        <v>42573</v>
      </c>
      <c r="H49" s="10">
        <v>3</v>
      </c>
      <c r="I49" s="13">
        <v>0</v>
      </c>
      <c r="J49" s="13">
        <f ca="1">IF(((NETWORKDAYS(F49,TODAY(),Data!C46:C65)*100)/H49)/100 &gt; 0,((NETWORKDAYS(F49,TODAY(),Data!C46:C65)*100)/H49)/100,0)</f>
        <v>539.33333333333337</v>
      </c>
      <c r="K49" s="13" t="str">
        <f t="shared" ca="1" si="129"/>
        <v>100%</v>
      </c>
      <c r="L49" s="13">
        <f t="shared" ca="1" si="130"/>
        <v>1</v>
      </c>
      <c r="M49" s="10" t="str">
        <f t="shared" si="169"/>
        <v xml:space="preserve"> </v>
      </c>
      <c r="N49" s="10" t="str">
        <f t="shared" si="169"/>
        <v xml:space="preserve"> </v>
      </c>
      <c r="O49" s="10" t="str">
        <f t="shared" si="169"/>
        <v xml:space="preserve"> </v>
      </c>
      <c r="P49" s="10" t="str">
        <f t="shared" si="169"/>
        <v xml:space="preserve"> </v>
      </c>
      <c r="Q49" s="10" t="str">
        <f t="shared" si="169"/>
        <v xml:space="preserve"> </v>
      </c>
      <c r="R49" s="14"/>
      <c r="S49" s="14"/>
      <c r="T49" s="10" t="str">
        <f t="shared" si="170"/>
        <v xml:space="preserve"> </v>
      </c>
      <c r="U49" s="10" t="str">
        <f t="shared" si="170"/>
        <v xml:space="preserve"> </v>
      </c>
      <c r="V49" s="10" t="str">
        <f t="shared" si="170"/>
        <v xml:space="preserve"> </v>
      </c>
      <c r="W49" s="10" t="str">
        <f t="shared" si="170"/>
        <v xml:space="preserve"> </v>
      </c>
      <c r="X49" s="10" t="str">
        <f t="shared" si="170"/>
        <v xml:space="preserve"> </v>
      </c>
      <c r="Y49" s="14"/>
      <c r="Z49" s="14"/>
      <c r="AA49" s="10" t="str">
        <f t="shared" si="171"/>
        <v xml:space="preserve"> </v>
      </c>
      <c r="AB49" s="10" t="str">
        <f t="shared" si="171"/>
        <v xml:space="preserve"> </v>
      </c>
      <c r="AC49" s="10" t="str">
        <f t="shared" si="171"/>
        <v xml:space="preserve"> </v>
      </c>
      <c r="AD49" s="10" t="str">
        <f t="shared" si="171"/>
        <v xml:space="preserve"> </v>
      </c>
      <c r="AE49" s="10" t="str">
        <f t="shared" si="171"/>
        <v xml:space="preserve"> </v>
      </c>
      <c r="AF49" s="14"/>
      <c r="AG49" s="14"/>
      <c r="AH49" s="10" t="str">
        <f t="shared" si="172"/>
        <v xml:space="preserve"> </v>
      </c>
      <c r="AI49" s="10" t="str">
        <f t="shared" si="172"/>
        <v xml:space="preserve"> </v>
      </c>
      <c r="AJ49" s="10" t="str">
        <f t="shared" si="172"/>
        <v xml:space="preserve"> </v>
      </c>
      <c r="AK49" s="10" t="str">
        <f t="shared" si="172"/>
        <v xml:space="preserve"> </v>
      </c>
      <c r="AL49" s="10" t="str">
        <f t="shared" si="172"/>
        <v xml:space="preserve"> </v>
      </c>
      <c r="AM49" s="14"/>
      <c r="AN49" s="14"/>
      <c r="AO49" s="10" t="str">
        <f t="shared" si="173"/>
        <v xml:space="preserve"> </v>
      </c>
      <c r="AP49" s="10" t="str">
        <f t="shared" si="173"/>
        <v xml:space="preserve"> </v>
      </c>
      <c r="AQ49" s="10" t="str">
        <f t="shared" si="173"/>
        <v xml:space="preserve"> </v>
      </c>
      <c r="AR49" s="10" t="str">
        <f t="shared" si="173"/>
        <v xml:space="preserve"> </v>
      </c>
      <c r="AS49" s="10" t="str">
        <f t="shared" si="173"/>
        <v xml:space="preserve"> </v>
      </c>
      <c r="AT49" s="14"/>
      <c r="AU49" s="14"/>
      <c r="AV49" s="10" t="str">
        <f t="shared" si="174"/>
        <v xml:space="preserve"> </v>
      </c>
      <c r="AW49" s="10" t="str">
        <f t="shared" si="174"/>
        <v xml:space="preserve"> </v>
      </c>
      <c r="AX49" s="10" t="str">
        <f t="shared" si="174"/>
        <v xml:space="preserve"> </v>
      </c>
      <c r="AY49" s="10" t="str">
        <f t="shared" si="174"/>
        <v xml:space="preserve"> </v>
      </c>
      <c r="AZ49" s="10" t="str">
        <f t="shared" si="174"/>
        <v xml:space="preserve"> </v>
      </c>
      <c r="BA49" s="14"/>
      <c r="BB49" s="14"/>
      <c r="BC49" s="10" t="str">
        <f t="shared" si="175"/>
        <v xml:space="preserve"> </v>
      </c>
      <c r="BD49" s="10" t="str">
        <f t="shared" si="175"/>
        <v xml:space="preserve"> </v>
      </c>
      <c r="BE49" s="10" t="str">
        <f t="shared" si="175"/>
        <v xml:space="preserve"> </v>
      </c>
      <c r="BF49" s="10" t="str">
        <f t="shared" si="175"/>
        <v xml:space="preserve"> </v>
      </c>
      <c r="BG49" s="10" t="str">
        <f t="shared" si="175"/>
        <v xml:space="preserve"> </v>
      </c>
      <c r="BH49" s="14"/>
      <c r="BI49" s="14"/>
      <c r="BJ49" s="10" t="str">
        <f t="shared" si="176"/>
        <v xml:space="preserve"> </v>
      </c>
      <c r="BK49" s="10" t="str">
        <f t="shared" si="176"/>
        <v xml:space="preserve"> </v>
      </c>
      <c r="BL49" s="10" t="str">
        <f t="shared" si="176"/>
        <v xml:space="preserve"> </v>
      </c>
      <c r="BM49" s="10" t="str">
        <f t="shared" si="176"/>
        <v xml:space="preserve"> </v>
      </c>
      <c r="BN49" s="10" t="str">
        <f t="shared" si="176"/>
        <v xml:space="preserve"> </v>
      </c>
      <c r="BO49" s="14"/>
      <c r="BP49" s="14"/>
      <c r="BQ49" s="10" t="str">
        <f t="shared" si="177"/>
        <v xml:space="preserve"> </v>
      </c>
      <c r="BR49" s="10" t="str">
        <f t="shared" si="177"/>
        <v xml:space="preserve"> </v>
      </c>
      <c r="BS49" s="10" t="str">
        <f t="shared" si="177"/>
        <v xml:space="preserve"> </v>
      </c>
      <c r="BT49" s="10" t="str">
        <f t="shared" si="177"/>
        <v xml:space="preserve"> </v>
      </c>
      <c r="BU49" s="10" t="str">
        <f t="shared" si="177"/>
        <v xml:space="preserve"> </v>
      </c>
      <c r="BV49" s="14"/>
      <c r="BW49" s="14"/>
      <c r="BX49" s="10" t="str">
        <f t="shared" si="178"/>
        <v xml:space="preserve"> </v>
      </c>
      <c r="BY49" s="10" t="str">
        <f t="shared" si="178"/>
        <v xml:space="preserve"> </v>
      </c>
      <c r="BZ49" s="10" t="str">
        <f t="shared" si="178"/>
        <v xml:space="preserve"> </v>
      </c>
      <c r="CA49" s="10" t="str">
        <f t="shared" si="178"/>
        <v xml:space="preserve"> </v>
      </c>
      <c r="CB49" s="10" t="str">
        <f t="shared" si="178"/>
        <v xml:space="preserve"> </v>
      </c>
      <c r="CC49" s="14"/>
      <c r="CD49" s="14"/>
      <c r="CE49" s="10" t="str">
        <f t="shared" si="179"/>
        <v xml:space="preserve"> </v>
      </c>
      <c r="CF49" s="10" t="str">
        <f t="shared" si="179"/>
        <v xml:space="preserve"> </v>
      </c>
      <c r="CG49" s="10" t="str">
        <f t="shared" si="179"/>
        <v xml:space="preserve"> </v>
      </c>
      <c r="CH49" s="10" t="str">
        <f t="shared" si="179"/>
        <v xml:space="preserve"> </v>
      </c>
      <c r="CI49" s="10" t="str">
        <f t="shared" si="179"/>
        <v xml:space="preserve"> </v>
      </c>
      <c r="CJ49" s="14"/>
      <c r="CK49" s="14"/>
      <c r="CL49" s="10" t="str">
        <f t="shared" si="180"/>
        <v>.</v>
      </c>
      <c r="CM49" s="10" t="str">
        <f t="shared" si="180"/>
        <v>.</v>
      </c>
      <c r="CN49" s="10" t="str">
        <f t="shared" si="180"/>
        <v xml:space="preserve"> </v>
      </c>
      <c r="CO49" s="10" t="str">
        <f t="shared" si="180"/>
        <v xml:space="preserve"> </v>
      </c>
      <c r="CP49" s="10" t="str">
        <f t="shared" si="180"/>
        <v xml:space="preserve"> </v>
      </c>
      <c r="CQ49" s="14"/>
      <c r="CR49" s="14"/>
      <c r="CS49" s="10" t="str">
        <f t="shared" si="181"/>
        <v xml:space="preserve"> </v>
      </c>
      <c r="CT49" s="10" t="str">
        <f t="shared" si="181"/>
        <v xml:space="preserve"> </v>
      </c>
      <c r="CU49" s="10" t="str">
        <f t="shared" si="181"/>
        <v xml:space="preserve"> </v>
      </c>
      <c r="CV49" s="10" t="str">
        <f t="shared" si="181"/>
        <v xml:space="preserve"> </v>
      </c>
      <c r="CW49" s="10" t="str">
        <f t="shared" si="181"/>
        <v xml:space="preserve"> </v>
      </c>
      <c r="CZ49" s="10" t="str">
        <f t="shared" si="182"/>
        <v xml:space="preserve"> </v>
      </c>
      <c r="DA49" s="10" t="str">
        <f t="shared" si="182"/>
        <v xml:space="preserve"> </v>
      </c>
      <c r="DB49" s="10" t="str">
        <f t="shared" si="182"/>
        <v xml:space="preserve"> </v>
      </c>
      <c r="DC49" s="10" t="str">
        <f t="shared" si="182"/>
        <v xml:space="preserve"> </v>
      </c>
      <c r="DD49" s="10" t="str">
        <f t="shared" si="182"/>
        <v xml:space="preserve"> </v>
      </c>
      <c r="DG49" s="10" t="str">
        <f t="shared" si="183"/>
        <v xml:space="preserve"> </v>
      </c>
      <c r="DH49" s="10" t="str">
        <f t="shared" si="183"/>
        <v xml:space="preserve"> </v>
      </c>
      <c r="DI49" s="10" t="str">
        <f t="shared" si="183"/>
        <v xml:space="preserve"> </v>
      </c>
      <c r="DJ49" s="10" t="str">
        <f t="shared" si="183"/>
        <v xml:space="preserve"> </v>
      </c>
      <c r="DK49" s="10" t="str">
        <f t="shared" si="183"/>
        <v xml:space="preserve"> </v>
      </c>
      <c r="DN49" s="10" t="str">
        <f t="shared" si="184"/>
        <v xml:space="preserve"> </v>
      </c>
      <c r="DO49" s="10" t="str">
        <f t="shared" si="184"/>
        <v xml:space="preserve"> </v>
      </c>
      <c r="DP49" s="10" t="str">
        <f t="shared" si="184"/>
        <v xml:space="preserve"> </v>
      </c>
      <c r="DQ49" s="10" t="str">
        <f t="shared" si="184"/>
        <v xml:space="preserve"> </v>
      </c>
      <c r="DR49" s="10" t="str">
        <f t="shared" si="184"/>
        <v xml:space="preserve"> </v>
      </c>
      <c r="DU49" s="10" t="str">
        <f t="shared" si="185"/>
        <v xml:space="preserve"> </v>
      </c>
      <c r="DV49" s="10" t="str">
        <f t="shared" si="185"/>
        <v xml:space="preserve"> </v>
      </c>
      <c r="DW49" s="10" t="str">
        <f t="shared" si="185"/>
        <v xml:space="preserve"> </v>
      </c>
      <c r="DX49" s="10" t="str">
        <f t="shared" si="185"/>
        <v xml:space="preserve"> </v>
      </c>
      <c r="DY49" s="10" t="str">
        <f t="shared" si="185"/>
        <v xml:space="preserve"> </v>
      </c>
      <c r="EB49" s="10" t="str">
        <f t="shared" si="186"/>
        <v xml:space="preserve"> </v>
      </c>
      <c r="EC49" s="10" t="str">
        <f t="shared" si="186"/>
        <v xml:space="preserve"> </v>
      </c>
      <c r="ED49" s="10" t="str">
        <f t="shared" si="186"/>
        <v xml:space="preserve"> </v>
      </c>
      <c r="EE49" s="10" t="str">
        <f t="shared" si="186"/>
        <v xml:space="preserve"> </v>
      </c>
      <c r="EF49" s="10" t="str">
        <f t="shared" si="186"/>
        <v xml:space="preserve"> </v>
      </c>
      <c r="EI49" s="10" t="str">
        <f t="shared" si="187"/>
        <v xml:space="preserve"> </v>
      </c>
      <c r="EJ49" s="10" t="str">
        <f t="shared" si="187"/>
        <v xml:space="preserve"> </v>
      </c>
      <c r="EK49" s="10" t="str">
        <f t="shared" si="187"/>
        <v xml:space="preserve"> </v>
      </c>
      <c r="EL49" s="10" t="str">
        <f t="shared" si="187"/>
        <v xml:space="preserve"> </v>
      </c>
      <c r="EM49" s="10" t="str">
        <f t="shared" si="187"/>
        <v xml:space="preserve"> </v>
      </c>
      <c r="EP49" s="10" t="str">
        <f t="shared" si="188"/>
        <v xml:space="preserve"> </v>
      </c>
      <c r="EQ49" s="10" t="str">
        <f t="shared" si="188"/>
        <v xml:space="preserve"> </v>
      </c>
      <c r="ER49" s="10" t="str">
        <f t="shared" si="188"/>
        <v xml:space="preserve"> </v>
      </c>
      <c r="ES49" s="10" t="str">
        <f t="shared" si="188"/>
        <v xml:space="preserve"> </v>
      </c>
      <c r="ET49" s="10" t="str">
        <f t="shared" si="188"/>
        <v xml:space="preserve"> </v>
      </c>
      <c r="EW49" s="10" t="str">
        <f t="shared" si="189"/>
        <v xml:space="preserve"> </v>
      </c>
      <c r="EX49" s="10" t="str">
        <f t="shared" si="189"/>
        <v xml:space="preserve"> </v>
      </c>
      <c r="EY49" s="10" t="str">
        <f t="shared" si="189"/>
        <v xml:space="preserve"> </v>
      </c>
      <c r="EZ49" s="10" t="str">
        <f t="shared" si="189"/>
        <v xml:space="preserve"> </v>
      </c>
      <c r="FA49" s="10" t="str">
        <f t="shared" si="189"/>
        <v xml:space="preserve"> </v>
      </c>
      <c r="FD49" s="10" t="str">
        <f t="shared" si="190"/>
        <v xml:space="preserve"> </v>
      </c>
      <c r="FE49" s="10" t="str">
        <f t="shared" si="190"/>
        <v xml:space="preserve"> </v>
      </c>
      <c r="FF49" s="10" t="str">
        <f t="shared" si="190"/>
        <v xml:space="preserve"> </v>
      </c>
      <c r="FG49" s="10" t="str">
        <f t="shared" si="190"/>
        <v xml:space="preserve"> </v>
      </c>
      <c r="FH49" s="10" t="str">
        <f t="shared" si="190"/>
        <v xml:space="preserve"> </v>
      </c>
      <c r="FK49" s="10" t="str">
        <f t="shared" si="191"/>
        <v xml:space="preserve"> </v>
      </c>
      <c r="FL49" s="10" t="str">
        <f t="shared" si="191"/>
        <v xml:space="preserve"> </v>
      </c>
      <c r="FM49" s="10" t="str">
        <f t="shared" si="191"/>
        <v xml:space="preserve"> </v>
      </c>
      <c r="FN49" s="10" t="str">
        <f t="shared" si="191"/>
        <v xml:space="preserve"> </v>
      </c>
      <c r="FO49" s="10" t="str">
        <f t="shared" si="191"/>
        <v xml:space="preserve"> </v>
      </c>
      <c r="FR49" s="10" t="str">
        <f t="shared" si="192"/>
        <v xml:space="preserve"> </v>
      </c>
      <c r="FS49" s="10" t="str">
        <f t="shared" si="192"/>
        <v xml:space="preserve"> </v>
      </c>
      <c r="FT49" s="10" t="str">
        <f t="shared" si="192"/>
        <v xml:space="preserve"> </v>
      </c>
      <c r="FU49" s="10" t="str">
        <f t="shared" si="192"/>
        <v xml:space="preserve"> </v>
      </c>
      <c r="FV49" s="10" t="str">
        <f t="shared" si="192"/>
        <v xml:space="preserve"> </v>
      </c>
      <c r="FY49" s="10" t="str">
        <f t="shared" si="193"/>
        <v xml:space="preserve"> </v>
      </c>
      <c r="FZ49" s="10" t="str">
        <f t="shared" si="193"/>
        <v xml:space="preserve"> </v>
      </c>
      <c r="GA49" s="10" t="str">
        <f t="shared" si="193"/>
        <v xml:space="preserve"> </v>
      </c>
      <c r="GB49" s="10" t="str">
        <f t="shared" si="193"/>
        <v xml:space="preserve"> </v>
      </c>
      <c r="GC49" s="10" t="str">
        <f t="shared" si="193"/>
        <v xml:space="preserve"> </v>
      </c>
      <c r="GF49" s="10" t="str">
        <f t="shared" si="194"/>
        <v xml:space="preserve"> </v>
      </c>
      <c r="GG49" s="10" t="str">
        <f t="shared" si="194"/>
        <v xml:space="preserve"> </v>
      </c>
      <c r="GH49" s="10" t="str">
        <f t="shared" si="194"/>
        <v xml:space="preserve"> </v>
      </c>
      <c r="GI49" s="10" t="str">
        <f t="shared" si="194"/>
        <v xml:space="preserve"> </v>
      </c>
      <c r="GJ49" s="10" t="str">
        <f t="shared" si="194"/>
        <v xml:space="preserve"> </v>
      </c>
      <c r="GM49" s="10" t="str">
        <f t="shared" si="195"/>
        <v xml:space="preserve"> </v>
      </c>
      <c r="GN49" s="10" t="str">
        <f t="shared" si="195"/>
        <v xml:space="preserve"> </v>
      </c>
      <c r="GO49" s="10" t="str">
        <f t="shared" si="195"/>
        <v xml:space="preserve"> </v>
      </c>
      <c r="GP49" s="10" t="str">
        <f t="shared" si="195"/>
        <v xml:space="preserve"> </v>
      </c>
      <c r="GQ49" s="10" t="str">
        <f t="shared" si="195"/>
        <v xml:space="preserve"> </v>
      </c>
      <c r="GT49" s="10" t="str">
        <f t="shared" si="196"/>
        <v xml:space="preserve"> </v>
      </c>
      <c r="GU49" s="10" t="str">
        <f t="shared" si="196"/>
        <v xml:space="preserve"> </v>
      </c>
      <c r="GV49" s="10" t="str">
        <f t="shared" si="196"/>
        <v xml:space="preserve"> </v>
      </c>
      <c r="GW49" s="10" t="str">
        <f t="shared" si="196"/>
        <v xml:space="preserve"> </v>
      </c>
      <c r="GX49" s="10" t="str">
        <f t="shared" si="196"/>
        <v xml:space="preserve"> </v>
      </c>
      <c r="HA49" s="10" t="str">
        <f t="shared" si="197"/>
        <v xml:space="preserve"> </v>
      </c>
      <c r="HB49" s="10" t="str">
        <f t="shared" si="197"/>
        <v xml:space="preserve"> </v>
      </c>
      <c r="HC49" s="10" t="str">
        <f t="shared" si="197"/>
        <v xml:space="preserve"> </v>
      </c>
      <c r="HD49" s="10" t="str">
        <f t="shared" si="197"/>
        <v xml:space="preserve"> </v>
      </c>
      <c r="HE49" s="10" t="str">
        <f t="shared" si="197"/>
        <v xml:space="preserve"> </v>
      </c>
      <c r="HH49" s="10" t="str">
        <f t="shared" si="198"/>
        <v xml:space="preserve"> </v>
      </c>
      <c r="HI49" s="10" t="str">
        <f t="shared" si="198"/>
        <v xml:space="preserve"> </v>
      </c>
      <c r="HJ49" s="10" t="str">
        <f t="shared" si="198"/>
        <v xml:space="preserve"> </v>
      </c>
      <c r="HK49" s="10" t="str">
        <f t="shared" si="198"/>
        <v xml:space="preserve"> </v>
      </c>
      <c r="HL49" s="10" t="str">
        <f t="shared" si="198"/>
        <v xml:space="preserve"> </v>
      </c>
      <c r="HO49" s="10" t="str">
        <f t="shared" si="199"/>
        <v xml:space="preserve"> </v>
      </c>
      <c r="HP49" s="10" t="str">
        <f t="shared" si="199"/>
        <v xml:space="preserve"> </v>
      </c>
      <c r="HQ49" s="10" t="str">
        <f t="shared" si="199"/>
        <v xml:space="preserve"> </v>
      </c>
      <c r="HR49" s="10" t="str">
        <f t="shared" si="199"/>
        <v xml:space="preserve"> </v>
      </c>
      <c r="HS49" s="10" t="str">
        <f t="shared" si="199"/>
        <v xml:space="preserve"> </v>
      </c>
      <c r="HV49" s="10" t="str">
        <f t="shared" si="200"/>
        <v xml:space="preserve"> </v>
      </c>
      <c r="HW49" s="10" t="str">
        <f t="shared" si="200"/>
        <v xml:space="preserve"> </v>
      </c>
      <c r="HX49" s="10" t="str">
        <f t="shared" si="200"/>
        <v xml:space="preserve"> </v>
      </c>
      <c r="HY49" s="10" t="str">
        <f t="shared" si="200"/>
        <v xml:space="preserve"> </v>
      </c>
      <c r="HZ49" s="10" t="str">
        <f t="shared" si="200"/>
        <v xml:space="preserve"> </v>
      </c>
      <c r="IC49" s="10" t="str">
        <f t="shared" si="201"/>
        <v xml:space="preserve"> </v>
      </c>
      <c r="ID49" s="10" t="str">
        <f t="shared" si="201"/>
        <v xml:space="preserve"> </v>
      </c>
      <c r="IE49" s="10" t="str">
        <f t="shared" si="201"/>
        <v xml:space="preserve"> </v>
      </c>
      <c r="IF49" s="10" t="str">
        <f t="shared" si="201"/>
        <v xml:space="preserve"> </v>
      </c>
      <c r="IG49" s="10" t="str">
        <f t="shared" si="201"/>
        <v xml:space="preserve"> </v>
      </c>
      <c r="IJ49" s="10" t="str">
        <f t="shared" si="202"/>
        <v xml:space="preserve"> </v>
      </c>
      <c r="IK49" s="10" t="str">
        <f t="shared" si="202"/>
        <v xml:space="preserve"> </v>
      </c>
      <c r="IL49" s="10" t="str">
        <f t="shared" si="202"/>
        <v xml:space="preserve"> </v>
      </c>
      <c r="IM49" s="10" t="str">
        <f t="shared" si="202"/>
        <v xml:space="preserve"> </v>
      </c>
      <c r="IN49" s="10" t="str">
        <f t="shared" si="202"/>
        <v xml:space="preserve"> </v>
      </c>
      <c r="IQ49" s="10" t="str">
        <f t="shared" si="203"/>
        <v xml:space="preserve"> </v>
      </c>
      <c r="IR49" s="10" t="str">
        <f t="shared" si="203"/>
        <v xml:space="preserve"> </v>
      </c>
      <c r="IS49" s="10" t="str">
        <f t="shared" si="203"/>
        <v xml:space="preserve"> </v>
      </c>
      <c r="IT49" s="10" t="str">
        <f t="shared" si="203"/>
        <v xml:space="preserve"> </v>
      </c>
      <c r="IU49" s="10" t="str">
        <f t="shared" si="203"/>
        <v xml:space="preserve"> </v>
      </c>
      <c r="IX49" s="10" t="str">
        <f t="shared" si="204"/>
        <v xml:space="preserve"> </v>
      </c>
      <c r="IY49" s="10" t="str">
        <f t="shared" si="204"/>
        <v xml:space="preserve"> </v>
      </c>
      <c r="IZ49" s="10" t="str">
        <f t="shared" si="204"/>
        <v xml:space="preserve"> </v>
      </c>
      <c r="JA49" s="10" t="str">
        <f t="shared" si="204"/>
        <v xml:space="preserve"> </v>
      </c>
      <c r="JB49" s="10" t="str">
        <f t="shared" si="204"/>
        <v xml:space="preserve"> </v>
      </c>
      <c r="JE49" s="10" t="str">
        <f t="shared" si="205"/>
        <v xml:space="preserve"> </v>
      </c>
      <c r="JF49" s="10" t="str">
        <f t="shared" si="205"/>
        <v xml:space="preserve"> </v>
      </c>
      <c r="JG49" s="10" t="str">
        <f t="shared" si="205"/>
        <v xml:space="preserve"> </v>
      </c>
      <c r="JH49" s="10" t="str">
        <f t="shared" si="205"/>
        <v xml:space="preserve"> </v>
      </c>
      <c r="JI49" s="10" t="str">
        <f t="shared" si="205"/>
        <v xml:space="preserve"> </v>
      </c>
    </row>
    <row r="50" spans="1:269">
      <c r="A50" s="96"/>
      <c r="B50" s="10">
        <v>42</v>
      </c>
      <c r="C50" s="11" t="s">
        <v>68</v>
      </c>
      <c r="D50" s="11" t="s">
        <v>58</v>
      </c>
      <c r="E50" s="10">
        <v>40</v>
      </c>
      <c r="F50" s="12">
        <f t="shared" si="87"/>
        <v>42547</v>
      </c>
      <c r="G50" s="12">
        <f>WORKDAY(F50,H50-1,Config!D51:D70)</f>
        <v>42547</v>
      </c>
      <c r="H50" s="10">
        <v>1</v>
      </c>
      <c r="I50" s="13">
        <v>0</v>
      </c>
      <c r="J50" s="13">
        <f ca="1">IF(((NETWORKDAYS(F50,TODAY(),Data!C47:C66)*100)/H50)/100 &gt; 0,((NETWORKDAYS(F50,TODAY(),Data!C47:C66)*100)/H50)/100,0)</f>
        <v>1635</v>
      </c>
      <c r="K50" s="13" t="str">
        <f t="shared" ca="1" si="129"/>
        <v>100%</v>
      </c>
      <c r="L50" s="13">
        <f t="shared" ca="1" si="130"/>
        <v>1</v>
      </c>
      <c r="M50" s="10" t="str">
        <f t="shared" si="169"/>
        <v xml:space="preserve"> </v>
      </c>
      <c r="N50" s="10" t="str">
        <f t="shared" si="169"/>
        <v xml:space="preserve"> </v>
      </c>
      <c r="O50" s="10" t="str">
        <f t="shared" si="169"/>
        <v xml:space="preserve"> </v>
      </c>
      <c r="P50" s="10" t="str">
        <f t="shared" si="169"/>
        <v xml:space="preserve"> </v>
      </c>
      <c r="Q50" s="10" t="str">
        <f t="shared" si="169"/>
        <v xml:space="preserve"> </v>
      </c>
      <c r="R50" s="14"/>
      <c r="S50" s="14"/>
      <c r="T50" s="10" t="str">
        <f t="shared" si="170"/>
        <v xml:space="preserve"> </v>
      </c>
      <c r="U50" s="10" t="str">
        <f t="shared" si="170"/>
        <v xml:space="preserve"> </v>
      </c>
      <c r="V50" s="10" t="str">
        <f t="shared" si="170"/>
        <v xml:space="preserve"> </v>
      </c>
      <c r="W50" s="10" t="str">
        <f t="shared" si="170"/>
        <v xml:space="preserve"> </v>
      </c>
      <c r="X50" s="10" t="str">
        <f t="shared" si="170"/>
        <v xml:space="preserve"> </v>
      </c>
      <c r="Y50" s="14"/>
      <c r="Z50" s="14"/>
      <c r="AA50" s="10" t="str">
        <f t="shared" si="171"/>
        <v xml:space="preserve"> </v>
      </c>
      <c r="AB50" s="10" t="str">
        <f t="shared" si="171"/>
        <v xml:space="preserve"> </v>
      </c>
      <c r="AC50" s="10" t="str">
        <f t="shared" si="171"/>
        <v xml:space="preserve"> </v>
      </c>
      <c r="AD50" s="10" t="str">
        <f t="shared" si="171"/>
        <v xml:space="preserve"> </v>
      </c>
      <c r="AE50" s="10" t="str">
        <f t="shared" si="171"/>
        <v xml:space="preserve"> </v>
      </c>
      <c r="AF50" s="14"/>
      <c r="AG50" s="14"/>
      <c r="AH50" s="10" t="str">
        <f t="shared" si="172"/>
        <v xml:space="preserve"> </v>
      </c>
      <c r="AI50" s="10" t="str">
        <f t="shared" si="172"/>
        <v xml:space="preserve"> </v>
      </c>
      <c r="AJ50" s="10" t="str">
        <f t="shared" si="172"/>
        <v xml:space="preserve"> </v>
      </c>
      <c r="AK50" s="10" t="str">
        <f t="shared" si="172"/>
        <v xml:space="preserve"> </v>
      </c>
      <c r="AL50" s="10" t="str">
        <f t="shared" si="172"/>
        <v xml:space="preserve"> </v>
      </c>
      <c r="AM50" s="14"/>
      <c r="AN50" s="14"/>
      <c r="AO50" s="10" t="str">
        <f t="shared" si="173"/>
        <v xml:space="preserve"> </v>
      </c>
      <c r="AP50" s="10" t="str">
        <f t="shared" si="173"/>
        <v xml:space="preserve"> </v>
      </c>
      <c r="AQ50" s="10" t="str">
        <f t="shared" si="173"/>
        <v xml:space="preserve"> </v>
      </c>
      <c r="AR50" s="10" t="str">
        <f t="shared" si="173"/>
        <v xml:space="preserve"> </v>
      </c>
      <c r="AS50" s="10" t="str">
        <f t="shared" si="173"/>
        <v xml:space="preserve"> </v>
      </c>
      <c r="AT50" s="14"/>
      <c r="AU50" s="14"/>
      <c r="AV50" s="10" t="str">
        <f t="shared" si="174"/>
        <v xml:space="preserve"> </v>
      </c>
      <c r="AW50" s="10" t="str">
        <f t="shared" si="174"/>
        <v xml:space="preserve"> </v>
      </c>
      <c r="AX50" s="10" t="str">
        <f t="shared" si="174"/>
        <v xml:space="preserve"> </v>
      </c>
      <c r="AY50" s="10" t="str">
        <f t="shared" si="174"/>
        <v xml:space="preserve"> </v>
      </c>
      <c r="AZ50" s="10" t="str">
        <f t="shared" si="174"/>
        <v xml:space="preserve"> </v>
      </c>
      <c r="BA50" s="14"/>
      <c r="BB50" s="14"/>
      <c r="BC50" s="10" t="str">
        <f t="shared" si="175"/>
        <v xml:space="preserve"> </v>
      </c>
      <c r="BD50" s="10" t="str">
        <f t="shared" si="175"/>
        <v xml:space="preserve"> </v>
      </c>
      <c r="BE50" s="10" t="str">
        <f t="shared" si="175"/>
        <v xml:space="preserve"> </v>
      </c>
      <c r="BF50" s="10" t="str">
        <f t="shared" si="175"/>
        <v xml:space="preserve"> </v>
      </c>
      <c r="BG50" s="10" t="str">
        <f t="shared" si="175"/>
        <v xml:space="preserve"> </v>
      </c>
      <c r="BH50" s="14"/>
      <c r="BI50" s="14"/>
      <c r="BJ50" s="10" t="str">
        <f t="shared" si="176"/>
        <v xml:space="preserve"> </v>
      </c>
      <c r="BK50" s="10" t="str">
        <f t="shared" si="176"/>
        <v xml:space="preserve"> </v>
      </c>
      <c r="BL50" s="10" t="str">
        <f t="shared" si="176"/>
        <v xml:space="preserve"> </v>
      </c>
      <c r="BM50" s="10" t="str">
        <f t="shared" si="176"/>
        <v>.</v>
      </c>
      <c r="BN50" s="10" t="str">
        <f t="shared" si="176"/>
        <v xml:space="preserve"> </v>
      </c>
      <c r="BO50" s="14"/>
      <c r="BP50" s="14"/>
      <c r="BQ50" s="10" t="str">
        <f t="shared" si="177"/>
        <v xml:space="preserve"> </v>
      </c>
      <c r="BR50" s="10" t="str">
        <f t="shared" si="177"/>
        <v xml:space="preserve"> </v>
      </c>
      <c r="BS50" s="10" t="str">
        <f t="shared" si="177"/>
        <v xml:space="preserve"> </v>
      </c>
      <c r="BT50" s="10" t="str">
        <f t="shared" si="177"/>
        <v xml:space="preserve"> </v>
      </c>
      <c r="BU50" s="10" t="str">
        <f t="shared" si="177"/>
        <v xml:space="preserve"> </v>
      </c>
      <c r="BV50" s="14"/>
      <c r="BW50" s="14"/>
      <c r="BX50" s="10" t="str">
        <f t="shared" si="178"/>
        <v xml:space="preserve"> </v>
      </c>
      <c r="BY50" s="10" t="str">
        <f t="shared" si="178"/>
        <v xml:space="preserve"> </v>
      </c>
      <c r="BZ50" s="10" t="str">
        <f t="shared" si="178"/>
        <v xml:space="preserve"> </v>
      </c>
      <c r="CA50" s="10" t="str">
        <f t="shared" si="178"/>
        <v xml:space="preserve"> </v>
      </c>
      <c r="CB50" s="10" t="str">
        <f t="shared" si="178"/>
        <v xml:space="preserve"> </v>
      </c>
      <c r="CC50" s="14"/>
      <c r="CD50" s="14"/>
      <c r="CE50" s="10" t="str">
        <f t="shared" si="179"/>
        <v xml:space="preserve"> </v>
      </c>
      <c r="CF50" s="10" t="str">
        <f t="shared" si="179"/>
        <v xml:space="preserve"> </v>
      </c>
      <c r="CG50" s="10" t="str">
        <f t="shared" si="179"/>
        <v xml:space="preserve"> </v>
      </c>
      <c r="CH50" s="10" t="str">
        <f t="shared" si="179"/>
        <v xml:space="preserve"> </v>
      </c>
      <c r="CI50" s="10" t="str">
        <f t="shared" si="179"/>
        <v xml:space="preserve"> </v>
      </c>
      <c r="CJ50" s="14"/>
      <c r="CK50" s="14"/>
      <c r="CL50" s="10" t="str">
        <f t="shared" si="180"/>
        <v xml:space="preserve"> </v>
      </c>
      <c r="CM50" s="10" t="str">
        <f t="shared" si="180"/>
        <v xml:space="preserve"> </v>
      </c>
      <c r="CN50" s="10" t="str">
        <f t="shared" si="180"/>
        <v xml:space="preserve"> </v>
      </c>
      <c r="CO50" s="10" t="str">
        <f t="shared" si="180"/>
        <v xml:space="preserve"> </v>
      </c>
      <c r="CP50" s="10" t="str">
        <f t="shared" si="180"/>
        <v xml:space="preserve"> </v>
      </c>
      <c r="CQ50" s="14"/>
      <c r="CR50" s="14"/>
      <c r="CS50" s="10" t="str">
        <f t="shared" si="181"/>
        <v xml:space="preserve"> </v>
      </c>
      <c r="CT50" s="10" t="str">
        <f t="shared" si="181"/>
        <v xml:space="preserve"> </v>
      </c>
      <c r="CU50" s="10" t="str">
        <f t="shared" si="181"/>
        <v xml:space="preserve"> </v>
      </c>
      <c r="CV50" s="10" t="str">
        <f t="shared" si="181"/>
        <v xml:space="preserve"> </v>
      </c>
      <c r="CW50" s="10" t="str">
        <f t="shared" si="181"/>
        <v xml:space="preserve"> </v>
      </c>
      <c r="CZ50" s="10" t="str">
        <f t="shared" si="182"/>
        <v xml:space="preserve"> </v>
      </c>
      <c r="DA50" s="10" t="str">
        <f t="shared" si="182"/>
        <v xml:space="preserve"> </v>
      </c>
      <c r="DB50" s="10" t="str">
        <f t="shared" si="182"/>
        <v xml:space="preserve"> </v>
      </c>
      <c r="DC50" s="10" t="str">
        <f t="shared" si="182"/>
        <v xml:space="preserve"> </v>
      </c>
      <c r="DD50" s="10" t="str">
        <f t="shared" si="182"/>
        <v xml:space="preserve"> </v>
      </c>
      <c r="DG50" s="10" t="str">
        <f t="shared" si="183"/>
        <v xml:space="preserve"> </v>
      </c>
      <c r="DH50" s="10" t="str">
        <f t="shared" si="183"/>
        <v xml:space="preserve"> </v>
      </c>
      <c r="DI50" s="10" t="str">
        <f t="shared" si="183"/>
        <v xml:space="preserve"> </v>
      </c>
      <c r="DJ50" s="10" t="str">
        <f t="shared" si="183"/>
        <v xml:space="preserve"> </v>
      </c>
      <c r="DK50" s="10" t="str">
        <f t="shared" si="183"/>
        <v xml:space="preserve"> </v>
      </c>
      <c r="DN50" s="10" t="str">
        <f t="shared" si="184"/>
        <v xml:space="preserve"> </v>
      </c>
      <c r="DO50" s="10" t="str">
        <f t="shared" si="184"/>
        <v xml:space="preserve"> </v>
      </c>
      <c r="DP50" s="10" t="str">
        <f t="shared" si="184"/>
        <v xml:space="preserve"> </v>
      </c>
      <c r="DQ50" s="10" t="str">
        <f t="shared" si="184"/>
        <v xml:space="preserve"> </v>
      </c>
      <c r="DR50" s="10" t="str">
        <f t="shared" si="184"/>
        <v xml:space="preserve"> </v>
      </c>
      <c r="DU50" s="10" t="str">
        <f t="shared" si="185"/>
        <v xml:space="preserve"> </v>
      </c>
      <c r="DV50" s="10" t="str">
        <f t="shared" si="185"/>
        <v xml:space="preserve"> </v>
      </c>
      <c r="DW50" s="10" t="str">
        <f t="shared" si="185"/>
        <v xml:space="preserve"> </v>
      </c>
      <c r="DX50" s="10" t="str">
        <f t="shared" si="185"/>
        <v xml:space="preserve"> </v>
      </c>
      <c r="DY50" s="10" t="str">
        <f t="shared" si="185"/>
        <v xml:space="preserve"> </v>
      </c>
      <c r="EB50" s="10" t="str">
        <f t="shared" si="186"/>
        <v xml:space="preserve"> </v>
      </c>
      <c r="EC50" s="10" t="str">
        <f t="shared" si="186"/>
        <v xml:space="preserve"> </v>
      </c>
      <c r="ED50" s="10" t="str">
        <f t="shared" si="186"/>
        <v xml:space="preserve"> </v>
      </c>
      <c r="EE50" s="10" t="str">
        <f t="shared" si="186"/>
        <v xml:space="preserve"> </v>
      </c>
      <c r="EF50" s="10" t="str">
        <f t="shared" si="186"/>
        <v xml:space="preserve"> </v>
      </c>
      <c r="EI50" s="10" t="str">
        <f t="shared" si="187"/>
        <v xml:space="preserve"> </v>
      </c>
      <c r="EJ50" s="10" t="str">
        <f t="shared" si="187"/>
        <v xml:space="preserve"> </v>
      </c>
      <c r="EK50" s="10" t="str">
        <f t="shared" si="187"/>
        <v xml:space="preserve"> </v>
      </c>
      <c r="EL50" s="10" t="str">
        <f t="shared" si="187"/>
        <v xml:space="preserve"> </v>
      </c>
      <c r="EM50" s="10" t="str">
        <f t="shared" si="187"/>
        <v xml:space="preserve"> </v>
      </c>
      <c r="EP50" s="10" t="str">
        <f t="shared" si="188"/>
        <v xml:space="preserve"> </v>
      </c>
      <c r="EQ50" s="10" t="str">
        <f t="shared" si="188"/>
        <v xml:space="preserve"> </v>
      </c>
      <c r="ER50" s="10" t="str">
        <f t="shared" si="188"/>
        <v xml:space="preserve"> </v>
      </c>
      <c r="ES50" s="10" t="str">
        <f t="shared" si="188"/>
        <v xml:space="preserve"> </v>
      </c>
      <c r="ET50" s="10" t="str">
        <f t="shared" si="188"/>
        <v xml:space="preserve"> </v>
      </c>
      <c r="EW50" s="10" t="str">
        <f t="shared" si="189"/>
        <v xml:space="preserve"> </v>
      </c>
      <c r="EX50" s="10" t="str">
        <f t="shared" si="189"/>
        <v xml:space="preserve"> </v>
      </c>
      <c r="EY50" s="10" t="str">
        <f t="shared" si="189"/>
        <v xml:space="preserve"> </v>
      </c>
      <c r="EZ50" s="10" t="str">
        <f t="shared" si="189"/>
        <v xml:space="preserve"> </v>
      </c>
      <c r="FA50" s="10" t="str">
        <f t="shared" si="189"/>
        <v xml:space="preserve"> </v>
      </c>
      <c r="FD50" s="10" t="str">
        <f t="shared" si="190"/>
        <v xml:space="preserve"> </v>
      </c>
      <c r="FE50" s="10" t="str">
        <f t="shared" si="190"/>
        <v xml:space="preserve"> </v>
      </c>
      <c r="FF50" s="10" t="str">
        <f t="shared" si="190"/>
        <v xml:space="preserve"> </v>
      </c>
      <c r="FG50" s="10" t="str">
        <f t="shared" si="190"/>
        <v xml:space="preserve"> </v>
      </c>
      <c r="FH50" s="10" t="str">
        <f t="shared" si="190"/>
        <v xml:space="preserve"> </v>
      </c>
      <c r="FK50" s="10" t="str">
        <f t="shared" si="191"/>
        <v xml:space="preserve"> </v>
      </c>
      <c r="FL50" s="10" t="str">
        <f t="shared" si="191"/>
        <v xml:space="preserve"> </v>
      </c>
      <c r="FM50" s="10" t="str">
        <f t="shared" si="191"/>
        <v xml:space="preserve"> </v>
      </c>
      <c r="FN50" s="10" t="str">
        <f t="shared" si="191"/>
        <v xml:space="preserve"> </v>
      </c>
      <c r="FO50" s="10" t="str">
        <f t="shared" si="191"/>
        <v xml:space="preserve"> </v>
      </c>
      <c r="FR50" s="10" t="str">
        <f t="shared" si="192"/>
        <v xml:space="preserve"> </v>
      </c>
      <c r="FS50" s="10" t="str">
        <f t="shared" si="192"/>
        <v xml:space="preserve"> </v>
      </c>
      <c r="FT50" s="10" t="str">
        <f t="shared" si="192"/>
        <v xml:space="preserve"> </v>
      </c>
      <c r="FU50" s="10" t="str">
        <f t="shared" si="192"/>
        <v xml:space="preserve"> </v>
      </c>
      <c r="FV50" s="10" t="str">
        <f t="shared" si="192"/>
        <v xml:space="preserve"> </v>
      </c>
      <c r="FY50" s="10" t="str">
        <f t="shared" si="193"/>
        <v xml:space="preserve"> </v>
      </c>
      <c r="FZ50" s="10" t="str">
        <f t="shared" si="193"/>
        <v xml:space="preserve"> </v>
      </c>
      <c r="GA50" s="10" t="str">
        <f t="shared" si="193"/>
        <v xml:space="preserve"> </v>
      </c>
      <c r="GB50" s="10" t="str">
        <f t="shared" si="193"/>
        <v xml:space="preserve"> </v>
      </c>
      <c r="GC50" s="10" t="str">
        <f t="shared" si="193"/>
        <v xml:space="preserve"> </v>
      </c>
      <c r="GF50" s="10" t="str">
        <f t="shared" si="194"/>
        <v xml:space="preserve"> </v>
      </c>
      <c r="GG50" s="10" t="str">
        <f t="shared" si="194"/>
        <v xml:space="preserve"> </v>
      </c>
      <c r="GH50" s="10" t="str">
        <f t="shared" si="194"/>
        <v xml:space="preserve"> </v>
      </c>
      <c r="GI50" s="10" t="str">
        <f t="shared" si="194"/>
        <v xml:space="preserve"> </v>
      </c>
      <c r="GJ50" s="10" t="str">
        <f t="shared" si="194"/>
        <v xml:space="preserve"> </v>
      </c>
      <c r="GM50" s="10" t="str">
        <f t="shared" si="195"/>
        <v xml:space="preserve"> </v>
      </c>
      <c r="GN50" s="10" t="str">
        <f t="shared" si="195"/>
        <v xml:space="preserve"> </v>
      </c>
      <c r="GO50" s="10" t="str">
        <f t="shared" si="195"/>
        <v xml:space="preserve"> </v>
      </c>
      <c r="GP50" s="10" t="str">
        <f t="shared" si="195"/>
        <v xml:space="preserve"> </v>
      </c>
      <c r="GQ50" s="10" t="str">
        <f t="shared" si="195"/>
        <v xml:space="preserve"> </v>
      </c>
      <c r="GT50" s="10" t="str">
        <f t="shared" si="196"/>
        <v xml:space="preserve"> </v>
      </c>
      <c r="GU50" s="10" t="str">
        <f t="shared" si="196"/>
        <v xml:space="preserve"> </v>
      </c>
      <c r="GV50" s="10" t="str">
        <f t="shared" si="196"/>
        <v xml:space="preserve"> </v>
      </c>
      <c r="GW50" s="10" t="str">
        <f t="shared" si="196"/>
        <v xml:space="preserve"> </v>
      </c>
      <c r="GX50" s="10" t="str">
        <f t="shared" si="196"/>
        <v xml:space="preserve"> </v>
      </c>
      <c r="HA50" s="10" t="str">
        <f t="shared" si="197"/>
        <v xml:space="preserve"> </v>
      </c>
      <c r="HB50" s="10" t="str">
        <f t="shared" si="197"/>
        <v xml:space="preserve"> </v>
      </c>
      <c r="HC50" s="10" t="str">
        <f t="shared" si="197"/>
        <v xml:space="preserve"> </v>
      </c>
      <c r="HD50" s="10" t="str">
        <f t="shared" si="197"/>
        <v xml:space="preserve"> </v>
      </c>
      <c r="HE50" s="10" t="str">
        <f t="shared" si="197"/>
        <v xml:space="preserve"> </v>
      </c>
      <c r="HH50" s="10" t="str">
        <f t="shared" si="198"/>
        <v xml:space="preserve"> </v>
      </c>
      <c r="HI50" s="10" t="str">
        <f t="shared" si="198"/>
        <v xml:space="preserve"> </v>
      </c>
      <c r="HJ50" s="10" t="str">
        <f t="shared" si="198"/>
        <v xml:space="preserve"> </v>
      </c>
      <c r="HK50" s="10" t="str">
        <f t="shared" si="198"/>
        <v xml:space="preserve"> </v>
      </c>
      <c r="HL50" s="10" t="str">
        <f t="shared" si="198"/>
        <v xml:space="preserve"> </v>
      </c>
      <c r="HO50" s="10" t="str">
        <f t="shared" si="199"/>
        <v xml:space="preserve"> </v>
      </c>
      <c r="HP50" s="10" t="str">
        <f t="shared" si="199"/>
        <v xml:space="preserve"> </v>
      </c>
      <c r="HQ50" s="10" t="str">
        <f t="shared" si="199"/>
        <v xml:space="preserve"> </v>
      </c>
      <c r="HR50" s="10" t="str">
        <f t="shared" si="199"/>
        <v xml:space="preserve"> </v>
      </c>
      <c r="HS50" s="10" t="str">
        <f t="shared" si="199"/>
        <v xml:space="preserve"> </v>
      </c>
      <c r="HV50" s="10" t="str">
        <f t="shared" si="200"/>
        <v xml:space="preserve"> </v>
      </c>
      <c r="HW50" s="10" t="str">
        <f t="shared" si="200"/>
        <v xml:space="preserve"> </v>
      </c>
      <c r="HX50" s="10" t="str">
        <f t="shared" si="200"/>
        <v xml:space="preserve"> </v>
      </c>
      <c r="HY50" s="10" t="str">
        <f t="shared" si="200"/>
        <v xml:space="preserve"> </v>
      </c>
      <c r="HZ50" s="10" t="str">
        <f t="shared" si="200"/>
        <v xml:space="preserve"> </v>
      </c>
      <c r="IC50" s="10" t="str">
        <f t="shared" si="201"/>
        <v xml:space="preserve"> </v>
      </c>
      <c r="ID50" s="10" t="str">
        <f t="shared" si="201"/>
        <v xml:space="preserve"> </v>
      </c>
      <c r="IE50" s="10" t="str">
        <f t="shared" si="201"/>
        <v xml:space="preserve"> </v>
      </c>
      <c r="IF50" s="10" t="str">
        <f t="shared" si="201"/>
        <v xml:space="preserve"> </v>
      </c>
      <c r="IG50" s="10" t="str">
        <f t="shared" si="201"/>
        <v xml:space="preserve"> </v>
      </c>
      <c r="IJ50" s="10" t="str">
        <f t="shared" si="202"/>
        <v xml:space="preserve"> </v>
      </c>
      <c r="IK50" s="10" t="str">
        <f t="shared" si="202"/>
        <v xml:space="preserve"> </v>
      </c>
      <c r="IL50" s="10" t="str">
        <f t="shared" si="202"/>
        <v xml:space="preserve"> </v>
      </c>
      <c r="IM50" s="10" t="str">
        <f t="shared" si="202"/>
        <v xml:space="preserve"> </v>
      </c>
      <c r="IN50" s="10" t="str">
        <f t="shared" si="202"/>
        <v xml:space="preserve"> </v>
      </c>
      <c r="IQ50" s="10" t="str">
        <f t="shared" si="203"/>
        <v xml:space="preserve"> </v>
      </c>
      <c r="IR50" s="10" t="str">
        <f t="shared" si="203"/>
        <v xml:space="preserve"> </v>
      </c>
      <c r="IS50" s="10" t="str">
        <f t="shared" si="203"/>
        <v xml:space="preserve"> </v>
      </c>
      <c r="IT50" s="10" t="str">
        <f t="shared" si="203"/>
        <v xml:space="preserve"> </v>
      </c>
      <c r="IU50" s="10" t="str">
        <f t="shared" si="203"/>
        <v xml:space="preserve"> </v>
      </c>
      <c r="IX50" s="10" t="str">
        <f t="shared" si="204"/>
        <v xml:space="preserve"> </v>
      </c>
      <c r="IY50" s="10" t="str">
        <f t="shared" si="204"/>
        <v xml:space="preserve"> </v>
      </c>
      <c r="IZ50" s="10" t="str">
        <f t="shared" si="204"/>
        <v xml:space="preserve"> </v>
      </c>
      <c r="JA50" s="10" t="str">
        <f t="shared" si="204"/>
        <v xml:space="preserve"> </v>
      </c>
      <c r="JB50" s="10" t="str">
        <f t="shared" si="204"/>
        <v xml:space="preserve"> </v>
      </c>
      <c r="JE50" s="10" t="str">
        <f t="shared" si="205"/>
        <v xml:space="preserve"> </v>
      </c>
      <c r="JF50" s="10" t="str">
        <f t="shared" si="205"/>
        <v xml:space="preserve"> </v>
      </c>
      <c r="JG50" s="10" t="str">
        <f t="shared" si="205"/>
        <v xml:space="preserve"> </v>
      </c>
      <c r="JH50" s="10" t="str">
        <f t="shared" si="205"/>
        <v xml:space="preserve"> </v>
      </c>
      <c r="JI50" s="10" t="str">
        <f t="shared" si="205"/>
        <v xml:space="preserve"> </v>
      </c>
    </row>
    <row r="51" spans="1:269">
      <c r="A51" s="96"/>
      <c r="B51" s="10">
        <v>43</v>
      </c>
      <c r="C51" s="11" t="s">
        <v>69</v>
      </c>
      <c r="D51" s="11" t="s">
        <v>58</v>
      </c>
      <c r="E51" s="10">
        <v>41</v>
      </c>
      <c r="F51" s="12">
        <f t="shared" ref="F51" si="206">VLOOKUP(E51,$B$6:$G$150,6,FALSE) + 1</f>
        <v>42574</v>
      </c>
      <c r="G51" s="12">
        <f>WORKDAY(F51,H51-1,Config!D52:D71)</f>
        <v>42577</v>
      </c>
      <c r="H51" s="10">
        <v>3</v>
      </c>
      <c r="I51" s="13">
        <v>0</v>
      </c>
      <c r="J51" s="13">
        <f ca="1">IF(((NETWORKDAYS(F51,TODAY(),Data!C48:C67)*100)/H51)/100 &gt; 0,((NETWORKDAYS(F51,TODAY(),Data!C48:C67)*100)/H51)/100,0)</f>
        <v>538.33333333333337</v>
      </c>
      <c r="K51" s="13" t="str">
        <f t="shared" ca="1" si="129"/>
        <v>100%</v>
      </c>
      <c r="L51" s="13">
        <f t="shared" ca="1" si="130"/>
        <v>1</v>
      </c>
      <c r="M51" s="10" t="str">
        <f t="shared" si="169"/>
        <v xml:space="preserve"> </v>
      </c>
      <c r="N51" s="10" t="str">
        <f t="shared" si="169"/>
        <v xml:space="preserve"> </v>
      </c>
      <c r="O51" s="10" t="str">
        <f t="shared" si="169"/>
        <v xml:space="preserve"> </v>
      </c>
      <c r="P51" s="10" t="str">
        <f t="shared" si="169"/>
        <v xml:space="preserve"> </v>
      </c>
      <c r="Q51" s="10" t="str">
        <f t="shared" si="169"/>
        <v xml:space="preserve"> </v>
      </c>
      <c r="R51" s="14"/>
      <c r="S51" s="14"/>
      <c r="T51" s="10" t="str">
        <f t="shared" si="170"/>
        <v xml:space="preserve"> </v>
      </c>
      <c r="U51" s="10" t="str">
        <f t="shared" si="170"/>
        <v xml:space="preserve"> </v>
      </c>
      <c r="V51" s="10" t="str">
        <f t="shared" si="170"/>
        <v xml:space="preserve"> </v>
      </c>
      <c r="W51" s="10" t="str">
        <f t="shared" si="170"/>
        <v xml:space="preserve"> </v>
      </c>
      <c r="X51" s="10" t="str">
        <f t="shared" si="170"/>
        <v xml:space="preserve"> </v>
      </c>
      <c r="Y51" s="14"/>
      <c r="Z51" s="14"/>
      <c r="AA51" s="10" t="str">
        <f t="shared" si="171"/>
        <v xml:space="preserve"> </v>
      </c>
      <c r="AB51" s="10" t="str">
        <f t="shared" si="171"/>
        <v xml:space="preserve"> </v>
      </c>
      <c r="AC51" s="10" t="str">
        <f t="shared" si="171"/>
        <v xml:space="preserve"> </v>
      </c>
      <c r="AD51" s="10" t="str">
        <f t="shared" si="171"/>
        <v xml:space="preserve"> </v>
      </c>
      <c r="AE51" s="10" t="str">
        <f t="shared" si="171"/>
        <v xml:space="preserve"> </v>
      </c>
      <c r="AF51" s="14"/>
      <c r="AG51" s="14"/>
      <c r="AH51" s="10" t="str">
        <f t="shared" si="172"/>
        <v xml:space="preserve"> </v>
      </c>
      <c r="AI51" s="10" t="str">
        <f t="shared" si="172"/>
        <v xml:space="preserve"> </v>
      </c>
      <c r="AJ51" s="10" t="str">
        <f t="shared" si="172"/>
        <v xml:space="preserve"> </v>
      </c>
      <c r="AK51" s="10" t="str">
        <f t="shared" si="172"/>
        <v xml:space="preserve"> </v>
      </c>
      <c r="AL51" s="10" t="str">
        <f t="shared" si="172"/>
        <v xml:space="preserve"> </v>
      </c>
      <c r="AM51" s="14"/>
      <c r="AN51" s="14"/>
      <c r="AO51" s="10" t="str">
        <f t="shared" si="173"/>
        <v xml:space="preserve"> </v>
      </c>
      <c r="AP51" s="10" t="str">
        <f t="shared" si="173"/>
        <v xml:space="preserve"> </v>
      </c>
      <c r="AQ51" s="10" t="str">
        <f t="shared" si="173"/>
        <v xml:space="preserve"> </v>
      </c>
      <c r="AR51" s="10" t="str">
        <f t="shared" si="173"/>
        <v xml:space="preserve"> </v>
      </c>
      <c r="AS51" s="10" t="str">
        <f t="shared" si="173"/>
        <v xml:space="preserve"> </v>
      </c>
      <c r="AT51" s="14"/>
      <c r="AU51" s="14"/>
      <c r="AV51" s="10" t="str">
        <f t="shared" si="174"/>
        <v xml:space="preserve"> </v>
      </c>
      <c r="AW51" s="10" t="str">
        <f t="shared" si="174"/>
        <v xml:space="preserve"> </v>
      </c>
      <c r="AX51" s="10" t="str">
        <f t="shared" si="174"/>
        <v xml:space="preserve"> </v>
      </c>
      <c r="AY51" s="10" t="str">
        <f t="shared" si="174"/>
        <v xml:space="preserve"> </v>
      </c>
      <c r="AZ51" s="10" t="str">
        <f t="shared" si="174"/>
        <v xml:space="preserve"> </v>
      </c>
      <c r="BA51" s="14"/>
      <c r="BB51" s="14"/>
      <c r="BC51" s="10" t="str">
        <f t="shared" si="175"/>
        <v xml:space="preserve"> </v>
      </c>
      <c r="BD51" s="10" t="str">
        <f t="shared" si="175"/>
        <v xml:space="preserve"> </v>
      </c>
      <c r="BE51" s="10" t="str">
        <f t="shared" si="175"/>
        <v xml:space="preserve"> </v>
      </c>
      <c r="BF51" s="10" t="str">
        <f t="shared" si="175"/>
        <v xml:space="preserve"> </v>
      </c>
      <c r="BG51" s="10" t="str">
        <f t="shared" si="175"/>
        <v xml:space="preserve"> </v>
      </c>
      <c r="BH51" s="14"/>
      <c r="BI51" s="14"/>
      <c r="BJ51" s="10" t="str">
        <f t="shared" si="176"/>
        <v xml:space="preserve"> </v>
      </c>
      <c r="BK51" s="10" t="str">
        <f t="shared" si="176"/>
        <v xml:space="preserve"> </v>
      </c>
      <c r="BL51" s="10" t="str">
        <f t="shared" si="176"/>
        <v xml:space="preserve"> </v>
      </c>
      <c r="BM51" s="10" t="str">
        <f t="shared" si="176"/>
        <v xml:space="preserve"> </v>
      </c>
      <c r="BN51" s="10" t="str">
        <f t="shared" si="176"/>
        <v xml:space="preserve"> </v>
      </c>
      <c r="BO51" s="14"/>
      <c r="BP51" s="14"/>
      <c r="BQ51" s="10" t="str">
        <f t="shared" si="177"/>
        <v xml:space="preserve"> </v>
      </c>
      <c r="BR51" s="10" t="str">
        <f t="shared" si="177"/>
        <v xml:space="preserve"> </v>
      </c>
      <c r="BS51" s="10" t="str">
        <f t="shared" si="177"/>
        <v xml:space="preserve"> </v>
      </c>
      <c r="BT51" s="10" t="str">
        <f t="shared" si="177"/>
        <v xml:space="preserve"> </v>
      </c>
      <c r="BU51" s="10" t="str">
        <f t="shared" si="177"/>
        <v xml:space="preserve"> </v>
      </c>
      <c r="BV51" s="14"/>
      <c r="BW51" s="14"/>
      <c r="BX51" s="10" t="str">
        <f t="shared" si="178"/>
        <v xml:space="preserve"> </v>
      </c>
      <c r="BY51" s="10" t="str">
        <f t="shared" si="178"/>
        <v xml:space="preserve"> </v>
      </c>
      <c r="BZ51" s="10" t="str">
        <f t="shared" si="178"/>
        <v xml:space="preserve"> </v>
      </c>
      <c r="CA51" s="10" t="str">
        <f t="shared" si="178"/>
        <v xml:space="preserve"> </v>
      </c>
      <c r="CB51" s="10" t="str">
        <f t="shared" si="178"/>
        <v xml:space="preserve"> </v>
      </c>
      <c r="CC51" s="14"/>
      <c r="CD51" s="14"/>
      <c r="CE51" s="10" t="str">
        <f t="shared" si="179"/>
        <v xml:space="preserve"> </v>
      </c>
      <c r="CF51" s="10" t="str">
        <f t="shared" si="179"/>
        <v xml:space="preserve"> </v>
      </c>
      <c r="CG51" s="10" t="str">
        <f t="shared" si="179"/>
        <v xml:space="preserve"> </v>
      </c>
      <c r="CH51" s="10" t="str">
        <f t="shared" si="179"/>
        <v xml:space="preserve"> </v>
      </c>
      <c r="CI51" s="10" t="str">
        <f t="shared" si="179"/>
        <v xml:space="preserve"> </v>
      </c>
      <c r="CJ51" s="14"/>
      <c r="CK51" s="14"/>
      <c r="CL51" s="10" t="str">
        <f t="shared" si="180"/>
        <v xml:space="preserve"> </v>
      </c>
      <c r="CM51" s="10" t="str">
        <f t="shared" si="180"/>
        <v xml:space="preserve"> </v>
      </c>
      <c r="CN51" s="10" t="str">
        <f t="shared" si="180"/>
        <v>.</v>
      </c>
      <c r="CO51" s="10" t="str">
        <f t="shared" si="180"/>
        <v>.</v>
      </c>
      <c r="CP51" s="10" t="str">
        <f t="shared" si="180"/>
        <v>.</v>
      </c>
      <c r="CQ51" s="14"/>
      <c r="CR51" s="14"/>
      <c r="CS51" s="10" t="str">
        <f t="shared" si="181"/>
        <v xml:space="preserve"> </v>
      </c>
      <c r="CT51" s="10" t="str">
        <f t="shared" si="181"/>
        <v xml:space="preserve"> </v>
      </c>
      <c r="CU51" s="10" t="str">
        <f t="shared" si="181"/>
        <v xml:space="preserve"> </v>
      </c>
      <c r="CV51" s="10" t="str">
        <f t="shared" si="181"/>
        <v xml:space="preserve"> </v>
      </c>
      <c r="CW51" s="10" t="str">
        <f t="shared" si="181"/>
        <v xml:space="preserve"> </v>
      </c>
      <c r="CZ51" s="10" t="str">
        <f t="shared" si="182"/>
        <v xml:space="preserve"> </v>
      </c>
      <c r="DA51" s="10" t="str">
        <f t="shared" si="182"/>
        <v xml:space="preserve"> </v>
      </c>
      <c r="DB51" s="10" t="str">
        <f t="shared" si="182"/>
        <v xml:space="preserve"> </v>
      </c>
      <c r="DC51" s="10" t="str">
        <f t="shared" si="182"/>
        <v xml:space="preserve"> </v>
      </c>
      <c r="DD51" s="10" t="str">
        <f t="shared" si="182"/>
        <v xml:space="preserve"> </v>
      </c>
      <c r="DG51" s="10" t="str">
        <f t="shared" si="183"/>
        <v xml:space="preserve"> </v>
      </c>
      <c r="DH51" s="10" t="str">
        <f t="shared" si="183"/>
        <v xml:space="preserve"> </v>
      </c>
      <c r="DI51" s="10" t="str">
        <f t="shared" si="183"/>
        <v xml:space="preserve"> </v>
      </c>
      <c r="DJ51" s="10" t="str">
        <f t="shared" si="183"/>
        <v xml:space="preserve"> </v>
      </c>
      <c r="DK51" s="10" t="str">
        <f t="shared" si="183"/>
        <v xml:space="preserve"> </v>
      </c>
      <c r="DN51" s="10" t="str">
        <f t="shared" si="184"/>
        <v xml:space="preserve"> </v>
      </c>
      <c r="DO51" s="10" t="str">
        <f t="shared" si="184"/>
        <v xml:space="preserve"> </v>
      </c>
      <c r="DP51" s="10" t="str">
        <f t="shared" si="184"/>
        <v xml:space="preserve"> </v>
      </c>
      <c r="DQ51" s="10" t="str">
        <f t="shared" si="184"/>
        <v xml:space="preserve"> </v>
      </c>
      <c r="DR51" s="10" t="str">
        <f t="shared" si="184"/>
        <v xml:space="preserve"> </v>
      </c>
      <c r="DU51" s="10" t="str">
        <f t="shared" si="185"/>
        <v xml:space="preserve"> </v>
      </c>
      <c r="DV51" s="10" t="str">
        <f t="shared" si="185"/>
        <v xml:space="preserve"> </v>
      </c>
      <c r="DW51" s="10" t="str">
        <f t="shared" si="185"/>
        <v xml:space="preserve"> </v>
      </c>
      <c r="DX51" s="10" t="str">
        <f t="shared" si="185"/>
        <v xml:space="preserve"> </v>
      </c>
      <c r="DY51" s="10" t="str">
        <f t="shared" si="185"/>
        <v xml:space="preserve"> </v>
      </c>
      <c r="EB51" s="10" t="str">
        <f t="shared" si="186"/>
        <v xml:space="preserve"> </v>
      </c>
      <c r="EC51" s="10" t="str">
        <f t="shared" si="186"/>
        <v xml:space="preserve"> </v>
      </c>
      <c r="ED51" s="10" t="str">
        <f t="shared" si="186"/>
        <v xml:space="preserve"> </v>
      </c>
      <c r="EE51" s="10" t="str">
        <f t="shared" si="186"/>
        <v xml:space="preserve"> </v>
      </c>
      <c r="EF51" s="10" t="str">
        <f t="shared" si="186"/>
        <v xml:space="preserve"> </v>
      </c>
      <c r="EI51" s="10" t="str">
        <f t="shared" si="187"/>
        <v xml:space="preserve"> </v>
      </c>
      <c r="EJ51" s="10" t="str">
        <f t="shared" si="187"/>
        <v xml:space="preserve"> </v>
      </c>
      <c r="EK51" s="10" t="str">
        <f t="shared" si="187"/>
        <v xml:space="preserve"> </v>
      </c>
      <c r="EL51" s="10" t="str">
        <f t="shared" si="187"/>
        <v xml:space="preserve"> </v>
      </c>
      <c r="EM51" s="10" t="str">
        <f t="shared" si="187"/>
        <v xml:space="preserve"> </v>
      </c>
      <c r="EP51" s="10" t="str">
        <f t="shared" si="188"/>
        <v xml:space="preserve"> </v>
      </c>
      <c r="EQ51" s="10" t="str">
        <f t="shared" si="188"/>
        <v xml:space="preserve"> </v>
      </c>
      <c r="ER51" s="10" t="str">
        <f t="shared" si="188"/>
        <v xml:space="preserve"> </v>
      </c>
      <c r="ES51" s="10" t="str">
        <f t="shared" si="188"/>
        <v xml:space="preserve"> </v>
      </c>
      <c r="ET51" s="10" t="str">
        <f t="shared" si="188"/>
        <v xml:space="preserve"> </v>
      </c>
      <c r="EW51" s="10" t="str">
        <f t="shared" si="189"/>
        <v xml:space="preserve"> </v>
      </c>
      <c r="EX51" s="10" t="str">
        <f t="shared" si="189"/>
        <v xml:space="preserve"> </v>
      </c>
      <c r="EY51" s="10" t="str">
        <f t="shared" si="189"/>
        <v xml:space="preserve"> </v>
      </c>
      <c r="EZ51" s="10" t="str">
        <f t="shared" si="189"/>
        <v xml:space="preserve"> </v>
      </c>
      <c r="FA51" s="10" t="str">
        <f t="shared" si="189"/>
        <v xml:space="preserve"> </v>
      </c>
      <c r="FD51" s="10" t="str">
        <f t="shared" si="190"/>
        <v xml:space="preserve"> </v>
      </c>
      <c r="FE51" s="10" t="str">
        <f t="shared" si="190"/>
        <v xml:space="preserve"> </v>
      </c>
      <c r="FF51" s="10" t="str">
        <f t="shared" si="190"/>
        <v xml:space="preserve"> </v>
      </c>
      <c r="FG51" s="10" t="str">
        <f t="shared" si="190"/>
        <v xml:space="preserve"> </v>
      </c>
      <c r="FH51" s="10" t="str">
        <f t="shared" si="190"/>
        <v xml:space="preserve"> </v>
      </c>
      <c r="FK51" s="10" t="str">
        <f t="shared" si="191"/>
        <v xml:space="preserve"> </v>
      </c>
      <c r="FL51" s="10" t="str">
        <f t="shared" si="191"/>
        <v xml:space="preserve"> </v>
      </c>
      <c r="FM51" s="10" t="str">
        <f t="shared" si="191"/>
        <v xml:space="preserve"> </v>
      </c>
      <c r="FN51" s="10" t="str">
        <f t="shared" si="191"/>
        <v xml:space="preserve"> </v>
      </c>
      <c r="FO51" s="10" t="str">
        <f t="shared" si="191"/>
        <v xml:space="preserve"> </v>
      </c>
      <c r="FR51" s="10" t="str">
        <f t="shared" si="192"/>
        <v xml:space="preserve"> </v>
      </c>
      <c r="FS51" s="10" t="str">
        <f t="shared" si="192"/>
        <v xml:space="preserve"> </v>
      </c>
      <c r="FT51" s="10" t="str">
        <f t="shared" si="192"/>
        <v xml:space="preserve"> </v>
      </c>
      <c r="FU51" s="10" t="str">
        <f t="shared" si="192"/>
        <v xml:space="preserve"> </v>
      </c>
      <c r="FV51" s="10" t="str">
        <f t="shared" si="192"/>
        <v xml:space="preserve"> </v>
      </c>
      <c r="FY51" s="10" t="str">
        <f t="shared" si="193"/>
        <v xml:space="preserve"> </v>
      </c>
      <c r="FZ51" s="10" t="str">
        <f t="shared" si="193"/>
        <v xml:space="preserve"> </v>
      </c>
      <c r="GA51" s="10" t="str">
        <f t="shared" si="193"/>
        <v xml:space="preserve"> </v>
      </c>
      <c r="GB51" s="10" t="str">
        <f t="shared" si="193"/>
        <v xml:space="preserve"> </v>
      </c>
      <c r="GC51" s="10" t="str">
        <f t="shared" si="193"/>
        <v xml:space="preserve"> </v>
      </c>
      <c r="GF51" s="10" t="str">
        <f t="shared" si="194"/>
        <v xml:space="preserve"> </v>
      </c>
      <c r="GG51" s="10" t="str">
        <f t="shared" si="194"/>
        <v xml:space="preserve"> </v>
      </c>
      <c r="GH51" s="10" t="str">
        <f t="shared" si="194"/>
        <v xml:space="preserve"> </v>
      </c>
      <c r="GI51" s="10" t="str">
        <f t="shared" si="194"/>
        <v xml:space="preserve"> </v>
      </c>
      <c r="GJ51" s="10" t="str">
        <f t="shared" si="194"/>
        <v xml:space="preserve"> </v>
      </c>
      <c r="GM51" s="10" t="str">
        <f t="shared" si="195"/>
        <v xml:space="preserve"> </v>
      </c>
      <c r="GN51" s="10" t="str">
        <f t="shared" si="195"/>
        <v xml:space="preserve"> </v>
      </c>
      <c r="GO51" s="10" t="str">
        <f t="shared" si="195"/>
        <v xml:space="preserve"> </v>
      </c>
      <c r="GP51" s="10" t="str">
        <f t="shared" si="195"/>
        <v xml:space="preserve"> </v>
      </c>
      <c r="GQ51" s="10" t="str">
        <f t="shared" si="195"/>
        <v xml:space="preserve"> </v>
      </c>
      <c r="GT51" s="10" t="str">
        <f t="shared" si="196"/>
        <v xml:space="preserve"> </v>
      </c>
      <c r="GU51" s="10" t="str">
        <f t="shared" si="196"/>
        <v xml:space="preserve"> </v>
      </c>
      <c r="GV51" s="10" t="str">
        <f t="shared" si="196"/>
        <v xml:space="preserve"> </v>
      </c>
      <c r="GW51" s="10" t="str">
        <f t="shared" si="196"/>
        <v xml:space="preserve"> </v>
      </c>
      <c r="GX51" s="10" t="str">
        <f t="shared" si="196"/>
        <v xml:space="preserve"> </v>
      </c>
      <c r="HA51" s="10" t="str">
        <f t="shared" si="197"/>
        <v xml:space="preserve"> </v>
      </c>
      <c r="HB51" s="10" t="str">
        <f t="shared" si="197"/>
        <v xml:space="preserve"> </v>
      </c>
      <c r="HC51" s="10" t="str">
        <f t="shared" si="197"/>
        <v xml:space="preserve"> </v>
      </c>
      <c r="HD51" s="10" t="str">
        <f t="shared" si="197"/>
        <v xml:space="preserve"> </v>
      </c>
      <c r="HE51" s="10" t="str">
        <f t="shared" si="197"/>
        <v xml:space="preserve"> </v>
      </c>
      <c r="HH51" s="10" t="str">
        <f t="shared" si="198"/>
        <v xml:space="preserve"> </v>
      </c>
      <c r="HI51" s="10" t="str">
        <f t="shared" si="198"/>
        <v xml:space="preserve"> </v>
      </c>
      <c r="HJ51" s="10" t="str">
        <f t="shared" si="198"/>
        <v xml:space="preserve"> </v>
      </c>
      <c r="HK51" s="10" t="str">
        <f t="shared" si="198"/>
        <v xml:space="preserve"> </v>
      </c>
      <c r="HL51" s="10" t="str">
        <f t="shared" si="198"/>
        <v xml:space="preserve"> </v>
      </c>
      <c r="HO51" s="10" t="str">
        <f t="shared" si="199"/>
        <v xml:space="preserve"> </v>
      </c>
      <c r="HP51" s="10" t="str">
        <f t="shared" si="199"/>
        <v xml:space="preserve"> </v>
      </c>
      <c r="HQ51" s="10" t="str">
        <f t="shared" si="199"/>
        <v xml:space="preserve"> </v>
      </c>
      <c r="HR51" s="10" t="str">
        <f t="shared" si="199"/>
        <v xml:space="preserve"> </v>
      </c>
      <c r="HS51" s="10" t="str">
        <f t="shared" si="199"/>
        <v xml:space="preserve"> </v>
      </c>
      <c r="HV51" s="10" t="str">
        <f t="shared" si="200"/>
        <v xml:space="preserve"> </v>
      </c>
      <c r="HW51" s="10" t="str">
        <f t="shared" si="200"/>
        <v xml:space="preserve"> </v>
      </c>
      <c r="HX51" s="10" t="str">
        <f t="shared" si="200"/>
        <v xml:space="preserve"> </v>
      </c>
      <c r="HY51" s="10" t="str">
        <f t="shared" si="200"/>
        <v xml:space="preserve"> </v>
      </c>
      <c r="HZ51" s="10" t="str">
        <f t="shared" si="200"/>
        <v xml:space="preserve"> </v>
      </c>
      <c r="IC51" s="10" t="str">
        <f t="shared" si="201"/>
        <v xml:space="preserve"> </v>
      </c>
      <c r="ID51" s="10" t="str">
        <f t="shared" si="201"/>
        <v xml:space="preserve"> </v>
      </c>
      <c r="IE51" s="10" t="str">
        <f t="shared" si="201"/>
        <v xml:space="preserve"> </v>
      </c>
      <c r="IF51" s="10" t="str">
        <f t="shared" si="201"/>
        <v xml:space="preserve"> </v>
      </c>
      <c r="IG51" s="10" t="str">
        <f t="shared" si="201"/>
        <v xml:space="preserve"> </v>
      </c>
      <c r="IJ51" s="10" t="str">
        <f t="shared" si="202"/>
        <v xml:space="preserve"> </v>
      </c>
      <c r="IK51" s="10" t="str">
        <f t="shared" si="202"/>
        <v xml:space="preserve"> </v>
      </c>
      <c r="IL51" s="10" t="str">
        <f t="shared" si="202"/>
        <v xml:space="preserve"> </v>
      </c>
      <c r="IM51" s="10" t="str">
        <f t="shared" si="202"/>
        <v xml:space="preserve"> </v>
      </c>
      <c r="IN51" s="10" t="str">
        <f t="shared" si="202"/>
        <v xml:space="preserve"> </v>
      </c>
      <c r="IQ51" s="10" t="str">
        <f t="shared" si="203"/>
        <v xml:space="preserve"> </v>
      </c>
      <c r="IR51" s="10" t="str">
        <f t="shared" si="203"/>
        <v xml:space="preserve"> </v>
      </c>
      <c r="IS51" s="10" t="str">
        <f t="shared" si="203"/>
        <v xml:space="preserve"> </v>
      </c>
      <c r="IT51" s="10" t="str">
        <f t="shared" si="203"/>
        <v xml:space="preserve"> </v>
      </c>
      <c r="IU51" s="10" t="str">
        <f t="shared" si="203"/>
        <v xml:space="preserve"> </v>
      </c>
      <c r="IX51" s="10" t="str">
        <f t="shared" si="204"/>
        <v xml:space="preserve"> </v>
      </c>
      <c r="IY51" s="10" t="str">
        <f t="shared" si="204"/>
        <v xml:space="preserve"> </v>
      </c>
      <c r="IZ51" s="10" t="str">
        <f t="shared" si="204"/>
        <v xml:space="preserve"> </v>
      </c>
      <c r="JA51" s="10" t="str">
        <f t="shared" si="204"/>
        <v xml:space="preserve"> </v>
      </c>
      <c r="JB51" s="10" t="str">
        <f t="shared" si="204"/>
        <v xml:space="preserve"> </v>
      </c>
      <c r="JE51" s="10" t="str">
        <f t="shared" si="205"/>
        <v xml:space="preserve"> </v>
      </c>
      <c r="JF51" s="10" t="str">
        <f t="shared" si="205"/>
        <v xml:space="preserve"> </v>
      </c>
      <c r="JG51" s="10" t="str">
        <f t="shared" si="205"/>
        <v xml:space="preserve"> </v>
      </c>
      <c r="JH51" s="10" t="str">
        <f t="shared" si="205"/>
        <v xml:space="preserve"> </v>
      </c>
      <c r="JI51" s="10" t="str">
        <f t="shared" si="205"/>
        <v xml:space="preserve"> </v>
      </c>
    </row>
    <row r="52" spans="1:269">
      <c r="A52" s="96"/>
      <c r="B52" s="10">
        <v>44</v>
      </c>
      <c r="C52" s="11" t="s">
        <v>70</v>
      </c>
      <c r="D52" s="11" t="s">
        <v>58</v>
      </c>
      <c r="E52" s="10">
        <v>42</v>
      </c>
      <c r="F52" s="12">
        <f t="shared" ref="F52:F61" si="207">VLOOKUP(E52,$B$6:$G$150,6,FALSE) + 1</f>
        <v>42548</v>
      </c>
      <c r="G52" s="12">
        <f>WORKDAY(F52,H52-1,Config!D53:D72)</f>
        <v>42550</v>
      </c>
      <c r="H52" s="10">
        <v>3</v>
      </c>
      <c r="I52" s="13">
        <v>0</v>
      </c>
      <c r="J52" s="13">
        <f ca="1">IF(((NETWORKDAYS(F52,TODAY(),Data!C49:C68)*100)/H52)/100 &gt; 0,((NETWORKDAYS(F52,TODAY(),Data!C49:C68)*100)/H52)/100,0)</f>
        <v>545</v>
      </c>
      <c r="K52" s="13" t="str">
        <f t="shared" ca="1" si="129"/>
        <v>100%</v>
      </c>
      <c r="L52" s="13">
        <f t="shared" ca="1" si="130"/>
        <v>1</v>
      </c>
      <c r="M52" s="10" t="str">
        <f t="shared" si="169"/>
        <v xml:space="preserve"> </v>
      </c>
      <c r="N52" s="10" t="str">
        <f t="shared" si="169"/>
        <v xml:space="preserve"> </v>
      </c>
      <c r="O52" s="10" t="str">
        <f t="shared" si="169"/>
        <v xml:space="preserve"> </v>
      </c>
      <c r="P52" s="10" t="str">
        <f t="shared" si="169"/>
        <v xml:space="preserve"> </v>
      </c>
      <c r="Q52" s="10" t="str">
        <f t="shared" si="169"/>
        <v xml:space="preserve"> </v>
      </c>
      <c r="R52" s="14"/>
      <c r="S52" s="14"/>
      <c r="T52" s="10" t="str">
        <f t="shared" si="170"/>
        <v xml:space="preserve"> </v>
      </c>
      <c r="U52" s="10" t="str">
        <f t="shared" si="170"/>
        <v xml:space="preserve"> </v>
      </c>
      <c r="V52" s="10" t="str">
        <f t="shared" si="170"/>
        <v xml:space="preserve"> </v>
      </c>
      <c r="W52" s="10" t="str">
        <f t="shared" si="170"/>
        <v xml:space="preserve"> </v>
      </c>
      <c r="X52" s="10" t="str">
        <f t="shared" si="170"/>
        <v xml:space="preserve"> </v>
      </c>
      <c r="Y52" s="14"/>
      <c r="Z52" s="14"/>
      <c r="AA52" s="10" t="str">
        <f t="shared" si="171"/>
        <v xml:space="preserve"> </v>
      </c>
      <c r="AB52" s="10" t="str">
        <f t="shared" si="171"/>
        <v xml:space="preserve"> </v>
      </c>
      <c r="AC52" s="10" t="str">
        <f t="shared" si="171"/>
        <v xml:space="preserve"> </v>
      </c>
      <c r="AD52" s="10" t="str">
        <f t="shared" si="171"/>
        <v xml:space="preserve"> </v>
      </c>
      <c r="AE52" s="10" t="str">
        <f t="shared" si="171"/>
        <v xml:space="preserve"> </v>
      </c>
      <c r="AF52" s="14"/>
      <c r="AG52" s="14"/>
      <c r="AH52" s="10" t="str">
        <f t="shared" si="172"/>
        <v xml:space="preserve"> </v>
      </c>
      <c r="AI52" s="10" t="str">
        <f t="shared" si="172"/>
        <v xml:space="preserve"> </v>
      </c>
      <c r="AJ52" s="10" t="str">
        <f t="shared" si="172"/>
        <v xml:space="preserve"> </v>
      </c>
      <c r="AK52" s="10" t="str">
        <f t="shared" si="172"/>
        <v xml:space="preserve"> </v>
      </c>
      <c r="AL52" s="10" t="str">
        <f t="shared" si="172"/>
        <v xml:space="preserve"> </v>
      </c>
      <c r="AM52" s="14"/>
      <c r="AN52" s="14"/>
      <c r="AO52" s="10" t="str">
        <f t="shared" si="173"/>
        <v xml:space="preserve"> </v>
      </c>
      <c r="AP52" s="10" t="str">
        <f t="shared" si="173"/>
        <v xml:space="preserve"> </v>
      </c>
      <c r="AQ52" s="10" t="str">
        <f t="shared" si="173"/>
        <v xml:space="preserve"> </v>
      </c>
      <c r="AR52" s="10" t="str">
        <f t="shared" si="173"/>
        <v xml:space="preserve"> </v>
      </c>
      <c r="AS52" s="10" t="str">
        <f t="shared" si="173"/>
        <v xml:space="preserve"> </v>
      </c>
      <c r="AT52" s="14"/>
      <c r="AU52" s="14"/>
      <c r="AV52" s="10" t="str">
        <f t="shared" si="174"/>
        <v xml:space="preserve"> </v>
      </c>
      <c r="AW52" s="10" t="str">
        <f t="shared" si="174"/>
        <v xml:space="preserve"> </v>
      </c>
      <c r="AX52" s="10" t="str">
        <f t="shared" si="174"/>
        <v xml:space="preserve"> </v>
      </c>
      <c r="AY52" s="10" t="str">
        <f t="shared" si="174"/>
        <v xml:space="preserve"> </v>
      </c>
      <c r="AZ52" s="10" t="str">
        <f t="shared" si="174"/>
        <v xml:space="preserve"> </v>
      </c>
      <c r="BA52" s="14"/>
      <c r="BB52" s="14"/>
      <c r="BC52" s="10" t="str">
        <f t="shared" si="175"/>
        <v xml:space="preserve"> </v>
      </c>
      <c r="BD52" s="10" t="str">
        <f t="shared" si="175"/>
        <v xml:space="preserve"> </v>
      </c>
      <c r="BE52" s="10" t="str">
        <f t="shared" si="175"/>
        <v xml:space="preserve"> </v>
      </c>
      <c r="BF52" s="10" t="str">
        <f t="shared" si="175"/>
        <v xml:space="preserve"> </v>
      </c>
      <c r="BG52" s="10" t="str">
        <f t="shared" si="175"/>
        <v xml:space="preserve"> </v>
      </c>
      <c r="BH52" s="14"/>
      <c r="BI52" s="14"/>
      <c r="BJ52" s="10" t="str">
        <f t="shared" si="176"/>
        <v xml:space="preserve"> </v>
      </c>
      <c r="BK52" s="10" t="str">
        <f t="shared" si="176"/>
        <v xml:space="preserve"> </v>
      </c>
      <c r="BL52" s="10" t="str">
        <f t="shared" si="176"/>
        <v xml:space="preserve"> </v>
      </c>
      <c r="BM52" s="10" t="str">
        <f t="shared" si="176"/>
        <v xml:space="preserve"> </v>
      </c>
      <c r="BN52" s="10" t="str">
        <f t="shared" si="176"/>
        <v>.</v>
      </c>
      <c r="BO52" s="14"/>
      <c r="BP52" s="14"/>
      <c r="BQ52" s="10" t="str">
        <f t="shared" si="177"/>
        <v xml:space="preserve"> </v>
      </c>
      <c r="BR52" s="10" t="str">
        <f t="shared" si="177"/>
        <v xml:space="preserve"> </v>
      </c>
      <c r="BS52" s="10" t="str">
        <f t="shared" si="177"/>
        <v xml:space="preserve"> </v>
      </c>
      <c r="BT52" s="10" t="str">
        <f t="shared" si="177"/>
        <v xml:space="preserve"> </v>
      </c>
      <c r="BU52" s="10" t="str">
        <f t="shared" si="177"/>
        <v xml:space="preserve"> </v>
      </c>
      <c r="BV52" s="14"/>
      <c r="BW52" s="14"/>
      <c r="BX52" s="10" t="str">
        <f t="shared" si="178"/>
        <v xml:space="preserve"> </v>
      </c>
      <c r="BY52" s="10" t="str">
        <f t="shared" si="178"/>
        <v xml:space="preserve"> </v>
      </c>
      <c r="BZ52" s="10" t="str">
        <f t="shared" si="178"/>
        <v xml:space="preserve"> </v>
      </c>
      <c r="CA52" s="10" t="str">
        <f t="shared" si="178"/>
        <v xml:space="preserve"> </v>
      </c>
      <c r="CB52" s="10" t="str">
        <f t="shared" si="178"/>
        <v xml:space="preserve"> </v>
      </c>
      <c r="CC52" s="14"/>
      <c r="CD52" s="14"/>
      <c r="CE52" s="10" t="str">
        <f t="shared" si="179"/>
        <v xml:space="preserve"> </v>
      </c>
      <c r="CF52" s="10" t="str">
        <f t="shared" si="179"/>
        <v xml:space="preserve"> </v>
      </c>
      <c r="CG52" s="10" t="str">
        <f t="shared" si="179"/>
        <v xml:space="preserve"> </v>
      </c>
      <c r="CH52" s="10" t="str">
        <f t="shared" si="179"/>
        <v xml:space="preserve"> </v>
      </c>
      <c r="CI52" s="10" t="str">
        <f t="shared" si="179"/>
        <v xml:space="preserve"> </v>
      </c>
      <c r="CJ52" s="14"/>
      <c r="CK52" s="14"/>
      <c r="CL52" s="10" t="str">
        <f t="shared" si="180"/>
        <v xml:space="preserve"> </v>
      </c>
      <c r="CM52" s="10" t="str">
        <f t="shared" si="180"/>
        <v xml:space="preserve"> </v>
      </c>
      <c r="CN52" s="10" t="str">
        <f t="shared" si="180"/>
        <v xml:space="preserve"> </v>
      </c>
      <c r="CO52" s="10" t="str">
        <f t="shared" si="180"/>
        <v xml:space="preserve"> </v>
      </c>
      <c r="CP52" s="10" t="str">
        <f t="shared" si="180"/>
        <v xml:space="preserve"> </v>
      </c>
      <c r="CQ52" s="14"/>
      <c r="CR52" s="14"/>
      <c r="CS52" s="10" t="str">
        <f t="shared" si="181"/>
        <v xml:space="preserve"> </v>
      </c>
      <c r="CT52" s="10" t="str">
        <f t="shared" si="181"/>
        <v xml:space="preserve"> </v>
      </c>
      <c r="CU52" s="10" t="str">
        <f t="shared" si="181"/>
        <v xml:space="preserve"> </v>
      </c>
      <c r="CV52" s="10" t="str">
        <f t="shared" si="181"/>
        <v xml:space="preserve"> </v>
      </c>
      <c r="CW52" s="10" t="str">
        <f t="shared" si="181"/>
        <v xml:space="preserve"> </v>
      </c>
      <c r="CZ52" s="10" t="str">
        <f t="shared" si="182"/>
        <v xml:space="preserve"> </v>
      </c>
      <c r="DA52" s="10" t="str">
        <f t="shared" si="182"/>
        <v xml:space="preserve"> </v>
      </c>
      <c r="DB52" s="10" t="str">
        <f t="shared" si="182"/>
        <v xml:space="preserve"> </v>
      </c>
      <c r="DC52" s="10" t="str">
        <f t="shared" si="182"/>
        <v xml:space="preserve"> </v>
      </c>
      <c r="DD52" s="10" t="str">
        <f t="shared" si="182"/>
        <v xml:space="preserve"> </v>
      </c>
      <c r="DG52" s="10" t="str">
        <f t="shared" si="183"/>
        <v xml:space="preserve"> </v>
      </c>
      <c r="DH52" s="10" t="str">
        <f t="shared" si="183"/>
        <v xml:space="preserve"> </v>
      </c>
      <c r="DI52" s="10" t="str">
        <f t="shared" si="183"/>
        <v xml:space="preserve"> </v>
      </c>
      <c r="DJ52" s="10" t="str">
        <f t="shared" si="183"/>
        <v xml:space="preserve"> </v>
      </c>
      <c r="DK52" s="10" t="str">
        <f t="shared" si="183"/>
        <v xml:space="preserve"> </v>
      </c>
      <c r="DN52" s="10" t="str">
        <f t="shared" si="184"/>
        <v xml:space="preserve"> </v>
      </c>
      <c r="DO52" s="10" t="str">
        <f t="shared" si="184"/>
        <v xml:space="preserve"> </v>
      </c>
      <c r="DP52" s="10" t="str">
        <f t="shared" si="184"/>
        <v xml:space="preserve"> </v>
      </c>
      <c r="DQ52" s="10" t="str">
        <f t="shared" si="184"/>
        <v xml:space="preserve"> </v>
      </c>
      <c r="DR52" s="10" t="str">
        <f t="shared" si="184"/>
        <v xml:space="preserve"> </v>
      </c>
      <c r="DU52" s="10" t="str">
        <f t="shared" si="185"/>
        <v xml:space="preserve"> </v>
      </c>
      <c r="DV52" s="10" t="str">
        <f t="shared" si="185"/>
        <v xml:space="preserve"> </v>
      </c>
      <c r="DW52" s="10" t="str">
        <f t="shared" si="185"/>
        <v xml:space="preserve"> </v>
      </c>
      <c r="DX52" s="10" t="str">
        <f t="shared" si="185"/>
        <v xml:space="preserve"> </v>
      </c>
      <c r="DY52" s="10" t="str">
        <f t="shared" si="185"/>
        <v xml:space="preserve"> </v>
      </c>
      <c r="EB52" s="10" t="str">
        <f t="shared" si="186"/>
        <v xml:space="preserve"> </v>
      </c>
      <c r="EC52" s="10" t="str">
        <f t="shared" si="186"/>
        <v xml:space="preserve"> </v>
      </c>
      <c r="ED52" s="10" t="str">
        <f t="shared" si="186"/>
        <v xml:space="preserve"> </v>
      </c>
      <c r="EE52" s="10" t="str">
        <f t="shared" si="186"/>
        <v xml:space="preserve"> </v>
      </c>
      <c r="EF52" s="10" t="str">
        <f t="shared" si="186"/>
        <v xml:space="preserve"> </v>
      </c>
      <c r="EI52" s="10" t="str">
        <f t="shared" si="187"/>
        <v xml:space="preserve"> </v>
      </c>
      <c r="EJ52" s="10" t="str">
        <f t="shared" si="187"/>
        <v xml:space="preserve"> </v>
      </c>
      <c r="EK52" s="10" t="str">
        <f t="shared" si="187"/>
        <v xml:space="preserve"> </v>
      </c>
      <c r="EL52" s="10" t="str">
        <f t="shared" si="187"/>
        <v xml:space="preserve"> </v>
      </c>
      <c r="EM52" s="10" t="str">
        <f t="shared" si="187"/>
        <v xml:space="preserve"> </v>
      </c>
      <c r="EP52" s="10" t="str">
        <f t="shared" si="188"/>
        <v xml:space="preserve"> </v>
      </c>
      <c r="EQ52" s="10" t="str">
        <f t="shared" si="188"/>
        <v xml:space="preserve"> </v>
      </c>
      <c r="ER52" s="10" t="str">
        <f t="shared" si="188"/>
        <v xml:space="preserve"> </v>
      </c>
      <c r="ES52" s="10" t="str">
        <f t="shared" si="188"/>
        <v xml:space="preserve"> </v>
      </c>
      <c r="ET52" s="10" t="str">
        <f t="shared" si="188"/>
        <v xml:space="preserve"> </v>
      </c>
      <c r="EW52" s="10" t="str">
        <f t="shared" si="189"/>
        <v xml:space="preserve"> </v>
      </c>
      <c r="EX52" s="10" t="str">
        <f t="shared" si="189"/>
        <v xml:space="preserve"> </v>
      </c>
      <c r="EY52" s="10" t="str">
        <f t="shared" si="189"/>
        <v xml:space="preserve"> </v>
      </c>
      <c r="EZ52" s="10" t="str">
        <f t="shared" si="189"/>
        <v xml:space="preserve"> </v>
      </c>
      <c r="FA52" s="10" t="str">
        <f t="shared" si="189"/>
        <v xml:space="preserve"> </v>
      </c>
      <c r="FD52" s="10" t="str">
        <f t="shared" si="190"/>
        <v xml:space="preserve"> </v>
      </c>
      <c r="FE52" s="10" t="str">
        <f t="shared" si="190"/>
        <v xml:space="preserve"> </v>
      </c>
      <c r="FF52" s="10" t="str">
        <f t="shared" si="190"/>
        <v xml:space="preserve"> </v>
      </c>
      <c r="FG52" s="10" t="str">
        <f t="shared" si="190"/>
        <v xml:space="preserve"> </v>
      </c>
      <c r="FH52" s="10" t="str">
        <f t="shared" si="190"/>
        <v xml:space="preserve"> </v>
      </c>
      <c r="FK52" s="10" t="str">
        <f t="shared" si="191"/>
        <v xml:space="preserve"> </v>
      </c>
      <c r="FL52" s="10" t="str">
        <f t="shared" si="191"/>
        <v xml:space="preserve"> </v>
      </c>
      <c r="FM52" s="10" t="str">
        <f t="shared" si="191"/>
        <v xml:space="preserve"> </v>
      </c>
      <c r="FN52" s="10" t="str">
        <f t="shared" si="191"/>
        <v xml:space="preserve"> </v>
      </c>
      <c r="FO52" s="10" t="str">
        <f t="shared" si="191"/>
        <v xml:space="preserve"> </v>
      </c>
      <c r="FR52" s="10" t="str">
        <f t="shared" si="192"/>
        <v xml:space="preserve"> </v>
      </c>
      <c r="FS52" s="10" t="str">
        <f t="shared" si="192"/>
        <v xml:space="preserve"> </v>
      </c>
      <c r="FT52" s="10" t="str">
        <f t="shared" si="192"/>
        <v xml:space="preserve"> </v>
      </c>
      <c r="FU52" s="10" t="str">
        <f t="shared" si="192"/>
        <v xml:space="preserve"> </v>
      </c>
      <c r="FV52" s="10" t="str">
        <f t="shared" si="192"/>
        <v xml:space="preserve"> </v>
      </c>
      <c r="FY52" s="10" t="str">
        <f t="shared" si="193"/>
        <v xml:space="preserve"> </v>
      </c>
      <c r="FZ52" s="10" t="str">
        <f t="shared" si="193"/>
        <v xml:space="preserve"> </v>
      </c>
      <c r="GA52" s="10" t="str">
        <f t="shared" si="193"/>
        <v xml:space="preserve"> </v>
      </c>
      <c r="GB52" s="10" t="str">
        <f t="shared" si="193"/>
        <v xml:space="preserve"> </v>
      </c>
      <c r="GC52" s="10" t="str">
        <f t="shared" si="193"/>
        <v xml:space="preserve"> </v>
      </c>
      <c r="GF52" s="10" t="str">
        <f t="shared" si="194"/>
        <v xml:space="preserve"> </v>
      </c>
      <c r="GG52" s="10" t="str">
        <f t="shared" si="194"/>
        <v xml:space="preserve"> </v>
      </c>
      <c r="GH52" s="10" t="str">
        <f t="shared" si="194"/>
        <v xml:space="preserve"> </v>
      </c>
      <c r="GI52" s="10" t="str">
        <f t="shared" si="194"/>
        <v xml:space="preserve"> </v>
      </c>
      <c r="GJ52" s="10" t="str">
        <f t="shared" si="194"/>
        <v xml:space="preserve"> </v>
      </c>
      <c r="GM52" s="10" t="str">
        <f t="shared" si="195"/>
        <v xml:space="preserve"> </v>
      </c>
      <c r="GN52" s="10" t="str">
        <f t="shared" si="195"/>
        <v xml:space="preserve"> </v>
      </c>
      <c r="GO52" s="10" t="str">
        <f t="shared" si="195"/>
        <v xml:space="preserve"> </v>
      </c>
      <c r="GP52" s="10" t="str">
        <f t="shared" si="195"/>
        <v xml:space="preserve"> </v>
      </c>
      <c r="GQ52" s="10" t="str">
        <f t="shared" si="195"/>
        <v xml:space="preserve"> </v>
      </c>
      <c r="GT52" s="10" t="str">
        <f t="shared" si="196"/>
        <v xml:space="preserve"> </v>
      </c>
      <c r="GU52" s="10" t="str">
        <f t="shared" si="196"/>
        <v xml:space="preserve"> </v>
      </c>
      <c r="GV52" s="10" t="str">
        <f t="shared" si="196"/>
        <v xml:space="preserve"> </v>
      </c>
      <c r="GW52" s="10" t="str">
        <f t="shared" si="196"/>
        <v xml:space="preserve"> </v>
      </c>
      <c r="GX52" s="10" t="str">
        <f t="shared" si="196"/>
        <v xml:space="preserve"> </v>
      </c>
      <c r="HA52" s="10" t="str">
        <f t="shared" si="197"/>
        <v xml:space="preserve"> </v>
      </c>
      <c r="HB52" s="10" t="str">
        <f t="shared" si="197"/>
        <v xml:space="preserve"> </v>
      </c>
      <c r="HC52" s="10" t="str">
        <f t="shared" si="197"/>
        <v xml:space="preserve"> </v>
      </c>
      <c r="HD52" s="10" t="str">
        <f t="shared" si="197"/>
        <v xml:space="preserve"> </v>
      </c>
      <c r="HE52" s="10" t="str">
        <f t="shared" si="197"/>
        <v xml:space="preserve"> </v>
      </c>
      <c r="HH52" s="10" t="str">
        <f t="shared" si="198"/>
        <v xml:space="preserve"> </v>
      </c>
      <c r="HI52" s="10" t="str">
        <f t="shared" si="198"/>
        <v xml:space="preserve"> </v>
      </c>
      <c r="HJ52" s="10" t="str">
        <f t="shared" si="198"/>
        <v xml:space="preserve"> </v>
      </c>
      <c r="HK52" s="10" t="str">
        <f t="shared" si="198"/>
        <v xml:space="preserve"> </v>
      </c>
      <c r="HL52" s="10" t="str">
        <f t="shared" si="198"/>
        <v xml:space="preserve"> </v>
      </c>
      <c r="HO52" s="10" t="str">
        <f t="shared" si="199"/>
        <v xml:space="preserve"> </v>
      </c>
      <c r="HP52" s="10" t="str">
        <f t="shared" si="199"/>
        <v xml:space="preserve"> </v>
      </c>
      <c r="HQ52" s="10" t="str">
        <f t="shared" si="199"/>
        <v xml:space="preserve"> </v>
      </c>
      <c r="HR52" s="10" t="str">
        <f t="shared" si="199"/>
        <v xml:space="preserve"> </v>
      </c>
      <c r="HS52" s="10" t="str">
        <f t="shared" si="199"/>
        <v xml:space="preserve"> </v>
      </c>
      <c r="HV52" s="10" t="str">
        <f t="shared" si="200"/>
        <v xml:space="preserve"> </v>
      </c>
      <c r="HW52" s="10" t="str">
        <f t="shared" si="200"/>
        <v xml:space="preserve"> </v>
      </c>
      <c r="HX52" s="10" t="str">
        <f t="shared" si="200"/>
        <v xml:space="preserve"> </v>
      </c>
      <c r="HY52" s="10" t="str">
        <f t="shared" si="200"/>
        <v xml:space="preserve"> </v>
      </c>
      <c r="HZ52" s="10" t="str">
        <f t="shared" si="200"/>
        <v xml:space="preserve"> </v>
      </c>
      <c r="IC52" s="10" t="str">
        <f t="shared" si="201"/>
        <v xml:space="preserve"> </v>
      </c>
      <c r="ID52" s="10" t="str">
        <f t="shared" si="201"/>
        <v xml:space="preserve"> </v>
      </c>
      <c r="IE52" s="10" t="str">
        <f t="shared" si="201"/>
        <v xml:space="preserve"> </v>
      </c>
      <c r="IF52" s="10" t="str">
        <f t="shared" si="201"/>
        <v xml:space="preserve"> </v>
      </c>
      <c r="IG52" s="10" t="str">
        <f t="shared" si="201"/>
        <v xml:space="preserve"> </v>
      </c>
      <c r="IJ52" s="10" t="str">
        <f t="shared" si="202"/>
        <v xml:space="preserve"> </v>
      </c>
      <c r="IK52" s="10" t="str">
        <f t="shared" si="202"/>
        <v xml:space="preserve"> </v>
      </c>
      <c r="IL52" s="10" t="str">
        <f t="shared" si="202"/>
        <v xml:space="preserve"> </v>
      </c>
      <c r="IM52" s="10" t="str">
        <f t="shared" si="202"/>
        <v xml:space="preserve"> </v>
      </c>
      <c r="IN52" s="10" t="str">
        <f t="shared" si="202"/>
        <v xml:space="preserve"> </v>
      </c>
      <c r="IQ52" s="10" t="str">
        <f t="shared" si="203"/>
        <v xml:space="preserve"> </v>
      </c>
      <c r="IR52" s="10" t="str">
        <f t="shared" si="203"/>
        <v xml:space="preserve"> </v>
      </c>
      <c r="IS52" s="10" t="str">
        <f t="shared" si="203"/>
        <v xml:space="preserve"> </v>
      </c>
      <c r="IT52" s="10" t="str">
        <f t="shared" si="203"/>
        <v xml:space="preserve"> </v>
      </c>
      <c r="IU52" s="10" t="str">
        <f t="shared" si="203"/>
        <v xml:space="preserve"> </v>
      </c>
      <c r="IX52" s="10" t="str">
        <f t="shared" si="204"/>
        <v xml:space="preserve"> </v>
      </c>
      <c r="IY52" s="10" t="str">
        <f t="shared" si="204"/>
        <v xml:space="preserve"> </v>
      </c>
      <c r="IZ52" s="10" t="str">
        <f t="shared" si="204"/>
        <v xml:space="preserve"> </v>
      </c>
      <c r="JA52" s="10" t="str">
        <f t="shared" si="204"/>
        <v xml:space="preserve"> </v>
      </c>
      <c r="JB52" s="10" t="str">
        <f t="shared" si="204"/>
        <v xml:space="preserve"> </v>
      </c>
      <c r="JE52" s="10" t="str">
        <f t="shared" si="205"/>
        <v xml:space="preserve"> </v>
      </c>
      <c r="JF52" s="10" t="str">
        <f t="shared" si="205"/>
        <v xml:space="preserve"> </v>
      </c>
      <c r="JG52" s="10" t="str">
        <f t="shared" si="205"/>
        <v xml:space="preserve"> </v>
      </c>
      <c r="JH52" s="10" t="str">
        <f t="shared" si="205"/>
        <v xml:space="preserve"> </v>
      </c>
      <c r="JI52" s="10" t="str">
        <f t="shared" si="205"/>
        <v xml:space="preserve"> </v>
      </c>
    </row>
    <row r="53" spans="1:269">
      <c r="A53" s="96"/>
      <c r="B53" s="10">
        <v>45</v>
      </c>
      <c r="C53" s="11" t="s">
        <v>71</v>
      </c>
      <c r="D53" s="11" t="s">
        <v>39</v>
      </c>
      <c r="E53" s="10">
        <v>43</v>
      </c>
      <c r="F53" s="12">
        <f t="shared" si="207"/>
        <v>42578</v>
      </c>
      <c r="G53" s="12">
        <f>WORKDAY(F53,H53-1,Config!D55:D74)</f>
        <v>42580</v>
      </c>
      <c r="H53" s="10">
        <v>3</v>
      </c>
      <c r="I53" s="13">
        <v>0</v>
      </c>
      <c r="J53" s="13">
        <f ca="1">IF(((NETWORKDAYS(F53,TODAY(),Data!C51:C70)*100)/H53)/100 &gt; 0,((NETWORKDAYS(F53,TODAY(),Data!C51:C70)*100)/H53)/100,0)</f>
        <v>537.66666666666663</v>
      </c>
      <c r="K53" s="13" t="str">
        <f t="shared" ref="K53:K57" ca="1" si="208">IF(J53&gt;1, "100%",$J53)</f>
        <v>100%</v>
      </c>
      <c r="L53" s="13">
        <f t="shared" ref="L53:L57" ca="1" si="209">K53-I53</f>
        <v>1</v>
      </c>
      <c r="M53" s="10" t="str">
        <f>IF(AND(M$6&gt;=$F53,M$6&lt;=$G53),"."," ")</f>
        <v xml:space="preserve"> </v>
      </c>
      <c r="N53" s="10" t="str">
        <f t="shared" ref="N53:Q57" si="210">IF(AND(N$6&gt;=$F53,N$6&lt;=$G53),"."," ")</f>
        <v xml:space="preserve"> </v>
      </c>
      <c r="O53" s="10" t="str">
        <f t="shared" si="210"/>
        <v xml:space="preserve"> </v>
      </c>
      <c r="P53" s="10" t="str">
        <f t="shared" si="210"/>
        <v xml:space="preserve"> </v>
      </c>
      <c r="Q53" s="10" t="str">
        <f t="shared" si="210"/>
        <v xml:space="preserve"> </v>
      </c>
      <c r="R53" s="14"/>
      <c r="S53" s="14"/>
      <c r="T53" s="10" t="str">
        <f t="shared" ref="T53:X57" si="211">IF(AND(T$6&gt;=$F53,T$6&lt;=$G53),"."," ")</f>
        <v xml:space="preserve"> </v>
      </c>
      <c r="U53" s="10" t="str">
        <f t="shared" si="211"/>
        <v xml:space="preserve"> </v>
      </c>
      <c r="V53" s="10" t="str">
        <f t="shared" si="211"/>
        <v xml:space="preserve"> </v>
      </c>
      <c r="W53" s="10" t="str">
        <f t="shared" si="211"/>
        <v xml:space="preserve"> </v>
      </c>
      <c r="X53" s="10" t="str">
        <f t="shared" si="211"/>
        <v xml:space="preserve"> </v>
      </c>
      <c r="Y53" s="14"/>
      <c r="Z53" s="14"/>
      <c r="AA53" s="10" t="str">
        <f t="shared" ref="AA53:AE57" si="212">IF(AND(AA$6&gt;=$F53,AA$6&lt;=$G53),"."," ")</f>
        <v xml:space="preserve"> </v>
      </c>
      <c r="AB53" s="10" t="str">
        <f t="shared" si="212"/>
        <v xml:space="preserve"> </v>
      </c>
      <c r="AC53" s="10" t="str">
        <f t="shared" si="212"/>
        <v xml:space="preserve"> </v>
      </c>
      <c r="AD53" s="10" t="str">
        <f t="shared" si="212"/>
        <v xml:space="preserve"> </v>
      </c>
      <c r="AE53" s="10" t="str">
        <f t="shared" si="212"/>
        <v xml:space="preserve"> </v>
      </c>
      <c r="AF53" s="14"/>
      <c r="AG53" s="14"/>
      <c r="AH53" s="10" t="str">
        <f t="shared" ref="AH53:AL57" si="213">IF(AND(AH$6&gt;=$F53,AH$6&lt;=$G53),"."," ")</f>
        <v xml:space="preserve"> </v>
      </c>
      <c r="AI53" s="10" t="str">
        <f t="shared" si="213"/>
        <v xml:space="preserve"> </v>
      </c>
      <c r="AJ53" s="10" t="str">
        <f t="shared" si="213"/>
        <v xml:space="preserve"> </v>
      </c>
      <c r="AK53" s="10" t="str">
        <f t="shared" si="213"/>
        <v xml:space="preserve"> </v>
      </c>
      <c r="AL53" s="10" t="str">
        <f t="shared" si="213"/>
        <v xml:space="preserve"> </v>
      </c>
      <c r="AM53" s="14"/>
      <c r="AN53" s="14"/>
      <c r="AO53" s="10" t="str">
        <f t="shared" ref="AO53:AS57" si="214">IF(AND(AO$6&gt;=$F53,AO$6&lt;=$G53),"."," ")</f>
        <v xml:space="preserve"> </v>
      </c>
      <c r="AP53" s="10" t="str">
        <f t="shared" si="214"/>
        <v xml:space="preserve"> </v>
      </c>
      <c r="AQ53" s="10" t="str">
        <f t="shared" si="214"/>
        <v xml:space="preserve"> </v>
      </c>
      <c r="AR53" s="10" t="str">
        <f t="shared" si="214"/>
        <v xml:space="preserve"> </v>
      </c>
      <c r="AS53" s="10" t="str">
        <f t="shared" si="214"/>
        <v xml:space="preserve"> </v>
      </c>
      <c r="AT53" s="14"/>
      <c r="AU53" s="14"/>
      <c r="AV53" s="10" t="str">
        <f t="shared" ref="AV53:AZ57" si="215">IF(AND(AV$6&gt;=$F53,AV$6&lt;=$G53),"."," ")</f>
        <v xml:space="preserve"> </v>
      </c>
      <c r="AW53" s="10" t="str">
        <f t="shared" si="215"/>
        <v xml:space="preserve"> </v>
      </c>
      <c r="AX53" s="10" t="str">
        <f t="shared" si="215"/>
        <v xml:space="preserve"> </v>
      </c>
      <c r="AY53" s="10" t="str">
        <f t="shared" si="215"/>
        <v xml:space="preserve"> </v>
      </c>
      <c r="AZ53" s="10" t="str">
        <f t="shared" si="215"/>
        <v xml:space="preserve"> </v>
      </c>
      <c r="BA53" s="14"/>
      <c r="BB53" s="14"/>
      <c r="BC53" s="10" t="str">
        <f t="shared" ref="BC53:BG57" si="216">IF(AND(BC$6&gt;=$F53,BC$6&lt;=$G53),"."," ")</f>
        <v xml:space="preserve"> </v>
      </c>
      <c r="BD53" s="10" t="str">
        <f t="shared" si="216"/>
        <v xml:space="preserve"> </v>
      </c>
      <c r="BE53" s="10" t="str">
        <f t="shared" si="216"/>
        <v xml:space="preserve"> </v>
      </c>
      <c r="BF53" s="10" t="str">
        <f t="shared" si="216"/>
        <v xml:space="preserve"> </v>
      </c>
      <c r="BG53" s="10" t="str">
        <f t="shared" si="216"/>
        <v xml:space="preserve"> </v>
      </c>
      <c r="BH53" s="14"/>
      <c r="BI53" s="14"/>
      <c r="BJ53" s="10" t="str">
        <f t="shared" ref="BJ53:BN57" si="217">IF(AND(BJ$6&gt;=$F53,BJ$6&lt;=$G53),"."," ")</f>
        <v xml:space="preserve"> </v>
      </c>
      <c r="BK53" s="10" t="str">
        <f t="shared" si="217"/>
        <v xml:space="preserve"> </v>
      </c>
      <c r="BL53" s="10" t="str">
        <f t="shared" si="217"/>
        <v xml:space="preserve"> </v>
      </c>
      <c r="BM53" s="10" t="str">
        <f t="shared" si="217"/>
        <v xml:space="preserve"> </v>
      </c>
      <c r="BN53" s="10" t="str">
        <f t="shared" si="217"/>
        <v xml:space="preserve"> </v>
      </c>
      <c r="BO53" s="14"/>
      <c r="BP53" s="14"/>
      <c r="BQ53" s="10" t="str">
        <f t="shared" ref="BQ53:BU57" si="218">IF(AND(BQ$6&gt;=$F53,BQ$6&lt;=$G53),"."," ")</f>
        <v xml:space="preserve"> </v>
      </c>
      <c r="BR53" s="10" t="str">
        <f t="shared" si="218"/>
        <v xml:space="preserve"> </v>
      </c>
      <c r="BS53" s="10" t="str">
        <f t="shared" si="218"/>
        <v xml:space="preserve"> </v>
      </c>
      <c r="BT53" s="10" t="str">
        <f t="shared" si="218"/>
        <v xml:space="preserve"> </v>
      </c>
      <c r="BU53" s="10" t="str">
        <f t="shared" si="218"/>
        <v xml:space="preserve"> </v>
      </c>
      <c r="BV53" s="14"/>
      <c r="BW53" s="14"/>
      <c r="BX53" s="10" t="str">
        <f t="shared" ref="BX53:CB57" si="219">IF(AND(BX$6&gt;=$F53,BX$6&lt;=$G53),"."," ")</f>
        <v xml:space="preserve"> </v>
      </c>
      <c r="BY53" s="10" t="str">
        <f t="shared" si="219"/>
        <v xml:space="preserve"> </v>
      </c>
      <c r="BZ53" s="10" t="str">
        <f t="shared" si="219"/>
        <v xml:space="preserve"> </v>
      </c>
      <c r="CA53" s="10" t="str">
        <f t="shared" si="219"/>
        <v xml:space="preserve"> </v>
      </c>
      <c r="CB53" s="10" t="str">
        <f t="shared" si="219"/>
        <v xml:space="preserve"> </v>
      </c>
      <c r="CC53" s="14"/>
      <c r="CD53" s="14"/>
      <c r="CE53" s="10" t="str">
        <f t="shared" ref="CE53:CI57" si="220">IF(AND(CE$6&gt;=$F53,CE$6&lt;=$G53),"."," ")</f>
        <v xml:space="preserve"> </v>
      </c>
      <c r="CF53" s="10" t="str">
        <f t="shared" si="220"/>
        <v xml:space="preserve"> </v>
      </c>
      <c r="CG53" s="10" t="str">
        <f t="shared" si="220"/>
        <v xml:space="preserve"> </v>
      </c>
      <c r="CH53" s="10" t="str">
        <f t="shared" si="220"/>
        <v xml:space="preserve"> </v>
      </c>
      <c r="CI53" s="10" t="str">
        <f t="shared" si="220"/>
        <v xml:space="preserve"> </v>
      </c>
      <c r="CJ53" s="14"/>
      <c r="CK53" s="14"/>
      <c r="CL53" s="10" t="str">
        <f t="shared" ref="CL53:CP57" si="221">IF(AND(CL$6&gt;=$F53,CL$6&lt;=$G53),"."," ")</f>
        <v xml:space="preserve"> </v>
      </c>
      <c r="CM53" s="10" t="str">
        <f t="shared" si="221"/>
        <v xml:space="preserve"> </v>
      </c>
      <c r="CN53" s="10" t="str">
        <f t="shared" si="221"/>
        <v xml:space="preserve"> </v>
      </c>
      <c r="CO53" s="10" t="str">
        <f t="shared" si="221"/>
        <v xml:space="preserve"> </v>
      </c>
      <c r="CP53" s="10" t="str">
        <f t="shared" si="221"/>
        <v xml:space="preserve"> </v>
      </c>
      <c r="CQ53" s="14"/>
      <c r="CR53" s="14"/>
      <c r="CS53" s="10" t="str">
        <f t="shared" ref="CS53:CW57" si="222">IF(AND(CS$6&gt;=$F53,CS$6&lt;=$G53),"."," ")</f>
        <v>.</v>
      </c>
      <c r="CT53" s="10" t="str">
        <f t="shared" si="222"/>
        <v>.</v>
      </c>
      <c r="CU53" s="10" t="str">
        <f t="shared" si="222"/>
        <v xml:space="preserve"> </v>
      </c>
      <c r="CV53" s="10" t="str">
        <f t="shared" si="222"/>
        <v xml:space="preserve"> </v>
      </c>
      <c r="CW53" s="10" t="str">
        <f t="shared" si="222"/>
        <v xml:space="preserve"> </v>
      </c>
      <c r="CZ53" s="10" t="str">
        <f t="shared" ref="CZ53:DD57" si="223">IF(AND(CZ$6&gt;=$F53,CZ$6&lt;=$G53),"."," ")</f>
        <v xml:space="preserve"> </v>
      </c>
      <c r="DA53" s="10" t="str">
        <f t="shared" si="223"/>
        <v xml:space="preserve"> </v>
      </c>
      <c r="DB53" s="10" t="str">
        <f t="shared" si="223"/>
        <v xml:space="preserve"> </v>
      </c>
      <c r="DC53" s="10" t="str">
        <f t="shared" si="223"/>
        <v xml:space="preserve"> </v>
      </c>
      <c r="DD53" s="10" t="str">
        <f t="shared" si="223"/>
        <v xml:space="preserve"> </v>
      </c>
      <c r="DG53" s="10" t="str">
        <f t="shared" ref="DG53:DK57" si="224">IF(AND(DG$6&gt;=$F53,DG$6&lt;=$G53),"."," ")</f>
        <v xml:space="preserve"> </v>
      </c>
      <c r="DH53" s="10" t="str">
        <f t="shared" si="224"/>
        <v xml:space="preserve"> </v>
      </c>
      <c r="DI53" s="10" t="str">
        <f t="shared" si="224"/>
        <v xml:space="preserve"> </v>
      </c>
      <c r="DJ53" s="10" t="str">
        <f t="shared" si="224"/>
        <v xml:space="preserve"> </v>
      </c>
      <c r="DK53" s="10" t="str">
        <f t="shared" si="224"/>
        <v xml:space="preserve"> </v>
      </c>
      <c r="DN53" s="10" t="str">
        <f t="shared" ref="DN53:DR57" si="225">IF(AND(DN$6&gt;=$F53,DN$6&lt;=$G53),"."," ")</f>
        <v xml:space="preserve"> </v>
      </c>
      <c r="DO53" s="10" t="str">
        <f t="shared" si="225"/>
        <v xml:space="preserve"> </v>
      </c>
      <c r="DP53" s="10" t="str">
        <f t="shared" si="225"/>
        <v xml:space="preserve"> </v>
      </c>
      <c r="DQ53" s="10" t="str">
        <f t="shared" si="225"/>
        <v xml:space="preserve"> </v>
      </c>
      <c r="DR53" s="10" t="str">
        <f t="shared" si="225"/>
        <v xml:space="preserve"> </v>
      </c>
      <c r="DU53" s="10" t="str">
        <f t="shared" ref="DU53:DY57" si="226">IF(AND(DU$6&gt;=$F53,DU$6&lt;=$G53),"."," ")</f>
        <v xml:space="preserve"> </v>
      </c>
      <c r="DV53" s="10" t="str">
        <f t="shared" si="226"/>
        <v xml:space="preserve"> </v>
      </c>
      <c r="DW53" s="10" t="str">
        <f t="shared" si="226"/>
        <v xml:space="preserve"> </v>
      </c>
      <c r="DX53" s="10" t="str">
        <f t="shared" si="226"/>
        <v xml:space="preserve"> </v>
      </c>
      <c r="DY53" s="10" t="str">
        <f t="shared" si="226"/>
        <v xml:space="preserve"> </v>
      </c>
      <c r="EB53" s="10" t="str">
        <f t="shared" ref="EB53:EF57" si="227">IF(AND(EB$6&gt;=$F53,EB$6&lt;=$G53),"."," ")</f>
        <v xml:space="preserve"> </v>
      </c>
      <c r="EC53" s="10" t="str">
        <f t="shared" si="227"/>
        <v xml:space="preserve"> </v>
      </c>
      <c r="ED53" s="10" t="str">
        <f t="shared" si="227"/>
        <v xml:space="preserve"> </v>
      </c>
      <c r="EE53" s="10" t="str">
        <f t="shared" si="227"/>
        <v xml:space="preserve"> </v>
      </c>
      <c r="EF53" s="10" t="str">
        <f t="shared" si="227"/>
        <v xml:space="preserve"> </v>
      </c>
      <c r="EI53" s="10" t="str">
        <f t="shared" ref="EI53:EM57" si="228">IF(AND(EI$6&gt;=$F53,EI$6&lt;=$G53),"."," ")</f>
        <v xml:space="preserve"> </v>
      </c>
      <c r="EJ53" s="10" t="str">
        <f t="shared" si="228"/>
        <v xml:space="preserve"> </v>
      </c>
      <c r="EK53" s="10" t="str">
        <f t="shared" si="228"/>
        <v xml:space="preserve"> </v>
      </c>
      <c r="EL53" s="10" t="str">
        <f t="shared" si="228"/>
        <v xml:space="preserve"> </v>
      </c>
      <c r="EM53" s="10" t="str">
        <f t="shared" si="228"/>
        <v xml:space="preserve"> </v>
      </c>
      <c r="EP53" s="10" t="str">
        <f t="shared" ref="EP53:ET57" si="229">IF(AND(EP$6&gt;=$F53,EP$6&lt;=$G53),"."," ")</f>
        <v xml:space="preserve"> </v>
      </c>
      <c r="EQ53" s="10" t="str">
        <f t="shared" si="229"/>
        <v xml:space="preserve"> </v>
      </c>
      <c r="ER53" s="10" t="str">
        <f t="shared" si="229"/>
        <v xml:space="preserve"> </v>
      </c>
      <c r="ES53" s="10" t="str">
        <f t="shared" si="229"/>
        <v xml:space="preserve"> </v>
      </c>
      <c r="ET53" s="10" t="str">
        <f t="shared" si="229"/>
        <v xml:space="preserve"> </v>
      </c>
      <c r="EW53" s="10" t="str">
        <f t="shared" ref="EW53:FA57" si="230">IF(AND(EW$6&gt;=$F53,EW$6&lt;=$G53),"."," ")</f>
        <v xml:space="preserve"> </v>
      </c>
      <c r="EX53" s="10" t="str">
        <f t="shared" si="230"/>
        <v xml:space="preserve"> </v>
      </c>
      <c r="EY53" s="10" t="str">
        <f t="shared" si="230"/>
        <v xml:space="preserve"> </v>
      </c>
      <c r="EZ53" s="10" t="str">
        <f t="shared" si="230"/>
        <v xml:space="preserve"> </v>
      </c>
      <c r="FA53" s="10" t="str">
        <f t="shared" si="230"/>
        <v xml:space="preserve"> </v>
      </c>
      <c r="FD53" s="10" t="str">
        <f t="shared" ref="FD53:FH57" si="231">IF(AND(FD$6&gt;=$F53,FD$6&lt;=$G53),"."," ")</f>
        <v xml:space="preserve"> </v>
      </c>
      <c r="FE53" s="10" t="str">
        <f t="shared" si="231"/>
        <v xml:space="preserve"> </v>
      </c>
      <c r="FF53" s="10" t="str">
        <f t="shared" si="231"/>
        <v xml:space="preserve"> </v>
      </c>
      <c r="FG53" s="10" t="str">
        <f t="shared" si="231"/>
        <v xml:space="preserve"> </v>
      </c>
      <c r="FH53" s="10" t="str">
        <f t="shared" si="231"/>
        <v xml:space="preserve"> </v>
      </c>
      <c r="FK53" s="10" t="str">
        <f t="shared" ref="FK53:FO57" si="232">IF(AND(FK$6&gt;=$F53,FK$6&lt;=$G53),"."," ")</f>
        <v xml:space="preserve"> </v>
      </c>
      <c r="FL53" s="10" t="str">
        <f t="shared" si="232"/>
        <v xml:space="preserve"> </v>
      </c>
      <c r="FM53" s="10" t="str">
        <f t="shared" si="232"/>
        <v xml:space="preserve"> </v>
      </c>
      <c r="FN53" s="10" t="str">
        <f t="shared" si="232"/>
        <v xml:space="preserve"> </v>
      </c>
      <c r="FO53" s="10" t="str">
        <f t="shared" si="232"/>
        <v xml:space="preserve"> </v>
      </c>
      <c r="FR53" s="10" t="str">
        <f t="shared" ref="FR53:FV57" si="233">IF(AND(FR$6&gt;=$F53,FR$6&lt;=$G53),"."," ")</f>
        <v xml:space="preserve"> </v>
      </c>
      <c r="FS53" s="10" t="str">
        <f t="shared" si="233"/>
        <v xml:space="preserve"> </v>
      </c>
      <c r="FT53" s="10" t="str">
        <f t="shared" si="233"/>
        <v xml:space="preserve"> </v>
      </c>
      <c r="FU53" s="10" t="str">
        <f t="shared" si="233"/>
        <v xml:space="preserve"> </v>
      </c>
      <c r="FV53" s="10" t="str">
        <f t="shared" si="233"/>
        <v xml:space="preserve"> </v>
      </c>
      <c r="FY53" s="10" t="str">
        <f t="shared" ref="FY53:GC57" si="234">IF(AND(FY$6&gt;=$F53,FY$6&lt;=$G53),"."," ")</f>
        <v xml:space="preserve"> </v>
      </c>
      <c r="FZ53" s="10" t="str">
        <f t="shared" si="234"/>
        <v xml:space="preserve"> </v>
      </c>
      <c r="GA53" s="10" t="str">
        <f t="shared" si="234"/>
        <v xml:space="preserve"> </v>
      </c>
      <c r="GB53" s="10" t="str">
        <f t="shared" si="234"/>
        <v xml:space="preserve"> </v>
      </c>
      <c r="GC53" s="10" t="str">
        <f t="shared" si="234"/>
        <v xml:space="preserve"> </v>
      </c>
      <c r="GF53" s="10" t="str">
        <f t="shared" ref="GF53:GJ57" si="235">IF(AND(GF$6&gt;=$F53,GF$6&lt;=$G53),"."," ")</f>
        <v xml:space="preserve"> </v>
      </c>
      <c r="GG53" s="10" t="str">
        <f t="shared" si="235"/>
        <v xml:space="preserve"> </v>
      </c>
      <c r="GH53" s="10" t="str">
        <f t="shared" si="235"/>
        <v xml:space="preserve"> </v>
      </c>
      <c r="GI53" s="10" t="str">
        <f t="shared" si="235"/>
        <v xml:space="preserve"> </v>
      </c>
      <c r="GJ53" s="10" t="str">
        <f t="shared" si="235"/>
        <v xml:space="preserve"> </v>
      </c>
      <c r="GM53" s="10" t="str">
        <f t="shared" ref="GM53:GQ57" si="236">IF(AND(GM$6&gt;=$F53,GM$6&lt;=$G53),"."," ")</f>
        <v xml:space="preserve"> </v>
      </c>
      <c r="GN53" s="10" t="str">
        <f t="shared" si="236"/>
        <v xml:space="preserve"> </v>
      </c>
      <c r="GO53" s="10" t="str">
        <f t="shared" si="236"/>
        <v xml:space="preserve"> </v>
      </c>
      <c r="GP53" s="10" t="str">
        <f t="shared" si="236"/>
        <v xml:space="preserve"> </v>
      </c>
      <c r="GQ53" s="10" t="str">
        <f t="shared" si="236"/>
        <v xml:space="preserve"> </v>
      </c>
      <c r="GT53" s="10" t="str">
        <f t="shared" ref="GT53:GX57" si="237">IF(AND(GT$6&gt;=$F53,GT$6&lt;=$G53),"."," ")</f>
        <v xml:space="preserve"> </v>
      </c>
      <c r="GU53" s="10" t="str">
        <f t="shared" si="237"/>
        <v xml:space="preserve"> </v>
      </c>
      <c r="GV53" s="10" t="str">
        <f t="shared" si="237"/>
        <v xml:space="preserve"> </v>
      </c>
      <c r="GW53" s="10" t="str">
        <f t="shared" si="237"/>
        <v xml:space="preserve"> </v>
      </c>
      <c r="GX53" s="10" t="str">
        <f t="shared" si="237"/>
        <v xml:space="preserve"> </v>
      </c>
      <c r="HA53" s="10" t="str">
        <f t="shared" ref="HA53:HE57" si="238">IF(AND(HA$6&gt;=$F53,HA$6&lt;=$G53),"."," ")</f>
        <v xml:space="preserve"> </v>
      </c>
      <c r="HB53" s="10" t="str">
        <f t="shared" si="238"/>
        <v xml:space="preserve"> </v>
      </c>
      <c r="HC53" s="10" t="str">
        <f t="shared" si="238"/>
        <v xml:space="preserve"> </v>
      </c>
      <c r="HD53" s="10" t="str">
        <f t="shared" si="238"/>
        <v xml:space="preserve"> </v>
      </c>
      <c r="HE53" s="10" t="str">
        <f t="shared" si="238"/>
        <v xml:space="preserve"> </v>
      </c>
      <c r="HH53" s="10" t="str">
        <f t="shared" ref="HH53:HL57" si="239">IF(AND(HH$6&gt;=$F53,HH$6&lt;=$G53),"."," ")</f>
        <v xml:space="preserve"> </v>
      </c>
      <c r="HI53" s="10" t="str">
        <f t="shared" si="239"/>
        <v xml:space="preserve"> </v>
      </c>
      <c r="HJ53" s="10" t="str">
        <f t="shared" si="239"/>
        <v xml:space="preserve"> </v>
      </c>
      <c r="HK53" s="10" t="str">
        <f t="shared" si="239"/>
        <v xml:space="preserve"> </v>
      </c>
      <c r="HL53" s="10" t="str">
        <f t="shared" si="239"/>
        <v xml:space="preserve"> </v>
      </c>
      <c r="HO53" s="10" t="str">
        <f t="shared" ref="HO53:HS57" si="240">IF(AND(HO$6&gt;=$F53,HO$6&lt;=$G53),"."," ")</f>
        <v xml:space="preserve"> </v>
      </c>
      <c r="HP53" s="10" t="str">
        <f t="shared" si="240"/>
        <v xml:space="preserve"> </v>
      </c>
      <c r="HQ53" s="10" t="str">
        <f t="shared" si="240"/>
        <v xml:space="preserve"> </v>
      </c>
      <c r="HR53" s="10" t="str">
        <f t="shared" si="240"/>
        <v xml:space="preserve"> </v>
      </c>
      <c r="HS53" s="10" t="str">
        <f t="shared" si="240"/>
        <v xml:space="preserve"> </v>
      </c>
      <c r="HV53" s="10" t="str">
        <f t="shared" ref="HV53:HZ57" si="241">IF(AND(HV$6&gt;=$F53,HV$6&lt;=$G53),"."," ")</f>
        <v xml:space="preserve"> </v>
      </c>
      <c r="HW53" s="10" t="str">
        <f t="shared" si="241"/>
        <v xml:space="preserve"> </v>
      </c>
      <c r="HX53" s="10" t="str">
        <f t="shared" si="241"/>
        <v xml:space="preserve"> </v>
      </c>
      <c r="HY53" s="10" t="str">
        <f t="shared" si="241"/>
        <v xml:space="preserve"> </v>
      </c>
      <c r="HZ53" s="10" t="str">
        <f t="shared" si="241"/>
        <v xml:space="preserve"> </v>
      </c>
      <c r="IC53" s="10" t="str">
        <f t="shared" ref="IC53:IG57" si="242">IF(AND(IC$6&gt;=$F53,IC$6&lt;=$G53),"."," ")</f>
        <v xml:space="preserve"> </v>
      </c>
      <c r="ID53" s="10" t="str">
        <f t="shared" si="242"/>
        <v xml:space="preserve"> </v>
      </c>
      <c r="IE53" s="10" t="str">
        <f t="shared" si="242"/>
        <v xml:space="preserve"> </v>
      </c>
      <c r="IF53" s="10" t="str">
        <f t="shared" si="242"/>
        <v xml:space="preserve"> </v>
      </c>
      <c r="IG53" s="10" t="str">
        <f t="shared" si="242"/>
        <v xml:space="preserve"> </v>
      </c>
      <c r="IJ53" s="10" t="str">
        <f t="shared" ref="IJ53:IN57" si="243">IF(AND(IJ$6&gt;=$F53,IJ$6&lt;=$G53),"."," ")</f>
        <v xml:space="preserve"> </v>
      </c>
      <c r="IK53" s="10" t="str">
        <f t="shared" si="243"/>
        <v xml:space="preserve"> </v>
      </c>
      <c r="IL53" s="10" t="str">
        <f t="shared" si="243"/>
        <v xml:space="preserve"> </v>
      </c>
      <c r="IM53" s="10" t="str">
        <f t="shared" si="243"/>
        <v xml:space="preserve"> </v>
      </c>
      <c r="IN53" s="10" t="str">
        <f t="shared" si="243"/>
        <v xml:space="preserve"> </v>
      </c>
      <c r="IQ53" s="10" t="str">
        <f t="shared" ref="IQ53:IU57" si="244">IF(AND(IQ$6&gt;=$F53,IQ$6&lt;=$G53),"."," ")</f>
        <v xml:space="preserve"> </v>
      </c>
      <c r="IR53" s="10" t="str">
        <f t="shared" si="244"/>
        <v xml:space="preserve"> </v>
      </c>
      <c r="IS53" s="10" t="str">
        <f t="shared" si="244"/>
        <v xml:space="preserve"> </v>
      </c>
      <c r="IT53" s="10" t="str">
        <f t="shared" si="244"/>
        <v xml:space="preserve"> </v>
      </c>
      <c r="IU53" s="10" t="str">
        <f t="shared" si="244"/>
        <v xml:space="preserve"> </v>
      </c>
      <c r="IX53" s="10" t="str">
        <f t="shared" ref="IX53:JB57" si="245">IF(AND(IX$6&gt;=$F53,IX$6&lt;=$G53),"."," ")</f>
        <v xml:space="preserve"> </v>
      </c>
      <c r="IY53" s="10" t="str">
        <f t="shared" si="245"/>
        <v xml:space="preserve"> </v>
      </c>
      <c r="IZ53" s="10" t="str">
        <f t="shared" si="245"/>
        <v xml:space="preserve"> </v>
      </c>
      <c r="JA53" s="10" t="str">
        <f t="shared" si="245"/>
        <v xml:space="preserve"> </v>
      </c>
      <c r="JB53" s="10" t="str">
        <f t="shared" si="245"/>
        <v xml:space="preserve"> </v>
      </c>
      <c r="JE53" s="10" t="str">
        <f t="shared" ref="JE53:JI57" si="246">IF(AND(JE$6&gt;=$F53,JE$6&lt;=$G53),"."," ")</f>
        <v xml:space="preserve"> </v>
      </c>
      <c r="JF53" s="10" t="str">
        <f t="shared" si="246"/>
        <v xml:space="preserve"> </v>
      </c>
      <c r="JG53" s="10" t="str">
        <f t="shared" si="246"/>
        <v xml:space="preserve"> </v>
      </c>
      <c r="JH53" s="10" t="str">
        <f t="shared" si="246"/>
        <v xml:space="preserve"> </v>
      </c>
      <c r="JI53" s="10" t="str">
        <f t="shared" si="246"/>
        <v xml:space="preserve"> </v>
      </c>
    </row>
    <row r="54" spans="1:269">
      <c r="A54" s="96"/>
      <c r="B54" s="10">
        <v>46</v>
      </c>
      <c r="C54" s="11" t="s">
        <v>72</v>
      </c>
      <c r="D54" s="11" t="s">
        <v>39</v>
      </c>
      <c r="E54" s="10">
        <v>44</v>
      </c>
      <c r="F54" s="12">
        <f t="shared" si="207"/>
        <v>42551</v>
      </c>
      <c r="G54" s="12">
        <f>WORKDAY(F54,H54-1,Config!D56:D75)</f>
        <v>42552</v>
      </c>
      <c r="H54" s="10">
        <v>2</v>
      </c>
      <c r="I54" s="13">
        <v>0</v>
      </c>
      <c r="J54" s="13">
        <f ca="1">IF(((NETWORKDAYS(F54,TODAY(),Data!C52:C71)*100)/H54)/100 &gt; 0,((NETWORKDAYS(F54,TODAY(),Data!C52:C71)*100)/H54)/100,0)</f>
        <v>816</v>
      </c>
      <c r="K54" s="13" t="str">
        <f t="shared" ca="1" si="208"/>
        <v>100%</v>
      </c>
      <c r="L54" s="13">
        <f t="shared" ca="1" si="209"/>
        <v>1</v>
      </c>
      <c r="M54" s="10" t="str">
        <f t="shared" ref="M54:M57" si="247">IF(AND(M$6&gt;=$F54,M$6&lt;=$G54),"."," ")</f>
        <v xml:space="preserve"> </v>
      </c>
      <c r="N54" s="10" t="str">
        <f t="shared" si="210"/>
        <v xml:space="preserve"> </v>
      </c>
      <c r="O54" s="10" t="str">
        <f t="shared" si="210"/>
        <v xml:space="preserve"> </v>
      </c>
      <c r="P54" s="10" t="str">
        <f t="shared" si="210"/>
        <v xml:space="preserve"> </v>
      </c>
      <c r="Q54" s="10" t="str">
        <f t="shared" si="210"/>
        <v xml:space="preserve"> </v>
      </c>
      <c r="R54" s="14"/>
      <c r="S54" s="14"/>
      <c r="T54" s="10" t="str">
        <f t="shared" si="211"/>
        <v xml:space="preserve"> </v>
      </c>
      <c r="U54" s="10" t="str">
        <f t="shared" si="211"/>
        <v xml:space="preserve"> </v>
      </c>
      <c r="V54" s="10" t="str">
        <f t="shared" si="211"/>
        <v xml:space="preserve"> </v>
      </c>
      <c r="W54" s="10" t="str">
        <f t="shared" si="211"/>
        <v xml:space="preserve"> </v>
      </c>
      <c r="X54" s="10" t="str">
        <f t="shared" si="211"/>
        <v xml:space="preserve"> </v>
      </c>
      <c r="Y54" s="14"/>
      <c r="Z54" s="14"/>
      <c r="AA54" s="10" t="str">
        <f t="shared" si="212"/>
        <v xml:space="preserve"> </v>
      </c>
      <c r="AB54" s="10" t="str">
        <f t="shared" si="212"/>
        <v xml:space="preserve"> </v>
      </c>
      <c r="AC54" s="10" t="str">
        <f t="shared" si="212"/>
        <v xml:space="preserve"> </v>
      </c>
      <c r="AD54" s="10" t="str">
        <f t="shared" si="212"/>
        <v xml:space="preserve"> </v>
      </c>
      <c r="AE54" s="10" t="str">
        <f t="shared" si="212"/>
        <v xml:space="preserve"> </v>
      </c>
      <c r="AF54" s="14"/>
      <c r="AG54" s="14"/>
      <c r="AH54" s="10" t="str">
        <f t="shared" si="213"/>
        <v xml:space="preserve"> </v>
      </c>
      <c r="AI54" s="10" t="str">
        <f t="shared" si="213"/>
        <v xml:space="preserve"> </v>
      </c>
      <c r="AJ54" s="10" t="str">
        <f t="shared" si="213"/>
        <v xml:space="preserve"> </v>
      </c>
      <c r="AK54" s="10" t="str">
        <f t="shared" si="213"/>
        <v xml:space="preserve"> </v>
      </c>
      <c r="AL54" s="10" t="str">
        <f t="shared" si="213"/>
        <v xml:space="preserve"> </v>
      </c>
      <c r="AM54" s="14"/>
      <c r="AN54" s="14"/>
      <c r="AO54" s="10" t="str">
        <f t="shared" si="214"/>
        <v xml:space="preserve"> </v>
      </c>
      <c r="AP54" s="10" t="str">
        <f t="shared" si="214"/>
        <v xml:space="preserve"> </v>
      </c>
      <c r="AQ54" s="10" t="str">
        <f t="shared" si="214"/>
        <v xml:space="preserve"> </v>
      </c>
      <c r="AR54" s="10" t="str">
        <f t="shared" si="214"/>
        <v xml:space="preserve"> </v>
      </c>
      <c r="AS54" s="10" t="str">
        <f t="shared" si="214"/>
        <v xml:space="preserve"> </v>
      </c>
      <c r="AT54" s="14"/>
      <c r="AU54" s="14"/>
      <c r="AV54" s="10" t="str">
        <f t="shared" si="215"/>
        <v xml:space="preserve"> </v>
      </c>
      <c r="AW54" s="10" t="str">
        <f t="shared" si="215"/>
        <v xml:space="preserve"> </v>
      </c>
      <c r="AX54" s="10" t="str">
        <f t="shared" si="215"/>
        <v xml:space="preserve"> </v>
      </c>
      <c r="AY54" s="10" t="str">
        <f t="shared" si="215"/>
        <v xml:space="preserve"> </v>
      </c>
      <c r="AZ54" s="10" t="str">
        <f t="shared" si="215"/>
        <v xml:space="preserve"> </v>
      </c>
      <c r="BA54" s="14"/>
      <c r="BB54" s="14"/>
      <c r="BC54" s="10" t="str">
        <f t="shared" si="216"/>
        <v xml:space="preserve"> </v>
      </c>
      <c r="BD54" s="10" t="str">
        <f t="shared" si="216"/>
        <v xml:space="preserve"> </v>
      </c>
      <c r="BE54" s="10" t="str">
        <f t="shared" si="216"/>
        <v xml:space="preserve"> </v>
      </c>
      <c r="BF54" s="10" t="str">
        <f t="shared" si="216"/>
        <v xml:space="preserve"> </v>
      </c>
      <c r="BG54" s="10" t="str">
        <f t="shared" si="216"/>
        <v xml:space="preserve"> </v>
      </c>
      <c r="BH54" s="14"/>
      <c r="BI54" s="14"/>
      <c r="BJ54" s="10" t="str">
        <f t="shared" si="217"/>
        <v xml:space="preserve"> </v>
      </c>
      <c r="BK54" s="10" t="str">
        <f t="shared" si="217"/>
        <v xml:space="preserve"> </v>
      </c>
      <c r="BL54" s="10" t="str">
        <f t="shared" si="217"/>
        <v xml:space="preserve"> </v>
      </c>
      <c r="BM54" s="10" t="str">
        <f t="shared" si="217"/>
        <v xml:space="preserve"> </v>
      </c>
      <c r="BN54" s="10" t="str">
        <f t="shared" si="217"/>
        <v xml:space="preserve"> </v>
      </c>
      <c r="BO54" s="14"/>
      <c r="BP54" s="14"/>
      <c r="BQ54" s="10" t="str">
        <f t="shared" si="218"/>
        <v>.</v>
      </c>
      <c r="BR54" s="10" t="str">
        <f t="shared" si="218"/>
        <v>.</v>
      </c>
      <c r="BS54" s="10" t="str">
        <f t="shared" si="218"/>
        <v xml:space="preserve"> </v>
      </c>
      <c r="BT54" s="10" t="str">
        <f t="shared" si="218"/>
        <v xml:space="preserve"> </v>
      </c>
      <c r="BU54" s="10" t="str">
        <f t="shared" si="218"/>
        <v xml:space="preserve"> </v>
      </c>
      <c r="BV54" s="14"/>
      <c r="BW54" s="14"/>
      <c r="BX54" s="10" t="str">
        <f t="shared" si="219"/>
        <v xml:space="preserve"> </v>
      </c>
      <c r="BY54" s="10" t="str">
        <f t="shared" si="219"/>
        <v xml:space="preserve"> </v>
      </c>
      <c r="BZ54" s="10" t="str">
        <f t="shared" si="219"/>
        <v xml:space="preserve"> </v>
      </c>
      <c r="CA54" s="10" t="str">
        <f t="shared" si="219"/>
        <v xml:space="preserve"> </v>
      </c>
      <c r="CB54" s="10" t="str">
        <f t="shared" si="219"/>
        <v xml:space="preserve"> </v>
      </c>
      <c r="CC54" s="14"/>
      <c r="CD54" s="14"/>
      <c r="CE54" s="10" t="str">
        <f t="shared" si="220"/>
        <v xml:space="preserve"> </v>
      </c>
      <c r="CF54" s="10" t="str">
        <f t="shared" si="220"/>
        <v xml:space="preserve"> </v>
      </c>
      <c r="CG54" s="10" t="str">
        <f t="shared" si="220"/>
        <v xml:space="preserve"> </v>
      </c>
      <c r="CH54" s="10" t="str">
        <f t="shared" si="220"/>
        <v xml:space="preserve"> </v>
      </c>
      <c r="CI54" s="10" t="str">
        <f t="shared" si="220"/>
        <v xml:space="preserve"> </v>
      </c>
      <c r="CJ54" s="14"/>
      <c r="CK54" s="14"/>
      <c r="CL54" s="10" t="str">
        <f t="shared" si="221"/>
        <v xml:space="preserve"> </v>
      </c>
      <c r="CM54" s="10" t="str">
        <f t="shared" si="221"/>
        <v xml:space="preserve"> </v>
      </c>
      <c r="CN54" s="10" t="str">
        <f t="shared" si="221"/>
        <v xml:space="preserve"> </v>
      </c>
      <c r="CO54" s="10" t="str">
        <f t="shared" si="221"/>
        <v xml:space="preserve"> </v>
      </c>
      <c r="CP54" s="10" t="str">
        <f t="shared" si="221"/>
        <v xml:space="preserve"> </v>
      </c>
      <c r="CQ54" s="14"/>
      <c r="CR54" s="14"/>
      <c r="CS54" s="10" t="str">
        <f t="shared" si="222"/>
        <v xml:space="preserve"> </v>
      </c>
      <c r="CT54" s="10" t="str">
        <f t="shared" si="222"/>
        <v xml:space="preserve"> </v>
      </c>
      <c r="CU54" s="10" t="str">
        <f t="shared" si="222"/>
        <v xml:space="preserve"> </v>
      </c>
      <c r="CV54" s="10" t="str">
        <f t="shared" si="222"/>
        <v xml:space="preserve"> </v>
      </c>
      <c r="CW54" s="10" t="str">
        <f t="shared" si="222"/>
        <v xml:space="preserve"> </v>
      </c>
      <c r="CZ54" s="10" t="str">
        <f t="shared" si="223"/>
        <v xml:space="preserve"> </v>
      </c>
      <c r="DA54" s="10" t="str">
        <f t="shared" si="223"/>
        <v xml:space="preserve"> </v>
      </c>
      <c r="DB54" s="10" t="str">
        <f t="shared" si="223"/>
        <v xml:space="preserve"> </v>
      </c>
      <c r="DC54" s="10" t="str">
        <f t="shared" si="223"/>
        <v xml:space="preserve"> </v>
      </c>
      <c r="DD54" s="10" t="str">
        <f t="shared" si="223"/>
        <v xml:space="preserve"> </v>
      </c>
      <c r="DG54" s="10" t="str">
        <f t="shared" si="224"/>
        <v xml:space="preserve"> </v>
      </c>
      <c r="DH54" s="10" t="str">
        <f t="shared" si="224"/>
        <v xml:space="preserve"> </v>
      </c>
      <c r="DI54" s="10" t="str">
        <f t="shared" si="224"/>
        <v xml:space="preserve"> </v>
      </c>
      <c r="DJ54" s="10" t="str">
        <f t="shared" si="224"/>
        <v xml:space="preserve"> </v>
      </c>
      <c r="DK54" s="10" t="str">
        <f t="shared" si="224"/>
        <v xml:space="preserve"> </v>
      </c>
      <c r="DN54" s="10" t="str">
        <f t="shared" si="225"/>
        <v xml:space="preserve"> </v>
      </c>
      <c r="DO54" s="10" t="str">
        <f t="shared" si="225"/>
        <v xml:space="preserve"> </v>
      </c>
      <c r="DP54" s="10" t="str">
        <f t="shared" si="225"/>
        <v xml:space="preserve"> </v>
      </c>
      <c r="DQ54" s="10" t="str">
        <f t="shared" si="225"/>
        <v xml:space="preserve"> </v>
      </c>
      <c r="DR54" s="10" t="str">
        <f t="shared" si="225"/>
        <v xml:space="preserve"> </v>
      </c>
      <c r="DU54" s="10" t="str">
        <f t="shared" si="226"/>
        <v xml:space="preserve"> </v>
      </c>
      <c r="DV54" s="10" t="str">
        <f t="shared" si="226"/>
        <v xml:space="preserve"> </v>
      </c>
      <c r="DW54" s="10" t="str">
        <f t="shared" si="226"/>
        <v xml:space="preserve"> </v>
      </c>
      <c r="DX54" s="10" t="str">
        <f t="shared" si="226"/>
        <v xml:space="preserve"> </v>
      </c>
      <c r="DY54" s="10" t="str">
        <f t="shared" si="226"/>
        <v xml:space="preserve"> </v>
      </c>
      <c r="EB54" s="10" t="str">
        <f t="shared" si="227"/>
        <v xml:space="preserve"> </v>
      </c>
      <c r="EC54" s="10" t="str">
        <f t="shared" si="227"/>
        <v xml:space="preserve"> </v>
      </c>
      <c r="ED54" s="10" t="str">
        <f t="shared" si="227"/>
        <v xml:space="preserve"> </v>
      </c>
      <c r="EE54" s="10" t="str">
        <f t="shared" si="227"/>
        <v xml:space="preserve"> </v>
      </c>
      <c r="EF54" s="10" t="str">
        <f t="shared" si="227"/>
        <v xml:space="preserve"> </v>
      </c>
      <c r="EI54" s="10" t="str">
        <f t="shared" si="228"/>
        <v xml:space="preserve"> </v>
      </c>
      <c r="EJ54" s="10" t="str">
        <f t="shared" si="228"/>
        <v xml:space="preserve"> </v>
      </c>
      <c r="EK54" s="10" t="str">
        <f t="shared" si="228"/>
        <v xml:space="preserve"> </v>
      </c>
      <c r="EL54" s="10" t="str">
        <f t="shared" si="228"/>
        <v xml:space="preserve"> </v>
      </c>
      <c r="EM54" s="10" t="str">
        <f t="shared" si="228"/>
        <v xml:space="preserve"> </v>
      </c>
      <c r="EP54" s="10" t="str">
        <f t="shared" si="229"/>
        <v xml:space="preserve"> </v>
      </c>
      <c r="EQ54" s="10" t="str">
        <f t="shared" si="229"/>
        <v xml:space="preserve"> </v>
      </c>
      <c r="ER54" s="10" t="str">
        <f t="shared" si="229"/>
        <v xml:space="preserve"> </v>
      </c>
      <c r="ES54" s="10" t="str">
        <f t="shared" si="229"/>
        <v xml:space="preserve"> </v>
      </c>
      <c r="ET54" s="10" t="str">
        <f t="shared" si="229"/>
        <v xml:space="preserve"> </v>
      </c>
      <c r="EW54" s="10" t="str">
        <f t="shared" si="230"/>
        <v xml:space="preserve"> </v>
      </c>
      <c r="EX54" s="10" t="str">
        <f t="shared" si="230"/>
        <v xml:space="preserve"> </v>
      </c>
      <c r="EY54" s="10" t="str">
        <f t="shared" si="230"/>
        <v xml:space="preserve"> </v>
      </c>
      <c r="EZ54" s="10" t="str">
        <f t="shared" si="230"/>
        <v xml:space="preserve"> </v>
      </c>
      <c r="FA54" s="10" t="str">
        <f t="shared" si="230"/>
        <v xml:space="preserve"> </v>
      </c>
      <c r="FD54" s="10" t="str">
        <f t="shared" si="231"/>
        <v xml:space="preserve"> </v>
      </c>
      <c r="FE54" s="10" t="str">
        <f t="shared" si="231"/>
        <v xml:space="preserve"> </v>
      </c>
      <c r="FF54" s="10" t="str">
        <f t="shared" si="231"/>
        <v xml:space="preserve"> </v>
      </c>
      <c r="FG54" s="10" t="str">
        <f t="shared" si="231"/>
        <v xml:space="preserve"> </v>
      </c>
      <c r="FH54" s="10" t="str">
        <f t="shared" si="231"/>
        <v xml:space="preserve"> </v>
      </c>
      <c r="FK54" s="10" t="str">
        <f t="shared" si="232"/>
        <v xml:space="preserve"> </v>
      </c>
      <c r="FL54" s="10" t="str">
        <f t="shared" si="232"/>
        <v xml:space="preserve"> </v>
      </c>
      <c r="FM54" s="10" t="str">
        <f t="shared" si="232"/>
        <v xml:space="preserve"> </v>
      </c>
      <c r="FN54" s="10" t="str">
        <f t="shared" si="232"/>
        <v xml:space="preserve"> </v>
      </c>
      <c r="FO54" s="10" t="str">
        <f t="shared" si="232"/>
        <v xml:space="preserve"> </v>
      </c>
      <c r="FR54" s="10" t="str">
        <f t="shared" si="233"/>
        <v xml:space="preserve"> </v>
      </c>
      <c r="FS54" s="10" t="str">
        <f t="shared" si="233"/>
        <v xml:space="preserve"> </v>
      </c>
      <c r="FT54" s="10" t="str">
        <f t="shared" si="233"/>
        <v xml:space="preserve"> </v>
      </c>
      <c r="FU54" s="10" t="str">
        <f t="shared" si="233"/>
        <v xml:space="preserve"> </v>
      </c>
      <c r="FV54" s="10" t="str">
        <f t="shared" si="233"/>
        <v xml:space="preserve"> </v>
      </c>
      <c r="FY54" s="10" t="str">
        <f t="shared" si="234"/>
        <v xml:space="preserve"> </v>
      </c>
      <c r="FZ54" s="10" t="str">
        <f t="shared" si="234"/>
        <v xml:space="preserve"> </v>
      </c>
      <c r="GA54" s="10" t="str">
        <f t="shared" si="234"/>
        <v xml:space="preserve"> </v>
      </c>
      <c r="GB54" s="10" t="str">
        <f t="shared" si="234"/>
        <v xml:space="preserve"> </v>
      </c>
      <c r="GC54" s="10" t="str">
        <f t="shared" si="234"/>
        <v xml:space="preserve"> </v>
      </c>
      <c r="GF54" s="10" t="str">
        <f t="shared" si="235"/>
        <v xml:space="preserve"> </v>
      </c>
      <c r="GG54" s="10" t="str">
        <f t="shared" si="235"/>
        <v xml:space="preserve"> </v>
      </c>
      <c r="GH54" s="10" t="str">
        <f t="shared" si="235"/>
        <v xml:space="preserve"> </v>
      </c>
      <c r="GI54" s="10" t="str">
        <f t="shared" si="235"/>
        <v xml:space="preserve"> </v>
      </c>
      <c r="GJ54" s="10" t="str">
        <f t="shared" si="235"/>
        <v xml:space="preserve"> </v>
      </c>
      <c r="GM54" s="10" t="str">
        <f t="shared" si="236"/>
        <v xml:space="preserve"> </v>
      </c>
      <c r="GN54" s="10" t="str">
        <f t="shared" si="236"/>
        <v xml:space="preserve"> </v>
      </c>
      <c r="GO54" s="10" t="str">
        <f t="shared" si="236"/>
        <v xml:space="preserve"> </v>
      </c>
      <c r="GP54" s="10" t="str">
        <f t="shared" si="236"/>
        <v xml:space="preserve"> </v>
      </c>
      <c r="GQ54" s="10" t="str">
        <f t="shared" si="236"/>
        <v xml:space="preserve"> </v>
      </c>
      <c r="GT54" s="10" t="str">
        <f t="shared" si="237"/>
        <v xml:space="preserve"> </v>
      </c>
      <c r="GU54" s="10" t="str">
        <f t="shared" si="237"/>
        <v xml:space="preserve"> </v>
      </c>
      <c r="GV54" s="10" t="str">
        <f t="shared" si="237"/>
        <v xml:space="preserve"> </v>
      </c>
      <c r="GW54" s="10" t="str">
        <f t="shared" si="237"/>
        <v xml:space="preserve"> </v>
      </c>
      <c r="GX54" s="10" t="str">
        <f t="shared" si="237"/>
        <v xml:space="preserve"> </v>
      </c>
      <c r="HA54" s="10" t="str">
        <f t="shared" si="238"/>
        <v xml:space="preserve"> </v>
      </c>
      <c r="HB54" s="10" t="str">
        <f t="shared" si="238"/>
        <v xml:space="preserve"> </v>
      </c>
      <c r="HC54" s="10" t="str">
        <f t="shared" si="238"/>
        <v xml:space="preserve"> </v>
      </c>
      <c r="HD54" s="10" t="str">
        <f t="shared" si="238"/>
        <v xml:space="preserve"> </v>
      </c>
      <c r="HE54" s="10" t="str">
        <f t="shared" si="238"/>
        <v xml:space="preserve"> </v>
      </c>
      <c r="HH54" s="10" t="str">
        <f t="shared" si="239"/>
        <v xml:space="preserve"> </v>
      </c>
      <c r="HI54" s="10" t="str">
        <f t="shared" si="239"/>
        <v xml:space="preserve"> </v>
      </c>
      <c r="HJ54" s="10" t="str">
        <f t="shared" si="239"/>
        <v xml:space="preserve"> </v>
      </c>
      <c r="HK54" s="10" t="str">
        <f t="shared" si="239"/>
        <v xml:space="preserve"> </v>
      </c>
      <c r="HL54" s="10" t="str">
        <f t="shared" si="239"/>
        <v xml:space="preserve"> </v>
      </c>
      <c r="HO54" s="10" t="str">
        <f t="shared" si="240"/>
        <v xml:space="preserve"> </v>
      </c>
      <c r="HP54" s="10" t="str">
        <f t="shared" si="240"/>
        <v xml:space="preserve"> </v>
      </c>
      <c r="HQ54" s="10" t="str">
        <f t="shared" si="240"/>
        <v xml:space="preserve"> </v>
      </c>
      <c r="HR54" s="10" t="str">
        <f t="shared" si="240"/>
        <v xml:space="preserve"> </v>
      </c>
      <c r="HS54" s="10" t="str">
        <f t="shared" si="240"/>
        <v xml:space="preserve"> </v>
      </c>
      <c r="HV54" s="10" t="str">
        <f t="shared" si="241"/>
        <v xml:space="preserve"> </v>
      </c>
      <c r="HW54" s="10" t="str">
        <f t="shared" si="241"/>
        <v xml:space="preserve"> </v>
      </c>
      <c r="HX54" s="10" t="str">
        <f t="shared" si="241"/>
        <v xml:space="preserve"> </v>
      </c>
      <c r="HY54" s="10" t="str">
        <f t="shared" si="241"/>
        <v xml:space="preserve"> </v>
      </c>
      <c r="HZ54" s="10" t="str">
        <f t="shared" si="241"/>
        <v xml:space="preserve"> </v>
      </c>
      <c r="IC54" s="10" t="str">
        <f t="shared" si="242"/>
        <v xml:space="preserve"> </v>
      </c>
      <c r="ID54" s="10" t="str">
        <f t="shared" si="242"/>
        <v xml:space="preserve"> </v>
      </c>
      <c r="IE54" s="10" t="str">
        <f t="shared" si="242"/>
        <v xml:space="preserve"> </v>
      </c>
      <c r="IF54" s="10" t="str">
        <f t="shared" si="242"/>
        <v xml:space="preserve"> </v>
      </c>
      <c r="IG54" s="10" t="str">
        <f t="shared" si="242"/>
        <v xml:space="preserve"> </v>
      </c>
      <c r="IJ54" s="10" t="str">
        <f t="shared" si="243"/>
        <v xml:space="preserve"> </v>
      </c>
      <c r="IK54" s="10" t="str">
        <f t="shared" si="243"/>
        <v xml:space="preserve"> </v>
      </c>
      <c r="IL54" s="10" t="str">
        <f t="shared" si="243"/>
        <v xml:space="preserve"> </v>
      </c>
      <c r="IM54" s="10" t="str">
        <f t="shared" si="243"/>
        <v xml:space="preserve"> </v>
      </c>
      <c r="IN54" s="10" t="str">
        <f t="shared" si="243"/>
        <v xml:space="preserve"> </v>
      </c>
      <c r="IQ54" s="10" t="str">
        <f t="shared" si="244"/>
        <v xml:space="preserve"> </v>
      </c>
      <c r="IR54" s="10" t="str">
        <f t="shared" si="244"/>
        <v xml:space="preserve"> </v>
      </c>
      <c r="IS54" s="10" t="str">
        <f t="shared" si="244"/>
        <v xml:space="preserve"> </v>
      </c>
      <c r="IT54" s="10" t="str">
        <f t="shared" si="244"/>
        <v xml:space="preserve"> </v>
      </c>
      <c r="IU54" s="10" t="str">
        <f t="shared" si="244"/>
        <v xml:space="preserve"> </v>
      </c>
      <c r="IX54" s="10" t="str">
        <f t="shared" si="245"/>
        <v xml:space="preserve"> </v>
      </c>
      <c r="IY54" s="10" t="str">
        <f t="shared" si="245"/>
        <v xml:space="preserve"> </v>
      </c>
      <c r="IZ54" s="10" t="str">
        <f t="shared" si="245"/>
        <v xml:space="preserve"> </v>
      </c>
      <c r="JA54" s="10" t="str">
        <f t="shared" si="245"/>
        <v xml:space="preserve"> </v>
      </c>
      <c r="JB54" s="10" t="str">
        <f t="shared" si="245"/>
        <v xml:space="preserve"> </v>
      </c>
      <c r="JE54" s="10" t="str">
        <f t="shared" si="246"/>
        <v xml:space="preserve"> </v>
      </c>
      <c r="JF54" s="10" t="str">
        <f t="shared" si="246"/>
        <v xml:space="preserve"> </v>
      </c>
      <c r="JG54" s="10" t="str">
        <f t="shared" si="246"/>
        <v xml:space="preserve"> </v>
      </c>
      <c r="JH54" s="10" t="str">
        <f t="shared" si="246"/>
        <v xml:space="preserve"> </v>
      </c>
      <c r="JI54" s="10" t="str">
        <f t="shared" si="246"/>
        <v xml:space="preserve"> </v>
      </c>
    </row>
    <row r="55" spans="1:269">
      <c r="A55" s="96"/>
      <c r="B55" s="10">
        <v>47</v>
      </c>
      <c r="C55" s="11" t="s">
        <v>73</v>
      </c>
      <c r="D55" s="11" t="s">
        <v>39</v>
      </c>
      <c r="E55" s="10">
        <v>45</v>
      </c>
      <c r="F55" s="12">
        <f t="shared" si="207"/>
        <v>42581</v>
      </c>
      <c r="G55" s="12">
        <f>WORKDAY(F55,H55-1,Config!D57:D76)</f>
        <v>42584</v>
      </c>
      <c r="H55" s="10">
        <v>3</v>
      </c>
      <c r="I55" s="13">
        <v>0</v>
      </c>
      <c r="J55" s="13">
        <f ca="1">IF(((NETWORKDAYS(F55,TODAY(),Data!C53:C72)*100)/H55)/100 &gt; 0,((NETWORKDAYS(F55,TODAY(),Data!C53:C72)*100)/H55)/100,0)</f>
        <v>536.66666666666663</v>
      </c>
      <c r="K55" s="13" t="str">
        <f t="shared" ca="1" si="208"/>
        <v>100%</v>
      </c>
      <c r="L55" s="13">
        <f t="shared" ca="1" si="209"/>
        <v>1</v>
      </c>
      <c r="M55" s="10" t="str">
        <f t="shared" si="247"/>
        <v xml:space="preserve"> </v>
      </c>
      <c r="N55" s="10" t="str">
        <f t="shared" si="210"/>
        <v xml:space="preserve"> </v>
      </c>
      <c r="O55" s="10" t="str">
        <f t="shared" si="210"/>
        <v xml:space="preserve"> </v>
      </c>
      <c r="P55" s="10" t="str">
        <f t="shared" si="210"/>
        <v xml:space="preserve"> </v>
      </c>
      <c r="Q55" s="10" t="str">
        <f t="shared" si="210"/>
        <v xml:space="preserve"> </v>
      </c>
      <c r="R55" s="14"/>
      <c r="S55" s="14"/>
      <c r="T55" s="10" t="str">
        <f t="shared" si="211"/>
        <v xml:space="preserve"> </v>
      </c>
      <c r="U55" s="10" t="str">
        <f t="shared" si="211"/>
        <v xml:space="preserve"> </v>
      </c>
      <c r="V55" s="10" t="str">
        <f t="shared" si="211"/>
        <v xml:space="preserve"> </v>
      </c>
      <c r="W55" s="10" t="str">
        <f t="shared" si="211"/>
        <v xml:space="preserve"> </v>
      </c>
      <c r="X55" s="10" t="str">
        <f t="shared" si="211"/>
        <v xml:space="preserve"> </v>
      </c>
      <c r="Y55" s="14"/>
      <c r="Z55" s="14"/>
      <c r="AA55" s="10" t="str">
        <f t="shared" si="212"/>
        <v xml:space="preserve"> </v>
      </c>
      <c r="AB55" s="10" t="str">
        <f t="shared" si="212"/>
        <v xml:space="preserve"> </v>
      </c>
      <c r="AC55" s="10" t="str">
        <f t="shared" si="212"/>
        <v xml:space="preserve"> </v>
      </c>
      <c r="AD55" s="10" t="str">
        <f t="shared" si="212"/>
        <v xml:space="preserve"> </v>
      </c>
      <c r="AE55" s="10" t="str">
        <f t="shared" si="212"/>
        <v xml:space="preserve"> </v>
      </c>
      <c r="AF55" s="14"/>
      <c r="AG55" s="14"/>
      <c r="AH55" s="10" t="str">
        <f t="shared" si="213"/>
        <v xml:space="preserve"> </v>
      </c>
      <c r="AI55" s="10" t="str">
        <f t="shared" si="213"/>
        <v xml:space="preserve"> </v>
      </c>
      <c r="AJ55" s="10" t="str">
        <f t="shared" si="213"/>
        <v xml:space="preserve"> </v>
      </c>
      <c r="AK55" s="10" t="str">
        <f t="shared" si="213"/>
        <v xml:space="preserve"> </v>
      </c>
      <c r="AL55" s="10" t="str">
        <f t="shared" si="213"/>
        <v xml:space="preserve"> </v>
      </c>
      <c r="AM55" s="14"/>
      <c r="AN55" s="14"/>
      <c r="AO55" s="10" t="str">
        <f t="shared" si="214"/>
        <v xml:space="preserve"> </v>
      </c>
      <c r="AP55" s="10" t="str">
        <f t="shared" si="214"/>
        <v xml:space="preserve"> </v>
      </c>
      <c r="AQ55" s="10" t="str">
        <f t="shared" si="214"/>
        <v xml:space="preserve"> </v>
      </c>
      <c r="AR55" s="10" t="str">
        <f t="shared" si="214"/>
        <v xml:space="preserve"> </v>
      </c>
      <c r="AS55" s="10" t="str">
        <f t="shared" si="214"/>
        <v xml:space="preserve"> </v>
      </c>
      <c r="AT55" s="14"/>
      <c r="AU55" s="14"/>
      <c r="AV55" s="10" t="str">
        <f t="shared" si="215"/>
        <v xml:space="preserve"> </v>
      </c>
      <c r="AW55" s="10" t="str">
        <f t="shared" si="215"/>
        <v xml:space="preserve"> </v>
      </c>
      <c r="AX55" s="10" t="str">
        <f t="shared" si="215"/>
        <v xml:space="preserve"> </v>
      </c>
      <c r="AY55" s="10" t="str">
        <f t="shared" si="215"/>
        <v xml:space="preserve"> </v>
      </c>
      <c r="AZ55" s="10" t="str">
        <f t="shared" si="215"/>
        <v xml:space="preserve"> </v>
      </c>
      <c r="BA55" s="14"/>
      <c r="BB55" s="14"/>
      <c r="BC55" s="10" t="str">
        <f t="shared" si="216"/>
        <v xml:space="preserve"> </v>
      </c>
      <c r="BD55" s="10" t="str">
        <f t="shared" si="216"/>
        <v xml:space="preserve"> </v>
      </c>
      <c r="BE55" s="10" t="str">
        <f t="shared" si="216"/>
        <v xml:space="preserve"> </v>
      </c>
      <c r="BF55" s="10" t="str">
        <f t="shared" si="216"/>
        <v xml:space="preserve"> </v>
      </c>
      <c r="BG55" s="10" t="str">
        <f t="shared" si="216"/>
        <v xml:space="preserve"> </v>
      </c>
      <c r="BH55" s="14"/>
      <c r="BI55" s="14"/>
      <c r="BJ55" s="10" t="str">
        <f t="shared" si="217"/>
        <v xml:space="preserve"> </v>
      </c>
      <c r="BK55" s="10" t="str">
        <f t="shared" si="217"/>
        <v xml:space="preserve"> </v>
      </c>
      <c r="BL55" s="10" t="str">
        <f t="shared" si="217"/>
        <v xml:space="preserve"> </v>
      </c>
      <c r="BM55" s="10" t="str">
        <f t="shared" si="217"/>
        <v xml:space="preserve"> </v>
      </c>
      <c r="BN55" s="10" t="str">
        <f t="shared" si="217"/>
        <v xml:space="preserve"> </v>
      </c>
      <c r="BO55" s="14"/>
      <c r="BP55" s="14"/>
      <c r="BQ55" s="10" t="str">
        <f t="shared" si="218"/>
        <v xml:space="preserve"> </v>
      </c>
      <c r="BR55" s="10" t="str">
        <f t="shared" si="218"/>
        <v xml:space="preserve"> </v>
      </c>
      <c r="BS55" s="10" t="str">
        <f t="shared" si="218"/>
        <v xml:space="preserve"> </v>
      </c>
      <c r="BT55" s="10" t="str">
        <f t="shared" si="218"/>
        <v xml:space="preserve"> </v>
      </c>
      <c r="BU55" s="10" t="str">
        <f t="shared" si="218"/>
        <v xml:space="preserve"> </v>
      </c>
      <c r="BV55" s="14"/>
      <c r="BW55" s="14"/>
      <c r="BX55" s="10" t="str">
        <f t="shared" si="219"/>
        <v xml:space="preserve"> </v>
      </c>
      <c r="BY55" s="10" t="str">
        <f t="shared" si="219"/>
        <v xml:space="preserve"> </v>
      </c>
      <c r="BZ55" s="10" t="str">
        <f t="shared" si="219"/>
        <v xml:space="preserve"> </v>
      </c>
      <c r="CA55" s="10" t="str">
        <f t="shared" si="219"/>
        <v xml:space="preserve"> </v>
      </c>
      <c r="CB55" s="10" t="str">
        <f t="shared" si="219"/>
        <v xml:space="preserve"> </v>
      </c>
      <c r="CC55" s="14"/>
      <c r="CD55" s="14"/>
      <c r="CE55" s="10" t="str">
        <f t="shared" si="220"/>
        <v xml:space="preserve"> </v>
      </c>
      <c r="CF55" s="10" t="str">
        <f t="shared" si="220"/>
        <v xml:space="preserve"> </v>
      </c>
      <c r="CG55" s="10" t="str">
        <f t="shared" si="220"/>
        <v xml:space="preserve"> </v>
      </c>
      <c r="CH55" s="10" t="str">
        <f t="shared" si="220"/>
        <v xml:space="preserve"> </v>
      </c>
      <c r="CI55" s="10" t="str">
        <f t="shared" si="220"/>
        <v xml:space="preserve"> </v>
      </c>
      <c r="CJ55" s="14"/>
      <c r="CK55" s="14"/>
      <c r="CL55" s="10" t="str">
        <f t="shared" si="221"/>
        <v xml:space="preserve"> </v>
      </c>
      <c r="CM55" s="10" t="str">
        <f t="shared" si="221"/>
        <v xml:space="preserve"> </v>
      </c>
      <c r="CN55" s="10" t="str">
        <f t="shared" si="221"/>
        <v xml:space="preserve"> </v>
      </c>
      <c r="CO55" s="10" t="str">
        <f t="shared" si="221"/>
        <v xml:space="preserve"> </v>
      </c>
      <c r="CP55" s="10" t="str">
        <f t="shared" si="221"/>
        <v xml:space="preserve"> </v>
      </c>
      <c r="CQ55" s="14"/>
      <c r="CR55" s="14"/>
      <c r="CS55" s="10" t="str">
        <f t="shared" si="222"/>
        <v xml:space="preserve"> </v>
      </c>
      <c r="CT55" s="10" t="str">
        <f t="shared" si="222"/>
        <v xml:space="preserve"> </v>
      </c>
      <c r="CU55" s="10" t="str">
        <f t="shared" si="222"/>
        <v>.</v>
      </c>
      <c r="CV55" s="10" t="str">
        <f t="shared" si="222"/>
        <v>.</v>
      </c>
      <c r="CW55" s="10" t="str">
        <f t="shared" si="222"/>
        <v>.</v>
      </c>
      <c r="CZ55" s="10" t="str">
        <f t="shared" si="223"/>
        <v xml:space="preserve"> </v>
      </c>
      <c r="DA55" s="10" t="str">
        <f t="shared" si="223"/>
        <v xml:space="preserve"> </v>
      </c>
      <c r="DB55" s="10" t="str">
        <f t="shared" si="223"/>
        <v xml:space="preserve"> </v>
      </c>
      <c r="DC55" s="10" t="str">
        <f t="shared" si="223"/>
        <v xml:space="preserve"> </v>
      </c>
      <c r="DD55" s="10" t="str">
        <f t="shared" si="223"/>
        <v xml:space="preserve"> </v>
      </c>
      <c r="DG55" s="10" t="str">
        <f t="shared" si="224"/>
        <v xml:space="preserve"> </v>
      </c>
      <c r="DH55" s="10" t="str">
        <f t="shared" si="224"/>
        <v xml:space="preserve"> </v>
      </c>
      <c r="DI55" s="10" t="str">
        <f t="shared" si="224"/>
        <v xml:space="preserve"> </v>
      </c>
      <c r="DJ55" s="10" t="str">
        <f t="shared" si="224"/>
        <v xml:space="preserve"> </v>
      </c>
      <c r="DK55" s="10" t="str">
        <f t="shared" si="224"/>
        <v xml:space="preserve"> </v>
      </c>
      <c r="DN55" s="10" t="str">
        <f t="shared" si="225"/>
        <v xml:space="preserve"> </v>
      </c>
      <c r="DO55" s="10" t="str">
        <f t="shared" si="225"/>
        <v xml:space="preserve"> </v>
      </c>
      <c r="DP55" s="10" t="str">
        <f t="shared" si="225"/>
        <v xml:space="preserve"> </v>
      </c>
      <c r="DQ55" s="10" t="str">
        <f t="shared" si="225"/>
        <v xml:space="preserve"> </v>
      </c>
      <c r="DR55" s="10" t="str">
        <f t="shared" si="225"/>
        <v xml:space="preserve"> </v>
      </c>
      <c r="DU55" s="10" t="str">
        <f t="shared" si="226"/>
        <v xml:space="preserve"> </v>
      </c>
      <c r="DV55" s="10" t="str">
        <f t="shared" si="226"/>
        <v xml:space="preserve"> </v>
      </c>
      <c r="DW55" s="10" t="str">
        <f t="shared" si="226"/>
        <v xml:space="preserve"> </v>
      </c>
      <c r="DX55" s="10" t="str">
        <f t="shared" si="226"/>
        <v xml:space="preserve"> </v>
      </c>
      <c r="DY55" s="10" t="str">
        <f t="shared" si="226"/>
        <v xml:space="preserve"> </v>
      </c>
      <c r="EB55" s="10" t="str">
        <f t="shared" si="227"/>
        <v xml:space="preserve"> </v>
      </c>
      <c r="EC55" s="10" t="str">
        <f t="shared" si="227"/>
        <v xml:space="preserve"> </v>
      </c>
      <c r="ED55" s="10" t="str">
        <f t="shared" si="227"/>
        <v xml:space="preserve"> </v>
      </c>
      <c r="EE55" s="10" t="str">
        <f t="shared" si="227"/>
        <v xml:space="preserve"> </v>
      </c>
      <c r="EF55" s="10" t="str">
        <f t="shared" si="227"/>
        <v xml:space="preserve"> </v>
      </c>
      <c r="EI55" s="10" t="str">
        <f t="shared" si="228"/>
        <v xml:space="preserve"> </v>
      </c>
      <c r="EJ55" s="10" t="str">
        <f t="shared" si="228"/>
        <v xml:space="preserve"> </v>
      </c>
      <c r="EK55" s="10" t="str">
        <f t="shared" si="228"/>
        <v xml:space="preserve"> </v>
      </c>
      <c r="EL55" s="10" t="str">
        <f t="shared" si="228"/>
        <v xml:space="preserve"> </v>
      </c>
      <c r="EM55" s="10" t="str">
        <f t="shared" si="228"/>
        <v xml:space="preserve"> </v>
      </c>
      <c r="EP55" s="10" t="str">
        <f t="shared" si="229"/>
        <v xml:space="preserve"> </v>
      </c>
      <c r="EQ55" s="10" t="str">
        <f t="shared" si="229"/>
        <v xml:space="preserve"> </v>
      </c>
      <c r="ER55" s="10" t="str">
        <f t="shared" si="229"/>
        <v xml:space="preserve"> </v>
      </c>
      <c r="ES55" s="10" t="str">
        <f t="shared" si="229"/>
        <v xml:space="preserve"> </v>
      </c>
      <c r="ET55" s="10" t="str">
        <f t="shared" si="229"/>
        <v xml:space="preserve"> </v>
      </c>
      <c r="EW55" s="10" t="str">
        <f t="shared" si="230"/>
        <v xml:space="preserve"> </v>
      </c>
      <c r="EX55" s="10" t="str">
        <f t="shared" si="230"/>
        <v xml:space="preserve"> </v>
      </c>
      <c r="EY55" s="10" t="str">
        <f t="shared" si="230"/>
        <v xml:space="preserve"> </v>
      </c>
      <c r="EZ55" s="10" t="str">
        <f t="shared" si="230"/>
        <v xml:space="preserve"> </v>
      </c>
      <c r="FA55" s="10" t="str">
        <f t="shared" si="230"/>
        <v xml:space="preserve"> </v>
      </c>
      <c r="FD55" s="10" t="str">
        <f t="shared" si="231"/>
        <v xml:space="preserve"> </v>
      </c>
      <c r="FE55" s="10" t="str">
        <f t="shared" si="231"/>
        <v xml:space="preserve"> </v>
      </c>
      <c r="FF55" s="10" t="str">
        <f t="shared" si="231"/>
        <v xml:space="preserve"> </v>
      </c>
      <c r="FG55" s="10" t="str">
        <f t="shared" si="231"/>
        <v xml:space="preserve"> </v>
      </c>
      <c r="FH55" s="10" t="str">
        <f t="shared" si="231"/>
        <v xml:space="preserve"> </v>
      </c>
      <c r="FK55" s="10" t="str">
        <f t="shared" si="232"/>
        <v xml:space="preserve"> </v>
      </c>
      <c r="FL55" s="10" t="str">
        <f t="shared" si="232"/>
        <v xml:space="preserve"> </v>
      </c>
      <c r="FM55" s="10" t="str">
        <f t="shared" si="232"/>
        <v xml:space="preserve"> </v>
      </c>
      <c r="FN55" s="10" t="str">
        <f t="shared" si="232"/>
        <v xml:space="preserve"> </v>
      </c>
      <c r="FO55" s="10" t="str">
        <f t="shared" si="232"/>
        <v xml:space="preserve"> </v>
      </c>
      <c r="FR55" s="10" t="str">
        <f t="shared" si="233"/>
        <v xml:space="preserve"> </v>
      </c>
      <c r="FS55" s="10" t="str">
        <f t="shared" si="233"/>
        <v xml:space="preserve"> </v>
      </c>
      <c r="FT55" s="10" t="str">
        <f t="shared" si="233"/>
        <v xml:space="preserve"> </v>
      </c>
      <c r="FU55" s="10" t="str">
        <f t="shared" si="233"/>
        <v xml:space="preserve"> </v>
      </c>
      <c r="FV55" s="10" t="str">
        <f t="shared" si="233"/>
        <v xml:space="preserve"> </v>
      </c>
      <c r="FY55" s="10" t="str">
        <f t="shared" si="234"/>
        <v xml:space="preserve"> </v>
      </c>
      <c r="FZ55" s="10" t="str">
        <f t="shared" si="234"/>
        <v xml:space="preserve"> </v>
      </c>
      <c r="GA55" s="10" t="str">
        <f t="shared" si="234"/>
        <v xml:space="preserve"> </v>
      </c>
      <c r="GB55" s="10" t="str">
        <f t="shared" si="234"/>
        <v xml:space="preserve"> </v>
      </c>
      <c r="GC55" s="10" t="str">
        <f t="shared" si="234"/>
        <v xml:space="preserve"> </v>
      </c>
      <c r="GF55" s="10" t="str">
        <f t="shared" si="235"/>
        <v xml:space="preserve"> </v>
      </c>
      <c r="GG55" s="10" t="str">
        <f t="shared" si="235"/>
        <v xml:space="preserve"> </v>
      </c>
      <c r="GH55" s="10" t="str">
        <f t="shared" si="235"/>
        <v xml:space="preserve"> </v>
      </c>
      <c r="GI55" s="10" t="str">
        <f t="shared" si="235"/>
        <v xml:space="preserve"> </v>
      </c>
      <c r="GJ55" s="10" t="str">
        <f t="shared" si="235"/>
        <v xml:space="preserve"> </v>
      </c>
      <c r="GM55" s="10" t="str">
        <f t="shared" si="236"/>
        <v xml:space="preserve"> </v>
      </c>
      <c r="GN55" s="10" t="str">
        <f t="shared" si="236"/>
        <v xml:space="preserve"> </v>
      </c>
      <c r="GO55" s="10" t="str">
        <f t="shared" si="236"/>
        <v xml:space="preserve"> </v>
      </c>
      <c r="GP55" s="10" t="str">
        <f t="shared" si="236"/>
        <v xml:space="preserve"> </v>
      </c>
      <c r="GQ55" s="10" t="str">
        <f t="shared" si="236"/>
        <v xml:space="preserve"> </v>
      </c>
      <c r="GT55" s="10" t="str">
        <f t="shared" si="237"/>
        <v xml:space="preserve"> </v>
      </c>
      <c r="GU55" s="10" t="str">
        <f t="shared" si="237"/>
        <v xml:space="preserve"> </v>
      </c>
      <c r="GV55" s="10" t="str">
        <f t="shared" si="237"/>
        <v xml:space="preserve"> </v>
      </c>
      <c r="GW55" s="10" t="str">
        <f t="shared" si="237"/>
        <v xml:space="preserve"> </v>
      </c>
      <c r="GX55" s="10" t="str">
        <f t="shared" si="237"/>
        <v xml:space="preserve"> </v>
      </c>
      <c r="HA55" s="10" t="str">
        <f t="shared" si="238"/>
        <v xml:space="preserve"> </v>
      </c>
      <c r="HB55" s="10" t="str">
        <f t="shared" si="238"/>
        <v xml:space="preserve"> </v>
      </c>
      <c r="HC55" s="10" t="str">
        <f t="shared" si="238"/>
        <v xml:space="preserve"> </v>
      </c>
      <c r="HD55" s="10" t="str">
        <f t="shared" si="238"/>
        <v xml:space="preserve"> </v>
      </c>
      <c r="HE55" s="10" t="str">
        <f t="shared" si="238"/>
        <v xml:space="preserve"> </v>
      </c>
      <c r="HH55" s="10" t="str">
        <f t="shared" si="239"/>
        <v xml:space="preserve"> </v>
      </c>
      <c r="HI55" s="10" t="str">
        <f t="shared" si="239"/>
        <v xml:space="preserve"> </v>
      </c>
      <c r="HJ55" s="10" t="str">
        <f t="shared" si="239"/>
        <v xml:space="preserve"> </v>
      </c>
      <c r="HK55" s="10" t="str">
        <f t="shared" si="239"/>
        <v xml:space="preserve"> </v>
      </c>
      <c r="HL55" s="10" t="str">
        <f t="shared" si="239"/>
        <v xml:space="preserve"> </v>
      </c>
      <c r="HO55" s="10" t="str">
        <f t="shared" si="240"/>
        <v xml:space="preserve"> </v>
      </c>
      <c r="HP55" s="10" t="str">
        <f t="shared" si="240"/>
        <v xml:space="preserve"> </v>
      </c>
      <c r="HQ55" s="10" t="str">
        <f t="shared" si="240"/>
        <v xml:space="preserve"> </v>
      </c>
      <c r="HR55" s="10" t="str">
        <f t="shared" si="240"/>
        <v xml:space="preserve"> </v>
      </c>
      <c r="HS55" s="10" t="str">
        <f t="shared" si="240"/>
        <v xml:space="preserve"> </v>
      </c>
      <c r="HV55" s="10" t="str">
        <f t="shared" si="241"/>
        <v xml:space="preserve"> </v>
      </c>
      <c r="HW55" s="10" t="str">
        <f t="shared" si="241"/>
        <v xml:space="preserve"> </v>
      </c>
      <c r="HX55" s="10" t="str">
        <f t="shared" si="241"/>
        <v xml:space="preserve"> </v>
      </c>
      <c r="HY55" s="10" t="str">
        <f t="shared" si="241"/>
        <v xml:space="preserve"> </v>
      </c>
      <c r="HZ55" s="10" t="str">
        <f t="shared" si="241"/>
        <v xml:space="preserve"> </v>
      </c>
      <c r="IC55" s="10" t="str">
        <f t="shared" si="242"/>
        <v xml:space="preserve"> </v>
      </c>
      <c r="ID55" s="10" t="str">
        <f t="shared" si="242"/>
        <v xml:space="preserve"> </v>
      </c>
      <c r="IE55" s="10" t="str">
        <f t="shared" si="242"/>
        <v xml:space="preserve"> </v>
      </c>
      <c r="IF55" s="10" t="str">
        <f t="shared" si="242"/>
        <v xml:space="preserve"> </v>
      </c>
      <c r="IG55" s="10" t="str">
        <f t="shared" si="242"/>
        <v xml:space="preserve"> </v>
      </c>
      <c r="IJ55" s="10" t="str">
        <f t="shared" si="243"/>
        <v xml:space="preserve"> </v>
      </c>
      <c r="IK55" s="10" t="str">
        <f t="shared" si="243"/>
        <v xml:space="preserve"> </v>
      </c>
      <c r="IL55" s="10" t="str">
        <f t="shared" si="243"/>
        <v xml:space="preserve"> </v>
      </c>
      <c r="IM55" s="10" t="str">
        <f t="shared" si="243"/>
        <v xml:space="preserve"> </v>
      </c>
      <c r="IN55" s="10" t="str">
        <f t="shared" si="243"/>
        <v xml:space="preserve"> </v>
      </c>
      <c r="IQ55" s="10" t="str">
        <f t="shared" si="244"/>
        <v xml:space="preserve"> </v>
      </c>
      <c r="IR55" s="10" t="str">
        <f t="shared" si="244"/>
        <v xml:space="preserve"> </v>
      </c>
      <c r="IS55" s="10" t="str">
        <f t="shared" si="244"/>
        <v xml:space="preserve"> </v>
      </c>
      <c r="IT55" s="10" t="str">
        <f t="shared" si="244"/>
        <v xml:space="preserve"> </v>
      </c>
      <c r="IU55" s="10" t="str">
        <f t="shared" si="244"/>
        <v xml:space="preserve"> </v>
      </c>
      <c r="IX55" s="10" t="str">
        <f t="shared" si="245"/>
        <v xml:space="preserve"> </v>
      </c>
      <c r="IY55" s="10" t="str">
        <f t="shared" si="245"/>
        <v xml:space="preserve"> </v>
      </c>
      <c r="IZ55" s="10" t="str">
        <f t="shared" si="245"/>
        <v xml:space="preserve"> </v>
      </c>
      <c r="JA55" s="10" t="str">
        <f t="shared" si="245"/>
        <v xml:space="preserve"> </v>
      </c>
      <c r="JB55" s="10" t="str">
        <f t="shared" si="245"/>
        <v xml:space="preserve"> </v>
      </c>
      <c r="JE55" s="10" t="str">
        <f t="shared" si="246"/>
        <v xml:space="preserve"> </v>
      </c>
      <c r="JF55" s="10" t="str">
        <f t="shared" si="246"/>
        <v xml:space="preserve"> </v>
      </c>
      <c r="JG55" s="10" t="str">
        <f t="shared" si="246"/>
        <v xml:space="preserve"> </v>
      </c>
      <c r="JH55" s="10" t="str">
        <f t="shared" si="246"/>
        <v xml:space="preserve"> </v>
      </c>
      <c r="JI55" s="10" t="str">
        <f t="shared" si="246"/>
        <v xml:space="preserve"> </v>
      </c>
    </row>
    <row r="56" spans="1:269">
      <c r="A56" s="96"/>
      <c r="B56" s="10">
        <v>48</v>
      </c>
      <c r="C56" s="11" t="s">
        <v>74</v>
      </c>
      <c r="D56" s="11" t="s">
        <v>39</v>
      </c>
      <c r="E56" s="10">
        <v>46</v>
      </c>
      <c r="F56" s="12">
        <f t="shared" si="207"/>
        <v>42553</v>
      </c>
      <c r="G56" s="12">
        <f>WORKDAY(F56,H56-1,Config!D58:D77)</f>
        <v>42555</v>
      </c>
      <c r="H56" s="10">
        <v>2</v>
      </c>
      <c r="I56" s="13">
        <v>0</v>
      </c>
      <c r="J56" s="13">
        <f ca="1">IF(((NETWORKDAYS(F56,TODAY(),Data!C54:C73)*100)/H56)/100 &gt; 0,((NETWORKDAYS(F56,TODAY(),Data!C54:C73)*100)/H56)/100,0)</f>
        <v>815</v>
      </c>
      <c r="K56" s="13" t="str">
        <f t="shared" ca="1" si="208"/>
        <v>100%</v>
      </c>
      <c r="L56" s="13">
        <f t="shared" ca="1" si="209"/>
        <v>1</v>
      </c>
      <c r="M56" s="10" t="str">
        <f t="shared" si="247"/>
        <v xml:space="preserve"> </v>
      </c>
      <c r="N56" s="10" t="str">
        <f t="shared" si="210"/>
        <v xml:space="preserve"> </v>
      </c>
      <c r="O56" s="10" t="str">
        <f t="shared" si="210"/>
        <v xml:space="preserve"> </v>
      </c>
      <c r="P56" s="10" t="str">
        <f t="shared" si="210"/>
        <v xml:space="preserve"> </v>
      </c>
      <c r="Q56" s="10" t="str">
        <f t="shared" si="210"/>
        <v xml:space="preserve"> </v>
      </c>
      <c r="R56" s="14"/>
      <c r="S56" s="14"/>
      <c r="T56" s="10" t="str">
        <f t="shared" si="211"/>
        <v xml:space="preserve"> </v>
      </c>
      <c r="U56" s="10" t="str">
        <f t="shared" si="211"/>
        <v xml:space="preserve"> </v>
      </c>
      <c r="V56" s="10" t="str">
        <f t="shared" si="211"/>
        <v xml:space="preserve"> </v>
      </c>
      <c r="W56" s="10" t="str">
        <f t="shared" si="211"/>
        <v xml:space="preserve"> </v>
      </c>
      <c r="X56" s="10" t="str">
        <f t="shared" si="211"/>
        <v xml:space="preserve"> </v>
      </c>
      <c r="Y56" s="14"/>
      <c r="Z56" s="14"/>
      <c r="AA56" s="10" t="str">
        <f t="shared" si="212"/>
        <v xml:space="preserve"> </v>
      </c>
      <c r="AB56" s="10" t="str">
        <f t="shared" si="212"/>
        <v xml:space="preserve"> </v>
      </c>
      <c r="AC56" s="10" t="str">
        <f t="shared" si="212"/>
        <v xml:space="preserve"> </v>
      </c>
      <c r="AD56" s="10" t="str">
        <f t="shared" si="212"/>
        <v xml:space="preserve"> </v>
      </c>
      <c r="AE56" s="10" t="str">
        <f t="shared" si="212"/>
        <v xml:space="preserve"> </v>
      </c>
      <c r="AF56" s="14"/>
      <c r="AG56" s="14"/>
      <c r="AH56" s="10" t="str">
        <f t="shared" si="213"/>
        <v xml:space="preserve"> </v>
      </c>
      <c r="AI56" s="10" t="str">
        <f t="shared" si="213"/>
        <v xml:space="preserve"> </v>
      </c>
      <c r="AJ56" s="10" t="str">
        <f t="shared" si="213"/>
        <v xml:space="preserve"> </v>
      </c>
      <c r="AK56" s="10" t="str">
        <f t="shared" si="213"/>
        <v xml:space="preserve"> </v>
      </c>
      <c r="AL56" s="10" t="str">
        <f t="shared" si="213"/>
        <v xml:space="preserve"> </v>
      </c>
      <c r="AM56" s="14"/>
      <c r="AN56" s="14"/>
      <c r="AO56" s="10" t="str">
        <f t="shared" si="214"/>
        <v xml:space="preserve"> </v>
      </c>
      <c r="AP56" s="10" t="str">
        <f t="shared" si="214"/>
        <v xml:space="preserve"> </v>
      </c>
      <c r="AQ56" s="10" t="str">
        <f t="shared" si="214"/>
        <v xml:space="preserve"> </v>
      </c>
      <c r="AR56" s="10" t="str">
        <f t="shared" si="214"/>
        <v xml:space="preserve"> </v>
      </c>
      <c r="AS56" s="10" t="str">
        <f t="shared" si="214"/>
        <v xml:space="preserve"> </v>
      </c>
      <c r="AT56" s="14"/>
      <c r="AU56" s="14"/>
      <c r="AV56" s="10" t="str">
        <f t="shared" si="215"/>
        <v xml:space="preserve"> </v>
      </c>
      <c r="AW56" s="10" t="str">
        <f t="shared" si="215"/>
        <v xml:space="preserve"> </v>
      </c>
      <c r="AX56" s="10" t="str">
        <f t="shared" si="215"/>
        <v xml:space="preserve"> </v>
      </c>
      <c r="AY56" s="10" t="str">
        <f t="shared" si="215"/>
        <v xml:space="preserve"> </v>
      </c>
      <c r="AZ56" s="10" t="str">
        <f t="shared" si="215"/>
        <v xml:space="preserve"> </v>
      </c>
      <c r="BA56" s="14"/>
      <c r="BB56" s="14"/>
      <c r="BC56" s="10" t="str">
        <f t="shared" si="216"/>
        <v xml:space="preserve"> </v>
      </c>
      <c r="BD56" s="10" t="str">
        <f t="shared" si="216"/>
        <v xml:space="preserve"> </v>
      </c>
      <c r="BE56" s="10" t="str">
        <f t="shared" si="216"/>
        <v xml:space="preserve"> </v>
      </c>
      <c r="BF56" s="10" t="str">
        <f t="shared" si="216"/>
        <v xml:space="preserve"> </v>
      </c>
      <c r="BG56" s="10" t="str">
        <f t="shared" si="216"/>
        <v xml:space="preserve"> </v>
      </c>
      <c r="BH56" s="14"/>
      <c r="BI56" s="14"/>
      <c r="BJ56" s="10" t="str">
        <f t="shared" si="217"/>
        <v xml:space="preserve"> </v>
      </c>
      <c r="BK56" s="10" t="str">
        <f t="shared" si="217"/>
        <v xml:space="preserve"> </v>
      </c>
      <c r="BL56" s="10" t="str">
        <f t="shared" si="217"/>
        <v xml:space="preserve"> </v>
      </c>
      <c r="BM56" s="10" t="str">
        <f t="shared" si="217"/>
        <v xml:space="preserve"> </v>
      </c>
      <c r="BN56" s="10" t="str">
        <f t="shared" si="217"/>
        <v xml:space="preserve"> </v>
      </c>
      <c r="BO56" s="14"/>
      <c r="BP56" s="14"/>
      <c r="BQ56" s="10" t="str">
        <f t="shared" si="218"/>
        <v xml:space="preserve"> </v>
      </c>
      <c r="BR56" s="10" t="str">
        <f t="shared" si="218"/>
        <v xml:space="preserve"> </v>
      </c>
      <c r="BS56" s="10" t="str">
        <f t="shared" si="218"/>
        <v>.</v>
      </c>
      <c r="BT56" s="10" t="str">
        <f t="shared" si="218"/>
        <v>.</v>
      </c>
      <c r="BU56" s="10" t="str">
        <f t="shared" si="218"/>
        <v>.</v>
      </c>
      <c r="BV56" s="14"/>
      <c r="BW56" s="14"/>
      <c r="BX56" s="10" t="str">
        <f t="shared" si="219"/>
        <v xml:space="preserve"> </v>
      </c>
      <c r="BY56" s="10" t="str">
        <f t="shared" si="219"/>
        <v xml:space="preserve"> </v>
      </c>
      <c r="BZ56" s="10" t="str">
        <f t="shared" si="219"/>
        <v xml:space="preserve"> </v>
      </c>
      <c r="CA56" s="10" t="str">
        <f t="shared" si="219"/>
        <v xml:space="preserve"> </v>
      </c>
      <c r="CB56" s="10" t="str">
        <f t="shared" si="219"/>
        <v xml:space="preserve"> </v>
      </c>
      <c r="CC56" s="14"/>
      <c r="CD56" s="14"/>
      <c r="CE56" s="10" t="str">
        <f t="shared" si="220"/>
        <v xml:space="preserve"> </v>
      </c>
      <c r="CF56" s="10" t="str">
        <f t="shared" si="220"/>
        <v xml:space="preserve"> </v>
      </c>
      <c r="CG56" s="10" t="str">
        <f t="shared" si="220"/>
        <v xml:space="preserve"> </v>
      </c>
      <c r="CH56" s="10" t="str">
        <f t="shared" si="220"/>
        <v xml:space="preserve"> </v>
      </c>
      <c r="CI56" s="10" t="str">
        <f t="shared" si="220"/>
        <v xml:space="preserve"> </v>
      </c>
      <c r="CJ56" s="14"/>
      <c r="CK56" s="14"/>
      <c r="CL56" s="10" t="str">
        <f t="shared" si="221"/>
        <v xml:space="preserve"> </v>
      </c>
      <c r="CM56" s="10" t="str">
        <f t="shared" si="221"/>
        <v xml:space="preserve"> </v>
      </c>
      <c r="CN56" s="10" t="str">
        <f t="shared" si="221"/>
        <v xml:space="preserve"> </v>
      </c>
      <c r="CO56" s="10" t="str">
        <f t="shared" si="221"/>
        <v xml:space="preserve"> </v>
      </c>
      <c r="CP56" s="10" t="str">
        <f t="shared" si="221"/>
        <v xml:space="preserve"> </v>
      </c>
      <c r="CQ56" s="14"/>
      <c r="CR56" s="14"/>
      <c r="CS56" s="10" t="str">
        <f t="shared" si="222"/>
        <v xml:space="preserve"> </v>
      </c>
      <c r="CT56" s="10" t="str">
        <f t="shared" si="222"/>
        <v xml:space="preserve"> </v>
      </c>
      <c r="CU56" s="10" t="str">
        <f t="shared" si="222"/>
        <v xml:space="preserve"> </v>
      </c>
      <c r="CV56" s="10" t="str">
        <f t="shared" si="222"/>
        <v xml:space="preserve"> </v>
      </c>
      <c r="CW56" s="10" t="str">
        <f t="shared" si="222"/>
        <v xml:space="preserve"> </v>
      </c>
      <c r="CZ56" s="10" t="str">
        <f t="shared" si="223"/>
        <v xml:space="preserve"> </v>
      </c>
      <c r="DA56" s="10" t="str">
        <f t="shared" si="223"/>
        <v xml:space="preserve"> </v>
      </c>
      <c r="DB56" s="10" t="str">
        <f t="shared" si="223"/>
        <v xml:space="preserve"> </v>
      </c>
      <c r="DC56" s="10" t="str">
        <f t="shared" si="223"/>
        <v xml:space="preserve"> </v>
      </c>
      <c r="DD56" s="10" t="str">
        <f t="shared" si="223"/>
        <v xml:space="preserve"> </v>
      </c>
      <c r="DG56" s="10" t="str">
        <f t="shared" si="224"/>
        <v xml:space="preserve"> </v>
      </c>
      <c r="DH56" s="10" t="str">
        <f t="shared" si="224"/>
        <v xml:space="preserve"> </v>
      </c>
      <c r="DI56" s="10" t="str">
        <f t="shared" si="224"/>
        <v xml:space="preserve"> </v>
      </c>
      <c r="DJ56" s="10" t="str">
        <f t="shared" si="224"/>
        <v xml:space="preserve"> </v>
      </c>
      <c r="DK56" s="10" t="str">
        <f t="shared" si="224"/>
        <v xml:space="preserve"> </v>
      </c>
      <c r="DN56" s="10" t="str">
        <f t="shared" si="225"/>
        <v xml:space="preserve"> </v>
      </c>
      <c r="DO56" s="10" t="str">
        <f t="shared" si="225"/>
        <v xml:space="preserve"> </v>
      </c>
      <c r="DP56" s="10" t="str">
        <f t="shared" si="225"/>
        <v xml:space="preserve"> </v>
      </c>
      <c r="DQ56" s="10" t="str">
        <f t="shared" si="225"/>
        <v xml:space="preserve"> </v>
      </c>
      <c r="DR56" s="10" t="str">
        <f t="shared" si="225"/>
        <v xml:space="preserve"> </v>
      </c>
      <c r="DU56" s="10" t="str">
        <f t="shared" si="226"/>
        <v xml:space="preserve"> </v>
      </c>
      <c r="DV56" s="10" t="str">
        <f t="shared" si="226"/>
        <v xml:space="preserve"> </v>
      </c>
      <c r="DW56" s="10" t="str">
        <f t="shared" si="226"/>
        <v xml:space="preserve"> </v>
      </c>
      <c r="DX56" s="10" t="str">
        <f t="shared" si="226"/>
        <v xml:space="preserve"> </v>
      </c>
      <c r="DY56" s="10" t="str">
        <f t="shared" si="226"/>
        <v xml:space="preserve"> </v>
      </c>
      <c r="EB56" s="10" t="str">
        <f t="shared" si="227"/>
        <v xml:space="preserve"> </v>
      </c>
      <c r="EC56" s="10" t="str">
        <f t="shared" si="227"/>
        <v xml:space="preserve"> </v>
      </c>
      <c r="ED56" s="10" t="str">
        <f t="shared" si="227"/>
        <v xml:space="preserve"> </v>
      </c>
      <c r="EE56" s="10" t="str">
        <f t="shared" si="227"/>
        <v xml:space="preserve"> </v>
      </c>
      <c r="EF56" s="10" t="str">
        <f t="shared" si="227"/>
        <v xml:space="preserve"> </v>
      </c>
      <c r="EI56" s="10" t="str">
        <f t="shared" si="228"/>
        <v xml:space="preserve"> </v>
      </c>
      <c r="EJ56" s="10" t="str">
        <f t="shared" si="228"/>
        <v xml:space="preserve"> </v>
      </c>
      <c r="EK56" s="10" t="str">
        <f t="shared" si="228"/>
        <v xml:space="preserve"> </v>
      </c>
      <c r="EL56" s="10" t="str">
        <f t="shared" si="228"/>
        <v xml:space="preserve"> </v>
      </c>
      <c r="EM56" s="10" t="str">
        <f t="shared" si="228"/>
        <v xml:space="preserve"> </v>
      </c>
      <c r="EP56" s="10" t="str">
        <f t="shared" si="229"/>
        <v xml:space="preserve"> </v>
      </c>
      <c r="EQ56" s="10" t="str">
        <f t="shared" si="229"/>
        <v xml:space="preserve"> </v>
      </c>
      <c r="ER56" s="10" t="str">
        <f t="shared" si="229"/>
        <v xml:space="preserve"> </v>
      </c>
      <c r="ES56" s="10" t="str">
        <f t="shared" si="229"/>
        <v xml:space="preserve"> </v>
      </c>
      <c r="ET56" s="10" t="str">
        <f t="shared" si="229"/>
        <v xml:space="preserve"> </v>
      </c>
      <c r="EW56" s="10" t="str">
        <f t="shared" si="230"/>
        <v xml:space="preserve"> </v>
      </c>
      <c r="EX56" s="10" t="str">
        <f t="shared" si="230"/>
        <v xml:space="preserve"> </v>
      </c>
      <c r="EY56" s="10" t="str">
        <f t="shared" si="230"/>
        <v xml:space="preserve"> </v>
      </c>
      <c r="EZ56" s="10" t="str">
        <f t="shared" si="230"/>
        <v xml:space="preserve"> </v>
      </c>
      <c r="FA56" s="10" t="str">
        <f t="shared" si="230"/>
        <v xml:space="preserve"> </v>
      </c>
      <c r="FD56" s="10" t="str">
        <f t="shared" si="231"/>
        <v xml:space="preserve"> </v>
      </c>
      <c r="FE56" s="10" t="str">
        <f t="shared" si="231"/>
        <v xml:space="preserve"> </v>
      </c>
      <c r="FF56" s="10" t="str">
        <f t="shared" si="231"/>
        <v xml:space="preserve"> </v>
      </c>
      <c r="FG56" s="10" t="str">
        <f t="shared" si="231"/>
        <v xml:space="preserve"> </v>
      </c>
      <c r="FH56" s="10" t="str">
        <f t="shared" si="231"/>
        <v xml:space="preserve"> </v>
      </c>
      <c r="FK56" s="10" t="str">
        <f t="shared" si="232"/>
        <v xml:space="preserve"> </v>
      </c>
      <c r="FL56" s="10" t="str">
        <f t="shared" si="232"/>
        <v xml:space="preserve"> </v>
      </c>
      <c r="FM56" s="10" t="str">
        <f t="shared" si="232"/>
        <v xml:space="preserve"> </v>
      </c>
      <c r="FN56" s="10" t="str">
        <f t="shared" si="232"/>
        <v xml:space="preserve"> </v>
      </c>
      <c r="FO56" s="10" t="str">
        <f t="shared" si="232"/>
        <v xml:space="preserve"> </v>
      </c>
      <c r="FR56" s="10" t="str">
        <f t="shared" si="233"/>
        <v xml:space="preserve"> </v>
      </c>
      <c r="FS56" s="10" t="str">
        <f t="shared" si="233"/>
        <v xml:space="preserve"> </v>
      </c>
      <c r="FT56" s="10" t="str">
        <f t="shared" si="233"/>
        <v xml:space="preserve"> </v>
      </c>
      <c r="FU56" s="10" t="str">
        <f t="shared" si="233"/>
        <v xml:space="preserve"> </v>
      </c>
      <c r="FV56" s="10" t="str">
        <f t="shared" si="233"/>
        <v xml:space="preserve"> </v>
      </c>
      <c r="FY56" s="10" t="str">
        <f t="shared" si="234"/>
        <v xml:space="preserve"> </v>
      </c>
      <c r="FZ56" s="10" t="str">
        <f t="shared" si="234"/>
        <v xml:space="preserve"> </v>
      </c>
      <c r="GA56" s="10" t="str">
        <f t="shared" si="234"/>
        <v xml:space="preserve"> </v>
      </c>
      <c r="GB56" s="10" t="str">
        <f t="shared" si="234"/>
        <v xml:space="preserve"> </v>
      </c>
      <c r="GC56" s="10" t="str">
        <f t="shared" si="234"/>
        <v xml:space="preserve"> </v>
      </c>
      <c r="GF56" s="10" t="str">
        <f t="shared" si="235"/>
        <v xml:space="preserve"> </v>
      </c>
      <c r="GG56" s="10" t="str">
        <f t="shared" si="235"/>
        <v xml:space="preserve"> </v>
      </c>
      <c r="GH56" s="10" t="str">
        <f t="shared" si="235"/>
        <v xml:space="preserve"> </v>
      </c>
      <c r="GI56" s="10" t="str">
        <f t="shared" si="235"/>
        <v xml:space="preserve"> </v>
      </c>
      <c r="GJ56" s="10" t="str">
        <f t="shared" si="235"/>
        <v xml:space="preserve"> </v>
      </c>
      <c r="GM56" s="10" t="str">
        <f t="shared" si="236"/>
        <v xml:space="preserve"> </v>
      </c>
      <c r="GN56" s="10" t="str">
        <f t="shared" si="236"/>
        <v xml:space="preserve"> </v>
      </c>
      <c r="GO56" s="10" t="str">
        <f t="shared" si="236"/>
        <v xml:space="preserve"> </v>
      </c>
      <c r="GP56" s="10" t="str">
        <f t="shared" si="236"/>
        <v xml:space="preserve"> </v>
      </c>
      <c r="GQ56" s="10" t="str">
        <f t="shared" si="236"/>
        <v xml:space="preserve"> </v>
      </c>
      <c r="GT56" s="10" t="str">
        <f t="shared" si="237"/>
        <v xml:space="preserve"> </v>
      </c>
      <c r="GU56" s="10" t="str">
        <f t="shared" si="237"/>
        <v xml:space="preserve"> </v>
      </c>
      <c r="GV56" s="10" t="str">
        <f t="shared" si="237"/>
        <v xml:space="preserve"> </v>
      </c>
      <c r="GW56" s="10" t="str">
        <f t="shared" si="237"/>
        <v xml:space="preserve"> </v>
      </c>
      <c r="GX56" s="10" t="str">
        <f t="shared" si="237"/>
        <v xml:space="preserve"> </v>
      </c>
      <c r="HA56" s="10" t="str">
        <f t="shared" si="238"/>
        <v xml:space="preserve"> </v>
      </c>
      <c r="HB56" s="10" t="str">
        <f t="shared" si="238"/>
        <v xml:space="preserve"> </v>
      </c>
      <c r="HC56" s="10" t="str">
        <f t="shared" si="238"/>
        <v xml:space="preserve"> </v>
      </c>
      <c r="HD56" s="10" t="str">
        <f t="shared" si="238"/>
        <v xml:space="preserve"> </v>
      </c>
      <c r="HE56" s="10" t="str">
        <f t="shared" si="238"/>
        <v xml:space="preserve"> </v>
      </c>
      <c r="HH56" s="10" t="str">
        <f t="shared" si="239"/>
        <v xml:space="preserve"> </v>
      </c>
      <c r="HI56" s="10" t="str">
        <f t="shared" si="239"/>
        <v xml:space="preserve"> </v>
      </c>
      <c r="HJ56" s="10" t="str">
        <f t="shared" si="239"/>
        <v xml:space="preserve"> </v>
      </c>
      <c r="HK56" s="10" t="str">
        <f t="shared" si="239"/>
        <v xml:space="preserve"> </v>
      </c>
      <c r="HL56" s="10" t="str">
        <f t="shared" si="239"/>
        <v xml:space="preserve"> </v>
      </c>
      <c r="HO56" s="10" t="str">
        <f t="shared" si="240"/>
        <v xml:space="preserve"> </v>
      </c>
      <c r="HP56" s="10" t="str">
        <f t="shared" si="240"/>
        <v xml:space="preserve"> </v>
      </c>
      <c r="HQ56" s="10" t="str">
        <f t="shared" si="240"/>
        <v xml:space="preserve"> </v>
      </c>
      <c r="HR56" s="10" t="str">
        <f t="shared" si="240"/>
        <v xml:space="preserve"> </v>
      </c>
      <c r="HS56" s="10" t="str">
        <f t="shared" si="240"/>
        <v xml:space="preserve"> </v>
      </c>
      <c r="HV56" s="10" t="str">
        <f t="shared" si="241"/>
        <v xml:space="preserve"> </v>
      </c>
      <c r="HW56" s="10" t="str">
        <f t="shared" si="241"/>
        <v xml:space="preserve"> </v>
      </c>
      <c r="HX56" s="10" t="str">
        <f t="shared" si="241"/>
        <v xml:space="preserve"> </v>
      </c>
      <c r="HY56" s="10" t="str">
        <f t="shared" si="241"/>
        <v xml:space="preserve"> </v>
      </c>
      <c r="HZ56" s="10" t="str">
        <f t="shared" si="241"/>
        <v xml:space="preserve"> </v>
      </c>
      <c r="IC56" s="10" t="str">
        <f t="shared" si="242"/>
        <v xml:space="preserve"> </v>
      </c>
      <c r="ID56" s="10" t="str">
        <f t="shared" si="242"/>
        <v xml:space="preserve"> </v>
      </c>
      <c r="IE56" s="10" t="str">
        <f t="shared" si="242"/>
        <v xml:space="preserve"> </v>
      </c>
      <c r="IF56" s="10" t="str">
        <f t="shared" si="242"/>
        <v xml:space="preserve"> </v>
      </c>
      <c r="IG56" s="10" t="str">
        <f t="shared" si="242"/>
        <v xml:space="preserve"> </v>
      </c>
      <c r="IJ56" s="10" t="str">
        <f t="shared" si="243"/>
        <v xml:space="preserve"> </v>
      </c>
      <c r="IK56" s="10" t="str">
        <f t="shared" si="243"/>
        <v xml:space="preserve"> </v>
      </c>
      <c r="IL56" s="10" t="str">
        <f t="shared" si="243"/>
        <v xml:space="preserve"> </v>
      </c>
      <c r="IM56" s="10" t="str">
        <f t="shared" si="243"/>
        <v xml:space="preserve"> </v>
      </c>
      <c r="IN56" s="10" t="str">
        <f t="shared" si="243"/>
        <v xml:space="preserve"> </v>
      </c>
      <c r="IQ56" s="10" t="str">
        <f t="shared" si="244"/>
        <v xml:space="preserve"> </v>
      </c>
      <c r="IR56" s="10" t="str">
        <f t="shared" si="244"/>
        <v xml:space="preserve"> </v>
      </c>
      <c r="IS56" s="10" t="str">
        <f t="shared" si="244"/>
        <v xml:space="preserve"> </v>
      </c>
      <c r="IT56" s="10" t="str">
        <f t="shared" si="244"/>
        <v xml:space="preserve"> </v>
      </c>
      <c r="IU56" s="10" t="str">
        <f t="shared" si="244"/>
        <v xml:space="preserve"> </v>
      </c>
      <c r="IX56" s="10" t="str">
        <f t="shared" si="245"/>
        <v xml:space="preserve"> </v>
      </c>
      <c r="IY56" s="10" t="str">
        <f t="shared" si="245"/>
        <v xml:space="preserve"> </v>
      </c>
      <c r="IZ56" s="10" t="str">
        <f t="shared" si="245"/>
        <v xml:space="preserve"> </v>
      </c>
      <c r="JA56" s="10" t="str">
        <f t="shared" si="245"/>
        <v xml:space="preserve"> </v>
      </c>
      <c r="JB56" s="10" t="str">
        <f t="shared" si="245"/>
        <v xml:space="preserve"> </v>
      </c>
      <c r="JE56" s="10" t="str">
        <f t="shared" si="246"/>
        <v xml:space="preserve"> </v>
      </c>
      <c r="JF56" s="10" t="str">
        <f t="shared" si="246"/>
        <v xml:space="preserve"> </v>
      </c>
      <c r="JG56" s="10" t="str">
        <f t="shared" si="246"/>
        <v xml:space="preserve"> </v>
      </c>
      <c r="JH56" s="10" t="str">
        <f t="shared" si="246"/>
        <v xml:space="preserve"> </v>
      </c>
      <c r="JI56" s="10" t="str">
        <f t="shared" si="246"/>
        <v xml:space="preserve"> </v>
      </c>
    </row>
    <row r="57" spans="1:269">
      <c r="A57" s="96"/>
      <c r="B57" s="10">
        <v>49</v>
      </c>
      <c r="C57" s="11" t="s">
        <v>75</v>
      </c>
      <c r="D57" s="11" t="s">
        <v>39</v>
      </c>
      <c r="E57" s="10">
        <v>47</v>
      </c>
      <c r="F57" s="12">
        <f t="shared" si="207"/>
        <v>42585</v>
      </c>
      <c r="G57" s="12">
        <f>WORKDAY(F57,H57-1,Config!D59:D78)</f>
        <v>42586</v>
      </c>
      <c r="H57" s="10">
        <v>2</v>
      </c>
      <c r="I57" s="13">
        <v>0</v>
      </c>
      <c r="J57" s="13">
        <f ca="1">IF(((NETWORKDAYS(F57,TODAY(),Data!C55:C74)*100)/H57)/100 &gt; 0,((NETWORKDAYS(F57,TODAY(),Data!C55:C74)*100)/H57)/100,0)</f>
        <v>804</v>
      </c>
      <c r="K57" s="13" t="str">
        <f t="shared" ca="1" si="208"/>
        <v>100%</v>
      </c>
      <c r="L57" s="13">
        <f t="shared" ca="1" si="209"/>
        <v>1</v>
      </c>
      <c r="M57" s="10" t="str">
        <f t="shared" si="247"/>
        <v xml:space="preserve"> </v>
      </c>
      <c r="N57" s="10" t="str">
        <f t="shared" si="210"/>
        <v xml:space="preserve"> </v>
      </c>
      <c r="O57" s="10" t="str">
        <f t="shared" si="210"/>
        <v xml:space="preserve"> </v>
      </c>
      <c r="P57" s="10" t="str">
        <f t="shared" si="210"/>
        <v xml:space="preserve"> </v>
      </c>
      <c r="Q57" s="10" t="str">
        <f t="shared" si="210"/>
        <v xml:space="preserve"> </v>
      </c>
      <c r="R57" s="14"/>
      <c r="S57" s="14"/>
      <c r="T57" s="10" t="str">
        <f t="shared" si="211"/>
        <v xml:space="preserve"> </v>
      </c>
      <c r="U57" s="10" t="str">
        <f t="shared" si="211"/>
        <v xml:space="preserve"> </v>
      </c>
      <c r="V57" s="10" t="str">
        <f t="shared" si="211"/>
        <v xml:space="preserve"> </v>
      </c>
      <c r="W57" s="10" t="str">
        <f t="shared" si="211"/>
        <v xml:space="preserve"> </v>
      </c>
      <c r="X57" s="10" t="str">
        <f t="shared" si="211"/>
        <v xml:space="preserve"> </v>
      </c>
      <c r="Y57" s="14"/>
      <c r="Z57" s="14"/>
      <c r="AA57" s="10" t="str">
        <f t="shared" si="212"/>
        <v xml:space="preserve"> </v>
      </c>
      <c r="AB57" s="10" t="str">
        <f t="shared" si="212"/>
        <v xml:space="preserve"> </v>
      </c>
      <c r="AC57" s="10" t="str">
        <f t="shared" si="212"/>
        <v xml:space="preserve"> </v>
      </c>
      <c r="AD57" s="10" t="str">
        <f t="shared" si="212"/>
        <v xml:space="preserve"> </v>
      </c>
      <c r="AE57" s="10" t="str">
        <f t="shared" si="212"/>
        <v xml:space="preserve"> </v>
      </c>
      <c r="AF57" s="14"/>
      <c r="AG57" s="14"/>
      <c r="AH57" s="10" t="str">
        <f t="shared" si="213"/>
        <v xml:space="preserve"> </v>
      </c>
      <c r="AI57" s="10" t="str">
        <f t="shared" si="213"/>
        <v xml:space="preserve"> </v>
      </c>
      <c r="AJ57" s="10" t="str">
        <f t="shared" si="213"/>
        <v xml:space="preserve"> </v>
      </c>
      <c r="AK57" s="10" t="str">
        <f t="shared" si="213"/>
        <v xml:space="preserve"> </v>
      </c>
      <c r="AL57" s="10" t="str">
        <f t="shared" si="213"/>
        <v xml:space="preserve"> </v>
      </c>
      <c r="AM57" s="14"/>
      <c r="AN57" s="14"/>
      <c r="AO57" s="10" t="str">
        <f t="shared" si="214"/>
        <v xml:space="preserve"> </v>
      </c>
      <c r="AP57" s="10" t="str">
        <f t="shared" si="214"/>
        <v xml:space="preserve"> </v>
      </c>
      <c r="AQ57" s="10" t="str">
        <f t="shared" si="214"/>
        <v xml:space="preserve"> </v>
      </c>
      <c r="AR57" s="10" t="str">
        <f t="shared" si="214"/>
        <v xml:space="preserve"> </v>
      </c>
      <c r="AS57" s="10" t="str">
        <f t="shared" si="214"/>
        <v xml:space="preserve"> </v>
      </c>
      <c r="AT57" s="14"/>
      <c r="AU57" s="14"/>
      <c r="AV57" s="10" t="str">
        <f t="shared" si="215"/>
        <v xml:space="preserve"> </v>
      </c>
      <c r="AW57" s="10" t="str">
        <f t="shared" si="215"/>
        <v xml:space="preserve"> </v>
      </c>
      <c r="AX57" s="10" t="str">
        <f t="shared" si="215"/>
        <v xml:space="preserve"> </v>
      </c>
      <c r="AY57" s="10" t="str">
        <f t="shared" si="215"/>
        <v xml:space="preserve"> </v>
      </c>
      <c r="AZ57" s="10" t="str">
        <f t="shared" si="215"/>
        <v xml:space="preserve"> </v>
      </c>
      <c r="BA57" s="14"/>
      <c r="BB57" s="14"/>
      <c r="BC57" s="10" t="str">
        <f t="shared" si="216"/>
        <v xml:space="preserve"> </v>
      </c>
      <c r="BD57" s="10" t="str">
        <f t="shared" si="216"/>
        <v xml:space="preserve"> </v>
      </c>
      <c r="BE57" s="10" t="str">
        <f t="shared" si="216"/>
        <v xml:space="preserve"> </v>
      </c>
      <c r="BF57" s="10" t="str">
        <f t="shared" si="216"/>
        <v xml:space="preserve"> </v>
      </c>
      <c r="BG57" s="10" t="str">
        <f t="shared" si="216"/>
        <v xml:space="preserve"> </v>
      </c>
      <c r="BH57" s="14"/>
      <c r="BI57" s="14"/>
      <c r="BJ57" s="10" t="str">
        <f t="shared" si="217"/>
        <v xml:space="preserve"> </v>
      </c>
      <c r="BK57" s="10" t="str">
        <f t="shared" si="217"/>
        <v xml:space="preserve"> </v>
      </c>
      <c r="BL57" s="10" t="str">
        <f t="shared" si="217"/>
        <v xml:space="preserve"> </v>
      </c>
      <c r="BM57" s="10" t="str">
        <f t="shared" si="217"/>
        <v xml:space="preserve"> </v>
      </c>
      <c r="BN57" s="10" t="str">
        <f t="shared" si="217"/>
        <v xml:space="preserve"> </v>
      </c>
      <c r="BO57" s="14"/>
      <c r="BP57" s="14"/>
      <c r="BQ57" s="10" t="str">
        <f t="shared" si="218"/>
        <v xml:space="preserve"> </v>
      </c>
      <c r="BR57" s="10" t="str">
        <f t="shared" si="218"/>
        <v xml:space="preserve"> </v>
      </c>
      <c r="BS57" s="10" t="str">
        <f t="shared" si="218"/>
        <v xml:space="preserve"> </v>
      </c>
      <c r="BT57" s="10" t="str">
        <f t="shared" si="218"/>
        <v xml:space="preserve"> </v>
      </c>
      <c r="BU57" s="10" t="str">
        <f t="shared" si="218"/>
        <v xml:space="preserve"> </v>
      </c>
      <c r="BV57" s="14"/>
      <c r="BW57" s="14"/>
      <c r="BX57" s="10" t="str">
        <f t="shared" si="219"/>
        <v xml:space="preserve"> </v>
      </c>
      <c r="BY57" s="10" t="str">
        <f t="shared" si="219"/>
        <v xml:space="preserve"> </v>
      </c>
      <c r="BZ57" s="10" t="str">
        <f t="shared" si="219"/>
        <v xml:space="preserve"> </v>
      </c>
      <c r="CA57" s="10" t="str">
        <f t="shared" si="219"/>
        <v xml:space="preserve"> </v>
      </c>
      <c r="CB57" s="10" t="str">
        <f t="shared" si="219"/>
        <v xml:space="preserve"> </v>
      </c>
      <c r="CC57" s="14"/>
      <c r="CD57" s="14"/>
      <c r="CE57" s="10" t="str">
        <f t="shared" si="220"/>
        <v xml:space="preserve"> </v>
      </c>
      <c r="CF57" s="10" t="str">
        <f t="shared" si="220"/>
        <v xml:space="preserve"> </v>
      </c>
      <c r="CG57" s="10" t="str">
        <f t="shared" si="220"/>
        <v xml:space="preserve"> </v>
      </c>
      <c r="CH57" s="10" t="str">
        <f t="shared" si="220"/>
        <v xml:space="preserve"> </v>
      </c>
      <c r="CI57" s="10" t="str">
        <f t="shared" si="220"/>
        <v xml:space="preserve"> </v>
      </c>
      <c r="CJ57" s="14"/>
      <c r="CK57" s="14"/>
      <c r="CL57" s="10" t="str">
        <f t="shared" si="221"/>
        <v xml:space="preserve"> </v>
      </c>
      <c r="CM57" s="10" t="str">
        <f t="shared" si="221"/>
        <v xml:space="preserve"> </v>
      </c>
      <c r="CN57" s="10" t="str">
        <f t="shared" si="221"/>
        <v xml:space="preserve"> </v>
      </c>
      <c r="CO57" s="10" t="str">
        <f t="shared" si="221"/>
        <v xml:space="preserve"> </v>
      </c>
      <c r="CP57" s="10" t="str">
        <f t="shared" si="221"/>
        <v xml:space="preserve"> </v>
      </c>
      <c r="CQ57" s="14"/>
      <c r="CR57" s="14"/>
      <c r="CS57" s="10" t="str">
        <f t="shared" si="222"/>
        <v xml:space="preserve"> </v>
      </c>
      <c r="CT57" s="10" t="str">
        <f t="shared" si="222"/>
        <v xml:space="preserve"> </v>
      </c>
      <c r="CU57" s="10" t="str">
        <f t="shared" si="222"/>
        <v xml:space="preserve"> </v>
      </c>
      <c r="CV57" s="10" t="str">
        <f t="shared" si="222"/>
        <v xml:space="preserve"> </v>
      </c>
      <c r="CW57" s="10" t="str">
        <f t="shared" si="222"/>
        <v xml:space="preserve"> </v>
      </c>
      <c r="CZ57" s="10" t="str">
        <f t="shared" si="223"/>
        <v>.</v>
      </c>
      <c r="DA57" s="10" t="str">
        <f t="shared" si="223"/>
        <v xml:space="preserve"> </v>
      </c>
      <c r="DB57" s="10" t="str">
        <f t="shared" si="223"/>
        <v xml:space="preserve"> </v>
      </c>
      <c r="DC57" s="10" t="str">
        <f t="shared" si="223"/>
        <v xml:space="preserve"> </v>
      </c>
      <c r="DD57" s="10" t="str">
        <f t="shared" si="223"/>
        <v xml:space="preserve"> </v>
      </c>
      <c r="DG57" s="10" t="str">
        <f t="shared" si="224"/>
        <v xml:space="preserve"> </v>
      </c>
      <c r="DH57" s="10" t="str">
        <f t="shared" si="224"/>
        <v xml:space="preserve"> </v>
      </c>
      <c r="DI57" s="10" t="str">
        <f t="shared" si="224"/>
        <v xml:space="preserve"> </v>
      </c>
      <c r="DJ57" s="10" t="str">
        <f t="shared" si="224"/>
        <v xml:space="preserve"> </v>
      </c>
      <c r="DK57" s="10" t="str">
        <f t="shared" si="224"/>
        <v xml:space="preserve"> </v>
      </c>
      <c r="DN57" s="10" t="str">
        <f t="shared" si="225"/>
        <v xml:space="preserve"> </v>
      </c>
      <c r="DO57" s="10" t="str">
        <f t="shared" si="225"/>
        <v xml:space="preserve"> </v>
      </c>
      <c r="DP57" s="10" t="str">
        <f t="shared" si="225"/>
        <v xml:space="preserve"> </v>
      </c>
      <c r="DQ57" s="10" t="str">
        <f t="shared" si="225"/>
        <v xml:space="preserve"> </v>
      </c>
      <c r="DR57" s="10" t="str">
        <f t="shared" si="225"/>
        <v xml:space="preserve"> </v>
      </c>
      <c r="DU57" s="10" t="str">
        <f t="shared" si="226"/>
        <v xml:space="preserve"> </v>
      </c>
      <c r="DV57" s="10" t="str">
        <f t="shared" si="226"/>
        <v xml:space="preserve"> </v>
      </c>
      <c r="DW57" s="10" t="str">
        <f t="shared" si="226"/>
        <v xml:space="preserve"> </v>
      </c>
      <c r="DX57" s="10" t="str">
        <f t="shared" si="226"/>
        <v xml:space="preserve"> </v>
      </c>
      <c r="DY57" s="10" t="str">
        <f t="shared" si="226"/>
        <v xml:space="preserve"> </v>
      </c>
      <c r="EB57" s="10" t="str">
        <f t="shared" si="227"/>
        <v xml:space="preserve"> </v>
      </c>
      <c r="EC57" s="10" t="str">
        <f t="shared" si="227"/>
        <v xml:space="preserve"> </v>
      </c>
      <c r="ED57" s="10" t="str">
        <f t="shared" si="227"/>
        <v xml:space="preserve"> </v>
      </c>
      <c r="EE57" s="10" t="str">
        <f t="shared" si="227"/>
        <v xml:space="preserve"> </v>
      </c>
      <c r="EF57" s="10" t="str">
        <f t="shared" si="227"/>
        <v xml:space="preserve"> </v>
      </c>
      <c r="EI57" s="10" t="str">
        <f t="shared" si="228"/>
        <v xml:space="preserve"> </v>
      </c>
      <c r="EJ57" s="10" t="str">
        <f t="shared" si="228"/>
        <v xml:space="preserve"> </v>
      </c>
      <c r="EK57" s="10" t="str">
        <f t="shared" si="228"/>
        <v xml:space="preserve"> </v>
      </c>
      <c r="EL57" s="10" t="str">
        <f t="shared" si="228"/>
        <v xml:space="preserve"> </v>
      </c>
      <c r="EM57" s="10" t="str">
        <f t="shared" si="228"/>
        <v xml:space="preserve"> </v>
      </c>
      <c r="EP57" s="10" t="str">
        <f t="shared" si="229"/>
        <v xml:space="preserve"> </v>
      </c>
      <c r="EQ57" s="10" t="str">
        <f t="shared" si="229"/>
        <v xml:space="preserve"> </v>
      </c>
      <c r="ER57" s="10" t="str">
        <f t="shared" si="229"/>
        <v xml:space="preserve"> </v>
      </c>
      <c r="ES57" s="10" t="str">
        <f t="shared" si="229"/>
        <v xml:space="preserve"> </v>
      </c>
      <c r="ET57" s="10" t="str">
        <f t="shared" si="229"/>
        <v xml:space="preserve"> </v>
      </c>
      <c r="EW57" s="10" t="str">
        <f t="shared" si="230"/>
        <v xml:space="preserve"> </v>
      </c>
      <c r="EX57" s="10" t="str">
        <f t="shared" si="230"/>
        <v xml:space="preserve"> </v>
      </c>
      <c r="EY57" s="10" t="str">
        <f t="shared" si="230"/>
        <v xml:space="preserve"> </v>
      </c>
      <c r="EZ57" s="10" t="str">
        <f t="shared" si="230"/>
        <v xml:space="preserve"> </v>
      </c>
      <c r="FA57" s="10" t="str">
        <f t="shared" si="230"/>
        <v xml:space="preserve"> </v>
      </c>
      <c r="FD57" s="10" t="str">
        <f t="shared" si="231"/>
        <v xml:space="preserve"> </v>
      </c>
      <c r="FE57" s="10" t="str">
        <f t="shared" si="231"/>
        <v xml:space="preserve"> </v>
      </c>
      <c r="FF57" s="10" t="str">
        <f t="shared" si="231"/>
        <v xml:space="preserve"> </v>
      </c>
      <c r="FG57" s="10" t="str">
        <f t="shared" si="231"/>
        <v xml:space="preserve"> </v>
      </c>
      <c r="FH57" s="10" t="str">
        <f t="shared" si="231"/>
        <v xml:space="preserve"> </v>
      </c>
      <c r="FK57" s="10" t="str">
        <f t="shared" si="232"/>
        <v xml:space="preserve"> </v>
      </c>
      <c r="FL57" s="10" t="str">
        <f t="shared" si="232"/>
        <v xml:space="preserve"> </v>
      </c>
      <c r="FM57" s="10" t="str">
        <f t="shared" si="232"/>
        <v xml:space="preserve"> </v>
      </c>
      <c r="FN57" s="10" t="str">
        <f t="shared" si="232"/>
        <v xml:space="preserve"> </v>
      </c>
      <c r="FO57" s="10" t="str">
        <f t="shared" si="232"/>
        <v xml:space="preserve"> </v>
      </c>
      <c r="FR57" s="10" t="str">
        <f t="shared" si="233"/>
        <v xml:space="preserve"> </v>
      </c>
      <c r="FS57" s="10" t="str">
        <f t="shared" si="233"/>
        <v xml:space="preserve"> </v>
      </c>
      <c r="FT57" s="10" t="str">
        <f t="shared" si="233"/>
        <v xml:space="preserve"> </v>
      </c>
      <c r="FU57" s="10" t="str">
        <f t="shared" si="233"/>
        <v xml:space="preserve"> </v>
      </c>
      <c r="FV57" s="10" t="str">
        <f t="shared" si="233"/>
        <v xml:space="preserve"> </v>
      </c>
      <c r="FY57" s="10" t="str">
        <f t="shared" si="234"/>
        <v xml:space="preserve"> </v>
      </c>
      <c r="FZ57" s="10" t="str">
        <f t="shared" si="234"/>
        <v xml:space="preserve"> </v>
      </c>
      <c r="GA57" s="10" t="str">
        <f t="shared" si="234"/>
        <v xml:space="preserve"> </v>
      </c>
      <c r="GB57" s="10" t="str">
        <f t="shared" si="234"/>
        <v xml:space="preserve"> </v>
      </c>
      <c r="GC57" s="10" t="str">
        <f t="shared" si="234"/>
        <v xml:space="preserve"> </v>
      </c>
      <c r="GF57" s="10" t="str">
        <f t="shared" si="235"/>
        <v xml:space="preserve"> </v>
      </c>
      <c r="GG57" s="10" t="str">
        <f t="shared" si="235"/>
        <v xml:space="preserve"> </v>
      </c>
      <c r="GH57" s="10" t="str">
        <f t="shared" si="235"/>
        <v xml:space="preserve"> </v>
      </c>
      <c r="GI57" s="10" t="str">
        <f t="shared" si="235"/>
        <v xml:space="preserve"> </v>
      </c>
      <c r="GJ57" s="10" t="str">
        <f t="shared" si="235"/>
        <v xml:space="preserve"> </v>
      </c>
      <c r="GM57" s="10" t="str">
        <f t="shared" si="236"/>
        <v xml:space="preserve"> </v>
      </c>
      <c r="GN57" s="10" t="str">
        <f t="shared" si="236"/>
        <v xml:space="preserve"> </v>
      </c>
      <c r="GO57" s="10" t="str">
        <f t="shared" si="236"/>
        <v xml:space="preserve"> </v>
      </c>
      <c r="GP57" s="10" t="str">
        <f t="shared" si="236"/>
        <v xml:space="preserve"> </v>
      </c>
      <c r="GQ57" s="10" t="str">
        <f t="shared" si="236"/>
        <v xml:space="preserve"> </v>
      </c>
      <c r="GT57" s="10" t="str">
        <f t="shared" si="237"/>
        <v xml:space="preserve"> </v>
      </c>
      <c r="GU57" s="10" t="str">
        <f t="shared" si="237"/>
        <v xml:space="preserve"> </v>
      </c>
      <c r="GV57" s="10" t="str">
        <f t="shared" si="237"/>
        <v xml:space="preserve"> </v>
      </c>
      <c r="GW57" s="10" t="str">
        <f t="shared" si="237"/>
        <v xml:space="preserve"> </v>
      </c>
      <c r="GX57" s="10" t="str">
        <f t="shared" si="237"/>
        <v xml:space="preserve"> </v>
      </c>
      <c r="HA57" s="10" t="str">
        <f t="shared" si="238"/>
        <v xml:space="preserve"> </v>
      </c>
      <c r="HB57" s="10" t="str">
        <f t="shared" si="238"/>
        <v xml:space="preserve"> </v>
      </c>
      <c r="HC57" s="10" t="str">
        <f t="shared" si="238"/>
        <v xml:space="preserve"> </v>
      </c>
      <c r="HD57" s="10" t="str">
        <f t="shared" si="238"/>
        <v xml:space="preserve"> </v>
      </c>
      <c r="HE57" s="10" t="str">
        <f t="shared" si="238"/>
        <v xml:space="preserve"> </v>
      </c>
      <c r="HH57" s="10" t="str">
        <f t="shared" si="239"/>
        <v xml:space="preserve"> </v>
      </c>
      <c r="HI57" s="10" t="str">
        <f t="shared" si="239"/>
        <v xml:space="preserve"> </v>
      </c>
      <c r="HJ57" s="10" t="str">
        <f t="shared" si="239"/>
        <v xml:space="preserve"> </v>
      </c>
      <c r="HK57" s="10" t="str">
        <f t="shared" si="239"/>
        <v xml:space="preserve"> </v>
      </c>
      <c r="HL57" s="10" t="str">
        <f t="shared" si="239"/>
        <v xml:space="preserve"> </v>
      </c>
      <c r="HO57" s="10" t="str">
        <f t="shared" si="240"/>
        <v xml:space="preserve"> </v>
      </c>
      <c r="HP57" s="10" t="str">
        <f t="shared" si="240"/>
        <v xml:space="preserve"> </v>
      </c>
      <c r="HQ57" s="10" t="str">
        <f t="shared" si="240"/>
        <v xml:space="preserve"> </v>
      </c>
      <c r="HR57" s="10" t="str">
        <f t="shared" si="240"/>
        <v xml:space="preserve"> </v>
      </c>
      <c r="HS57" s="10" t="str">
        <f t="shared" si="240"/>
        <v xml:space="preserve"> </v>
      </c>
      <c r="HV57" s="10" t="str">
        <f t="shared" si="241"/>
        <v xml:space="preserve"> </v>
      </c>
      <c r="HW57" s="10" t="str">
        <f t="shared" si="241"/>
        <v xml:space="preserve"> </v>
      </c>
      <c r="HX57" s="10" t="str">
        <f t="shared" si="241"/>
        <v xml:space="preserve"> </v>
      </c>
      <c r="HY57" s="10" t="str">
        <f t="shared" si="241"/>
        <v xml:space="preserve"> </v>
      </c>
      <c r="HZ57" s="10" t="str">
        <f t="shared" si="241"/>
        <v xml:space="preserve"> </v>
      </c>
      <c r="IC57" s="10" t="str">
        <f t="shared" si="242"/>
        <v xml:space="preserve"> </v>
      </c>
      <c r="ID57" s="10" t="str">
        <f t="shared" si="242"/>
        <v xml:space="preserve"> </v>
      </c>
      <c r="IE57" s="10" t="str">
        <f t="shared" si="242"/>
        <v xml:space="preserve"> </v>
      </c>
      <c r="IF57" s="10" t="str">
        <f t="shared" si="242"/>
        <v xml:space="preserve"> </v>
      </c>
      <c r="IG57" s="10" t="str">
        <f t="shared" si="242"/>
        <v xml:space="preserve"> </v>
      </c>
      <c r="IJ57" s="10" t="str">
        <f t="shared" si="243"/>
        <v xml:space="preserve"> </v>
      </c>
      <c r="IK57" s="10" t="str">
        <f t="shared" si="243"/>
        <v xml:space="preserve"> </v>
      </c>
      <c r="IL57" s="10" t="str">
        <f t="shared" si="243"/>
        <v xml:space="preserve"> </v>
      </c>
      <c r="IM57" s="10" t="str">
        <f t="shared" si="243"/>
        <v xml:space="preserve"> </v>
      </c>
      <c r="IN57" s="10" t="str">
        <f t="shared" si="243"/>
        <v xml:space="preserve"> </v>
      </c>
      <c r="IQ57" s="10" t="str">
        <f t="shared" si="244"/>
        <v xml:space="preserve"> </v>
      </c>
      <c r="IR57" s="10" t="str">
        <f t="shared" si="244"/>
        <v xml:space="preserve"> </v>
      </c>
      <c r="IS57" s="10" t="str">
        <f t="shared" si="244"/>
        <v xml:space="preserve"> </v>
      </c>
      <c r="IT57" s="10" t="str">
        <f t="shared" si="244"/>
        <v xml:space="preserve"> </v>
      </c>
      <c r="IU57" s="10" t="str">
        <f t="shared" si="244"/>
        <v xml:space="preserve"> </v>
      </c>
      <c r="IX57" s="10" t="str">
        <f t="shared" si="245"/>
        <v xml:space="preserve"> </v>
      </c>
      <c r="IY57" s="10" t="str">
        <f t="shared" si="245"/>
        <v xml:space="preserve"> </v>
      </c>
      <c r="IZ57" s="10" t="str">
        <f t="shared" si="245"/>
        <v xml:space="preserve"> </v>
      </c>
      <c r="JA57" s="10" t="str">
        <f t="shared" si="245"/>
        <v xml:space="preserve"> </v>
      </c>
      <c r="JB57" s="10" t="str">
        <f t="shared" si="245"/>
        <v xml:space="preserve"> </v>
      </c>
      <c r="JE57" s="10" t="str">
        <f t="shared" si="246"/>
        <v xml:space="preserve"> </v>
      </c>
      <c r="JF57" s="10" t="str">
        <f t="shared" si="246"/>
        <v xml:space="preserve"> </v>
      </c>
      <c r="JG57" s="10" t="str">
        <f t="shared" si="246"/>
        <v xml:space="preserve"> </v>
      </c>
      <c r="JH57" s="10" t="str">
        <f t="shared" si="246"/>
        <v xml:space="preserve"> </v>
      </c>
      <c r="JI57" s="10" t="str">
        <f t="shared" si="246"/>
        <v xml:space="preserve"> </v>
      </c>
    </row>
    <row r="58" spans="1:269">
      <c r="A58" s="96"/>
      <c r="B58" s="10">
        <v>50</v>
      </c>
      <c r="C58" s="11" t="s">
        <v>76</v>
      </c>
      <c r="E58" s="10">
        <v>48</v>
      </c>
      <c r="F58" s="12">
        <f t="shared" si="207"/>
        <v>42556</v>
      </c>
      <c r="G58" s="12">
        <f>WORKDAY(F58,H58-1,Config!D61:D80)</f>
        <v>42557</v>
      </c>
      <c r="H58" s="10">
        <v>2</v>
      </c>
      <c r="I58" s="13">
        <v>0</v>
      </c>
      <c r="J58" s="13">
        <f ca="1">IF(((NETWORKDAYS(F58,TODAY(),Data!C57:C76)*100)/H58)/100 &gt; 0,((NETWORKDAYS(F58,TODAY(),Data!C57:C76)*100)/H58)/100,0)</f>
        <v>814.5</v>
      </c>
      <c r="K58" s="13" t="str">
        <f t="shared" ref="K58:K61" ca="1" si="248">IF(J58&gt;1, "100%",$J58)</f>
        <v>100%</v>
      </c>
      <c r="L58" s="13">
        <f t="shared" ref="L58:L61" ca="1" si="249">K58-I58</f>
        <v>1</v>
      </c>
      <c r="M58" s="10" t="str">
        <f>IF(AND(M$6&gt;=$F58,M$6&lt;=$G58),"."," ")</f>
        <v xml:space="preserve"> </v>
      </c>
      <c r="N58" s="10" t="str">
        <f t="shared" ref="N58:Q61" si="250">IF(AND(N$6&gt;=$F58,N$6&lt;=$G58),"."," ")</f>
        <v xml:space="preserve"> </v>
      </c>
      <c r="O58" s="10" t="str">
        <f t="shared" si="250"/>
        <v xml:space="preserve"> </v>
      </c>
      <c r="P58" s="10" t="str">
        <f t="shared" si="250"/>
        <v xml:space="preserve"> </v>
      </c>
      <c r="Q58" s="10" t="str">
        <f t="shared" si="250"/>
        <v xml:space="preserve"> </v>
      </c>
      <c r="R58" s="14"/>
      <c r="S58" s="14"/>
      <c r="T58" s="10" t="str">
        <f t="shared" ref="T58:X61" si="251">IF(AND(T$6&gt;=$F58,T$6&lt;=$G58),"."," ")</f>
        <v xml:space="preserve"> </v>
      </c>
      <c r="U58" s="10" t="str">
        <f t="shared" si="251"/>
        <v xml:space="preserve"> </v>
      </c>
      <c r="V58" s="10" t="str">
        <f t="shared" si="251"/>
        <v xml:space="preserve"> </v>
      </c>
      <c r="W58" s="10" t="str">
        <f t="shared" si="251"/>
        <v xml:space="preserve"> </v>
      </c>
      <c r="X58" s="10" t="str">
        <f t="shared" si="251"/>
        <v xml:space="preserve"> </v>
      </c>
      <c r="Y58" s="14"/>
      <c r="Z58" s="14"/>
      <c r="AA58" s="10" t="str">
        <f t="shared" ref="AA58:AE61" si="252">IF(AND(AA$6&gt;=$F58,AA$6&lt;=$G58),"."," ")</f>
        <v xml:space="preserve"> </v>
      </c>
      <c r="AB58" s="10" t="str">
        <f t="shared" si="252"/>
        <v xml:space="preserve"> </v>
      </c>
      <c r="AC58" s="10" t="str">
        <f t="shared" si="252"/>
        <v xml:space="preserve"> </v>
      </c>
      <c r="AD58" s="10" t="str">
        <f t="shared" si="252"/>
        <v xml:space="preserve"> </v>
      </c>
      <c r="AE58" s="10" t="str">
        <f t="shared" si="252"/>
        <v xml:space="preserve"> </v>
      </c>
      <c r="AF58" s="14"/>
      <c r="AG58" s="14"/>
      <c r="AH58" s="10" t="str">
        <f t="shared" ref="AH58:AL61" si="253">IF(AND(AH$6&gt;=$F58,AH$6&lt;=$G58),"."," ")</f>
        <v xml:space="preserve"> </v>
      </c>
      <c r="AI58" s="10" t="str">
        <f t="shared" si="253"/>
        <v xml:space="preserve"> </v>
      </c>
      <c r="AJ58" s="10" t="str">
        <f t="shared" si="253"/>
        <v xml:space="preserve"> </v>
      </c>
      <c r="AK58" s="10" t="str">
        <f t="shared" si="253"/>
        <v xml:space="preserve"> </v>
      </c>
      <c r="AL58" s="10" t="str">
        <f t="shared" si="253"/>
        <v xml:space="preserve"> </v>
      </c>
      <c r="AM58" s="14"/>
      <c r="AN58" s="14"/>
      <c r="AO58" s="10" t="str">
        <f t="shared" ref="AO58:AS61" si="254">IF(AND(AO$6&gt;=$F58,AO$6&lt;=$G58),"."," ")</f>
        <v xml:space="preserve"> </v>
      </c>
      <c r="AP58" s="10" t="str">
        <f t="shared" si="254"/>
        <v xml:space="preserve"> </v>
      </c>
      <c r="AQ58" s="10" t="str">
        <f t="shared" si="254"/>
        <v xml:space="preserve"> </v>
      </c>
      <c r="AR58" s="10" t="str">
        <f t="shared" si="254"/>
        <v xml:space="preserve"> </v>
      </c>
      <c r="AS58" s="10" t="str">
        <f t="shared" si="254"/>
        <v xml:space="preserve"> </v>
      </c>
      <c r="AT58" s="14"/>
      <c r="AU58" s="14"/>
      <c r="AV58" s="10" t="str">
        <f t="shared" ref="AV58:AZ61" si="255">IF(AND(AV$6&gt;=$F58,AV$6&lt;=$G58),"."," ")</f>
        <v xml:space="preserve"> </v>
      </c>
      <c r="AW58" s="10" t="str">
        <f t="shared" si="255"/>
        <v xml:space="preserve"> </v>
      </c>
      <c r="AX58" s="10" t="str">
        <f t="shared" si="255"/>
        <v xml:space="preserve"> </v>
      </c>
      <c r="AY58" s="10" t="str">
        <f t="shared" si="255"/>
        <v xml:space="preserve"> </v>
      </c>
      <c r="AZ58" s="10" t="str">
        <f t="shared" si="255"/>
        <v xml:space="preserve"> </v>
      </c>
      <c r="BA58" s="14"/>
      <c r="BB58" s="14"/>
      <c r="BC58" s="10" t="str">
        <f t="shared" ref="BC58:BG61" si="256">IF(AND(BC$6&gt;=$F58,BC$6&lt;=$G58),"."," ")</f>
        <v xml:space="preserve"> </v>
      </c>
      <c r="BD58" s="10" t="str">
        <f t="shared" si="256"/>
        <v xml:space="preserve"> </v>
      </c>
      <c r="BE58" s="10" t="str">
        <f t="shared" si="256"/>
        <v xml:space="preserve"> </v>
      </c>
      <c r="BF58" s="10" t="str">
        <f t="shared" si="256"/>
        <v xml:space="preserve"> </v>
      </c>
      <c r="BG58" s="10" t="str">
        <f t="shared" si="256"/>
        <v xml:space="preserve"> </v>
      </c>
      <c r="BH58" s="14"/>
      <c r="BI58" s="14"/>
      <c r="BJ58" s="10" t="str">
        <f t="shared" ref="BJ58:BN61" si="257">IF(AND(BJ$6&gt;=$F58,BJ$6&lt;=$G58),"."," ")</f>
        <v xml:space="preserve"> </v>
      </c>
      <c r="BK58" s="10" t="str">
        <f t="shared" si="257"/>
        <v xml:space="preserve"> </v>
      </c>
      <c r="BL58" s="10" t="str">
        <f t="shared" si="257"/>
        <v xml:space="preserve"> </v>
      </c>
      <c r="BM58" s="10" t="str">
        <f t="shared" si="257"/>
        <v xml:space="preserve"> </v>
      </c>
      <c r="BN58" s="10" t="str">
        <f t="shared" si="257"/>
        <v xml:space="preserve"> </v>
      </c>
      <c r="BO58" s="14"/>
      <c r="BP58" s="14"/>
      <c r="BQ58" s="10" t="str">
        <f t="shared" ref="BQ58:BU61" si="258">IF(AND(BQ$6&gt;=$F58,BQ$6&lt;=$G58),"."," ")</f>
        <v xml:space="preserve"> </v>
      </c>
      <c r="BR58" s="10" t="str">
        <f t="shared" si="258"/>
        <v xml:space="preserve"> </v>
      </c>
      <c r="BS58" s="10" t="str">
        <f t="shared" si="258"/>
        <v xml:space="preserve"> </v>
      </c>
      <c r="BT58" s="10" t="str">
        <f t="shared" si="258"/>
        <v xml:space="preserve"> </v>
      </c>
      <c r="BU58" s="10" t="str">
        <f t="shared" si="258"/>
        <v xml:space="preserve"> </v>
      </c>
      <c r="BV58" s="14"/>
      <c r="BW58" s="14"/>
      <c r="BX58" s="10" t="str">
        <f t="shared" ref="BX58:CB61" si="259">IF(AND(BX$6&gt;=$F58,BX$6&lt;=$G58),"."," ")</f>
        <v xml:space="preserve"> </v>
      </c>
      <c r="BY58" s="10" t="str">
        <f t="shared" si="259"/>
        <v xml:space="preserve"> </v>
      </c>
      <c r="BZ58" s="10" t="str">
        <f t="shared" si="259"/>
        <v xml:space="preserve"> </v>
      </c>
      <c r="CA58" s="10" t="str">
        <f t="shared" si="259"/>
        <v xml:space="preserve"> </v>
      </c>
      <c r="CB58" s="10" t="str">
        <f t="shared" si="259"/>
        <v xml:space="preserve"> </v>
      </c>
      <c r="CC58" s="14"/>
      <c r="CD58" s="14"/>
      <c r="CE58" s="10" t="str">
        <f t="shared" ref="CE58:CI61" si="260">IF(AND(CE$6&gt;=$F58,CE$6&lt;=$G58),"."," ")</f>
        <v xml:space="preserve"> </v>
      </c>
      <c r="CF58" s="10" t="str">
        <f t="shared" si="260"/>
        <v xml:space="preserve"> </v>
      </c>
      <c r="CG58" s="10" t="str">
        <f t="shared" si="260"/>
        <v xml:space="preserve"> </v>
      </c>
      <c r="CH58" s="10" t="str">
        <f t="shared" si="260"/>
        <v xml:space="preserve"> </v>
      </c>
      <c r="CI58" s="10" t="str">
        <f t="shared" si="260"/>
        <v xml:space="preserve"> </v>
      </c>
      <c r="CJ58" s="14"/>
      <c r="CK58" s="14"/>
      <c r="CL58" s="10" t="str">
        <f t="shared" ref="CL58:CP61" si="261">IF(AND(CL$6&gt;=$F58,CL$6&lt;=$G58),"."," ")</f>
        <v xml:space="preserve"> </v>
      </c>
      <c r="CM58" s="10" t="str">
        <f t="shared" si="261"/>
        <v xml:space="preserve"> </v>
      </c>
      <c r="CN58" s="10" t="str">
        <f t="shared" si="261"/>
        <v xml:space="preserve"> </v>
      </c>
      <c r="CO58" s="10" t="str">
        <f t="shared" si="261"/>
        <v xml:space="preserve"> </v>
      </c>
      <c r="CP58" s="10" t="str">
        <f t="shared" si="261"/>
        <v xml:space="preserve"> </v>
      </c>
      <c r="CQ58" s="14"/>
      <c r="CR58" s="14"/>
      <c r="CS58" s="10" t="str">
        <f t="shared" ref="CS58:CW61" si="262">IF(AND(CS$6&gt;=$F58,CS$6&lt;=$G58),"."," ")</f>
        <v xml:space="preserve"> </v>
      </c>
      <c r="CT58" s="10" t="str">
        <f t="shared" si="262"/>
        <v xml:space="preserve"> </v>
      </c>
      <c r="CU58" s="10" t="str">
        <f t="shared" si="262"/>
        <v xml:space="preserve"> </v>
      </c>
      <c r="CV58" s="10" t="str">
        <f t="shared" si="262"/>
        <v xml:space="preserve"> </v>
      </c>
      <c r="CW58" s="10" t="str">
        <f t="shared" si="262"/>
        <v xml:space="preserve"> </v>
      </c>
      <c r="CZ58" s="10" t="str">
        <f t="shared" ref="CZ58:DD61" si="263">IF(AND(CZ$6&gt;=$F58,CZ$6&lt;=$G58),"."," ")</f>
        <v xml:space="preserve"> </v>
      </c>
      <c r="DA58" s="10" t="str">
        <f t="shared" si="263"/>
        <v xml:space="preserve"> </v>
      </c>
      <c r="DB58" s="10" t="str">
        <f t="shared" si="263"/>
        <v xml:space="preserve"> </v>
      </c>
      <c r="DC58" s="10" t="str">
        <f t="shared" si="263"/>
        <v xml:space="preserve"> </v>
      </c>
      <c r="DD58" s="10" t="str">
        <f t="shared" si="263"/>
        <v xml:space="preserve"> </v>
      </c>
      <c r="DG58" s="10" t="str">
        <f t="shared" ref="DG58:DK61" si="264">IF(AND(DG$6&gt;=$F58,DG$6&lt;=$G58),"."," ")</f>
        <v xml:space="preserve"> </v>
      </c>
      <c r="DH58" s="10" t="str">
        <f t="shared" si="264"/>
        <v xml:space="preserve"> </v>
      </c>
      <c r="DI58" s="10" t="str">
        <f t="shared" si="264"/>
        <v xml:space="preserve"> </v>
      </c>
      <c r="DJ58" s="10" t="str">
        <f t="shared" si="264"/>
        <v xml:space="preserve"> </v>
      </c>
      <c r="DK58" s="10" t="str">
        <f t="shared" si="264"/>
        <v xml:space="preserve"> </v>
      </c>
      <c r="DN58" s="10" t="str">
        <f t="shared" ref="DN58:DR61" si="265">IF(AND(DN$6&gt;=$F58,DN$6&lt;=$G58),"."," ")</f>
        <v xml:space="preserve"> </v>
      </c>
      <c r="DO58" s="10" t="str">
        <f t="shared" si="265"/>
        <v xml:space="preserve"> </v>
      </c>
      <c r="DP58" s="10" t="str">
        <f t="shared" si="265"/>
        <v xml:space="preserve"> </v>
      </c>
      <c r="DQ58" s="10" t="str">
        <f t="shared" si="265"/>
        <v xml:space="preserve"> </v>
      </c>
      <c r="DR58" s="10" t="str">
        <f t="shared" si="265"/>
        <v xml:space="preserve"> </v>
      </c>
      <c r="DU58" s="10" t="str">
        <f t="shared" ref="DU58:DY61" si="266">IF(AND(DU$6&gt;=$F58,DU$6&lt;=$G58),"."," ")</f>
        <v xml:space="preserve"> </v>
      </c>
      <c r="DV58" s="10" t="str">
        <f t="shared" si="266"/>
        <v xml:space="preserve"> </v>
      </c>
      <c r="DW58" s="10" t="str">
        <f t="shared" si="266"/>
        <v xml:space="preserve"> </v>
      </c>
      <c r="DX58" s="10" t="str">
        <f t="shared" si="266"/>
        <v xml:space="preserve"> </v>
      </c>
      <c r="DY58" s="10" t="str">
        <f t="shared" si="266"/>
        <v xml:space="preserve"> </v>
      </c>
      <c r="EB58" s="10" t="str">
        <f t="shared" ref="EB58:EF61" si="267">IF(AND(EB$6&gt;=$F58,EB$6&lt;=$G58),"."," ")</f>
        <v xml:space="preserve"> </v>
      </c>
      <c r="EC58" s="10" t="str">
        <f t="shared" si="267"/>
        <v xml:space="preserve"> </v>
      </c>
      <c r="ED58" s="10" t="str">
        <f t="shared" si="267"/>
        <v xml:space="preserve"> </v>
      </c>
      <c r="EE58" s="10" t="str">
        <f t="shared" si="267"/>
        <v xml:space="preserve"> </v>
      </c>
      <c r="EF58" s="10" t="str">
        <f t="shared" si="267"/>
        <v xml:space="preserve"> </v>
      </c>
      <c r="EI58" s="10" t="str">
        <f t="shared" ref="EI58:EM61" si="268">IF(AND(EI$6&gt;=$F58,EI$6&lt;=$G58),"."," ")</f>
        <v xml:space="preserve"> </v>
      </c>
      <c r="EJ58" s="10" t="str">
        <f t="shared" si="268"/>
        <v xml:space="preserve"> </v>
      </c>
      <c r="EK58" s="10" t="str">
        <f t="shared" si="268"/>
        <v xml:space="preserve"> </v>
      </c>
      <c r="EL58" s="10" t="str">
        <f t="shared" si="268"/>
        <v xml:space="preserve"> </v>
      </c>
      <c r="EM58" s="10" t="str">
        <f t="shared" si="268"/>
        <v xml:space="preserve"> </v>
      </c>
      <c r="EP58" s="10" t="str">
        <f t="shared" ref="EP58:ET61" si="269">IF(AND(EP$6&gt;=$F58,EP$6&lt;=$G58),"."," ")</f>
        <v xml:space="preserve"> </v>
      </c>
      <c r="EQ58" s="10" t="str">
        <f t="shared" si="269"/>
        <v xml:space="preserve"> </v>
      </c>
      <c r="ER58" s="10" t="str">
        <f t="shared" si="269"/>
        <v xml:space="preserve"> </v>
      </c>
      <c r="ES58" s="10" t="str">
        <f t="shared" si="269"/>
        <v xml:space="preserve"> </v>
      </c>
      <c r="ET58" s="10" t="str">
        <f t="shared" si="269"/>
        <v xml:space="preserve"> </v>
      </c>
      <c r="EW58" s="10" t="str">
        <f t="shared" ref="EW58:FA61" si="270">IF(AND(EW$6&gt;=$F58,EW$6&lt;=$G58),"."," ")</f>
        <v xml:space="preserve"> </v>
      </c>
      <c r="EX58" s="10" t="str">
        <f t="shared" si="270"/>
        <v xml:space="preserve"> </v>
      </c>
      <c r="EY58" s="10" t="str">
        <f t="shared" si="270"/>
        <v xml:space="preserve"> </v>
      </c>
      <c r="EZ58" s="10" t="str">
        <f t="shared" si="270"/>
        <v xml:space="preserve"> </v>
      </c>
      <c r="FA58" s="10" t="str">
        <f t="shared" si="270"/>
        <v xml:space="preserve"> </v>
      </c>
      <c r="FD58" s="10" t="str">
        <f t="shared" ref="FD58:FH61" si="271">IF(AND(FD$6&gt;=$F58,FD$6&lt;=$G58),"."," ")</f>
        <v xml:space="preserve"> </v>
      </c>
      <c r="FE58" s="10" t="str">
        <f t="shared" si="271"/>
        <v xml:space="preserve"> </v>
      </c>
      <c r="FF58" s="10" t="str">
        <f t="shared" si="271"/>
        <v xml:space="preserve"> </v>
      </c>
      <c r="FG58" s="10" t="str">
        <f t="shared" si="271"/>
        <v xml:space="preserve"> </v>
      </c>
      <c r="FH58" s="10" t="str">
        <f t="shared" si="271"/>
        <v xml:space="preserve"> </v>
      </c>
      <c r="FK58" s="10" t="str">
        <f t="shared" ref="FK58:FO61" si="272">IF(AND(FK$6&gt;=$F58,FK$6&lt;=$G58),"."," ")</f>
        <v xml:space="preserve"> </v>
      </c>
      <c r="FL58" s="10" t="str">
        <f t="shared" si="272"/>
        <v xml:space="preserve"> </v>
      </c>
      <c r="FM58" s="10" t="str">
        <f t="shared" si="272"/>
        <v xml:space="preserve"> </v>
      </c>
      <c r="FN58" s="10" t="str">
        <f t="shared" si="272"/>
        <v xml:space="preserve"> </v>
      </c>
      <c r="FO58" s="10" t="str">
        <f t="shared" si="272"/>
        <v xml:space="preserve"> </v>
      </c>
      <c r="FR58" s="10" t="str">
        <f t="shared" ref="FR58:FV61" si="273">IF(AND(FR$6&gt;=$F58,FR$6&lt;=$G58),"."," ")</f>
        <v xml:space="preserve"> </v>
      </c>
      <c r="FS58" s="10" t="str">
        <f t="shared" si="273"/>
        <v xml:space="preserve"> </v>
      </c>
      <c r="FT58" s="10" t="str">
        <f t="shared" si="273"/>
        <v xml:space="preserve"> </v>
      </c>
      <c r="FU58" s="10" t="str">
        <f t="shared" si="273"/>
        <v xml:space="preserve"> </v>
      </c>
      <c r="FV58" s="10" t="str">
        <f t="shared" si="273"/>
        <v xml:space="preserve"> </v>
      </c>
      <c r="FY58" s="10" t="str">
        <f t="shared" ref="FY58:GC61" si="274">IF(AND(FY$6&gt;=$F58,FY$6&lt;=$G58),"."," ")</f>
        <v xml:space="preserve"> </v>
      </c>
      <c r="FZ58" s="10" t="str">
        <f t="shared" si="274"/>
        <v xml:space="preserve"> </v>
      </c>
      <c r="GA58" s="10" t="str">
        <f t="shared" si="274"/>
        <v xml:space="preserve"> </v>
      </c>
      <c r="GB58" s="10" t="str">
        <f t="shared" si="274"/>
        <v xml:space="preserve"> </v>
      </c>
      <c r="GC58" s="10" t="str">
        <f t="shared" si="274"/>
        <v xml:space="preserve"> </v>
      </c>
      <c r="GF58" s="10" t="str">
        <f t="shared" ref="GF58:GJ61" si="275">IF(AND(GF$6&gt;=$F58,GF$6&lt;=$G58),"."," ")</f>
        <v xml:space="preserve"> </v>
      </c>
      <c r="GG58" s="10" t="str">
        <f t="shared" si="275"/>
        <v xml:space="preserve"> </v>
      </c>
      <c r="GH58" s="10" t="str">
        <f t="shared" si="275"/>
        <v xml:space="preserve"> </v>
      </c>
      <c r="GI58" s="10" t="str">
        <f t="shared" si="275"/>
        <v xml:space="preserve"> </v>
      </c>
      <c r="GJ58" s="10" t="str">
        <f t="shared" si="275"/>
        <v xml:space="preserve"> </v>
      </c>
      <c r="GM58" s="10" t="str">
        <f t="shared" ref="GM58:GQ61" si="276">IF(AND(GM$6&gt;=$F58,GM$6&lt;=$G58),"."," ")</f>
        <v xml:space="preserve"> </v>
      </c>
      <c r="GN58" s="10" t="str">
        <f t="shared" si="276"/>
        <v xml:space="preserve"> </v>
      </c>
      <c r="GO58" s="10" t="str">
        <f t="shared" si="276"/>
        <v xml:space="preserve"> </v>
      </c>
      <c r="GP58" s="10" t="str">
        <f t="shared" si="276"/>
        <v xml:space="preserve"> </v>
      </c>
      <c r="GQ58" s="10" t="str">
        <f t="shared" si="276"/>
        <v xml:space="preserve"> </v>
      </c>
      <c r="GT58" s="10" t="str">
        <f t="shared" ref="GT58:GX61" si="277">IF(AND(GT$6&gt;=$F58,GT$6&lt;=$G58),"."," ")</f>
        <v xml:space="preserve"> </v>
      </c>
      <c r="GU58" s="10" t="str">
        <f t="shared" si="277"/>
        <v xml:space="preserve"> </v>
      </c>
      <c r="GV58" s="10" t="str">
        <f t="shared" si="277"/>
        <v xml:space="preserve"> </v>
      </c>
      <c r="GW58" s="10" t="str">
        <f t="shared" si="277"/>
        <v xml:space="preserve"> </v>
      </c>
      <c r="GX58" s="10" t="str">
        <f t="shared" si="277"/>
        <v xml:space="preserve"> </v>
      </c>
      <c r="HA58" s="10" t="str">
        <f t="shared" ref="HA58:HE61" si="278">IF(AND(HA$6&gt;=$F58,HA$6&lt;=$G58),"."," ")</f>
        <v xml:space="preserve"> </v>
      </c>
      <c r="HB58" s="10" t="str">
        <f t="shared" si="278"/>
        <v xml:space="preserve"> </v>
      </c>
      <c r="HC58" s="10" t="str">
        <f t="shared" si="278"/>
        <v xml:space="preserve"> </v>
      </c>
      <c r="HD58" s="10" t="str">
        <f t="shared" si="278"/>
        <v xml:space="preserve"> </v>
      </c>
      <c r="HE58" s="10" t="str">
        <f t="shared" si="278"/>
        <v xml:space="preserve"> </v>
      </c>
      <c r="HH58" s="10" t="str">
        <f t="shared" ref="HH58:HL61" si="279">IF(AND(HH$6&gt;=$F58,HH$6&lt;=$G58),"."," ")</f>
        <v xml:space="preserve"> </v>
      </c>
      <c r="HI58" s="10" t="str">
        <f t="shared" si="279"/>
        <v xml:space="preserve"> </v>
      </c>
      <c r="HJ58" s="10" t="str">
        <f t="shared" si="279"/>
        <v xml:space="preserve"> </v>
      </c>
      <c r="HK58" s="10" t="str">
        <f t="shared" si="279"/>
        <v xml:space="preserve"> </v>
      </c>
      <c r="HL58" s="10" t="str">
        <f t="shared" si="279"/>
        <v xml:space="preserve"> </v>
      </c>
      <c r="HO58" s="10" t="str">
        <f t="shared" ref="HO58:HS61" si="280">IF(AND(HO$6&gt;=$F58,HO$6&lt;=$G58),"."," ")</f>
        <v xml:space="preserve"> </v>
      </c>
      <c r="HP58" s="10" t="str">
        <f t="shared" si="280"/>
        <v xml:space="preserve"> </v>
      </c>
      <c r="HQ58" s="10" t="str">
        <f t="shared" si="280"/>
        <v xml:space="preserve"> </v>
      </c>
      <c r="HR58" s="10" t="str">
        <f t="shared" si="280"/>
        <v xml:space="preserve"> </v>
      </c>
      <c r="HS58" s="10" t="str">
        <f t="shared" si="280"/>
        <v xml:space="preserve"> </v>
      </c>
      <c r="HV58" s="10" t="str">
        <f t="shared" ref="HV58:HZ61" si="281">IF(AND(HV$6&gt;=$F58,HV$6&lt;=$G58),"."," ")</f>
        <v xml:space="preserve"> </v>
      </c>
      <c r="HW58" s="10" t="str">
        <f t="shared" si="281"/>
        <v xml:space="preserve"> </v>
      </c>
      <c r="HX58" s="10" t="str">
        <f t="shared" si="281"/>
        <v xml:space="preserve"> </v>
      </c>
      <c r="HY58" s="10" t="str">
        <f t="shared" si="281"/>
        <v xml:space="preserve"> </v>
      </c>
      <c r="HZ58" s="10" t="str">
        <f t="shared" si="281"/>
        <v xml:space="preserve"> </v>
      </c>
      <c r="IC58" s="10" t="str">
        <f t="shared" ref="IC58:IG61" si="282">IF(AND(IC$6&gt;=$F58,IC$6&lt;=$G58),"."," ")</f>
        <v xml:space="preserve"> </v>
      </c>
      <c r="ID58" s="10" t="str">
        <f t="shared" si="282"/>
        <v xml:space="preserve"> </v>
      </c>
      <c r="IE58" s="10" t="str">
        <f t="shared" si="282"/>
        <v xml:space="preserve"> </v>
      </c>
      <c r="IF58" s="10" t="str">
        <f t="shared" si="282"/>
        <v xml:space="preserve"> </v>
      </c>
      <c r="IG58" s="10" t="str">
        <f t="shared" si="282"/>
        <v xml:space="preserve"> </v>
      </c>
      <c r="IJ58" s="10" t="str">
        <f t="shared" ref="IJ58:IN61" si="283">IF(AND(IJ$6&gt;=$F58,IJ$6&lt;=$G58),"."," ")</f>
        <v xml:space="preserve"> </v>
      </c>
      <c r="IK58" s="10" t="str">
        <f t="shared" si="283"/>
        <v xml:space="preserve"> </v>
      </c>
      <c r="IL58" s="10" t="str">
        <f t="shared" si="283"/>
        <v xml:space="preserve"> </v>
      </c>
      <c r="IM58" s="10" t="str">
        <f t="shared" si="283"/>
        <v xml:space="preserve"> </v>
      </c>
      <c r="IN58" s="10" t="str">
        <f t="shared" si="283"/>
        <v xml:space="preserve"> </v>
      </c>
      <c r="IQ58" s="10" t="str">
        <f t="shared" ref="IQ58:IU61" si="284">IF(AND(IQ$6&gt;=$F58,IQ$6&lt;=$G58),"."," ")</f>
        <v xml:space="preserve"> </v>
      </c>
      <c r="IR58" s="10" t="str">
        <f t="shared" si="284"/>
        <v xml:space="preserve"> </v>
      </c>
      <c r="IS58" s="10" t="str">
        <f t="shared" si="284"/>
        <v xml:space="preserve"> </v>
      </c>
      <c r="IT58" s="10" t="str">
        <f t="shared" si="284"/>
        <v xml:space="preserve"> </v>
      </c>
      <c r="IU58" s="10" t="str">
        <f t="shared" si="284"/>
        <v xml:space="preserve"> </v>
      </c>
      <c r="IX58" s="10" t="str">
        <f t="shared" ref="IX58:JB61" si="285">IF(AND(IX$6&gt;=$F58,IX$6&lt;=$G58),"."," ")</f>
        <v xml:space="preserve"> </v>
      </c>
      <c r="IY58" s="10" t="str">
        <f t="shared" si="285"/>
        <v xml:space="preserve"> </v>
      </c>
      <c r="IZ58" s="10" t="str">
        <f t="shared" si="285"/>
        <v xml:space="preserve"> </v>
      </c>
      <c r="JA58" s="10" t="str">
        <f t="shared" si="285"/>
        <v xml:space="preserve"> </v>
      </c>
      <c r="JB58" s="10" t="str">
        <f t="shared" si="285"/>
        <v xml:space="preserve"> </v>
      </c>
      <c r="JE58" s="10" t="str">
        <f t="shared" ref="JE58:JI61" si="286">IF(AND(JE$6&gt;=$F58,JE$6&lt;=$G58),"."," ")</f>
        <v xml:space="preserve"> </v>
      </c>
      <c r="JF58" s="10" t="str">
        <f t="shared" si="286"/>
        <v xml:space="preserve"> </v>
      </c>
      <c r="JG58" s="10" t="str">
        <f t="shared" si="286"/>
        <v xml:space="preserve"> </v>
      </c>
      <c r="JH58" s="10" t="str">
        <f t="shared" si="286"/>
        <v xml:space="preserve"> </v>
      </c>
      <c r="JI58" s="10" t="str">
        <f t="shared" si="286"/>
        <v xml:space="preserve"> </v>
      </c>
    </row>
    <row r="59" spans="1:269">
      <c r="A59" s="96"/>
      <c r="B59" s="10">
        <v>51</v>
      </c>
      <c r="C59" s="11" t="s">
        <v>77</v>
      </c>
      <c r="E59" s="10">
        <v>49</v>
      </c>
      <c r="F59" s="12">
        <f t="shared" si="207"/>
        <v>42587</v>
      </c>
      <c r="G59" s="12">
        <f>WORKDAY(F59,H59-1,Config!D62:D81)</f>
        <v>42591</v>
      </c>
      <c r="H59" s="10">
        <v>3</v>
      </c>
      <c r="I59" s="13">
        <v>0</v>
      </c>
      <c r="J59" s="13">
        <f ca="1">IF(((NETWORKDAYS(F59,TODAY(),Data!C58:C77)*100)/H59)/100 &gt; 0,((NETWORKDAYS(F59,TODAY(),Data!C58:C77)*100)/H59)/100,0)</f>
        <v>535.33333333333337</v>
      </c>
      <c r="K59" s="13" t="str">
        <f t="shared" ca="1" si="248"/>
        <v>100%</v>
      </c>
      <c r="L59" s="13">
        <f t="shared" ca="1" si="249"/>
        <v>1</v>
      </c>
      <c r="M59" s="10" t="str">
        <f t="shared" ref="M59:M61" si="287">IF(AND(M$6&gt;=$F59,M$6&lt;=$G59),"."," ")</f>
        <v xml:space="preserve"> </v>
      </c>
      <c r="N59" s="10" t="str">
        <f t="shared" si="250"/>
        <v xml:space="preserve"> </v>
      </c>
      <c r="O59" s="10" t="str">
        <f t="shared" si="250"/>
        <v xml:space="preserve"> </v>
      </c>
      <c r="P59" s="10" t="str">
        <f t="shared" si="250"/>
        <v xml:space="preserve"> </v>
      </c>
      <c r="Q59" s="10" t="str">
        <f t="shared" si="250"/>
        <v xml:space="preserve"> </v>
      </c>
      <c r="R59" s="14"/>
      <c r="S59" s="14"/>
      <c r="T59" s="10" t="str">
        <f t="shared" si="251"/>
        <v xml:space="preserve"> </v>
      </c>
      <c r="U59" s="10" t="str">
        <f t="shared" si="251"/>
        <v xml:space="preserve"> </v>
      </c>
      <c r="V59" s="10" t="str">
        <f t="shared" si="251"/>
        <v xml:space="preserve"> </v>
      </c>
      <c r="W59" s="10" t="str">
        <f t="shared" si="251"/>
        <v xml:space="preserve"> </v>
      </c>
      <c r="X59" s="10" t="str">
        <f t="shared" si="251"/>
        <v xml:space="preserve"> </v>
      </c>
      <c r="Y59" s="14"/>
      <c r="Z59" s="14"/>
      <c r="AA59" s="10" t="str">
        <f t="shared" si="252"/>
        <v xml:space="preserve"> </v>
      </c>
      <c r="AB59" s="10" t="str">
        <f t="shared" si="252"/>
        <v xml:space="preserve"> </v>
      </c>
      <c r="AC59" s="10" t="str">
        <f t="shared" si="252"/>
        <v xml:space="preserve"> </v>
      </c>
      <c r="AD59" s="10" t="str">
        <f t="shared" si="252"/>
        <v xml:space="preserve"> </v>
      </c>
      <c r="AE59" s="10" t="str">
        <f t="shared" si="252"/>
        <v xml:space="preserve"> </v>
      </c>
      <c r="AF59" s="14"/>
      <c r="AG59" s="14"/>
      <c r="AH59" s="10" t="str">
        <f t="shared" si="253"/>
        <v xml:space="preserve"> </v>
      </c>
      <c r="AI59" s="10" t="str">
        <f t="shared" si="253"/>
        <v xml:space="preserve"> </v>
      </c>
      <c r="AJ59" s="10" t="str">
        <f t="shared" si="253"/>
        <v xml:space="preserve"> </v>
      </c>
      <c r="AK59" s="10" t="str">
        <f t="shared" si="253"/>
        <v xml:space="preserve"> </v>
      </c>
      <c r="AL59" s="10" t="str">
        <f t="shared" si="253"/>
        <v xml:space="preserve"> </v>
      </c>
      <c r="AM59" s="14"/>
      <c r="AN59" s="14"/>
      <c r="AO59" s="10" t="str">
        <f t="shared" si="254"/>
        <v xml:space="preserve"> </v>
      </c>
      <c r="AP59" s="10" t="str">
        <f t="shared" si="254"/>
        <v xml:space="preserve"> </v>
      </c>
      <c r="AQ59" s="10" t="str">
        <f t="shared" si="254"/>
        <v xml:space="preserve"> </v>
      </c>
      <c r="AR59" s="10" t="str">
        <f t="shared" si="254"/>
        <v xml:space="preserve"> </v>
      </c>
      <c r="AS59" s="10" t="str">
        <f t="shared" si="254"/>
        <v xml:space="preserve"> </v>
      </c>
      <c r="AT59" s="14"/>
      <c r="AU59" s="14"/>
      <c r="AV59" s="10" t="str">
        <f t="shared" si="255"/>
        <v xml:space="preserve"> </v>
      </c>
      <c r="AW59" s="10" t="str">
        <f t="shared" si="255"/>
        <v xml:space="preserve"> </v>
      </c>
      <c r="AX59" s="10" t="str">
        <f t="shared" si="255"/>
        <v xml:space="preserve"> </v>
      </c>
      <c r="AY59" s="10" t="str">
        <f t="shared" si="255"/>
        <v xml:space="preserve"> </v>
      </c>
      <c r="AZ59" s="10" t="str">
        <f t="shared" si="255"/>
        <v xml:space="preserve"> </v>
      </c>
      <c r="BA59" s="14"/>
      <c r="BB59" s="14"/>
      <c r="BC59" s="10" t="str">
        <f t="shared" si="256"/>
        <v xml:space="preserve"> </v>
      </c>
      <c r="BD59" s="10" t="str">
        <f t="shared" si="256"/>
        <v xml:space="preserve"> </v>
      </c>
      <c r="BE59" s="10" t="str">
        <f t="shared" si="256"/>
        <v xml:space="preserve"> </v>
      </c>
      <c r="BF59" s="10" t="str">
        <f t="shared" si="256"/>
        <v xml:space="preserve"> </v>
      </c>
      <c r="BG59" s="10" t="str">
        <f t="shared" si="256"/>
        <v xml:space="preserve"> </v>
      </c>
      <c r="BH59" s="14"/>
      <c r="BI59" s="14"/>
      <c r="BJ59" s="10" t="str">
        <f t="shared" si="257"/>
        <v xml:space="preserve"> </v>
      </c>
      <c r="BK59" s="10" t="str">
        <f t="shared" si="257"/>
        <v xml:space="preserve"> </v>
      </c>
      <c r="BL59" s="10" t="str">
        <f t="shared" si="257"/>
        <v xml:space="preserve"> </v>
      </c>
      <c r="BM59" s="10" t="str">
        <f t="shared" si="257"/>
        <v xml:space="preserve"> </v>
      </c>
      <c r="BN59" s="10" t="str">
        <f t="shared" si="257"/>
        <v xml:space="preserve"> </v>
      </c>
      <c r="BO59" s="14"/>
      <c r="BP59" s="14"/>
      <c r="BQ59" s="10" t="str">
        <f t="shared" si="258"/>
        <v xml:space="preserve"> </v>
      </c>
      <c r="BR59" s="10" t="str">
        <f t="shared" si="258"/>
        <v xml:space="preserve"> </v>
      </c>
      <c r="BS59" s="10" t="str">
        <f t="shared" si="258"/>
        <v xml:space="preserve"> </v>
      </c>
      <c r="BT59" s="10" t="str">
        <f t="shared" si="258"/>
        <v xml:space="preserve"> </v>
      </c>
      <c r="BU59" s="10" t="str">
        <f t="shared" si="258"/>
        <v xml:space="preserve"> </v>
      </c>
      <c r="BV59" s="14"/>
      <c r="BW59" s="14"/>
      <c r="BX59" s="10" t="str">
        <f t="shared" si="259"/>
        <v xml:space="preserve"> </v>
      </c>
      <c r="BY59" s="10" t="str">
        <f t="shared" si="259"/>
        <v xml:space="preserve"> </v>
      </c>
      <c r="BZ59" s="10" t="str">
        <f t="shared" si="259"/>
        <v xml:space="preserve"> </v>
      </c>
      <c r="CA59" s="10" t="str">
        <f t="shared" si="259"/>
        <v xml:space="preserve"> </v>
      </c>
      <c r="CB59" s="10" t="str">
        <f t="shared" si="259"/>
        <v xml:space="preserve"> </v>
      </c>
      <c r="CC59" s="14"/>
      <c r="CD59" s="14"/>
      <c r="CE59" s="10" t="str">
        <f t="shared" si="260"/>
        <v xml:space="preserve"> </v>
      </c>
      <c r="CF59" s="10" t="str">
        <f t="shared" si="260"/>
        <v xml:space="preserve"> </v>
      </c>
      <c r="CG59" s="10" t="str">
        <f t="shared" si="260"/>
        <v xml:space="preserve"> </v>
      </c>
      <c r="CH59" s="10" t="str">
        <f t="shared" si="260"/>
        <v xml:space="preserve"> </v>
      </c>
      <c r="CI59" s="10" t="str">
        <f t="shared" si="260"/>
        <v xml:space="preserve"> </v>
      </c>
      <c r="CJ59" s="14"/>
      <c r="CK59" s="14"/>
      <c r="CL59" s="10" t="str">
        <f t="shared" si="261"/>
        <v xml:space="preserve"> </v>
      </c>
      <c r="CM59" s="10" t="str">
        <f t="shared" si="261"/>
        <v xml:space="preserve"> </v>
      </c>
      <c r="CN59" s="10" t="str">
        <f t="shared" si="261"/>
        <v xml:space="preserve"> </v>
      </c>
      <c r="CO59" s="10" t="str">
        <f t="shared" si="261"/>
        <v xml:space="preserve"> </v>
      </c>
      <c r="CP59" s="10" t="str">
        <f t="shared" si="261"/>
        <v xml:space="preserve"> </v>
      </c>
      <c r="CQ59" s="14"/>
      <c r="CR59" s="14"/>
      <c r="CS59" s="10" t="str">
        <f t="shared" si="262"/>
        <v xml:space="preserve"> </v>
      </c>
      <c r="CT59" s="10" t="str">
        <f t="shared" si="262"/>
        <v xml:space="preserve"> </v>
      </c>
      <c r="CU59" s="10" t="str">
        <f t="shared" si="262"/>
        <v xml:space="preserve"> </v>
      </c>
      <c r="CV59" s="10" t="str">
        <f t="shared" si="262"/>
        <v xml:space="preserve"> </v>
      </c>
      <c r="CW59" s="10" t="str">
        <f t="shared" si="262"/>
        <v xml:space="preserve"> </v>
      </c>
      <c r="CZ59" s="10" t="str">
        <f t="shared" si="263"/>
        <v xml:space="preserve"> </v>
      </c>
      <c r="DA59" s="10" t="str">
        <f t="shared" si="263"/>
        <v>.</v>
      </c>
      <c r="DB59" s="10" t="str">
        <f t="shared" si="263"/>
        <v>.</v>
      </c>
      <c r="DC59" s="10" t="str">
        <f t="shared" si="263"/>
        <v>.</v>
      </c>
      <c r="DD59" s="10" t="str">
        <f t="shared" si="263"/>
        <v>.</v>
      </c>
      <c r="DG59" s="10" t="str">
        <f t="shared" si="264"/>
        <v xml:space="preserve"> </v>
      </c>
      <c r="DH59" s="10" t="str">
        <f t="shared" si="264"/>
        <v xml:space="preserve"> </v>
      </c>
      <c r="DI59" s="10" t="str">
        <f t="shared" si="264"/>
        <v xml:space="preserve"> </v>
      </c>
      <c r="DJ59" s="10" t="str">
        <f t="shared" si="264"/>
        <v xml:space="preserve"> </v>
      </c>
      <c r="DK59" s="10" t="str">
        <f t="shared" si="264"/>
        <v xml:space="preserve"> </v>
      </c>
      <c r="DN59" s="10" t="str">
        <f t="shared" si="265"/>
        <v xml:space="preserve"> </v>
      </c>
      <c r="DO59" s="10" t="str">
        <f t="shared" si="265"/>
        <v xml:space="preserve"> </v>
      </c>
      <c r="DP59" s="10" t="str">
        <f t="shared" si="265"/>
        <v xml:space="preserve"> </v>
      </c>
      <c r="DQ59" s="10" t="str">
        <f t="shared" si="265"/>
        <v xml:space="preserve"> </v>
      </c>
      <c r="DR59" s="10" t="str">
        <f t="shared" si="265"/>
        <v xml:space="preserve"> </v>
      </c>
      <c r="DU59" s="10" t="str">
        <f t="shared" si="266"/>
        <v xml:space="preserve"> </v>
      </c>
      <c r="DV59" s="10" t="str">
        <f t="shared" si="266"/>
        <v xml:space="preserve"> </v>
      </c>
      <c r="DW59" s="10" t="str">
        <f t="shared" si="266"/>
        <v xml:space="preserve"> </v>
      </c>
      <c r="DX59" s="10" t="str">
        <f t="shared" si="266"/>
        <v xml:space="preserve"> </v>
      </c>
      <c r="DY59" s="10" t="str">
        <f t="shared" si="266"/>
        <v xml:space="preserve"> </v>
      </c>
      <c r="EB59" s="10" t="str">
        <f t="shared" si="267"/>
        <v xml:space="preserve"> </v>
      </c>
      <c r="EC59" s="10" t="str">
        <f t="shared" si="267"/>
        <v xml:space="preserve"> </v>
      </c>
      <c r="ED59" s="10" t="str">
        <f t="shared" si="267"/>
        <v xml:space="preserve"> </v>
      </c>
      <c r="EE59" s="10" t="str">
        <f t="shared" si="267"/>
        <v xml:space="preserve"> </v>
      </c>
      <c r="EF59" s="10" t="str">
        <f t="shared" si="267"/>
        <v xml:space="preserve"> </v>
      </c>
      <c r="EI59" s="10" t="str">
        <f t="shared" si="268"/>
        <v xml:space="preserve"> </v>
      </c>
      <c r="EJ59" s="10" t="str">
        <f t="shared" si="268"/>
        <v xml:space="preserve"> </v>
      </c>
      <c r="EK59" s="10" t="str">
        <f t="shared" si="268"/>
        <v xml:space="preserve"> </v>
      </c>
      <c r="EL59" s="10" t="str">
        <f t="shared" si="268"/>
        <v xml:space="preserve"> </v>
      </c>
      <c r="EM59" s="10" t="str">
        <f t="shared" si="268"/>
        <v xml:space="preserve"> </v>
      </c>
      <c r="EP59" s="10" t="str">
        <f t="shared" si="269"/>
        <v xml:space="preserve"> </v>
      </c>
      <c r="EQ59" s="10" t="str">
        <f t="shared" si="269"/>
        <v xml:space="preserve"> </v>
      </c>
      <c r="ER59" s="10" t="str">
        <f t="shared" si="269"/>
        <v xml:space="preserve"> </v>
      </c>
      <c r="ES59" s="10" t="str">
        <f t="shared" si="269"/>
        <v xml:space="preserve"> </v>
      </c>
      <c r="ET59" s="10" t="str">
        <f t="shared" si="269"/>
        <v xml:space="preserve"> </v>
      </c>
      <c r="EW59" s="10" t="str">
        <f t="shared" si="270"/>
        <v xml:space="preserve"> </v>
      </c>
      <c r="EX59" s="10" t="str">
        <f t="shared" si="270"/>
        <v xml:space="preserve"> </v>
      </c>
      <c r="EY59" s="10" t="str">
        <f t="shared" si="270"/>
        <v xml:space="preserve"> </v>
      </c>
      <c r="EZ59" s="10" t="str">
        <f t="shared" si="270"/>
        <v xml:space="preserve"> </v>
      </c>
      <c r="FA59" s="10" t="str">
        <f t="shared" si="270"/>
        <v xml:space="preserve"> </v>
      </c>
      <c r="FD59" s="10" t="str">
        <f t="shared" si="271"/>
        <v xml:space="preserve"> </v>
      </c>
      <c r="FE59" s="10" t="str">
        <f t="shared" si="271"/>
        <v xml:space="preserve"> </v>
      </c>
      <c r="FF59" s="10" t="str">
        <f t="shared" si="271"/>
        <v xml:space="preserve"> </v>
      </c>
      <c r="FG59" s="10" t="str">
        <f t="shared" si="271"/>
        <v xml:space="preserve"> </v>
      </c>
      <c r="FH59" s="10" t="str">
        <f t="shared" si="271"/>
        <v xml:space="preserve"> </v>
      </c>
      <c r="FK59" s="10" t="str">
        <f t="shared" si="272"/>
        <v xml:space="preserve"> </v>
      </c>
      <c r="FL59" s="10" t="str">
        <f t="shared" si="272"/>
        <v xml:space="preserve"> </v>
      </c>
      <c r="FM59" s="10" t="str">
        <f t="shared" si="272"/>
        <v xml:space="preserve"> </v>
      </c>
      <c r="FN59" s="10" t="str">
        <f t="shared" si="272"/>
        <v xml:space="preserve"> </v>
      </c>
      <c r="FO59" s="10" t="str">
        <f t="shared" si="272"/>
        <v xml:space="preserve"> </v>
      </c>
      <c r="FR59" s="10" t="str">
        <f t="shared" si="273"/>
        <v xml:space="preserve"> </v>
      </c>
      <c r="FS59" s="10" t="str">
        <f t="shared" si="273"/>
        <v xml:space="preserve"> </v>
      </c>
      <c r="FT59" s="10" t="str">
        <f t="shared" si="273"/>
        <v xml:space="preserve"> </v>
      </c>
      <c r="FU59" s="10" t="str">
        <f t="shared" si="273"/>
        <v xml:space="preserve"> </v>
      </c>
      <c r="FV59" s="10" t="str">
        <f t="shared" si="273"/>
        <v xml:space="preserve"> </v>
      </c>
      <c r="FY59" s="10" t="str">
        <f t="shared" si="274"/>
        <v xml:space="preserve"> </v>
      </c>
      <c r="FZ59" s="10" t="str">
        <f t="shared" si="274"/>
        <v xml:space="preserve"> </v>
      </c>
      <c r="GA59" s="10" t="str">
        <f t="shared" si="274"/>
        <v xml:space="preserve"> </v>
      </c>
      <c r="GB59" s="10" t="str">
        <f t="shared" si="274"/>
        <v xml:space="preserve"> </v>
      </c>
      <c r="GC59" s="10" t="str">
        <f t="shared" si="274"/>
        <v xml:space="preserve"> </v>
      </c>
      <c r="GF59" s="10" t="str">
        <f t="shared" si="275"/>
        <v xml:space="preserve"> </v>
      </c>
      <c r="GG59" s="10" t="str">
        <f t="shared" si="275"/>
        <v xml:space="preserve"> </v>
      </c>
      <c r="GH59" s="10" t="str">
        <f t="shared" si="275"/>
        <v xml:space="preserve"> </v>
      </c>
      <c r="GI59" s="10" t="str">
        <f t="shared" si="275"/>
        <v xml:space="preserve"> </v>
      </c>
      <c r="GJ59" s="10" t="str">
        <f t="shared" si="275"/>
        <v xml:space="preserve"> </v>
      </c>
      <c r="GM59" s="10" t="str">
        <f t="shared" si="276"/>
        <v xml:space="preserve"> </v>
      </c>
      <c r="GN59" s="10" t="str">
        <f t="shared" si="276"/>
        <v xml:space="preserve"> </v>
      </c>
      <c r="GO59" s="10" t="str">
        <f t="shared" si="276"/>
        <v xml:space="preserve"> </v>
      </c>
      <c r="GP59" s="10" t="str">
        <f t="shared" si="276"/>
        <v xml:space="preserve"> </v>
      </c>
      <c r="GQ59" s="10" t="str">
        <f t="shared" si="276"/>
        <v xml:space="preserve"> </v>
      </c>
      <c r="GT59" s="10" t="str">
        <f t="shared" si="277"/>
        <v xml:space="preserve"> </v>
      </c>
      <c r="GU59" s="10" t="str">
        <f t="shared" si="277"/>
        <v xml:space="preserve"> </v>
      </c>
      <c r="GV59" s="10" t="str">
        <f t="shared" si="277"/>
        <v xml:space="preserve"> </v>
      </c>
      <c r="GW59" s="10" t="str">
        <f t="shared" si="277"/>
        <v xml:space="preserve"> </v>
      </c>
      <c r="GX59" s="10" t="str">
        <f t="shared" si="277"/>
        <v xml:space="preserve"> </v>
      </c>
      <c r="HA59" s="10" t="str">
        <f t="shared" si="278"/>
        <v xml:space="preserve"> </v>
      </c>
      <c r="HB59" s="10" t="str">
        <f t="shared" si="278"/>
        <v xml:space="preserve"> </v>
      </c>
      <c r="HC59" s="10" t="str">
        <f t="shared" si="278"/>
        <v xml:space="preserve"> </v>
      </c>
      <c r="HD59" s="10" t="str">
        <f t="shared" si="278"/>
        <v xml:space="preserve"> </v>
      </c>
      <c r="HE59" s="10" t="str">
        <f t="shared" si="278"/>
        <v xml:space="preserve"> </v>
      </c>
      <c r="HH59" s="10" t="str">
        <f t="shared" si="279"/>
        <v xml:space="preserve"> </v>
      </c>
      <c r="HI59" s="10" t="str">
        <f t="shared" si="279"/>
        <v xml:space="preserve"> </v>
      </c>
      <c r="HJ59" s="10" t="str">
        <f t="shared" si="279"/>
        <v xml:space="preserve"> </v>
      </c>
      <c r="HK59" s="10" t="str">
        <f t="shared" si="279"/>
        <v xml:space="preserve"> </v>
      </c>
      <c r="HL59" s="10" t="str">
        <f t="shared" si="279"/>
        <v xml:space="preserve"> </v>
      </c>
      <c r="HO59" s="10" t="str">
        <f t="shared" si="280"/>
        <v xml:space="preserve"> </v>
      </c>
      <c r="HP59" s="10" t="str">
        <f t="shared" si="280"/>
        <v xml:space="preserve"> </v>
      </c>
      <c r="HQ59" s="10" t="str">
        <f t="shared" si="280"/>
        <v xml:space="preserve"> </v>
      </c>
      <c r="HR59" s="10" t="str">
        <f t="shared" si="280"/>
        <v xml:space="preserve"> </v>
      </c>
      <c r="HS59" s="10" t="str">
        <f t="shared" si="280"/>
        <v xml:space="preserve"> </v>
      </c>
      <c r="HV59" s="10" t="str">
        <f t="shared" si="281"/>
        <v xml:space="preserve"> </v>
      </c>
      <c r="HW59" s="10" t="str">
        <f t="shared" si="281"/>
        <v xml:space="preserve"> </v>
      </c>
      <c r="HX59" s="10" t="str">
        <f t="shared" si="281"/>
        <v xml:space="preserve"> </v>
      </c>
      <c r="HY59" s="10" t="str">
        <f t="shared" si="281"/>
        <v xml:space="preserve"> </v>
      </c>
      <c r="HZ59" s="10" t="str">
        <f t="shared" si="281"/>
        <v xml:space="preserve"> </v>
      </c>
      <c r="IC59" s="10" t="str">
        <f t="shared" si="282"/>
        <v xml:space="preserve"> </v>
      </c>
      <c r="ID59" s="10" t="str">
        <f t="shared" si="282"/>
        <v xml:space="preserve"> </v>
      </c>
      <c r="IE59" s="10" t="str">
        <f t="shared" si="282"/>
        <v xml:space="preserve"> </v>
      </c>
      <c r="IF59" s="10" t="str">
        <f t="shared" si="282"/>
        <v xml:space="preserve"> </v>
      </c>
      <c r="IG59" s="10" t="str">
        <f t="shared" si="282"/>
        <v xml:space="preserve"> </v>
      </c>
      <c r="IJ59" s="10" t="str">
        <f t="shared" si="283"/>
        <v xml:space="preserve"> </v>
      </c>
      <c r="IK59" s="10" t="str">
        <f t="shared" si="283"/>
        <v xml:space="preserve"> </v>
      </c>
      <c r="IL59" s="10" t="str">
        <f t="shared" si="283"/>
        <v xml:space="preserve"> </v>
      </c>
      <c r="IM59" s="10" t="str">
        <f t="shared" si="283"/>
        <v xml:space="preserve"> </v>
      </c>
      <c r="IN59" s="10" t="str">
        <f t="shared" si="283"/>
        <v xml:space="preserve"> </v>
      </c>
      <c r="IQ59" s="10" t="str">
        <f t="shared" si="284"/>
        <v xml:space="preserve"> </v>
      </c>
      <c r="IR59" s="10" t="str">
        <f t="shared" si="284"/>
        <v xml:space="preserve"> </v>
      </c>
      <c r="IS59" s="10" t="str">
        <f t="shared" si="284"/>
        <v xml:space="preserve"> </v>
      </c>
      <c r="IT59" s="10" t="str">
        <f t="shared" si="284"/>
        <v xml:space="preserve"> </v>
      </c>
      <c r="IU59" s="10" t="str">
        <f t="shared" si="284"/>
        <v xml:space="preserve"> </v>
      </c>
      <c r="IX59" s="10" t="str">
        <f t="shared" si="285"/>
        <v xml:space="preserve"> </v>
      </c>
      <c r="IY59" s="10" t="str">
        <f t="shared" si="285"/>
        <v xml:space="preserve"> </v>
      </c>
      <c r="IZ59" s="10" t="str">
        <f t="shared" si="285"/>
        <v xml:space="preserve"> </v>
      </c>
      <c r="JA59" s="10" t="str">
        <f t="shared" si="285"/>
        <v xml:space="preserve"> </v>
      </c>
      <c r="JB59" s="10" t="str">
        <f t="shared" si="285"/>
        <v xml:space="preserve"> </v>
      </c>
      <c r="JE59" s="10" t="str">
        <f t="shared" si="286"/>
        <v xml:space="preserve"> </v>
      </c>
      <c r="JF59" s="10" t="str">
        <f t="shared" si="286"/>
        <v xml:space="preserve"> </v>
      </c>
      <c r="JG59" s="10" t="str">
        <f t="shared" si="286"/>
        <v xml:space="preserve"> </v>
      </c>
      <c r="JH59" s="10" t="str">
        <f t="shared" si="286"/>
        <v xml:space="preserve"> </v>
      </c>
      <c r="JI59" s="10" t="str">
        <f t="shared" si="286"/>
        <v xml:space="preserve"> </v>
      </c>
    </row>
    <row r="60" spans="1:269">
      <c r="A60" s="96"/>
      <c r="B60" s="10">
        <v>52</v>
      </c>
      <c r="C60" s="11" t="s">
        <v>78</v>
      </c>
      <c r="E60" s="10">
        <v>50</v>
      </c>
      <c r="F60" s="12">
        <f t="shared" si="207"/>
        <v>42558</v>
      </c>
      <c r="G60" s="12">
        <f>WORKDAY(F60,H60-1,Config!D63:D82)</f>
        <v>42559</v>
      </c>
      <c r="H60" s="10">
        <v>2</v>
      </c>
      <c r="I60" s="13">
        <v>0</v>
      </c>
      <c r="J60" s="13">
        <f ca="1">IF(((NETWORKDAYS(F60,TODAY(),Data!C59:C78)*100)/H60)/100 &gt; 0,((NETWORKDAYS(F60,TODAY(),Data!C59:C78)*100)/H60)/100,0)</f>
        <v>813.5</v>
      </c>
      <c r="K60" s="13" t="str">
        <f t="shared" ca="1" si="248"/>
        <v>100%</v>
      </c>
      <c r="L60" s="13">
        <f t="shared" ca="1" si="249"/>
        <v>1</v>
      </c>
      <c r="M60" s="10" t="str">
        <f t="shared" si="287"/>
        <v xml:space="preserve"> </v>
      </c>
      <c r="N60" s="10" t="str">
        <f t="shared" si="250"/>
        <v xml:space="preserve"> </v>
      </c>
      <c r="O60" s="10" t="str">
        <f t="shared" si="250"/>
        <v xml:space="preserve"> </v>
      </c>
      <c r="P60" s="10" t="str">
        <f t="shared" si="250"/>
        <v xml:space="preserve"> </v>
      </c>
      <c r="Q60" s="10" t="str">
        <f t="shared" si="250"/>
        <v xml:space="preserve"> </v>
      </c>
      <c r="R60" s="14"/>
      <c r="S60" s="14"/>
      <c r="T60" s="10" t="str">
        <f t="shared" si="251"/>
        <v xml:space="preserve"> </v>
      </c>
      <c r="U60" s="10" t="str">
        <f t="shared" si="251"/>
        <v xml:space="preserve"> </v>
      </c>
      <c r="V60" s="10" t="str">
        <f t="shared" si="251"/>
        <v xml:space="preserve"> </v>
      </c>
      <c r="W60" s="10" t="str">
        <f t="shared" si="251"/>
        <v xml:space="preserve"> </v>
      </c>
      <c r="X60" s="10" t="str">
        <f t="shared" si="251"/>
        <v xml:space="preserve"> </v>
      </c>
      <c r="Y60" s="14"/>
      <c r="Z60" s="14"/>
      <c r="AA60" s="10" t="str">
        <f t="shared" si="252"/>
        <v xml:space="preserve"> </v>
      </c>
      <c r="AB60" s="10" t="str">
        <f t="shared" si="252"/>
        <v xml:space="preserve"> </v>
      </c>
      <c r="AC60" s="10" t="str">
        <f t="shared" si="252"/>
        <v xml:space="preserve"> </v>
      </c>
      <c r="AD60" s="10" t="str">
        <f t="shared" si="252"/>
        <v xml:space="preserve"> </v>
      </c>
      <c r="AE60" s="10" t="str">
        <f t="shared" si="252"/>
        <v xml:space="preserve"> </v>
      </c>
      <c r="AF60" s="14"/>
      <c r="AG60" s="14"/>
      <c r="AH60" s="10" t="str">
        <f t="shared" si="253"/>
        <v xml:space="preserve"> </v>
      </c>
      <c r="AI60" s="10" t="str">
        <f t="shared" si="253"/>
        <v xml:space="preserve"> </v>
      </c>
      <c r="AJ60" s="10" t="str">
        <f t="shared" si="253"/>
        <v xml:space="preserve"> </v>
      </c>
      <c r="AK60" s="10" t="str">
        <f t="shared" si="253"/>
        <v xml:space="preserve"> </v>
      </c>
      <c r="AL60" s="10" t="str">
        <f t="shared" si="253"/>
        <v xml:space="preserve"> </v>
      </c>
      <c r="AM60" s="14"/>
      <c r="AN60" s="14"/>
      <c r="AO60" s="10" t="str">
        <f t="shared" si="254"/>
        <v xml:space="preserve"> </v>
      </c>
      <c r="AP60" s="10" t="str">
        <f t="shared" si="254"/>
        <v xml:space="preserve"> </v>
      </c>
      <c r="AQ60" s="10" t="str">
        <f t="shared" si="254"/>
        <v xml:space="preserve"> </v>
      </c>
      <c r="AR60" s="10" t="str">
        <f t="shared" si="254"/>
        <v xml:space="preserve"> </v>
      </c>
      <c r="AS60" s="10" t="str">
        <f t="shared" si="254"/>
        <v xml:space="preserve"> </v>
      </c>
      <c r="AT60" s="14"/>
      <c r="AU60" s="14"/>
      <c r="AV60" s="10" t="str">
        <f t="shared" si="255"/>
        <v xml:space="preserve"> </v>
      </c>
      <c r="AW60" s="10" t="str">
        <f t="shared" si="255"/>
        <v xml:space="preserve"> </v>
      </c>
      <c r="AX60" s="10" t="str">
        <f t="shared" si="255"/>
        <v xml:space="preserve"> </v>
      </c>
      <c r="AY60" s="10" t="str">
        <f t="shared" si="255"/>
        <v xml:space="preserve"> </v>
      </c>
      <c r="AZ60" s="10" t="str">
        <f t="shared" si="255"/>
        <v xml:space="preserve"> </v>
      </c>
      <c r="BA60" s="14"/>
      <c r="BB60" s="14"/>
      <c r="BC60" s="10" t="str">
        <f t="shared" si="256"/>
        <v xml:space="preserve"> </v>
      </c>
      <c r="BD60" s="10" t="str">
        <f t="shared" si="256"/>
        <v xml:space="preserve"> </v>
      </c>
      <c r="BE60" s="10" t="str">
        <f t="shared" si="256"/>
        <v xml:space="preserve"> </v>
      </c>
      <c r="BF60" s="10" t="str">
        <f t="shared" si="256"/>
        <v xml:space="preserve"> </v>
      </c>
      <c r="BG60" s="10" t="str">
        <f t="shared" si="256"/>
        <v xml:space="preserve"> </v>
      </c>
      <c r="BH60" s="14"/>
      <c r="BI60" s="14"/>
      <c r="BJ60" s="10" t="str">
        <f t="shared" si="257"/>
        <v xml:space="preserve"> </v>
      </c>
      <c r="BK60" s="10" t="str">
        <f t="shared" si="257"/>
        <v xml:space="preserve"> </v>
      </c>
      <c r="BL60" s="10" t="str">
        <f t="shared" si="257"/>
        <v xml:space="preserve"> </v>
      </c>
      <c r="BM60" s="10" t="str">
        <f t="shared" si="257"/>
        <v xml:space="preserve"> </v>
      </c>
      <c r="BN60" s="10" t="str">
        <f t="shared" si="257"/>
        <v xml:space="preserve"> </v>
      </c>
      <c r="BO60" s="14"/>
      <c r="BP60" s="14"/>
      <c r="BQ60" s="10" t="str">
        <f t="shared" si="258"/>
        <v xml:space="preserve"> </v>
      </c>
      <c r="BR60" s="10" t="str">
        <f t="shared" si="258"/>
        <v xml:space="preserve"> </v>
      </c>
      <c r="BS60" s="10" t="str">
        <f t="shared" si="258"/>
        <v xml:space="preserve"> </v>
      </c>
      <c r="BT60" s="10" t="str">
        <f t="shared" si="258"/>
        <v xml:space="preserve"> </v>
      </c>
      <c r="BU60" s="10" t="str">
        <f t="shared" si="258"/>
        <v xml:space="preserve"> </v>
      </c>
      <c r="BV60" s="14"/>
      <c r="BW60" s="14"/>
      <c r="BX60" s="10" t="str">
        <f t="shared" si="259"/>
        <v>.</v>
      </c>
      <c r="BY60" s="10" t="str">
        <f t="shared" si="259"/>
        <v>.</v>
      </c>
      <c r="BZ60" s="10" t="str">
        <f t="shared" si="259"/>
        <v xml:space="preserve"> </v>
      </c>
      <c r="CA60" s="10" t="str">
        <f t="shared" si="259"/>
        <v xml:space="preserve"> </v>
      </c>
      <c r="CB60" s="10" t="str">
        <f t="shared" si="259"/>
        <v xml:space="preserve"> </v>
      </c>
      <c r="CC60" s="14"/>
      <c r="CD60" s="14"/>
      <c r="CE60" s="10" t="str">
        <f t="shared" si="260"/>
        <v xml:space="preserve"> </v>
      </c>
      <c r="CF60" s="10" t="str">
        <f t="shared" si="260"/>
        <v xml:space="preserve"> </v>
      </c>
      <c r="CG60" s="10" t="str">
        <f t="shared" si="260"/>
        <v xml:space="preserve"> </v>
      </c>
      <c r="CH60" s="10" t="str">
        <f t="shared" si="260"/>
        <v xml:space="preserve"> </v>
      </c>
      <c r="CI60" s="10" t="str">
        <f t="shared" si="260"/>
        <v xml:space="preserve"> </v>
      </c>
      <c r="CJ60" s="14"/>
      <c r="CK60" s="14"/>
      <c r="CL60" s="10" t="str">
        <f t="shared" si="261"/>
        <v xml:space="preserve"> </v>
      </c>
      <c r="CM60" s="10" t="str">
        <f t="shared" si="261"/>
        <v xml:space="preserve"> </v>
      </c>
      <c r="CN60" s="10" t="str">
        <f t="shared" si="261"/>
        <v xml:space="preserve"> </v>
      </c>
      <c r="CO60" s="10" t="str">
        <f t="shared" si="261"/>
        <v xml:space="preserve"> </v>
      </c>
      <c r="CP60" s="10" t="str">
        <f t="shared" si="261"/>
        <v xml:space="preserve"> </v>
      </c>
      <c r="CQ60" s="14"/>
      <c r="CR60" s="14"/>
      <c r="CS60" s="10" t="str">
        <f t="shared" si="262"/>
        <v xml:space="preserve"> </v>
      </c>
      <c r="CT60" s="10" t="str">
        <f t="shared" si="262"/>
        <v xml:space="preserve"> </v>
      </c>
      <c r="CU60" s="10" t="str">
        <f t="shared" si="262"/>
        <v xml:space="preserve"> </v>
      </c>
      <c r="CV60" s="10" t="str">
        <f t="shared" si="262"/>
        <v xml:space="preserve"> </v>
      </c>
      <c r="CW60" s="10" t="str">
        <f t="shared" si="262"/>
        <v xml:space="preserve"> </v>
      </c>
      <c r="CZ60" s="10" t="str">
        <f t="shared" si="263"/>
        <v xml:space="preserve"> </v>
      </c>
      <c r="DA60" s="10" t="str">
        <f t="shared" si="263"/>
        <v xml:space="preserve"> </v>
      </c>
      <c r="DB60" s="10" t="str">
        <f t="shared" si="263"/>
        <v xml:space="preserve"> </v>
      </c>
      <c r="DC60" s="10" t="str">
        <f t="shared" si="263"/>
        <v xml:space="preserve"> </v>
      </c>
      <c r="DD60" s="10" t="str">
        <f t="shared" si="263"/>
        <v xml:space="preserve"> </v>
      </c>
      <c r="DG60" s="10" t="str">
        <f t="shared" si="264"/>
        <v xml:space="preserve"> </v>
      </c>
      <c r="DH60" s="10" t="str">
        <f t="shared" si="264"/>
        <v xml:space="preserve"> </v>
      </c>
      <c r="DI60" s="10" t="str">
        <f t="shared" si="264"/>
        <v xml:space="preserve"> </v>
      </c>
      <c r="DJ60" s="10" t="str">
        <f t="shared" si="264"/>
        <v xml:space="preserve"> </v>
      </c>
      <c r="DK60" s="10" t="str">
        <f t="shared" si="264"/>
        <v xml:space="preserve"> </v>
      </c>
      <c r="DN60" s="10" t="str">
        <f t="shared" si="265"/>
        <v xml:space="preserve"> </v>
      </c>
      <c r="DO60" s="10" t="str">
        <f t="shared" si="265"/>
        <v xml:space="preserve"> </v>
      </c>
      <c r="DP60" s="10" t="str">
        <f t="shared" si="265"/>
        <v xml:space="preserve"> </v>
      </c>
      <c r="DQ60" s="10" t="str">
        <f t="shared" si="265"/>
        <v xml:space="preserve"> </v>
      </c>
      <c r="DR60" s="10" t="str">
        <f t="shared" si="265"/>
        <v xml:space="preserve"> </v>
      </c>
      <c r="DU60" s="10" t="str">
        <f t="shared" si="266"/>
        <v xml:space="preserve"> </v>
      </c>
      <c r="DV60" s="10" t="str">
        <f t="shared" si="266"/>
        <v xml:space="preserve"> </v>
      </c>
      <c r="DW60" s="10" t="str">
        <f t="shared" si="266"/>
        <v xml:space="preserve"> </v>
      </c>
      <c r="DX60" s="10" t="str">
        <f t="shared" si="266"/>
        <v xml:space="preserve"> </v>
      </c>
      <c r="DY60" s="10" t="str">
        <f t="shared" si="266"/>
        <v xml:space="preserve"> </v>
      </c>
      <c r="EB60" s="10" t="str">
        <f t="shared" si="267"/>
        <v xml:space="preserve"> </v>
      </c>
      <c r="EC60" s="10" t="str">
        <f t="shared" si="267"/>
        <v xml:space="preserve"> </v>
      </c>
      <c r="ED60" s="10" t="str">
        <f t="shared" si="267"/>
        <v xml:space="preserve"> </v>
      </c>
      <c r="EE60" s="10" t="str">
        <f t="shared" si="267"/>
        <v xml:space="preserve"> </v>
      </c>
      <c r="EF60" s="10" t="str">
        <f t="shared" si="267"/>
        <v xml:space="preserve"> </v>
      </c>
      <c r="EI60" s="10" t="str">
        <f t="shared" si="268"/>
        <v xml:space="preserve"> </v>
      </c>
      <c r="EJ60" s="10" t="str">
        <f t="shared" si="268"/>
        <v xml:space="preserve"> </v>
      </c>
      <c r="EK60" s="10" t="str">
        <f t="shared" si="268"/>
        <v xml:space="preserve"> </v>
      </c>
      <c r="EL60" s="10" t="str">
        <f t="shared" si="268"/>
        <v xml:space="preserve"> </v>
      </c>
      <c r="EM60" s="10" t="str">
        <f t="shared" si="268"/>
        <v xml:space="preserve"> </v>
      </c>
      <c r="EP60" s="10" t="str">
        <f t="shared" si="269"/>
        <v xml:space="preserve"> </v>
      </c>
      <c r="EQ60" s="10" t="str">
        <f t="shared" si="269"/>
        <v xml:space="preserve"> </v>
      </c>
      <c r="ER60" s="10" t="str">
        <f t="shared" si="269"/>
        <v xml:space="preserve"> </v>
      </c>
      <c r="ES60" s="10" t="str">
        <f t="shared" si="269"/>
        <v xml:space="preserve"> </v>
      </c>
      <c r="ET60" s="10" t="str">
        <f t="shared" si="269"/>
        <v xml:space="preserve"> </v>
      </c>
      <c r="EW60" s="10" t="str">
        <f t="shared" si="270"/>
        <v xml:space="preserve"> </v>
      </c>
      <c r="EX60" s="10" t="str">
        <f t="shared" si="270"/>
        <v xml:space="preserve"> </v>
      </c>
      <c r="EY60" s="10" t="str">
        <f t="shared" si="270"/>
        <v xml:space="preserve"> </v>
      </c>
      <c r="EZ60" s="10" t="str">
        <f t="shared" si="270"/>
        <v xml:space="preserve"> </v>
      </c>
      <c r="FA60" s="10" t="str">
        <f t="shared" si="270"/>
        <v xml:space="preserve"> </v>
      </c>
      <c r="FD60" s="10" t="str">
        <f t="shared" si="271"/>
        <v xml:space="preserve"> </v>
      </c>
      <c r="FE60" s="10" t="str">
        <f t="shared" si="271"/>
        <v xml:space="preserve"> </v>
      </c>
      <c r="FF60" s="10" t="str">
        <f t="shared" si="271"/>
        <v xml:space="preserve"> </v>
      </c>
      <c r="FG60" s="10" t="str">
        <f t="shared" si="271"/>
        <v xml:space="preserve"> </v>
      </c>
      <c r="FH60" s="10" t="str">
        <f t="shared" si="271"/>
        <v xml:space="preserve"> </v>
      </c>
      <c r="FK60" s="10" t="str">
        <f t="shared" si="272"/>
        <v xml:space="preserve"> </v>
      </c>
      <c r="FL60" s="10" t="str">
        <f t="shared" si="272"/>
        <v xml:space="preserve"> </v>
      </c>
      <c r="FM60" s="10" t="str">
        <f t="shared" si="272"/>
        <v xml:space="preserve"> </v>
      </c>
      <c r="FN60" s="10" t="str">
        <f t="shared" si="272"/>
        <v xml:space="preserve"> </v>
      </c>
      <c r="FO60" s="10" t="str">
        <f t="shared" si="272"/>
        <v xml:space="preserve"> </v>
      </c>
      <c r="FR60" s="10" t="str">
        <f t="shared" si="273"/>
        <v xml:space="preserve"> </v>
      </c>
      <c r="FS60" s="10" t="str">
        <f t="shared" si="273"/>
        <v xml:space="preserve"> </v>
      </c>
      <c r="FT60" s="10" t="str">
        <f t="shared" si="273"/>
        <v xml:space="preserve"> </v>
      </c>
      <c r="FU60" s="10" t="str">
        <f t="shared" si="273"/>
        <v xml:space="preserve"> </v>
      </c>
      <c r="FV60" s="10" t="str">
        <f t="shared" si="273"/>
        <v xml:space="preserve"> </v>
      </c>
      <c r="FY60" s="10" t="str">
        <f t="shared" si="274"/>
        <v xml:space="preserve"> </v>
      </c>
      <c r="FZ60" s="10" t="str">
        <f t="shared" si="274"/>
        <v xml:space="preserve"> </v>
      </c>
      <c r="GA60" s="10" t="str">
        <f t="shared" si="274"/>
        <v xml:space="preserve"> </v>
      </c>
      <c r="GB60" s="10" t="str">
        <f t="shared" si="274"/>
        <v xml:space="preserve"> </v>
      </c>
      <c r="GC60" s="10" t="str">
        <f t="shared" si="274"/>
        <v xml:space="preserve"> </v>
      </c>
      <c r="GF60" s="10" t="str">
        <f t="shared" si="275"/>
        <v xml:space="preserve"> </v>
      </c>
      <c r="GG60" s="10" t="str">
        <f t="shared" si="275"/>
        <v xml:space="preserve"> </v>
      </c>
      <c r="GH60" s="10" t="str">
        <f t="shared" si="275"/>
        <v xml:space="preserve"> </v>
      </c>
      <c r="GI60" s="10" t="str">
        <f t="shared" si="275"/>
        <v xml:space="preserve"> </v>
      </c>
      <c r="GJ60" s="10" t="str">
        <f t="shared" si="275"/>
        <v xml:space="preserve"> </v>
      </c>
      <c r="GM60" s="10" t="str">
        <f t="shared" si="276"/>
        <v xml:space="preserve"> </v>
      </c>
      <c r="GN60" s="10" t="str">
        <f t="shared" si="276"/>
        <v xml:space="preserve"> </v>
      </c>
      <c r="GO60" s="10" t="str">
        <f t="shared" si="276"/>
        <v xml:space="preserve"> </v>
      </c>
      <c r="GP60" s="10" t="str">
        <f t="shared" si="276"/>
        <v xml:space="preserve"> </v>
      </c>
      <c r="GQ60" s="10" t="str">
        <f t="shared" si="276"/>
        <v xml:space="preserve"> </v>
      </c>
      <c r="GT60" s="10" t="str">
        <f t="shared" si="277"/>
        <v xml:space="preserve"> </v>
      </c>
      <c r="GU60" s="10" t="str">
        <f t="shared" si="277"/>
        <v xml:space="preserve"> </v>
      </c>
      <c r="GV60" s="10" t="str">
        <f t="shared" si="277"/>
        <v xml:space="preserve"> </v>
      </c>
      <c r="GW60" s="10" t="str">
        <f t="shared" si="277"/>
        <v xml:space="preserve"> </v>
      </c>
      <c r="GX60" s="10" t="str">
        <f t="shared" si="277"/>
        <v xml:space="preserve"> </v>
      </c>
      <c r="HA60" s="10" t="str">
        <f t="shared" si="278"/>
        <v xml:space="preserve"> </v>
      </c>
      <c r="HB60" s="10" t="str">
        <f t="shared" si="278"/>
        <v xml:space="preserve"> </v>
      </c>
      <c r="HC60" s="10" t="str">
        <f t="shared" si="278"/>
        <v xml:space="preserve"> </v>
      </c>
      <c r="HD60" s="10" t="str">
        <f t="shared" si="278"/>
        <v xml:space="preserve"> </v>
      </c>
      <c r="HE60" s="10" t="str">
        <f t="shared" si="278"/>
        <v xml:space="preserve"> </v>
      </c>
      <c r="HH60" s="10" t="str">
        <f t="shared" si="279"/>
        <v xml:space="preserve"> </v>
      </c>
      <c r="HI60" s="10" t="str">
        <f t="shared" si="279"/>
        <v xml:space="preserve"> </v>
      </c>
      <c r="HJ60" s="10" t="str">
        <f t="shared" si="279"/>
        <v xml:space="preserve"> </v>
      </c>
      <c r="HK60" s="10" t="str">
        <f t="shared" si="279"/>
        <v xml:space="preserve"> </v>
      </c>
      <c r="HL60" s="10" t="str">
        <f t="shared" si="279"/>
        <v xml:space="preserve"> </v>
      </c>
      <c r="HO60" s="10" t="str">
        <f t="shared" si="280"/>
        <v xml:space="preserve"> </v>
      </c>
      <c r="HP60" s="10" t="str">
        <f t="shared" si="280"/>
        <v xml:space="preserve"> </v>
      </c>
      <c r="HQ60" s="10" t="str">
        <f t="shared" si="280"/>
        <v xml:space="preserve"> </v>
      </c>
      <c r="HR60" s="10" t="str">
        <f t="shared" si="280"/>
        <v xml:space="preserve"> </v>
      </c>
      <c r="HS60" s="10" t="str">
        <f t="shared" si="280"/>
        <v xml:space="preserve"> </v>
      </c>
      <c r="HV60" s="10" t="str">
        <f t="shared" si="281"/>
        <v xml:space="preserve"> </v>
      </c>
      <c r="HW60" s="10" t="str">
        <f t="shared" si="281"/>
        <v xml:space="preserve"> </v>
      </c>
      <c r="HX60" s="10" t="str">
        <f t="shared" si="281"/>
        <v xml:space="preserve"> </v>
      </c>
      <c r="HY60" s="10" t="str">
        <f t="shared" si="281"/>
        <v xml:space="preserve"> </v>
      </c>
      <c r="HZ60" s="10" t="str">
        <f t="shared" si="281"/>
        <v xml:space="preserve"> </v>
      </c>
      <c r="IC60" s="10" t="str">
        <f t="shared" si="282"/>
        <v xml:space="preserve"> </v>
      </c>
      <c r="ID60" s="10" t="str">
        <f t="shared" si="282"/>
        <v xml:space="preserve"> </v>
      </c>
      <c r="IE60" s="10" t="str">
        <f t="shared" si="282"/>
        <v xml:space="preserve"> </v>
      </c>
      <c r="IF60" s="10" t="str">
        <f t="shared" si="282"/>
        <v xml:space="preserve"> </v>
      </c>
      <c r="IG60" s="10" t="str">
        <f t="shared" si="282"/>
        <v xml:space="preserve"> </v>
      </c>
      <c r="IJ60" s="10" t="str">
        <f t="shared" si="283"/>
        <v xml:space="preserve"> </v>
      </c>
      <c r="IK60" s="10" t="str">
        <f t="shared" si="283"/>
        <v xml:space="preserve"> </v>
      </c>
      <c r="IL60" s="10" t="str">
        <f t="shared" si="283"/>
        <v xml:space="preserve"> </v>
      </c>
      <c r="IM60" s="10" t="str">
        <f t="shared" si="283"/>
        <v xml:space="preserve"> </v>
      </c>
      <c r="IN60" s="10" t="str">
        <f t="shared" si="283"/>
        <v xml:space="preserve"> </v>
      </c>
      <c r="IQ60" s="10" t="str">
        <f t="shared" si="284"/>
        <v xml:space="preserve"> </v>
      </c>
      <c r="IR60" s="10" t="str">
        <f t="shared" si="284"/>
        <v xml:space="preserve"> </v>
      </c>
      <c r="IS60" s="10" t="str">
        <f t="shared" si="284"/>
        <v xml:space="preserve"> </v>
      </c>
      <c r="IT60" s="10" t="str">
        <f t="shared" si="284"/>
        <v xml:space="preserve"> </v>
      </c>
      <c r="IU60" s="10" t="str">
        <f t="shared" si="284"/>
        <v xml:space="preserve"> </v>
      </c>
      <c r="IX60" s="10" t="str">
        <f t="shared" si="285"/>
        <v xml:space="preserve"> </v>
      </c>
      <c r="IY60" s="10" t="str">
        <f t="shared" si="285"/>
        <v xml:space="preserve"> </v>
      </c>
      <c r="IZ60" s="10" t="str">
        <f t="shared" si="285"/>
        <v xml:space="preserve"> </v>
      </c>
      <c r="JA60" s="10" t="str">
        <f t="shared" si="285"/>
        <v xml:space="preserve"> </v>
      </c>
      <c r="JB60" s="10" t="str">
        <f t="shared" si="285"/>
        <v xml:space="preserve"> </v>
      </c>
      <c r="JE60" s="10" t="str">
        <f t="shared" si="286"/>
        <v xml:space="preserve"> </v>
      </c>
      <c r="JF60" s="10" t="str">
        <f t="shared" si="286"/>
        <v xml:space="preserve"> </v>
      </c>
      <c r="JG60" s="10" t="str">
        <f t="shared" si="286"/>
        <v xml:space="preserve"> </v>
      </c>
      <c r="JH60" s="10" t="str">
        <f t="shared" si="286"/>
        <v xml:space="preserve"> </v>
      </c>
      <c r="JI60" s="10" t="str">
        <f t="shared" si="286"/>
        <v xml:space="preserve"> </v>
      </c>
    </row>
    <row r="61" spans="1:269">
      <c r="A61" s="96"/>
      <c r="B61" s="10">
        <v>53</v>
      </c>
      <c r="C61" s="11" t="s">
        <v>79</v>
      </c>
      <c r="E61" s="10">
        <v>51</v>
      </c>
      <c r="F61" s="12">
        <f t="shared" si="207"/>
        <v>42592</v>
      </c>
      <c r="G61" s="12">
        <f>WORKDAY(F61,H61-1,Config!D64:D83)</f>
        <v>42594</v>
      </c>
      <c r="H61" s="10">
        <v>3</v>
      </c>
      <c r="I61" s="13">
        <v>0</v>
      </c>
      <c r="J61" s="13">
        <f ca="1">IF(((NETWORKDAYS(F61,TODAY(),Data!C60:C79)*100)/H61)/100 &gt; 0,((NETWORKDAYS(F61,TODAY(),Data!C60:C79)*100)/H61)/100,0)</f>
        <v>534.33333333333337</v>
      </c>
      <c r="K61" s="13" t="str">
        <f t="shared" ca="1" si="248"/>
        <v>100%</v>
      </c>
      <c r="L61" s="13">
        <f t="shared" ca="1" si="249"/>
        <v>1</v>
      </c>
      <c r="M61" s="10" t="str">
        <f t="shared" si="287"/>
        <v xml:space="preserve"> </v>
      </c>
      <c r="N61" s="10" t="str">
        <f t="shared" si="250"/>
        <v xml:space="preserve"> </v>
      </c>
      <c r="O61" s="10" t="str">
        <f t="shared" si="250"/>
        <v xml:space="preserve"> </v>
      </c>
      <c r="P61" s="10" t="str">
        <f t="shared" si="250"/>
        <v xml:space="preserve"> </v>
      </c>
      <c r="Q61" s="10" t="str">
        <f t="shared" si="250"/>
        <v xml:space="preserve"> </v>
      </c>
      <c r="R61" s="14"/>
      <c r="S61" s="14"/>
      <c r="T61" s="10" t="str">
        <f t="shared" si="251"/>
        <v xml:space="preserve"> </v>
      </c>
      <c r="U61" s="10" t="str">
        <f t="shared" si="251"/>
        <v xml:space="preserve"> </v>
      </c>
      <c r="V61" s="10" t="str">
        <f t="shared" si="251"/>
        <v xml:space="preserve"> </v>
      </c>
      <c r="W61" s="10" t="str">
        <f t="shared" si="251"/>
        <v xml:space="preserve"> </v>
      </c>
      <c r="X61" s="10" t="str">
        <f t="shared" si="251"/>
        <v xml:space="preserve"> </v>
      </c>
      <c r="Y61" s="14"/>
      <c r="Z61" s="14"/>
      <c r="AA61" s="10" t="str">
        <f t="shared" si="252"/>
        <v xml:space="preserve"> </v>
      </c>
      <c r="AB61" s="10" t="str">
        <f t="shared" si="252"/>
        <v xml:space="preserve"> </v>
      </c>
      <c r="AC61" s="10" t="str">
        <f t="shared" si="252"/>
        <v xml:space="preserve"> </v>
      </c>
      <c r="AD61" s="10" t="str">
        <f t="shared" si="252"/>
        <v xml:space="preserve"> </v>
      </c>
      <c r="AE61" s="10" t="str">
        <f t="shared" si="252"/>
        <v xml:space="preserve"> </v>
      </c>
      <c r="AF61" s="14"/>
      <c r="AG61" s="14"/>
      <c r="AH61" s="10" t="str">
        <f t="shared" si="253"/>
        <v xml:space="preserve"> </v>
      </c>
      <c r="AI61" s="10" t="str">
        <f t="shared" si="253"/>
        <v xml:space="preserve"> </v>
      </c>
      <c r="AJ61" s="10" t="str">
        <f t="shared" si="253"/>
        <v xml:space="preserve"> </v>
      </c>
      <c r="AK61" s="10" t="str">
        <f t="shared" si="253"/>
        <v xml:space="preserve"> </v>
      </c>
      <c r="AL61" s="10" t="str">
        <f t="shared" si="253"/>
        <v xml:space="preserve"> </v>
      </c>
      <c r="AM61" s="14"/>
      <c r="AN61" s="14"/>
      <c r="AO61" s="10" t="str">
        <f t="shared" si="254"/>
        <v xml:space="preserve"> </v>
      </c>
      <c r="AP61" s="10" t="str">
        <f t="shared" si="254"/>
        <v xml:space="preserve"> </v>
      </c>
      <c r="AQ61" s="10" t="str">
        <f t="shared" si="254"/>
        <v xml:space="preserve"> </v>
      </c>
      <c r="AR61" s="10" t="str">
        <f t="shared" si="254"/>
        <v xml:space="preserve"> </v>
      </c>
      <c r="AS61" s="10" t="str">
        <f t="shared" si="254"/>
        <v xml:space="preserve"> </v>
      </c>
      <c r="AT61" s="14"/>
      <c r="AU61" s="14"/>
      <c r="AV61" s="10" t="str">
        <f t="shared" si="255"/>
        <v xml:space="preserve"> </v>
      </c>
      <c r="AW61" s="10" t="str">
        <f t="shared" si="255"/>
        <v xml:space="preserve"> </v>
      </c>
      <c r="AX61" s="10" t="str">
        <f t="shared" si="255"/>
        <v xml:space="preserve"> </v>
      </c>
      <c r="AY61" s="10" t="str">
        <f t="shared" si="255"/>
        <v xml:space="preserve"> </v>
      </c>
      <c r="AZ61" s="10" t="str">
        <f t="shared" si="255"/>
        <v xml:space="preserve"> </v>
      </c>
      <c r="BA61" s="14"/>
      <c r="BB61" s="14"/>
      <c r="BC61" s="10" t="str">
        <f t="shared" si="256"/>
        <v xml:space="preserve"> </v>
      </c>
      <c r="BD61" s="10" t="str">
        <f t="shared" si="256"/>
        <v xml:space="preserve"> </v>
      </c>
      <c r="BE61" s="10" t="str">
        <f t="shared" si="256"/>
        <v xml:space="preserve"> </v>
      </c>
      <c r="BF61" s="10" t="str">
        <f t="shared" si="256"/>
        <v xml:space="preserve"> </v>
      </c>
      <c r="BG61" s="10" t="str">
        <f t="shared" si="256"/>
        <v xml:space="preserve"> </v>
      </c>
      <c r="BH61" s="14"/>
      <c r="BI61" s="14"/>
      <c r="BJ61" s="10" t="str">
        <f t="shared" si="257"/>
        <v xml:space="preserve"> </v>
      </c>
      <c r="BK61" s="10" t="str">
        <f t="shared" si="257"/>
        <v xml:space="preserve"> </v>
      </c>
      <c r="BL61" s="10" t="str">
        <f t="shared" si="257"/>
        <v xml:space="preserve"> </v>
      </c>
      <c r="BM61" s="10" t="str">
        <f t="shared" si="257"/>
        <v xml:space="preserve"> </v>
      </c>
      <c r="BN61" s="10" t="str">
        <f t="shared" si="257"/>
        <v xml:space="preserve"> </v>
      </c>
      <c r="BO61" s="14"/>
      <c r="BP61" s="14"/>
      <c r="BQ61" s="10" t="str">
        <f t="shared" si="258"/>
        <v xml:space="preserve"> </v>
      </c>
      <c r="BR61" s="10" t="str">
        <f t="shared" si="258"/>
        <v xml:space="preserve"> </v>
      </c>
      <c r="BS61" s="10" t="str">
        <f t="shared" si="258"/>
        <v xml:space="preserve"> </v>
      </c>
      <c r="BT61" s="10" t="str">
        <f t="shared" si="258"/>
        <v xml:space="preserve"> </v>
      </c>
      <c r="BU61" s="10" t="str">
        <f t="shared" si="258"/>
        <v xml:space="preserve"> </v>
      </c>
      <c r="BV61" s="14"/>
      <c r="BW61" s="14"/>
      <c r="BX61" s="10" t="str">
        <f t="shared" si="259"/>
        <v xml:space="preserve"> </v>
      </c>
      <c r="BY61" s="10" t="str">
        <f t="shared" si="259"/>
        <v xml:space="preserve"> </v>
      </c>
      <c r="BZ61" s="10" t="str">
        <f t="shared" si="259"/>
        <v xml:space="preserve"> </v>
      </c>
      <c r="CA61" s="10" t="str">
        <f t="shared" si="259"/>
        <v xml:space="preserve"> </v>
      </c>
      <c r="CB61" s="10" t="str">
        <f t="shared" si="259"/>
        <v xml:space="preserve"> </v>
      </c>
      <c r="CC61" s="14"/>
      <c r="CD61" s="14"/>
      <c r="CE61" s="10" t="str">
        <f t="shared" si="260"/>
        <v xml:space="preserve"> </v>
      </c>
      <c r="CF61" s="10" t="str">
        <f t="shared" si="260"/>
        <v xml:space="preserve"> </v>
      </c>
      <c r="CG61" s="10" t="str">
        <f t="shared" si="260"/>
        <v xml:space="preserve"> </v>
      </c>
      <c r="CH61" s="10" t="str">
        <f t="shared" si="260"/>
        <v xml:space="preserve"> </v>
      </c>
      <c r="CI61" s="10" t="str">
        <f t="shared" si="260"/>
        <v xml:space="preserve"> </v>
      </c>
      <c r="CJ61" s="14"/>
      <c r="CK61" s="14"/>
      <c r="CL61" s="10" t="str">
        <f t="shared" si="261"/>
        <v xml:space="preserve"> </v>
      </c>
      <c r="CM61" s="10" t="str">
        <f t="shared" si="261"/>
        <v xml:space="preserve"> </v>
      </c>
      <c r="CN61" s="10" t="str">
        <f t="shared" si="261"/>
        <v xml:space="preserve"> </v>
      </c>
      <c r="CO61" s="10" t="str">
        <f t="shared" si="261"/>
        <v xml:space="preserve"> </v>
      </c>
      <c r="CP61" s="10" t="str">
        <f t="shared" si="261"/>
        <v xml:space="preserve"> </v>
      </c>
      <c r="CQ61" s="14"/>
      <c r="CR61" s="14"/>
      <c r="CS61" s="10" t="str">
        <f t="shared" si="262"/>
        <v xml:space="preserve"> </v>
      </c>
      <c r="CT61" s="10" t="str">
        <f t="shared" si="262"/>
        <v xml:space="preserve"> </v>
      </c>
      <c r="CU61" s="10" t="str">
        <f t="shared" si="262"/>
        <v xml:space="preserve"> </v>
      </c>
      <c r="CV61" s="10" t="str">
        <f t="shared" si="262"/>
        <v xml:space="preserve"> </v>
      </c>
      <c r="CW61" s="10" t="str">
        <f t="shared" si="262"/>
        <v xml:space="preserve"> </v>
      </c>
      <c r="CZ61" s="10" t="str">
        <f t="shared" si="263"/>
        <v xml:space="preserve"> </v>
      </c>
      <c r="DA61" s="10" t="str">
        <f t="shared" si="263"/>
        <v xml:space="preserve"> </v>
      </c>
      <c r="DB61" s="10" t="str">
        <f t="shared" si="263"/>
        <v xml:space="preserve"> </v>
      </c>
      <c r="DC61" s="10" t="str">
        <f t="shared" si="263"/>
        <v xml:space="preserve"> </v>
      </c>
      <c r="DD61" s="10" t="str">
        <f t="shared" si="263"/>
        <v xml:space="preserve"> </v>
      </c>
      <c r="DG61" s="10" t="str">
        <f t="shared" si="264"/>
        <v>.</v>
      </c>
      <c r="DH61" s="10" t="str">
        <f t="shared" si="264"/>
        <v>.</v>
      </c>
      <c r="DI61" s="10" t="str">
        <f t="shared" si="264"/>
        <v xml:space="preserve"> </v>
      </c>
      <c r="DJ61" s="10" t="str">
        <f t="shared" si="264"/>
        <v xml:space="preserve"> </v>
      </c>
      <c r="DK61" s="10" t="str">
        <f t="shared" si="264"/>
        <v xml:space="preserve"> </v>
      </c>
      <c r="DN61" s="10" t="str">
        <f t="shared" si="265"/>
        <v xml:space="preserve"> </v>
      </c>
      <c r="DO61" s="10" t="str">
        <f t="shared" si="265"/>
        <v xml:space="preserve"> </v>
      </c>
      <c r="DP61" s="10" t="str">
        <f t="shared" si="265"/>
        <v xml:space="preserve"> </v>
      </c>
      <c r="DQ61" s="10" t="str">
        <f t="shared" si="265"/>
        <v xml:space="preserve"> </v>
      </c>
      <c r="DR61" s="10" t="str">
        <f t="shared" si="265"/>
        <v xml:space="preserve"> </v>
      </c>
      <c r="DU61" s="10" t="str">
        <f t="shared" si="266"/>
        <v xml:space="preserve"> </v>
      </c>
      <c r="DV61" s="10" t="str">
        <f t="shared" si="266"/>
        <v xml:space="preserve"> </v>
      </c>
      <c r="DW61" s="10" t="str">
        <f t="shared" si="266"/>
        <v xml:space="preserve"> </v>
      </c>
      <c r="DX61" s="10" t="str">
        <f t="shared" si="266"/>
        <v xml:space="preserve"> </v>
      </c>
      <c r="DY61" s="10" t="str">
        <f t="shared" si="266"/>
        <v xml:space="preserve"> </v>
      </c>
      <c r="EB61" s="10" t="str">
        <f t="shared" si="267"/>
        <v xml:space="preserve"> </v>
      </c>
      <c r="EC61" s="10" t="str">
        <f t="shared" si="267"/>
        <v xml:space="preserve"> </v>
      </c>
      <c r="ED61" s="10" t="str">
        <f t="shared" si="267"/>
        <v xml:space="preserve"> </v>
      </c>
      <c r="EE61" s="10" t="str">
        <f t="shared" si="267"/>
        <v xml:space="preserve"> </v>
      </c>
      <c r="EF61" s="10" t="str">
        <f t="shared" si="267"/>
        <v xml:space="preserve"> </v>
      </c>
      <c r="EI61" s="10" t="str">
        <f t="shared" si="268"/>
        <v xml:space="preserve"> </v>
      </c>
      <c r="EJ61" s="10" t="str">
        <f t="shared" si="268"/>
        <v xml:space="preserve"> </v>
      </c>
      <c r="EK61" s="10" t="str">
        <f t="shared" si="268"/>
        <v xml:space="preserve"> </v>
      </c>
      <c r="EL61" s="10" t="str">
        <f t="shared" si="268"/>
        <v xml:space="preserve"> </v>
      </c>
      <c r="EM61" s="10" t="str">
        <f t="shared" si="268"/>
        <v xml:space="preserve"> </v>
      </c>
      <c r="EP61" s="10" t="str">
        <f t="shared" si="269"/>
        <v xml:space="preserve"> </v>
      </c>
      <c r="EQ61" s="10" t="str">
        <f t="shared" si="269"/>
        <v xml:space="preserve"> </v>
      </c>
      <c r="ER61" s="10" t="str">
        <f t="shared" si="269"/>
        <v xml:space="preserve"> </v>
      </c>
      <c r="ES61" s="10" t="str">
        <f t="shared" si="269"/>
        <v xml:space="preserve"> </v>
      </c>
      <c r="ET61" s="10" t="str">
        <f t="shared" si="269"/>
        <v xml:space="preserve"> </v>
      </c>
      <c r="EW61" s="10" t="str">
        <f t="shared" si="270"/>
        <v xml:space="preserve"> </v>
      </c>
      <c r="EX61" s="10" t="str">
        <f t="shared" si="270"/>
        <v xml:space="preserve"> </v>
      </c>
      <c r="EY61" s="10" t="str">
        <f t="shared" si="270"/>
        <v xml:space="preserve"> </v>
      </c>
      <c r="EZ61" s="10" t="str">
        <f t="shared" si="270"/>
        <v xml:space="preserve"> </v>
      </c>
      <c r="FA61" s="10" t="str">
        <f t="shared" si="270"/>
        <v xml:space="preserve"> </v>
      </c>
      <c r="FD61" s="10" t="str">
        <f t="shared" si="271"/>
        <v xml:space="preserve"> </v>
      </c>
      <c r="FE61" s="10" t="str">
        <f t="shared" si="271"/>
        <v xml:space="preserve"> </v>
      </c>
      <c r="FF61" s="10" t="str">
        <f t="shared" si="271"/>
        <v xml:space="preserve"> </v>
      </c>
      <c r="FG61" s="10" t="str">
        <f t="shared" si="271"/>
        <v xml:space="preserve"> </v>
      </c>
      <c r="FH61" s="10" t="str">
        <f t="shared" si="271"/>
        <v xml:space="preserve"> </v>
      </c>
      <c r="FK61" s="10" t="str">
        <f t="shared" si="272"/>
        <v xml:space="preserve"> </v>
      </c>
      <c r="FL61" s="10" t="str">
        <f t="shared" si="272"/>
        <v xml:space="preserve"> </v>
      </c>
      <c r="FM61" s="10" t="str">
        <f t="shared" si="272"/>
        <v xml:space="preserve"> </v>
      </c>
      <c r="FN61" s="10" t="str">
        <f t="shared" si="272"/>
        <v xml:space="preserve"> </v>
      </c>
      <c r="FO61" s="10" t="str">
        <f t="shared" si="272"/>
        <v xml:space="preserve"> </v>
      </c>
      <c r="FR61" s="10" t="str">
        <f t="shared" si="273"/>
        <v xml:space="preserve"> </v>
      </c>
      <c r="FS61" s="10" t="str">
        <f t="shared" si="273"/>
        <v xml:space="preserve"> </v>
      </c>
      <c r="FT61" s="10" t="str">
        <f t="shared" si="273"/>
        <v xml:space="preserve"> </v>
      </c>
      <c r="FU61" s="10" t="str">
        <f t="shared" si="273"/>
        <v xml:space="preserve"> </v>
      </c>
      <c r="FV61" s="10" t="str">
        <f t="shared" si="273"/>
        <v xml:space="preserve"> </v>
      </c>
      <c r="FY61" s="10" t="str">
        <f t="shared" si="274"/>
        <v xml:space="preserve"> </v>
      </c>
      <c r="FZ61" s="10" t="str">
        <f t="shared" si="274"/>
        <v xml:space="preserve"> </v>
      </c>
      <c r="GA61" s="10" t="str">
        <f t="shared" si="274"/>
        <v xml:space="preserve"> </v>
      </c>
      <c r="GB61" s="10" t="str">
        <f t="shared" si="274"/>
        <v xml:space="preserve"> </v>
      </c>
      <c r="GC61" s="10" t="str">
        <f t="shared" si="274"/>
        <v xml:space="preserve"> </v>
      </c>
      <c r="GF61" s="10" t="str">
        <f t="shared" si="275"/>
        <v xml:space="preserve"> </v>
      </c>
      <c r="GG61" s="10" t="str">
        <f t="shared" si="275"/>
        <v xml:space="preserve"> </v>
      </c>
      <c r="GH61" s="10" t="str">
        <f t="shared" si="275"/>
        <v xml:space="preserve"> </v>
      </c>
      <c r="GI61" s="10" t="str">
        <f t="shared" si="275"/>
        <v xml:space="preserve"> </v>
      </c>
      <c r="GJ61" s="10" t="str">
        <f t="shared" si="275"/>
        <v xml:space="preserve"> </v>
      </c>
      <c r="GM61" s="10" t="str">
        <f t="shared" si="276"/>
        <v xml:space="preserve"> </v>
      </c>
      <c r="GN61" s="10" t="str">
        <f t="shared" si="276"/>
        <v xml:space="preserve"> </v>
      </c>
      <c r="GO61" s="10" t="str">
        <f t="shared" si="276"/>
        <v xml:space="preserve"> </v>
      </c>
      <c r="GP61" s="10" t="str">
        <f t="shared" si="276"/>
        <v xml:space="preserve"> </v>
      </c>
      <c r="GQ61" s="10" t="str">
        <f t="shared" si="276"/>
        <v xml:space="preserve"> </v>
      </c>
      <c r="GT61" s="10" t="str">
        <f t="shared" si="277"/>
        <v xml:space="preserve"> </v>
      </c>
      <c r="GU61" s="10" t="str">
        <f t="shared" si="277"/>
        <v xml:space="preserve"> </v>
      </c>
      <c r="GV61" s="10" t="str">
        <f t="shared" si="277"/>
        <v xml:space="preserve"> </v>
      </c>
      <c r="GW61" s="10" t="str">
        <f t="shared" si="277"/>
        <v xml:space="preserve"> </v>
      </c>
      <c r="GX61" s="10" t="str">
        <f t="shared" si="277"/>
        <v xml:space="preserve"> </v>
      </c>
      <c r="HA61" s="10" t="str">
        <f t="shared" si="278"/>
        <v xml:space="preserve"> </v>
      </c>
      <c r="HB61" s="10" t="str">
        <f t="shared" si="278"/>
        <v xml:space="preserve"> </v>
      </c>
      <c r="HC61" s="10" t="str">
        <f t="shared" si="278"/>
        <v xml:space="preserve"> </v>
      </c>
      <c r="HD61" s="10" t="str">
        <f t="shared" si="278"/>
        <v xml:space="preserve"> </v>
      </c>
      <c r="HE61" s="10" t="str">
        <f t="shared" si="278"/>
        <v xml:space="preserve"> </v>
      </c>
      <c r="HH61" s="10" t="str">
        <f t="shared" si="279"/>
        <v xml:space="preserve"> </v>
      </c>
      <c r="HI61" s="10" t="str">
        <f t="shared" si="279"/>
        <v xml:space="preserve"> </v>
      </c>
      <c r="HJ61" s="10" t="str">
        <f t="shared" si="279"/>
        <v xml:space="preserve"> </v>
      </c>
      <c r="HK61" s="10" t="str">
        <f t="shared" si="279"/>
        <v xml:space="preserve"> </v>
      </c>
      <c r="HL61" s="10" t="str">
        <f t="shared" si="279"/>
        <v xml:space="preserve"> </v>
      </c>
      <c r="HO61" s="10" t="str">
        <f t="shared" si="280"/>
        <v xml:space="preserve"> </v>
      </c>
      <c r="HP61" s="10" t="str">
        <f t="shared" si="280"/>
        <v xml:space="preserve"> </v>
      </c>
      <c r="HQ61" s="10" t="str">
        <f t="shared" si="280"/>
        <v xml:space="preserve"> </v>
      </c>
      <c r="HR61" s="10" t="str">
        <f t="shared" si="280"/>
        <v xml:space="preserve"> </v>
      </c>
      <c r="HS61" s="10" t="str">
        <f t="shared" si="280"/>
        <v xml:space="preserve"> </v>
      </c>
      <c r="HV61" s="10" t="str">
        <f t="shared" si="281"/>
        <v xml:space="preserve"> </v>
      </c>
      <c r="HW61" s="10" t="str">
        <f t="shared" si="281"/>
        <v xml:space="preserve"> </v>
      </c>
      <c r="HX61" s="10" t="str">
        <f t="shared" si="281"/>
        <v xml:space="preserve"> </v>
      </c>
      <c r="HY61" s="10" t="str">
        <f t="shared" si="281"/>
        <v xml:space="preserve"> </v>
      </c>
      <c r="HZ61" s="10" t="str">
        <f t="shared" si="281"/>
        <v xml:space="preserve"> </v>
      </c>
      <c r="IC61" s="10" t="str">
        <f t="shared" si="282"/>
        <v xml:space="preserve"> </v>
      </c>
      <c r="ID61" s="10" t="str">
        <f t="shared" si="282"/>
        <v xml:space="preserve"> </v>
      </c>
      <c r="IE61" s="10" t="str">
        <f t="shared" si="282"/>
        <v xml:space="preserve"> </v>
      </c>
      <c r="IF61" s="10" t="str">
        <f t="shared" si="282"/>
        <v xml:space="preserve"> </v>
      </c>
      <c r="IG61" s="10" t="str">
        <f t="shared" si="282"/>
        <v xml:space="preserve"> </v>
      </c>
      <c r="IJ61" s="10" t="str">
        <f t="shared" si="283"/>
        <v xml:space="preserve"> </v>
      </c>
      <c r="IK61" s="10" t="str">
        <f t="shared" si="283"/>
        <v xml:space="preserve"> </v>
      </c>
      <c r="IL61" s="10" t="str">
        <f t="shared" si="283"/>
        <v xml:space="preserve"> </v>
      </c>
      <c r="IM61" s="10" t="str">
        <f t="shared" si="283"/>
        <v xml:space="preserve"> </v>
      </c>
      <c r="IN61" s="10" t="str">
        <f t="shared" si="283"/>
        <v xml:space="preserve"> </v>
      </c>
      <c r="IQ61" s="10" t="str">
        <f t="shared" si="284"/>
        <v xml:space="preserve"> </v>
      </c>
      <c r="IR61" s="10" t="str">
        <f t="shared" si="284"/>
        <v xml:space="preserve"> </v>
      </c>
      <c r="IS61" s="10" t="str">
        <f t="shared" si="284"/>
        <v xml:space="preserve"> </v>
      </c>
      <c r="IT61" s="10" t="str">
        <f t="shared" si="284"/>
        <v xml:space="preserve"> </v>
      </c>
      <c r="IU61" s="10" t="str">
        <f t="shared" si="284"/>
        <v xml:space="preserve"> </v>
      </c>
      <c r="IX61" s="10" t="str">
        <f t="shared" si="285"/>
        <v xml:space="preserve"> </v>
      </c>
      <c r="IY61" s="10" t="str">
        <f t="shared" si="285"/>
        <v xml:space="preserve"> </v>
      </c>
      <c r="IZ61" s="10" t="str">
        <f t="shared" si="285"/>
        <v xml:space="preserve"> </v>
      </c>
      <c r="JA61" s="10" t="str">
        <f t="shared" si="285"/>
        <v xml:space="preserve"> </v>
      </c>
      <c r="JB61" s="10" t="str">
        <f t="shared" si="285"/>
        <v xml:space="preserve"> </v>
      </c>
      <c r="JE61" s="10" t="str">
        <f t="shared" si="286"/>
        <v xml:space="preserve"> </v>
      </c>
      <c r="JF61" s="10" t="str">
        <f t="shared" si="286"/>
        <v xml:space="preserve"> </v>
      </c>
      <c r="JG61" s="10" t="str">
        <f t="shared" si="286"/>
        <v xml:space="preserve"> </v>
      </c>
      <c r="JH61" s="10" t="str">
        <f t="shared" si="286"/>
        <v xml:space="preserve"> </v>
      </c>
      <c r="JI61" s="10" t="str">
        <f t="shared" si="286"/>
        <v xml:space="preserve"> </v>
      </c>
    </row>
    <row r="62" spans="1:269">
      <c r="J62" s="13"/>
      <c r="M62" s="10" t="str">
        <f t="shared" si="88"/>
        <v xml:space="preserve"> </v>
      </c>
      <c r="N62" s="10" t="str">
        <f t="shared" si="88"/>
        <v xml:space="preserve"> </v>
      </c>
      <c r="O62" s="10" t="str">
        <f t="shared" si="88"/>
        <v xml:space="preserve"> </v>
      </c>
      <c r="P62" s="10" t="str">
        <f t="shared" si="88"/>
        <v xml:space="preserve"> </v>
      </c>
      <c r="Q62" s="10" t="str">
        <f t="shared" si="88"/>
        <v xml:space="preserve"> </v>
      </c>
      <c r="R62" s="14"/>
      <c r="S62" s="14"/>
      <c r="T62" s="10" t="str">
        <f t="shared" si="89"/>
        <v xml:space="preserve"> </v>
      </c>
      <c r="U62" s="10" t="str">
        <f t="shared" si="89"/>
        <v xml:space="preserve"> </v>
      </c>
      <c r="V62" s="10" t="str">
        <f t="shared" si="89"/>
        <v xml:space="preserve"> </v>
      </c>
      <c r="W62" s="10" t="str">
        <f t="shared" si="89"/>
        <v xml:space="preserve"> </v>
      </c>
      <c r="X62" s="10" t="str">
        <f t="shared" si="89"/>
        <v xml:space="preserve"> </v>
      </c>
      <c r="Y62" s="14"/>
      <c r="Z62" s="14"/>
      <c r="AA62" s="10" t="str">
        <f t="shared" si="90"/>
        <v xml:space="preserve"> </v>
      </c>
      <c r="AB62" s="10" t="str">
        <f t="shared" si="90"/>
        <v xml:space="preserve"> </v>
      </c>
      <c r="AC62" s="10" t="str">
        <f t="shared" si="90"/>
        <v xml:space="preserve"> </v>
      </c>
      <c r="AD62" s="10" t="str">
        <f t="shared" si="90"/>
        <v xml:space="preserve"> </v>
      </c>
      <c r="AE62" s="10" t="str">
        <f t="shared" si="90"/>
        <v xml:space="preserve"> </v>
      </c>
      <c r="AF62" s="14"/>
      <c r="AG62" s="14"/>
      <c r="AH62" s="10" t="str">
        <f t="shared" si="91"/>
        <v xml:space="preserve"> </v>
      </c>
      <c r="AI62" s="10" t="str">
        <f t="shared" si="91"/>
        <v xml:space="preserve"> </v>
      </c>
      <c r="AJ62" s="10" t="str">
        <f t="shared" si="91"/>
        <v xml:space="preserve"> </v>
      </c>
      <c r="AK62" s="10" t="str">
        <f t="shared" si="91"/>
        <v xml:space="preserve"> </v>
      </c>
      <c r="AL62" s="10" t="str">
        <f t="shared" si="91"/>
        <v xml:space="preserve"> </v>
      </c>
      <c r="AM62" s="14"/>
      <c r="AN62" s="14"/>
      <c r="AO62" s="10" t="str">
        <f t="shared" si="92"/>
        <v xml:space="preserve"> </v>
      </c>
      <c r="AP62" s="10" t="str">
        <f t="shared" si="92"/>
        <v xml:space="preserve"> </v>
      </c>
      <c r="AQ62" s="10" t="str">
        <f t="shared" si="92"/>
        <v xml:space="preserve"> </v>
      </c>
      <c r="AR62" s="10" t="str">
        <f t="shared" si="92"/>
        <v xml:space="preserve"> </v>
      </c>
      <c r="AS62" s="10" t="str">
        <f t="shared" si="92"/>
        <v xml:space="preserve"> </v>
      </c>
      <c r="AT62" s="14"/>
      <c r="AU62" s="14"/>
      <c r="AV62" s="10" t="str">
        <f t="shared" si="93"/>
        <v xml:space="preserve"> </v>
      </c>
      <c r="AW62" s="10" t="str">
        <f t="shared" si="93"/>
        <v xml:space="preserve"> </v>
      </c>
      <c r="AX62" s="10" t="str">
        <f t="shared" si="93"/>
        <v xml:space="preserve"> </v>
      </c>
      <c r="AY62" s="10" t="str">
        <f t="shared" si="93"/>
        <v xml:space="preserve"> </v>
      </c>
      <c r="AZ62" s="10" t="str">
        <f t="shared" si="93"/>
        <v xml:space="preserve"> </v>
      </c>
      <c r="BA62" s="14"/>
      <c r="BB62" s="14"/>
      <c r="BC62" s="10" t="str">
        <f t="shared" si="94"/>
        <v xml:space="preserve"> </v>
      </c>
      <c r="BD62" s="10" t="str">
        <f t="shared" si="94"/>
        <v xml:space="preserve"> </v>
      </c>
      <c r="BE62" s="10" t="str">
        <f t="shared" si="94"/>
        <v xml:space="preserve"> </v>
      </c>
      <c r="BF62" s="10" t="str">
        <f t="shared" si="94"/>
        <v xml:space="preserve"> </v>
      </c>
      <c r="BG62" s="10" t="str">
        <f t="shared" si="94"/>
        <v xml:space="preserve"> </v>
      </c>
      <c r="BH62" s="14"/>
      <c r="BI62" s="14"/>
      <c r="BJ62" s="10" t="str">
        <f t="shared" si="95"/>
        <v xml:space="preserve"> </v>
      </c>
      <c r="BK62" s="10" t="str">
        <f t="shared" si="95"/>
        <v xml:space="preserve"> </v>
      </c>
      <c r="BL62" s="10" t="str">
        <f t="shared" si="95"/>
        <v xml:space="preserve"> </v>
      </c>
      <c r="BM62" s="10" t="str">
        <f t="shared" si="95"/>
        <v xml:space="preserve"> </v>
      </c>
      <c r="BN62" s="10" t="str">
        <f t="shared" si="95"/>
        <v xml:space="preserve"> </v>
      </c>
      <c r="BO62" s="14"/>
      <c r="BP62" s="14"/>
      <c r="BQ62" s="10" t="str">
        <f t="shared" si="96"/>
        <v xml:space="preserve"> </v>
      </c>
      <c r="BR62" s="10" t="str">
        <f t="shared" si="96"/>
        <v xml:space="preserve"> </v>
      </c>
      <c r="BS62" s="10" t="str">
        <f t="shared" si="96"/>
        <v xml:space="preserve"> </v>
      </c>
      <c r="BT62" s="10" t="str">
        <f t="shared" si="96"/>
        <v xml:space="preserve"> </v>
      </c>
      <c r="BU62" s="10" t="str">
        <f t="shared" si="96"/>
        <v xml:space="preserve"> </v>
      </c>
      <c r="BV62" s="14"/>
      <c r="BW62" s="14"/>
      <c r="BX62" s="10" t="str">
        <f t="shared" si="97"/>
        <v xml:space="preserve"> </v>
      </c>
      <c r="BY62" s="10" t="str">
        <f t="shared" si="97"/>
        <v xml:space="preserve"> </v>
      </c>
      <c r="BZ62" s="10" t="str">
        <f t="shared" si="97"/>
        <v xml:space="preserve"> </v>
      </c>
      <c r="CA62" s="10" t="str">
        <f t="shared" si="97"/>
        <v xml:space="preserve"> </v>
      </c>
      <c r="CB62" s="10" t="str">
        <f t="shared" si="97"/>
        <v xml:space="preserve"> </v>
      </c>
      <c r="CC62" s="14"/>
      <c r="CD62" s="14"/>
      <c r="CE62" s="10" t="str">
        <f t="shared" si="98"/>
        <v xml:space="preserve"> </v>
      </c>
      <c r="CF62" s="10" t="str">
        <f t="shared" si="98"/>
        <v xml:space="preserve"> </v>
      </c>
      <c r="CG62" s="10" t="str">
        <f t="shared" si="98"/>
        <v xml:space="preserve"> </v>
      </c>
      <c r="CH62" s="10" t="str">
        <f t="shared" si="98"/>
        <v xml:space="preserve"> </v>
      </c>
      <c r="CI62" s="10" t="str">
        <f t="shared" si="98"/>
        <v xml:space="preserve"> </v>
      </c>
      <c r="CJ62" s="14"/>
      <c r="CK62" s="14"/>
      <c r="CL62" s="10" t="str">
        <f t="shared" si="99"/>
        <v xml:space="preserve"> </v>
      </c>
      <c r="CM62" s="10" t="str">
        <f t="shared" si="99"/>
        <v xml:space="preserve"> </v>
      </c>
      <c r="CN62" s="10" t="str">
        <f t="shared" si="99"/>
        <v xml:space="preserve"> </v>
      </c>
      <c r="CO62" s="10" t="str">
        <f t="shared" si="99"/>
        <v xml:space="preserve"> </v>
      </c>
      <c r="CP62" s="10" t="str">
        <f t="shared" si="99"/>
        <v xml:space="preserve"> </v>
      </c>
      <c r="CQ62" s="14"/>
      <c r="CR62" s="14"/>
      <c r="CS62" s="10" t="str">
        <f t="shared" si="100"/>
        <v xml:space="preserve"> </v>
      </c>
      <c r="CT62" s="10" t="str">
        <f t="shared" si="100"/>
        <v xml:space="preserve"> </v>
      </c>
      <c r="CU62" s="10" t="str">
        <f t="shared" si="100"/>
        <v xml:space="preserve"> </v>
      </c>
      <c r="CV62" s="10" t="str">
        <f t="shared" si="100"/>
        <v xml:space="preserve"> </v>
      </c>
      <c r="CW62" s="10" t="str">
        <f t="shared" si="100"/>
        <v xml:space="preserve"> </v>
      </c>
      <c r="CZ62" s="10" t="str">
        <f t="shared" si="101"/>
        <v xml:space="preserve"> </v>
      </c>
      <c r="DA62" s="10" t="str">
        <f t="shared" si="101"/>
        <v xml:space="preserve"> </v>
      </c>
      <c r="DB62" s="10" t="str">
        <f t="shared" si="101"/>
        <v xml:space="preserve"> </v>
      </c>
      <c r="DC62" s="10" t="str">
        <f t="shared" si="101"/>
        <v xml:space="preserve"> </v>
      </c>
      <c r="DD62" s="10" t="str">
        <f t="shared" si="101"/>
        <v xml:space="preserve"> </v>
      </c>
      <c r="DG62" s="10" t="str">
        <f t="shared" si="102"/>
        <v xml:space="preserve"> </v>
      </c>
      <c r="DH62" s="10" t="str">
        <f t="shared" si="102"/>
        <v xml:space="preserve"> </v>
      </c>
      <c r="DI62" s="10" t="str">
        <f t="shared" si="102"/>
        <v xml:space="preserve"> </v>
      </c>
      <c r="DJ62" s="10" t="str">
        <f t="shared" si="102"/>
        <v xml:space="preserve"> </v>
      </c>
      <c r="DK62" s="10" t="str">
        <f t="shared" si="102"/>
        <v xml:space="preserve"> </v>
      </c>
      <c r="DN62" s="10" t="str">
        <f t="shared" si="103"/>
        <v xml:space="preserve"> </v>
      </c>
      <c r="DO62" s="10" t="str">
        <f t="shared" si="103"/>
        <v xml:space="preserve"> </v>
      </c>
      <c r="DP62" s="10" t="str">
        <f t="shared" si="103"/>
        <v xml:space="preserve"> </v>
      </c>
      <c r="DQ62" s="10" t="str">
        <f t="shared" si="103"/>
        <v xml:space="preserve"> </v>
      </c>
      <c r="DR62" s="10" t="str">
        <f t="shared" si="103"/>
        <v xml:space="preserve"> </v>
      </c>
      <c r="DU62" s="10" t="str">
        <f t="shared" si="104"/>
        <v xml:space="preserve"> </v>
      </c>
      <c r="DV62" s="10" t="str">
        <f t="shared" si="104"/>
        <v xml:space="preserve"> </v>
      </c>
      <c r="DW62" s="10" t="str">
        <f t="shared" si="104"/>
        <v xml:space="preserve"> </v>
      </c>
      <c r="DX62" s="10" t="str">
        <f t="shared" si="104"/>
        <v xml:space="preserve"> </v>
      </c>
      <c r="DY62" s="10" t="str">
        <f t="shared" si="104"/>
        <v xml:space="preserve"> </v>
      </c>
      <c r="EB62" s="10" t="str">
        <f t="shared" si="105"/>
        <v xml:space="preserve"> </v>
      </c>
      <c r="EC62" s="10" t="str">
        <f t="shared" si="105"/>
        <v xml:space="preserve"> </v>
      </c>
      <c r="ED62" s="10" t="str">
        <f t="shared" si="105"/>
        <v xml:space="preserve"> </v>
      </c>
      <c r="EE62" s="10" t="str">
        <f t="shared" si="105"/>
        <v xml:space="preserve"> </v>
      </c>
      <c r="EF62" s="10" t="str">
        <f t="shared" si="105"/>
        <v xml:space="preserve"> </v>
      </c>
      <c r="EI62" s="10" t="str">
        <f t="shared" si="106"/>
        <v xml:space="preserve"> </v>
      </c>
      <c r="EJ62" s="10" t="str">
        <f t="shared" si="106"/>
        <v xml:space="preserve"> </v>
      </c>
      <c r="EK62" s="10" t="str">
        <f t="shared" si="106"/>
        <v xml:space="preserve"> </v>
      </c>
      <c r="EL62" s="10" t="str">
        <f t="shared" si="106"/>
        <v xml:space="preserve"> </v>
      </c>
      <c r="EM62" s="10" t="str">
        <f t="shared" si="106"/>
        <v xml:space="preserve"> </v>
      </c>
      <c r="EP62" s="10" t="str">
        <f t="shared" si="107"/>
        <v xml:space="preserve"> </v>
      </c>
      <c r="EQ62" s="10" t="str">
        <f t="shared" si="107"/>
        <v xml:space="preserve"> </v>
      </c>
      <c r="ER62" s="10" t="str">
        <f t="shared" si="107"/>
        <v xml:space="preserve"> </v>
      </c>
      <c r="ES62" s="10" t="str">
        <f t="shared" si="107"/>
        <v xml:space="preserve"> </v>
      </c>
      <c r="ET62" s="10" t="str">
        <f t="shared" si="107"/>
        <v xml:space="preserve"> </v>
      </c>
      <c r="EW62" s="10" t="str">
        <f t="shared" si="108"/>
        <v xml:space="preserve"> </v>
      </c>
      <c r="EX62" s="10" t="str">
        <f t="shared" si="108"/>
        <v xml:space="preserve"> </v>
      </c>
      <c r="EY62" s="10" t="str">
        <f t="shared" si="108"/>
        <v xml:space="preserve"> </v>
      </c>
      <c r="EZ62" s="10" t="str">
        <f t="shared" si="108"/>
        <v xml:space="preserve"> </v>
      </c>
      <c r="FA62" s="10" t="str">
        <f t="shared" si="108"/>
        <v xml:space="preserve"> </v>
      </c>
      <c r="FD62" s="10" t="str">
        <f t="shared" si="109"/>
        <v xml:space="preserve"> </v>
      </c>
      <c r="FE62" s="10" t="str">
        <f t="shared" si="109"/>
        <v xml:space="preserve"> </v>
      </c>
      <c r="FF62" s="10" t="str">
        <f t="shared" si="109"/>
        <v xml:space="preserve"> </v>
      </c>
      <c r="FG62" s="10" t="str">
        <f t="shared" si="109"/>
        <v xml:space="preserve"> </v>
      </c>
      <c r="FH62" s="10" t="str">
        <f t="shared" si="109"/>
        <v xml:space="preserve"> </v>
      </c>
      <c r="FK62" s="10" t="str">
        <f t="shared" si="110"/>
        <v xml:space="preserve"> </v>
      </c>
      <c r="FL62" s="10" t="str">
        <f t="shared" si="110"/>
        <v xml:space="preserve"> </v>
      </c>
      <c r="FM62" s="10" t="str">
        <f t="shared" si="110"/>
        <v xml:space="preserve"> </v>
      </c>
      <c r="FN62" s="10" t="str">
        <f t="shared" si="110"/>
        <v xml:space="preserve"> </v>
      </c>
      <c r="FO62" s="10" t="str">
        <f t="shared" si="110"/>
        <v xml:space="preserve"> </v>
      </c>
      <c r="FR62" s="10" t="str">
        <f t="shared" si="111"/>
        <v xml:space="preserve"> </v>
      </c>
      <c r="FS62" s="10" t="str">
        <f t="shared" si="111"/>
        <v xml:space="preserve"> </v>
      </c>
      <c r="FT62" s="10" t="str">
        <f t="shared" si="111"/>
        <v xml:space="preserve"> </v>
      </c>
      <c r="FU62" s="10" t="str">
        <f t="shared" si="111"/>
        <v xml:space="preserve"> </v>
      </c>
      <c r="FV62" s="10" t="str">
        <f t="shared" si="111"/>
        <v xml:space="preserve"> </v>
      </c>
      <c r="FY62" s="10" t="str">
        <f t="shared" si="112"/>
        <v xml:space="preserve"> </v>
      </c>
      <c r="FZ62" s="10" t="str">
        <f t="shared" si="112"/>
        <v xml:space="preserve"> </v>
      </c>
      <c r="GA62" s="10" t="str">
        <f t="shared" si="112"/>
        <v xml:space="preserve"> </v>
      </c>
      <c r="GB62" s="10" t="str">
        <f t="shared" si="112"/>
        <v xml:space="preserve"> </v>
      </c>
      <c r="GC62" s="10" t="str">
        <f t="shared" si="112"/>
        <v xml:space="preserve"> </v>
      </c>
      <c r="GF62" s="10" t="str">
        <f t="shared" si="113"/>
        <v xml:space="preserve"> </v>
      </c>
      <c r="GG62" s="10" t="str">
        <f t="shared" si="113"/>
        <v xml:space="preserve"> </v>
      </c>
      <c r="GH62" s="10" t="str">
        <f t="shared" si="113"/>
        <v xml:space="preserve"> </v>
      </c>
      <c r="GI62" s="10" t="str">
        <f t="shared" si="113"/>
        <v xml:space="preserve"> </v>
      </c>
      <c r="GJ62" s="10" t="str">
        <f t="shared" si="113"/>
        <v xml:space="preserve"> </v>
      </c>
      <c r="GM62" s="10" t="str">
        <f t="shared" si="114"/>
        <v xml:space="preserve"> </v>
      </c>
      <c r="GN62" s="10" t="str">
        <f t="shared" si="114"/>
        <v xml:space="preserve"> </v>
      </c>
      <c r="GO62" s="10" t="str">
        <f t="shared" si="114"/>
        <v xml:space="preserve"> </v>
      </c>
      <c r="GP62" s="10" t="str">
        <f t="shared" si="114"/>
        <v xml:space="preserve"> </v>
      </c>
      <c r="GQ62" s="10" t="str">
        <f t="shared" si="114"/>
        <v xml:space="preserve"> </v>
      </c>
      <c r="GT62" s="10" t="str">
        <f t="shared" si="115"/>
        <v xml:space="preserve"> </v>
      </c>
      <c r="GU62" s="10" t="str">
        <f t="shared" si="115"/>
        <v xml:space="preserve"> </v>
      </c>
      <c r="GV62" s="10" t="str">
        <f t="shared" si="115"/>
        <v xml:space="preserve"> </v>
      </c>
      <c r="GW62" s="10" t="str">
        <f t="shared" si="115"/>
        <v xml:space="preserve"> </v>
      </c>
      <c r="GX62" s="10" t="str">
        <f t="shared" si="115"/>
        <v xml:space="preserve"> </v>
      </c>
      <c r="HA62" s="10" t="str">
        <f t="shared" si="116"/>
        <v xml:space="preserve"> </v>
      </c>
      <c r="HB62" s="10" t="str">
        <f t="shared" si="116"/>
        <v xml:space="preserve"> </v>
      </c>
      <c r="HC62" s="10" t="str">
        <f t="shared" si="116"/>
        <v xml:space="preserve"> </v>
      </c>
      <c r="HD62" s="10" t="str">
        <f t="shared" si="116"/>
        <v xml:space="preserve"> </v>
      </c>
      <c r="HE62" s="10" t="str">
        <f t="shared" si="116"/>
        <v xml:space="preserve"> </v>
      </c>
      <c r="HH62" s="10" t="str">
        <f t="shared" si="117"/>
        <v xml:space="preserve"> </v>
      </c>
      <c r="HI62" s="10" t="str">
        <f t="shared" si="117"/>
        <v xml:space="preserve"> </v>
      </c>
      <c r="HJ62" s="10" t="str">
        <f t="shared" si="117"/>
        <v xml:space="preserve"> </v>
      </c>
      <c r="HK62" s="10" t="str">
        <f t="shared" si="117"/>
        <v xml:space="preserve"> </v>
      </c>
      <c r="HL62" s="10" t="str">
        <f t="shared" si="117"/>
        <v xml:space="preserve"> </v>
      </c>
      <c r="HO62" s="10" t="str">
        <f t="shared" si="118"/>
        <v xml:space="preserve"> </v>
      </c>
      <c r="HP62" s="10" t="str">
        <f t="shared" si="118"/>
        <v xml:space="preserve"> </v>
      </c>
      <c r="HQ62" s="10" t="str">
        <f t="shared" si="118"/>
        <v xml:space="preserve"> </v>
      </c>
      <c r="HR62" s="10" t="str">
        <f t="shared" si="118"/>
        <v xml:space="preserve"> </v>
      </c>
      <c r="HS62" s="10" t="str">
        <f t="shared" si="118"/>
        <v xml:space="preserve"> </v>
      </c>
      <c r="HV62" s="10" t="str">
        <f t="shared" si="119"/>
        <v xml:space="preserve"> </v>
      </c>
      <c r="HW62" s="10" t="str">
        <f t="shared" si="119"/>
        <v xml:space="preserve"> </v>
      </c>
      <c r="HX62" s="10" t="str">
        <f t="shared" si="119"/>
        <v xml:space="preserve"> </v>
      </c>
      <c r="HY62" s="10" t="str">
        <f t="shared" si="119"/>
        <v xml:space="preserve"> </v>
      </c>
      <c r="HZ62" s="10" t="str">
        <f t="shared" si="119"/>
        <v xml:space="preserve"> </v>
      </c>
      <c r="IC62" s="10" t="str">
        <f t="shared" si="120"/>
        <v xml:space="preserve"> </v>
      </c>
      <c r="ID62" s="10" t="str">
        <f t="shared" si="120"/>
        <v xml:space="preserve"> </v>
      </c>
      <c r="IE62" s="10" t="str">
        <f t="shared" si="120"/>
        <v xml:space="preserve"> </v>
      </c>
      <c r="IF62" s="10" t="str">
        <f t="shared" si="120"/>
        <v xml:space="preserve"> </v>
      </c>
      <c r="IG62" s="10" t="str">
        <f t="shared" si="120"/>
        <v xml:space="preserve"> </v>
      </c>
      <c r="IJ62" s="10" t="str">
        <f t="shared" si="121"/>
        <v xml:space="preserve"> </v>
      </c>
      <c r="IK62" s="10" t="str">
        <f t="shared" si="121"/>
        <v xml:space="preserve"> </v>
      </c>
      <c r="IL62" s="10" t="str">
        <f t="shared" si="121"/>
        <v xml:space="preserve"> </v>
      </c>
      <c r="IM62" s="10" t="str">
        <f t="shared" si="121"/>
        <v xml:space="preserve"> </v>
      </c>
      <c r="IN62" s="10" t="str">
        <f t="shared" si="121"/>
        <v xml:space="preserve"> </v>
      </c>
      <c r="IQ62" s="10" t="str">
        <f t="shared" si="122"/>
        <v xml:space="preserve"> </v>
      </c>
      <c r="IR62" s="10" t="str">
        <f t="shared" si="122"/>
        <v xml:space="preserve"> </v>
      </c>
      <c r="IS62" s="10" t="str">
        <f t="shared" si="122"/>
        <v xml:space="preserve"> </v>
      </c>
      <c r="IT62" s="10" t="str">
        <f t="shared" si="122"/>
        <v xml:space="preserve"> </v>
      </c>
      <c r="IU62" s="10" t="str">
        <f t="shared" si="122"/>
        <v xml:space="preserve"> </v>
      </c>
      <c r="IX62" s="10" t="str">
        <f t="shared" si="123"/>
        <v xml:space="preserve"> </v>
      </c>
      <c r="IY62" s="10" t="str">
        <f t="shared" si="123"/>
        <v xml:space="preserve"> </v>
      </c>
      <c r="IZ62" s="10" t="str">
        <f t="shared" si="123"/>
        <v xml:space="preserve"> </v>
      </c>
      <c r="JA62" s="10" t="str">
        <f t="shared" si="123"/>
        <v xml:space="preserve"> </v>
      </c>
      <c r="JB62" s="10" t="str">
        <f t="shared" si="123"/>
        <v xml:space="preserve"> </v>
      </c>
      <c r="JE62" s="10" t="str">
        <f t="shared" si="124"/>
        <v xml:space="preserve"> </v>
      </c>
      <c r="JF62" s="10" t="str">
        <f t="shared" si="124"/>
        <v xml:space="preserve"> </v>
      </c>
      <c r="JG62" s="10" t="str">
        <f t="shared" si="124"/>
        <v xml:space="preserve"> </v>
      </c>
      <c r="JH62" s="10" t="str">
        <f t="shared" si="124"/>
        <v xml:space="preserve"> </v>
      </c>
      <c r="JI62" s="10" t="str">
        <f t="shared" si="124"/>
        <v xml:space="preserve"> </v>
      </c>
    </row>
    <row r="63" spans="1:269">
      <c r="M63" s="10" t="str">
        <f t="shared" si="88"/>
        <v xml:space="preserve"> </v>
      </c>
      <c r="N63" s="10" t="str">
        <f t="shared" si="88"/>
        <v xml:space="preserve"> </v>
      </c>
      <c r="O63" s="10" t="str">
        <f t="shared" si="88"/>
        <v xml:space="preserve"> </v>
      </c>
      <c r="P63" s="10" t="str">
        <f t="shared" si="88"/>
        <v xml:space="preserve"> </v>
      </c>
      <c r="Q63" s="10" t="str">
        <f t="shared" si="88"/>
        <v xml:space="preserve"> </v>
      </c>
      <c r="R63" s="14"/>
      <c r="S63" s="14"/>
      <c r="T63" s="10" t="str">
        <f t="shared" si="89"/>
        <v xml:space="preserve"> </v>
      </c>
      <c r="U63" s="10" t="str">
        <f t="shared" si="89"/>
        <v xml:space="preserve"> </v>
      </c>
      <c r="V63" s="10" t="str">
        <f t="shared" si="89"/>
        <v xml:space="preserve"> </v>
      </c>
      <c r="W63" s="10" t="str">
        <f t="shared" si="89"/>
        <v xml:space="preserve"> </v>
      </c>
      <c r="X63" s="10" t="str">
        <f t="shared" si="89"/>
        <v xml:space="preserve"> </v>
      </c>
      <c r="Y63" s="14"/>
      <c r="Z63" s="14"/>
      <c r="AA63" s="10" t="str">
        <f t="shared" si="90"/>
        <v xml:space="preserve"> </v>
      </c>
      <c r="AB63" s="10" t="str">
        <f t="shared" si="90"/>
        <v xml:space="preserve"> </v>
      </c>
      <c r="AC63" s="10" t="str">
        <f t="shared" si="90"/>
        <v xml:space="preserve"> </v>
      </c>
      <c r="AD63" s="10" t="str">
        <f t="shared" si="90"/>
        <v xml:space="preserve"> </v>
      </c>
      <c r="AE63" s="10" t="str">
        <f t="shared" si="90"/>
        <v xml:space="preserve"> </v>
      </c>
      <c r="AF63" s="14"/>
      <c r="AG63" s="14"/>
      <c r="AH63" s="10" t="str">
        <f t="shared" si="91"/>
        <v xml:space="preserve"> </v>
      </c>
      <c r="AI63" s="10" t="str">
        <f t="shared" si="91"/>
        <v xml:space="preserve"> </v>
      </c>
      <c r="AJ63" s="10" t="str">
        <f t="shared" si="91"/>
        <v xml:space="preserve"> </v>
      </c>
      <c r="AK63" s="10" t="str">
        <f t="shared" si="91"/>
        <v xml:space="preserve"> </v>
      </c>
      <c r="AL63" s="10" t="str">
        <f t="shared" si="91"/>
        <v xml:space="preserve"> </v>
      </c>
      <c r="AM63" s="14"/>
      <c r="AN63" s="14"/>
      <c r="AO63" s="10" t="str">
        <f t="shared" si="92"/>
        <v xml:space="preserve"> </v>
      </c>
      <c r="AP63" s="10" t="str">
        <f t="shared" si="92"/>
        <v xml:space="preserve"> </v>
      </c>
      <c r="AQ63" s="10" t="str">
        <f t="shared" si="92"/>
        <v xml:space="preserve"> </v>
      </c>
      <c r="AR63" s="10" t="str">
        <f t="shared" si="92"/>
        <v xml:space="preserve"> </v>
      </c>
      <c r="AS63" s="10" t="str">
        <f t="shared" si="92"/>
        <v xml:space="preserve"> </v>
      </c>
      <c r="AT63" s="14"/>
      <c r="AU63" s="14"/>
      <c r="AV63" s="10" t="str">
        <f t="shared" si="93"/>
        <v xml:space="preserve"> </v>
      </c>
      <c r="AW63" s="10" t="str">
        <f t="shared" si="93"/>
        <v xml:space="preserve"> </v>
      </c>
      <c r="AX63" s="10" t="str">
        <f t="shared" si="93"/>
        <v xml:space="preserve"> </v>
      </c>
      <c r="AY63" s="10" t="str">
        <f t="shared" si="93"/>
        <v xml:space="preserve"> </v>
      </c>
      <c r="AZ63" s="10" t="str">
        <f t="shared" si="93"/>
        <v xml:space="preserve"> </v>
      </c>
      <c r="BA63" s="14"/>
      <c r="BB63" s="14"/>
      <c r="BC63" s="10" t="str">
        <f t="shared" si="94"/>
        <v xml:space="preserve"> </v>
      </c>
      <c r="BD63" s="10" t="str">
        <f t="shared" si="94"/>
        <v xml:space="preserve"> </v>
      </c>
      <c r="BE63" s="10" t="str">
        <f t="shared" si="94"/>
        <v xml:space="preserve"> </v>
      </c>
      <c r="BF63" s="10" t="str">
        <f t="shared" si="94"/>
        <v xml:space="preserve"> </v>
      </c>
      <c r="BG63" s="10" t="str">
        <f t="shared" si="94"/>
        <v xml:space="preserve"> </v>
      </c>
      <c r="BH63" s="14"/>
      <c r="BI63" s="14"/>
      <c r="BJ63" s="10" t="str">
        <f t="shared" si="95"/>
        <v xml:space="preserve"> </v>
      </c>
      <c r="BK63" s="10" t="str">
        <f t="shared" si="95"/>
        <v xml:space="preserve"> </v>
      </c>
      <c r="BL63" s="10" t="str">
        <f t="shared" si="95"/>
        <v xml:space="preserve"> </v>
      </c>
      <c r="BM63" s="10" t="str">
        <f t="shared" si="95"/>
        <v xml:space="preserve"> </v>
      </c>
      <c r="BN63" s="10" t="str">
        <f t="shared" si="95"/>
        <v xml:space="preserve"> </v>
      </c>
      <c r="BO63" s="14"/>
      <c r="BP63" s="14"/>
      <c r="BQ63" s="10" t="str">
        <f t="shared" si="96"/>
        <v xml:space="preserve"> </v>
      </c>
      <c r="BR63" s="10" t="str">
        <f t="shared" si="96"/>
        <v xml:space="preserve"> </v>
      </c>
      <c r="BS63" s="10" t="str">
        <f t="shared" si="96"/>
        <v xml:space="preserve"> </v>
      </c>
      <c r="BT63" s="10" t="str">
        <f t="shared" si="96"/>
        <v xml:space="preserve"> </v>
      </c>
      <c r="BU63" s="10" t="str">
        <f t="shared" si="96"/>
        <v xml:space="preserve"> </v>
      </c>
      <c r="BV63" s="14"/>
      <c r="BW63" s="14"/>
      <c r="BX63" s="10" t="str">
        <f t="shared" si="97"/>
        <v xml:space="preserve"> </v>
      </c>
      <c r="BY63" s="10" t="str">
        <f t="shared" si="97"/>
        <v xml:space="preserve"> </v>
      </c>
      <c r="BZ63" s="10" t="str">
        <f t="shared" si="97"/>
        <v xml:space="preserve"> </v>
      </c>
      <c r="CA63" s="10" t="str">
        <f t="shared" si="97"/>
        <v xml:space="preserve"> </v>
      </c>
      <c r="CB63" s="10" t="str">
        <f t="shared" si="97"/>
        <v xml:space="preserve"> </v>
      </c>
      <c r="CC63" s="14"/>
      <c r="CD63" s="14"/>
      <c r="CE63" s="10" t="str">
        <f t="shared" si="98"/>
        <v xml:space="preserve"> </v>
      </c>
      <c r="CF63" s="10" t="str">
        <f t="shared" si="98"/>
        <v xml:space="preserve"> </v>
      </c>
      <c r="CG63" s="10" t="str">
        <f t="shared" si="98"/>
        <v xml:space="preserve"> </v>
      </c>
      <c r="CH63" s="10" t="str">
        <f t="shared" si="98"/>
        <v xml:space="preserve"> </v>
      </c>
      <c r="CI63" s="10" t="str">
        <f t="shared" si="98"/>
        <v xml:space="preserve"> </v>
      </c>
      <c r="CJ63" s="14"/>
      <c r="CK63" s="14"/>
      <c r="CL63" s="10" t="str">
        <f t="shared" si="99"/>
        <v xml:space="preserve"> </v>
      </c>
      <c r="CM63" s="10" t="str">
        <f t="shared" si="99"/>
        <v xml:space="preserve"> </v>
      </c>
      <c r="CN63" s="10" t="str">
        <f t="shared" si="99"/>
        <v xml:space="preserve"> </v>
      </c>
      <c r="CO63" s="10" t="str">
        <f t="shared" si="99"/>
        <v xml:space="preserve"> </v>
      </c>
      <c r="CP63" s="10" t="str">
        <f t="shared" si="99"/>
        <v xml:space="preserve"> </v>
      </c>
      <c r="CQ63" s="14"/>
      <c r="CR63" s="14"/>
      <c r="CS63" s="10" t="str">
        <f t="shared" si="100"/>
        <v xml:space="preserve"> </v>
      </c>
      <c r="CT63" s="10" t="str">
        <f t="shared" si="100"/>
        <v xml:space="preserve"> </v>
      </c>
      <c r="CU63" s="10" t="str">
        <f t="shared" si="100"/>
        <v xml:space="preserve"> </v>
      </c>
      <c r="CV63" s="10" t="str">
        <f t="shared" si="100"/>
        <v xml:space="preserve"> </v>
      </c>
      <c r="CW63" s="10" t="str">
        <f t="shared" si="100"/>
        <v xml:space="preserve"> </v>
      </c>
      <c r="CZ63" s="10" t="str">
        <f t="shared" si="101"/>
        <v xml:space="preserve"> </v>
      </c>
      <c r="DA63" s="10" t="str">
        <f t="shared" si="101"/>
        <v xml:space="preserve"> </v>
      </c>
      <c r="DB63" s="10" t="str">
        <f t="shared" si="101"/>
        <v xml:space="preserve"> </v>
      </c>
      <c r="DC63" s="10" t="str">
        <f t="shared" si="101"/>
        <v xml:space="preserve"> </v>
      </c>
      <c r="DD63" s="10" t="str">
        <f t="shared" si="101"/>
        <v xml:space="preserve"> </v>
      </c>
      <c r="DG63" s="10" t="str">
        <f t="shared" si="102"/>
        <v xml:space="preserve"> </v>
      </c>
      <c r="DH63" s="10" t="str">
        <f t="shared" si="102"/>
        <v xml:space="preserve"> </v>
      </c>
      <c r="DI63" s="10" t="str">
        <f t="shared" si="102"/>
        <v xml:space="preserve"> </v>
      </c>
      <c r="DJ63" s="10" t="str">
        <f t="shared" si="102"/>
        <v xml:space="preserve"> </v>
      </c>
      <c r="DK63" s="10" t="str">
        <f t="shared" si="102"/>
        <v xml:space="preserve"> </v>
      </c>
      <c r="DN63" s="10" t="str">
        <f t="shared" si="103"/>
        <v xml:space="preserve"> </v>
      </c>
      <c r="DO63" s="10" t="str">
        <f t="shared" si="103"/>
        <v xml:space="preserve"> </v>
      </c>
      <c r="DP63" s="10" t="str">
        <f t="shared" si="103"/>
        <v xml:space="preserve"> </v>
      </c>
      <c r="DQ63" s="10" t="str">
        <f t="shared" si="103"/>
        <v xml:space="preserve"> </v>
      </c>
      <c r="DR63" s="10" t="str">
        <f t="shared" si="103"/>
        <v xml:space="preserve"> </v>
      </c>
      <c r="DU63" s="10" t="str">
        <f t="shared" si="104"/>
        <v xml:space="preserve"> </v>
      </c>
      <c r="DV63" s="10" t="str">
        <f t="shared" si="104"/>
        <v xml:space="preserve"> </v>
      </c>
      <c r="DW63" s="10" t="str">
        <f t="shared" si="104"/>
        <v xml:space="preserve"> </v>
      </c>
      <c r="DX63" s="10" t="str">
        <f t="shared" si="104"/>
        <v xml:space="preserve"> </v>
      </c>
      <c r="DY63" s="10" t="str">
        <f t="shared" si="104"/>
        <v xml:space="preserve"> </v>
      </c>
      <c r="EB63" s="10" t="str">
        <f t="shared" si="105"/>
        <v xml:space="preserve"> </v>
      </c>
      <c r="EC63" s="10" t="str">
        <f t="shared" si="105"/>
        <v xml:space="preserve"> </v>
      </c>
      <c r="ED63" s="10" t="str">
        <f t="shared" si="105"/>
        <v xml:space="preserve"> </v>
      </c>
      <c r="EE63" s="10" t="str">
        <f t="shared" si="105"/>
        <v xml:space="preserve"> </v>
      </c>
      <c r="EF63" s="10" t="str">
        <f t="shared" si="105"/>
        <v xml:space="preserve"> </v>
      </c>
      <c r="EI63" s="10" t="str">
        <f t="shared" si="106"/>
        <v xml:space="preserve"> </v>
      </c>
      <c r="EJ63" s="10" t="str">
        <f t="shared" si="106"/>
        <v xml:space="preserve"> </v>
      </c>
      <c r="EK63" s="10" t="str">
        <f t="shared" si="106"/>
        <v xml:space="preserve"> </v>
      </c>
      <c r="EL63" s="10" t="str">
        <f t="shared" si="106"/>
        <v xml:space="preserve"> </v>
      </c>
      <c r="EM63" s="10" t="str">
        <f t="shared" si="106"/>
        <v xml:space="preserve"> </v>
      </c>
      <c r="EP63" s="10" t="str">
        <f t="shared" si="107"/>
        <v xml:space="preserve"> </v>
      </c>
      <c r="EQ63" s="10" t="str">
        <f t="shared" si="107"/>
        <v xml:space="preserve"> </v>
      </c>
      <c r="ER63" s="10" t="str">
        <f t="shared" si="107"/>
        <v xml:space="preserve"> </v>
      </c>
      <c r="ES63" s="10" t="str">
        <f t="shared" si="107"/>
        <v xml:space="preserve"> </v>
      </c>
      <c r="ET63" s="10" t="str">
        <f t="shared" si="107"/>
        <v xml:space="preserve"> </v>
      </c>
      <c r="EW63" s="10" t="str">
        <f t="shared" si="108"/>
        <v xml:space="preserve"> </v>
      </c>
      <c r="EX63" s="10" t="str">
        <f t="shared" si="108"/>
        <v xml:space="preserve"> </v>
      </c>
      <c r="EY63" s="10" t="str">
        <f t="shared" si="108"/>
        <v xml:space="preserve"> </v>
      </c>
      <c r="EZ63" s="10" t="str">
        <f t="shared" si="108"/>
        <v xml:space="preserve"> </v>
      </c>
      <c r="FA63" s="10" t="str">
        <f t="shared" si="108"/>
        <v xml:space="preserve"> </v>
      </c>
      <c r="FD63" s="10" t="str">
        <f t="shared" si="109"/>
        <v xml:space="preserve"> </v>
      </c>
      <c r="FE63" s="10" t="str">
        <f t="shared" si="109"/>
        <v xml:space="preserve"> </v>
      </c>
      <c r="FF63" s="10" t="str">
        <f t="shared" si="109"/>
        <v xml:space="preserve"> </v>
      </c>
      <c r="FG63" s="10" t="str">
        <f t="shared" si="109"/>
        <v xml:space="preserve"> </v>
      </c>
      <c r="FH63" s="10" t="str">
        <f t="shared" si="109"/>
        <v xml:space="preserve"> </v>
      </c>
      <c r="FK63" s="10" t="str">
        <f t="shared" si="110"/>
        <v xml:space="preserve"> </v>
      </c>
      <c r="FL63" s="10" t="str">
        <f t="shared" si="110"/>
        <v xml:space="preserve"> </v>
      </c>
      <c r="FM63" s="10" t="str">
        <f t="shared" si="110"/>
        <v xml:space="preserve"> </v>
      </c>
      <c r="FN63" s="10" t="str">
        <f t="shared" si="110"/>
        <v xml:space="preserve"> </v>
      </c>
      <c r="FO63" s="10" t="str">
        <f t="shared" si="110"/>
        <v xml:space="preserve"> </v>
      </c>
      <c r="FR63" s="10" t="str">
        <f t="shared" si="111"/>
        <v xml:space="preserve"> </v>
      </c>
      <c r="FS63" s="10" t="str">
        <f t="shared" si="111"/>
        <v xml:space="preserve"> </v>
      </c>
      <c r="FT63" s="10" t="str">
        <f t="shared" si="111"/>
        <v xml:space="preserve"> </v>
      </c>
      <c r="FU63" s="10" t="str">
        <f t="shared" si="111"/>
        <v xml:space="preserve"> </v>
      </c>
      <c r="FV63" s="10" t="str">
        <f t="shared" si="111"/>
        <v xml:space="preserve"> </v>
      </c>
      <c r="FY63" s="10" t="str">
        <f t="shared" si="112"/>
        <v xml:space="preserve"> </v>
      </c>
      <c r="FZ63" s="10" t="str">
        <f t="shared" si="112"/>
        <v xml:space="preserve"> </v>
      </c>
      <c r="GA63" s="10" t="str">
        <f t="shared" si="112"/>
        <v xml:space="preserve"> </v>
      </c>
      <c r="GB63" s="10" t="str">
        <f t="shared" si="112"/>
        <v xml:space="preserve"> </v>
      </c>
      <c r="GC63" s="10" t="str">
        <f t="shared" si="112"/>
        <v xml:space="preserve"> </v>
      </c>
      <c r="GF63" s="10" t="str">
        <f t="shared" si="113"/>
        <v xml:space="preserve"> </v>
      </c>
      <c r="GG63" s="10" t="str">
        <f t="shared" si="113"/>
        <v xml:space="preserve"> </v>
      </c>
      <c r="GH63" s="10" t="str">
        <f t="shared" si="113"/>
        <v xml:space="preserve"> </v>
      </c>
      <c r="GI63" s="10" t="str">
        <f t="shared" si="113"/>
        <v xml:space="preserve"> </v>
      </c>
      <c r="GJ63" s="10" t="str">
        <f t="shared" si="113"/>
        <v xml:space="preserve"> </v>
      </c>
      <c r="GM63" s="10" t="str">
        <f t="shared" si="114"/>
        <v xml:space="preserve"> </v>
      </c>
      <c r="GN63" s="10" t="str">
        <f t="shared" si="114"/>
        <v xml:space="preserve"> </v>
      </c>
      <c r="GO63" s="10" t="str">
        <f t="shared" si="114"/>
        <v xml:space="preserve"> </v>
      </c>
      <c r="GP63" s="10" t="str">
        <f t="shared" si="114"/>
        <v xml:space="preserve"> </v>
      </c>
      <c r="GQ63" s="10" t="str">
        <f t="shared" si="114"/>
        <v xml:space="preserve"> </v>
      </c>
      <c r="GT63" s="10" t="str">
        <f t="shared" si="115"/>
        <v xml:space="preserve"> </v>
      </c>
      <c r="GU63" s="10" t="str">
        <f t="shared" si="115"/>
        <v xml:space="preserve"> </v>
      </c>
      <c r="GV63" s="10" t="str">
        <f t="shared" si="115"/>
        <v xml:space="preserve"> </v>
      </c>
      <c r="GW63" s="10" t="str">
        <f t="shared" si="115"/>
        <v xml:space="preserve"> </v>
      </c>
      <c r="GX63" s="10" t="str">
        <f t="shared" si="115"/>
        <v xml:space="preserve"> </v>
      </c>
      <c r="HA63" s="10" t="str">
        <f t="shared" si="116"/>
        <v xml:space="preserve"> </v>
      </c>
      <c r="HB63" s="10" t="str">
        <f t="shared" si="116"/>
        <v xml:space="preserve"> </v>
      </c>
      <c r="HC63" s="10" t="str">
        <f t="shared" si="116"/>
        <v xml:space="preserve"> </v>
      </c>
      <c r="HD63" s="10" t="str">
        <f t="shared" si="116"/>
        <v xml:space="preserve"> </v>
      </c>
      <c r="HE63" s="10" t="str">
        <f t="shared" si="116"/>
        <v xml:space="preserve"> </v>
      </c>
      <c r="HH63" s="10" t="str">
        <f t="shared" si="117"/>
        <v xml:space="preserve"> </v>
      </c>
      <c r="HI63" s="10" t="str">
        <f t="shared" si="117"/>
        <v xml:space="preserve"> </v>
      </c>
      <c r="HJ63" s="10" t="str">
        <f t="shared" si="117"/>
        <v xml:space="preserve"> </v>
      </c>
      <c r="HK63" s="10" t="str">
        <f t="shared" si="117"/>
        <v xml:space="preserve"> </v>
      </c>
      <c r="HL63" s="10" t="str">
        <f t="shared" si="117"/>
        <v xml:space="preserve"> </v>
      </c>
      <c r="HO63" s="10" t="str">
        <f t="shared" si="118"/>
        <v xml:space="preserve"> </v>
      </c>
      <c r="HP63" s="10" t="str">
        <f t="shared" si="118"/>
        <v xml:space="preserve"> </v>
      </c>
      <c r="HQ63" s="10" t="str">
        <f t="shared" si="118"/>
        <v xml:space="preserve"> </v>
      </c>
      <c r="HR63" s="10" t="str">
        <f t="shared" si="118"/>
        <v xml:space="preserve"> </v>
      </c>
      <c r="HS63" s="10" t="str">
        <f t="shared" si="118"/>
        <v xml:space="preserve"> </v>
      </c>
      <c r="HV63" s="10" t="str">
        <f t="shared" si="119"/>
        <v xml:space="preserve"> </v>
      </c>
      <c r="HW63" s="10" t="str">
        <f t="shared" si="119"/>
        <v xml:space="preserve"> </v>
      </c>
      <c r="HX63" s="10" t="str">
        <f t="shared" si="119"/>
        <v xml:space="preserve"> </v>
      </c>
      <c r="HY63" s="10" t="str">
        <f t="shared" si="119"/>
        <v xml:space="preserve"> </v>
      </c>
      <c r="HZ63" s="10" t="str">
        <f t="shared" si="119"/>
        <v xml:space="preserve"> </v>
      </c>
      <c r="IC63" s="10" t="str">
        <f t="shared" si="120"/>
        <v xml:space="preserve"> </v>
      </c>
      <c r="ID63" s="10" t="str">
        <f t="shared" si="120"/>
        <v xml:space="preserve"> </v>
      </c>
      <c r="IE63" s="10" t="str">
        <f t="shared" si="120"/>
        <v xml:space="preserve"> </v>
      </c>
      <c r="IF63" s="10" t="str">
        <f t="shared" si="120"/>
        <v xml:space="preserve"> </v>
      </c>
      <c r="IG63" s="10" t="str">
        <f t="shared" si="120"/>
        <v xml:space="preserve"> </v>
      </c>
      <c r="IJ63" s="10" t="str">
        <f t="shared" si="121"/>
        <v xml:space="preserve"> </v>
      </c>
      <c r="IK63" s="10" t="str">
        <f t="shared" si="121"/>
        <v xml:space="preserve"> </v>
      </c>
      <c r="IL63" s="10" t="str">
        <f t="shared" si="121"/>
        <v xml:space="preserve"> </v>
      </c>
      <c r="IM63" s="10" t="str">
        <f t="shared" si="121"/>
        <v xml:space="preserve"> </v>
      </c>
      <c r="IN63" s="10" t="str">
        <f t="shared" si="121"/>
        <v xml:space="preserve"> </v>
      </c>
      <c r="IQ63" s="10" t="str">
        <f t="shared" si="122"/>
        <v xml:space="preserve"> </v>
      </c>
      <c r="IR63" s="10" t="str">
        <f t="shared" si="122"/>
        <v xml:space="preserve"> </v>
      </c>
      <c r="IS63" s="10" t="str">
        <f t="shared" si="122"/>
        <v xml:space="preserve"> </v>
      </c>
      <c r="IT63" s="10" t="str">
        <f t="shared" si="122"/>
        <v xml:space="preserve"> </v>
      </c>
      <c r="IU63" s="10" t="str">
        <f t="shared" si="122"/>
        <v xml:space="preserve"> </v>
      </c>
      <c r="IX63" s="10" t="str">
        <f t="shared" si="123"/>
        <v xml:space="preserve"> </v>
      </c>
      <c r="IY63" s="10" t="str">
        <f t="shared" si="123"/>
        <v xml:space="preserve"> </v>
      </c>
      <c r="IZ63" s="10" t="str">
        <f t="shared" si="123"/>
        <v xml:space="preserve"> </v>
      </c>
      <c r="JA63" s="10" t="str">
        <f t="shared" si="123"/>
        <v xml:space="preserve"> </v>
      </c>
      <c r="JB63" s="10" t="str">
        <f t="shared" si="123"/>
        <v xml:space="preserve"> </v>
      </c>
      <c r="JE63" s="10" t="str">
        <f t="shared" si="124"/>
        <v xml:space="preserve"> </v>
      </c>
      <c r="JF63" s="10" t="str">
        <f t="shared" si="124"/>
        <v xml:space="preserve"> </v>
      </c>
      <c r="JG63" s="10" t="str">
        <f t="shared" si="124"/>
        <v xml:space="preserve"> </v>
      </c>
      <c r="JH63" s="10" t="str">
        <f t="shared" si="124"/>
        <v xml:space="preserve"> </v>
      </c>
      <c r="JI63" s="10" t="str">
        <f t="shared" si="124"/>
        <v xml:space="preserve"> </v>
      </c>
    </row>
    <row r="64" spans="1:269">
      <c r="M64" s="10" t="str">
        <f t="shared" si="88"/>
        <v xml:space="preserve"> </v>
      </c>
      <c r="N64" s="10" t="str">
        <f t="shared" si="88"/>
        <v xml:space="preserve"> </v>
      </c>
      <c r="O64" s="10" t="str">
        <f t="shared" si="88"/>
        <v xml:space="preserve"> </v>
      </c>
      <c r="P64" s="10" t="str">
        <f t="shared" si="88"/>
        <v xml:space="preserve"> </v>
      </c>
      <c r="Q64" s="10" t="str">
        <f t="shared" si="88"/>
        <v xml:space="preserve"> </v>
      </c>
      <c r="R64" s="14"/>
      <c r="S64" s="14"/>
      <c r="T64" s="10" t="str">
        <f t="shared" si="89"/>
        <v xml:space="preserve"> </v>
      </c>
      <c r="U64" s="10" t="str">
        <f t="shared" si="89"/>
        <v xml:space="preserve"> </v>
      </c>
      <c r="V64" s="10" t="str">
        <f t="shared" si="89"/>
        <v xml:space="preserve"> </v>
      </c>
      <c r="W64" s="10" t="str">
        <f t="shared" si="89"/>
        <v xml:space="preserve"> </v>
      </c>
      <c r="X64" s="10" t="str">
        <f t="shared" si="89"/>
        <v xml:space="preserve"> </v>
      </c>
      <c r="Y64" s="14"/>
      <c r="Z64" s="14"/>
      <c r="AA64" s="10" t="str">
        <f t="shared" si="90"/>
        <v xml:space="preserve"> </v>
      </c>
      <c r="AB64" s="10" t="str">
        <f t="shared" si="90"/>
        <v xml:space="preserve"> </v>
      </c>
      <c r="AC64" s="10" t="str">
        <f t="shared" si="90"/>
        <v xml:space="preserve"> </v>
      </c>
      <c r="AD64" s="10" t="str">
        <f t="shared" si="90"/>
        <v xml:space="preserve"> </v>
      </c>
      <c r="AE64" s="10" t="str">
        <f t="shared" si="90"/>
        <v xml:space="preserve"> </v>
      </c>
      <c r="AF64" s="14"/>
      <c r="AG64" s="14"/>
      <c r="AH64" s="10" t="str">
        <f t="shared" si="91"/>
        <v xml:space="preserve"> </v>
      </c>
      <c r="AI64" s="10" t="str">
        <f t="shared" si="91"/>
        <v xml:space="preserve"> </v>
      </c>
      <c r="AJ64" s="10" t="str">
        <f t="shared" si="91"/>
        <v xml:space="preserve"> </v>
      </c>
      <c r="AK64" s="10" t="str">
        <f t="shared" si="91"/>
        <v xml:space="preserve"> </v>
      </c>
      <c r="AL64" s="10" t="str">
        <f t="shared" si="91"/>
        <v xml:space="preserve"> </v>
      </c>
      <c r="AM64" s="14"/>
      <c r="AN64" s="14"/>
      <c r="AO64" s="10" t="str">
        <f t="shared" si="92"/>
        <v xml:space="preserve"> </v>
      </c>
      <c r="AP64" s="10" t="str">
        <f t="shared" si="92"/>
        <v xml:space="preserve"> </v>
      </c>
      <c r="AQ64" s="10" t="str">
        <f t="shared" si="92"/>
        <v xml:space="preserve"> </v>
      </c>
      <c r="AR64" s="10" t="str">
        <f t="shared" si="92"/>
        <v xml:space="preserve"> </v>
      </c>
      <c r="AS64" s="10" t="str">
        <f t="shared" si="92"/>
        <v xml:space="preserve"> </v>
      </c>
      <c r="AT64" s="14"/>
      <c r="AU64" s="14"/>
      <c r="AV64" s="10" t="str">
        <f t="shared" si="93"/>
        <v xml:space="preserve"> </v>
      </c>
      <c r="AW64" s="10" t="str">
        <f t="shared" si="93"/>
        <v xml:space="preserve"> </v>
      </c>
      <c r="AX64" s="10" t="str">
        <f t="shared" si="93"/>
        <v xml:space="preserve"> </v>
      </c>
      <c r="AY64" s="10" t="str">
        <f t="shared" si="93"/>
        <v xml:space="preserve"> </v>
      </c>
      <c r="AZ64" s="10" t="str">
        <f t="shared" si="93"/>
        <v xml:space="preserve"> </v>
      </c>
      <c r="BA64" s="14"/>
      <c r="BB64" s="14"/>
      <c r="BC64" s="10" t="str">
        <f t="shared" si="94"/>
        <v xml:space="preserve"> </v>
      </c>
      <c r="BD64" s="10" t="str">
        <f t="shared" si="94"/>
        <v xml:space="preserve"> </v>
      </c>
      <c r="BE64" s="10" t="str">
        <f t="shared" si="94"/>
        <v xml:space="preserve"> </v>
      </c>
      <c r="BF64" s="10" t="str">
        <f t="shared" si="94"/>
        <v xml:space="preserve"> </v>
      </c>
      <c r="BG64" s="10" t="str">
        <f t="shared" si="94"/>
        <v xml:space="preserve"> </v>
      </c>
      <c r="BH64" s="14"/>
      <c r="BI64" s="14"/>
      <c r="BJ64" s="10" t="str">
        <f t="shared" si="95"/>
        <v xml:space="preserve"> </v>
      </c>
      <c r="BK64" s="10" t="str">
        <f t="shared" si="95"/>
        <v xml:space="preserve"> </v>
      </c>
      <c r="BL64" s="10" t="str">
        <f t="shared" si="95"/>
        <v xml:space="preserve"> </v>
      </c>
      <c r="BM64" s="10" t="str">
        <f t="shared" si="95"/>
        <v xml:space="preserve"> </v>
      </c>
      <c r="BN64" s="10" t="str">
        <f t="shared" si="95"/>
        <v xml:space="preserve"> </v>
      </c>
      <c r="BO64" s="14"/>
      <c r="BP64" s="14"/>
      <c r="BQ64" s="10" t="str">
        <f t="shared" si="96"/>
        <v xml:space="preserve"> </v>
      </c>
      <c r="BR64" s="10" t="str">
        <f t="shared" si="96"/>
        <v xml:space="preserve"> </v>
      </c>
      <c r="BS64" s="10" t="str">
        <f t="shared" si="96"/>
        <v xml:space="preserve"> </v>
      </c>
      <c r="BT64" s="10" t="str">
        <f t="shared" si="96"/>
        <v xml:space="preserve"> </v>
      </c>
      <c r="BU64" s="10" t="str">
        <f t="shared" si="96"/>
        <v xml:space="preserve"> </v>
      </c>
      <c r="BV64" s="14"/>
      <c r="BW64" s="14"/>
      <c r="BX64" s="10" t="str">
        <f t="shared" si="97"/>
        <v xml:space="preserve"> </v>
      </c>
      <c r="BY64" s="10" t="str">
        <f t="shared" si="97"/>
        <v xml:space="preserve"> </v>
      </c>
      <c r="BZ64" s="10" t="str">
        <f t="shared" si="97"/>
        <v xml:space="preserve"> </v>
      </c>
      <c r="CA64" s="10" t="str">
        <f t="shared" si="97"/>
        <v xml:space="preserve"> </v>
      </c>
      <c r="CB64" s="10" t="str">
        <f t="shared" si="97"/>
        <v xml:space="preserve"> </v>
      </c>
      <c r="CC64" s="14"/>
      <c r="CD64" s="14"/>
      <c r="CE64" s="10" t="str">
        <f t="shared" si="98"/>
        <v xml:space="preserve"> </v>
      </c>
      <c r="CF64" s="10" t="str">
        <f t="shared" si="98"/>
        <v xml:space="preserve"> </v>
      </c>
      <c r="CG64" s="10" t="str">
        <f t="shared" si="98"/>
        <v xml:space="preserve"> </v>
      </c>
      <c r="CH64" s="10" t="str">
        <f t="shared" si="98"/>
        <v xml:space="preserve"> </v>
      </c>
      <c r="CI64" s="10" t="str">
        <f t="shared" si="98"/>
        <v xml:space="preserve"> </v>
      </c>
      <c r="CJ64" s="14"/>
      <c r="CK64" s="14"/>
      <c r="CL64" s="10" t="str">
        <f t="shared" si="99"/>
        <v xml:space="preserve"> </v>
      </c>
      <c r="CM64" s="10" t="str">
        <f t="shared" si="99"/>
        <v xml:space="preserve"> </v>
      </c>
      <c r="CN64" s="10" t="str">
        <f t="shared" si="99"/>
        <v xml:space="preserve"> </v>
      </c>
      <c r="CO64" s="10" t="str">
        <f t="shared" si="99"/>
        <v xml:space="preserve"> </v>
      </c>
      <c r="CP64" s="10" t="str">
        <f t="shared" si="99"/>
        <v xml:space="preserve"> </v>
      </c>
      <c r="CQ64" s="14"/>
      <c r="CR64" s="14"/>
      <c r="CS64" s="10" t="str">
        <f t="shared" si="100"/>
        <v xml:space="preserve"> </v>
      </c>
      <c r="CT64" s="10" t="str">
        <f t="shared" si="100"/>
        <v xml:space="preserve"> </v>
      </c>
      <c r="CU64" s="10" t="str">
        <f t="shared" si="100"/>
        <v xml:space="preserve"> </v>
      </c>
      <c r="CV64" s="10" t="str">
        <f t="shared" si="100"/>
        <v xml:space="preserve"> </v>
      </c>
      <c r="CW64" s="10" t="str">
        <f t="shared" si="100"/>
        <v xml:space="preserve"> </v>
      </c>
      <c r="CZ64" s="10" t="str">
        <f t="shared" si="101"/>
        <v xml:space="preserve"> </v>
      </c>
      <c r="DA64" s="10" t="str">
        <f t="shared" si="101"/>
        <v xml:space="preserve"> </v>
      </c>
      <c r="DB64" s="10" t="str">
        <f t="shared" si="101"/>
        <v xml:space="preserve"> </v>
      </c>
      <c r="DC64" s="10" t="str">
        <f t="shared" si="101"/>
        <v xml:space="preserve"> </v>
      </c>
      <c r="DD64" s="10" t="str">
        <f t="shared" si="101"/>
        <v xml:space="preserve"> </v>
      </c>
      <c r="DG64" s="10" t="str">
        <f t="shared" si="102"/>
        <v xml:space="preserve"> </v>
      </c>
      <c r="DH64" s="10" t="str">
        <f t="shared" si="102"/>
        <v xml:space="preserve"> </v>
      </c>
      <c r="DI64" s="10" t="str">
        <f t="shared" si="102"/>
        <v xml:space="preserve"> </v>
      </c>
      <c r="DJ64" s="10" t="str">
        <f t="shared" si="102"/>
        <v xml:space="preserve"> </v>
      </c>
      <c r="DK64" s="10" t="str">
        <f t="shared" si="102"/>
        <v xml:space="preserve"> </v>
      </c>
      <c r="DN64" s="10" t="str">
        <f t="shared" si="103"/>
        <v xml:space="preserve"> </v>
      </c>
      <c r="DO64" s="10" t="str">
        <f t="shared" si="103"/>
        <v xml:space="preserve"> </v>
      </c>
      <c r="DP64" s="10" t="str">
        <f t="shared" si="103"/>
        <v xml:space="preserve"> </v>
      </c>
      <c r="DQ64" s="10" t="str">
        <f t="shared" si="103"/>
        <v xml:space="preserve"> </v>
      </c>
      <c r="DR64" s="10" t="str">
        <f t="shared" si="103"/>
        <v xml:space="preserve"> </v>
      </c>
      <c r="DU64" s="10" t="str">
        <f t="shared" si="104"/>
        <v xml:space="preserve"> </v>
      </c>
      <c r="DV64" s="10" t="str">
        <f t="shared" si="104"/>
        <v xml:space="preserve"> </v>
      </c>
      <c r="DW64" s="10" t="str">
        <f t="shared" si="104"/>
        <v xml:space="preserve"> </v>
      </c>
      <c r="DX64" s="10" t="str">
        <f t="shared" si="104"/>
        <v xml:space="preserve"> </v>
      </c>
      <c r="DY64" s="10" t="str">
        <f t="shared" si="104"/>
        <v xml:space="preserve"> </v>
      </c>
      <c r="EB64" s="10" t="str">
        <f t="shared" si="105"/>
        <v xml:space="preserve"> </v>
      </c>
      <c r="EC64" s="10" t="str">
        <f t="shared" si="105"/>
        <v xml:space="preserve"> </v>
      </c>
      <c r="ED64" s="10" t="str">
        <f t="shared" si="105"/>
        <v xml:space="preserve"> </v>
      </c>
      <c r="EE64" s="10" t="str">
        <f t="shared" si="105"/>
        <v xml:space="preserve"> </v>
      </c>
      <c r="EF64" s="10" t="str">
        <f t="shared" si="105"/>
        <v xml:space="preserve"> </v>
      </c>
      <c r="EI64" s="10" t="str">
        <f t="shared" si="106"/>
        <v xml:space="preserve"> </v>
      </c>
      <c r="EJ64" s="10" t="str">
        <f t="shared" si="106"/>
        <v xml:space="preserve"> </v>
      </c>
      <c r="EK64" s="10" t="str">
        <f t="shared" si="106"/>
        <v xml:space="preserve"> </v>
      </c>
      <c r="EL64" s="10" t="str">
        <f t="shared" si="106"/>
        <v xml:space="preserve"> </v>
      </c>
      <c r="EM64" s="10" t="str">
        <f t="shared" si="106"/>
        <v xml:space="preserve"> </v>
      </c>
      <c r="EP64" s="10" t="str">
        <f t="shared" si="107"/>
        <v xml:space="preserve"> </v>
      </c>
      <c r="EQ64" s="10" t="str">
        <f t="shared" si="107"/>
        <v xml:space="preserve"> </v>
      </c>
      <c r="ER64" s="10" t="str">
        <f t="shared" si="107"/>
        <v xml:space="preserve"> </v>
      </c>
      <c r="ES64" s="10" t="str">
        <f t="shared" si="107"/>
        <v xml:space="preserve"> </v>
      </c>
      <c r="ET64" s="10" t="str">
        <f t="shared" si="107"/>
        <v xml:space="preserve"> </v>
      </c>
      <c r="EW64" s="10" t="str">
        <f t="shared" si="108"/>
        <v xml:space="preserve"> </v>
      </c>
      <c r="EX64" s="10" t="str">
        <f t="shared" si="108"/>
        <v xml:space="preserve"> </v>
      </c>
      <c r="EY64" s="10" t="str">
        <f t="shared" si="108"/>
        <v xml:space="preserve"> </v>
      </c>
      <c r="EZ64" s="10" t="str">
        <f t="shared" si="108"/>
        <v xml:space="preserve"> </v>
      </c>
      <c r="FA64" s="10" t="str">
        <f t="shared" si="108"/>
        <v xml:space="preserve"> </v>
      </c>
      <c r="FD64" s="10" t="str">
        <f t="shared" si="109"/>
        <v xml:space="preserve"> </v>
      </c>
      <c r="FE64" s="10" t="str">
        <f t="shared" si="109"/>
        <v xml:space="preserve"> </v>
      </c>
      <c r="FF64" s="10" t="str">
        <f t="shared" si="109"/>
        <v xml:space="preserve"> </v>
      </c>
      <c r="FG64" s="10" t="str">
        <f t="shared" si="109"/>
        <v xml:space="preserve"> </v>
      </c>
      <c r="FH64" s="10" t="str">
        <f t="shared" si="109"/>
        <v xml:space="preserve"> </v>
      </c>
      <c r="FK64" s="10" t="str">
        <f t="shared" si="110"/>
        <v xml:space="preserve"> </v>
      </c>
      <c r="FL64" s="10" t="str">
        <f t="shared" si="110"/>
        <v xml:space="preserve"> </v>
      </c>
      <c r="FM64" s="10" t="str">
        <f t="shared" si="110"/>
        <v xml:space="preserve"> </v>
      </c>
      <c r="FN64" s="10" t="str">
        <f t="shared" si="110"/>
        <v xml:space="preserve"> </v>
      </c>
      <c r="FO64" s="10" t="str">
        <f t="shared" si="110"/>
        <v xml:space="preserve"> </v>
      </c>
      <c r="FR64" s="10" t="str">
        <f t="shared" si="111"/>
        <v xml:space="preserve"> </v>
      </c>
      <c r="FS64" s="10" t="str">
        <f t="shared" si="111"/>
        <v xml:space="preserve"> </v>
      </c>
      <c r="FT64" s="10" t="str">
        <f t="shared" si="111"/>
        <v xml:space="preserve"> </v>
      </c>
      <c r="FU64" s="10" t="str">
        <f t="shared" si="111"/>
        <v xml:space="preserve"> </v>
      </c>
      <c r="FV64" s="10" t="str">
        <f t="shared" si="111"/>
        <v xml:space="preserve"> </v>
      </c>
      <c r="FY64" s="10" t="str">
        <f t="shared" si="112"/>
        <v xml:space="preserve"> </v>
      </c>
      <c r="FZ64" s="10" t="str">
        <f t="shared" si="112"/>
        <v xml:space="preserve"> </v>
      </c>
      <c r="GA64" s="10" t="str">
        <f t="shared" si="112"/>
        <v xml:space="preserve"> </v>
      </c>
      <c r="GB64" s="10" t="str">
        <f t="shared" si="112"/>
        <v xml:space="preserve"> </v>
      </c>
      <c r="GC64" s="10" t="str">
        <f t="shared" si="112"/>
        <v xml:space="preserve"> </v>
      </c>
      <c r="GF64" s="10" t="str">
        <f t="shared" si="113"/>
        <v xml:space="preserve"> </v>
      </c>
      <c r="GG64" s="10" t="str">
        <f t="shared" si="113"/>
        <v xml:space="preserve"> </v>
      </c>
      <c r="GH64" s="10" t="str">
        <f t="shared" si="113"/>
        <v xml:space="preserve"> </v>
      </c>
      <c r="GI64" s="10" t="str">
        <f t="shared" si="113"/>
        <v xml:space="preserve"> </v>
      </c>
      <c r="GJ64" s="10" t="str">
        <f t="shared" si="113"/>
        <v xml:space="preserve"> </v>
      </c>
      <c r="GM64" s="10" t="str">
        <f t="shared" si="114"/>
        <v xml:space="preserve"> </v>
      </c>
      <c r="GN64" s="10" t="str">
        <f t="shared" si="114"/>
        <v xml:space="preserve"> </v>
      </c>
      <c r="GO64" s="10" t="str">
        <f t="shared" si="114"/>
        <v xml:space="preserve"> </v>
      </c>
      <c r="GP64" s="10" t="str">
        <f t="shared" si="114"/>
        <v xml:space="preserve"> </v>
      </c>
      <c r="GQ64" s="10" t="str">
        <f t="shared" si="114"/>
        <v xml:space="preserve"> </v>
      </c>
      <c r="GT64" s="10" t="str">
        <f t="shared" si="115"/>
        <v xml:space="preserve"> </v>
      </c>
      <c r="GU64" s="10" t="str">
        <f t="shared" si="115"/>
        <v xml:space="preserve"> </v>
      </c>
      <c r="GV64" s="10" t="str">
        <f t="shared" si="115"/>
        <v xml:space="preserve"> </v>
      </c>
      <c r="GW64" s="10" t="str">
        <f t="shared" si="115"/>
        <v xml:space="preserve"> </v>
      </c>
      <c r="GX64" s="10" t="str">
        <f t="shared" si="115"/>
        <v xml:space="preserve"> </v>
      </c>
      <c r="HA64" s="10" t="str">
        <f t="shared" si="116"/>
        <v xml:space="preserve"> </v>
      </c>
      <c r="HB64" s="10" t="str">
        <f t="shared" si="116"/>
        <v xml:space="preserve"> </v>
      </c>
      <c r="HC64" s="10" t="str">
        <f t="shared" si="116"/>
        <v xml:space="preserve"> </v>
      </c>
      <c r="HD64" s="10" t="str">
        <f t="shared" si="116"/>
        <v xml:space="preserve"> </v>
      </c>
      <c r="HE64" s="10" t="str">
        <f t="shared" si="116"/>
        <v xml:space="preserve"> </v>
      </c>
      <c r="HH64" s="10" t="str">
        <f t="shared" si="117"/>
        <v xml:space="preserve"> </v>
      </c>
      <c r="HI64" s="10" t="str">
        <f t="shared" si="117"/>
        <v xml:space="preserve"> </v>
      </c>
      <c r="HJ64" s="10" t="str">
        <f t="shared" si="117"/>
        <v xml:space="preserve"> </v>
      </c>
      <c r="HK64" s="10" t="str">
        <f t="shared" si="117"/>
        <v xml:space="preserve"> </v>
      </c>
      <c r="HL64" s="10" t="str">
        <f t="shared" si="117"/>
        <v xml:space="preserve"> </v>
      </c>
      <c r="HO64" s="10" t="str">
        <f t="shared" si="118"/>
        <v xml:space="preserve"> </v>
      </c>
      <c r="HP64" s="10" t="str">
        <f t="shared" si="118"/>
        <v xml:space="preserve"> </v>
      </c>
      <c r="HQ64" s="10" t="str">
        <f t="shared" si="118"/>
        <v xml:space="preserve"> </v>
      </c>
      <c r="HR64" s="10" t="str">
        <f t="shared" si="118"/>
        <v xml:space="preserve"> </v>
      </c>
      <c r="HS64" s="10" t="str">
        <f t="shared" si="118"/>
        <v xml:space="preserve"> </v>
      </c>
      <c r="HV64" s="10" t="str">
        <f t="shared" si="119"/>
        <v xml:space="preserve"> </v>
      </c>
      <c r="HW64" s="10" t="str">
        <f t="shared" si="119"/>
        <v xml:space="preserve"> </v>
      </c>
      <c r="HX64" s="10" t="str">
        <f t="shared" si="119"/>
        <v xml:space="preserve"> </v>
      </c>
      <c r="HY64" s="10" t="str">
        <f t="shared" si="119"/>
        <v xml:space="preserve"> </v>
      </c>
      <c r="HZ64" s="10" t="str">
        <f t="shared" si="119"/>
        <v xml:space="preserve"> </v>
      </c>
      <c r="IC64" s="10" t="str">
        <f t="shared" si="120"/>
        <v xml:space="preserve"> </v>
      </c>
      <c r="ID64" s="10" t="str">
        <f t="shared" si="120"/>
        <v xml:space="preserve"> </v>
      </c>
      <c r="IE64" s="10" t="str">
        <f t="shared" si="120"/>
        <v xml:space="preserve"> </v>
      </c>
      <c r="IF64" s="10" t="str">
        <f t="shared" si="120"/>
        <v xml:space="preserve"> </v>
      </c>
      <c r="IG64" s="10" t="str">
        <f t="shared" si="120"/>
        <v xml:space="preserve"> </v>
      </c>
      <c r="IJ64" s="10" t="str">
        <f t="shared" si="121"/>
        <v xml:space="preserve"> </v>
      </c>
      <c r="IK64" s="10" t="str">
        <f t="shared" si="121"/>
        <v xml:space="preserve"> </v>
      </c>
      <c r="IL64" s="10" t="str">
        <f t="shared" si="121"/>
        <v xml:space="preserve"> </v>
      </c>
      <c r="IM64" s="10" t="str">
        <f t="shared" si="121"/>
        <v xml:space="preserve"> </v>
      </c>
      <c r="IN64" s="10" t="str">
        <f t="shared" si="121"/>
        <v xml:space="preserve"> </v>
      </c>
      <c r="IQ64" s="10" t="str">
        <f t="shared" si="122"/>
        <v xml:space="preserve"> </v>
      </c>
      <c r="IR64" s="10" t="str">
        <f t="shared" si="122"/>
        <v xml:space="preserve"> </v>
      </c>
      <c r="IS64" s="10" t="str">
        <f t="shared" si="122"/>
        <v xml:space="preserve"> </v>
      </c>
      <c r="IT64" s="10" t="str">
        <f t="shared" si="122"/>
        <v xml:space="preserve"> </v>
      </c>
      <c r="IU64" s="10" t="str">
        <f t="shared" si="122"/>
        <v xml:space="preserve"> </v>
      </c>
      <c r="IX64" s="10" t="str">
        <f t="shared" si="123"/>
        <v xml:space="preserve"> </v>
      </c>
      <c r="IY64" s="10" t="str">
        <f t="shared" si="123"/>
        <v xml:space="preserve"> </v>
      </c>
      <c r="IZ64" s="10" t="str">
        <f t="shared" si="123"/>
        <v xml:space="preserve"> </v>
      </c>
      <c r="JA64" s="10" t="str">
        <f t="shared" si="123"/>
        <v xml:space="preserve"> </v>
      </c>
      <c r="JB64" s="10" t="str">
        <f t="shared" si="123"/>
        <v xml:space="preserve"> </v>
      </c>
      <c r="JE64" s="10" t="str">
        <f t="shared" si="124"/>
        <v xml:space="preserve"> </v>
      </c>
      <c r="JF64" s="10" t="str">
        <f t="shared" si="124"/>
        <v xml:space="preserve"> </v>
      </c>
      <c r="JG64" s="10" t="str">
        <f t="shared" si="124"/>
        <v xml:space="preserve"> </v>
      </c>
      <c r="JH64" s="10" t="str">
        <f t="shared" si="124"/>
        <v xml:space="preserve"> </v>
      </c>
      <c r="JI64" s="10" t="str">
        <f t="shared" si="124"/>
        <v xml:space="preserve"> </v>
      </c>
    </row>
    <row r="65" spans="3:269">
      <c r="M65" s="10" t="str">
        <f t="shared" si="88"/>
        <v xml:space="preserve"> </v>
      </c>
      <c r="N65" s="10" t="str">
        <f t="shared" si="88"/>
        <v xml:space="preserve"> </v>
      </c>
      <c r="O65" s="10" t="str">
        <f t="shared" si="88"/>
        <v xml:space="preserve"> </v>
      </c>
      <c r="P65" s="10" t="str">
        <f t="shared" si="88"/>
        <v xml:space="preserve"> </v>
      </c>
      <c r="Q65" s="10" t="str">
        <f t="shared" si="88"/>
        <v xml:space="preserve"> </v>
      </c>
      <c r="R65" s="14"/>
      <c r="S65" s="14"/>
      <c r="T65" s="10" t="str">
        <f t="shared" si="89"/>
        <v xml:space="preserve"> </v>
      </c>
      <c r="U65" s="10" t="str">
        <f t="shared" si="89"/>
        <v xml:space="preserve"> </v>
      </c>
      <c r="V65" s="10" t="str">
        <f t="shared" si="89"/>
        <v xml:space="preserve"> </v>
      </c>
      <c r="W65" s="10" t="str">
        <f t="shared" si="89"/>
        <v xml:space="preserve"> </v>
      </c>
      <c r="X65" s="10" t="str">
        <f t="shared" si="89"/>
        <v xml:space="preserve"> </v>
      </c>
      <c r="Y65" s="14"/>
      <c r="Z65" s="14"/>
      <c r="AA65" s="10" t="str">
        <f t="shared" si="90"/>
        <v xml:space="preserve"> </v>
      </c>
      <c r="AB65" s="10" t="str">
        <f t="shared" si="90"/>
        <v xml:space="preserve"> </v>
      </c>
      <c r="AC65" s="10" t="str">
        <f t="shared" si="90"/>
        <v xml:space="preserve"> </v>
      </c>
      <c r="AD65" s="10" t="str">
        <f t="shared" si="90"/>
        <v xml:space="preserve"> </v>
      </c>
      <c r="AE65" s="10" t="str">
        <f t="shared" si="90"/>
        <v xml:space="preserve"> </v>
      </c>
      <c r="AF65" s="14"/>
      <c r="AG65" s="14"/>
      <c r="AH65" s="10" t="str">
        <f t="shared" si="91"/>
        <v xml:space="preserve"> </v>
      </c>
      <c r="AI65" s="10" t="str">
        <f t="shared" si="91"/>
        <v xml:space="preserve"> </v>
      </c>
      <c r="AJ65" s="10" t="str">
        <f t="shared" si="91"/>
        <v xml:space="preserve"> </v>
      </c>
      <c r="AK65" s="10" t="str">
        <f t="shared" si="91"/>
        <v xml:space="preserve"> </v>
      </c>
      <c r="AL65" s="10" t="str">
        <f t="shared" si="91"/>
        <v xml:space="preserve"> </v>
      </c>
      <c r="AM65" s="14"/>
      <c r="AN65" s="14"/>
      <c r="AO65" s="10" t="str">
        <f t="shared" si="92"/>
        <v xml:space="preserve"> </v>
      </c>
      <c r="AP65" s="10" t="str">
        <f t="shared" si="92"/>
        <v xml:space="preserve"> </v>
      </c>
      <c r="AQ65" s="10" t="str">
        <f t="shared" si="92"/>
        <v xml:space="preserve"> </v>
      </c>
      <c r="AR65" s="10" t="str">
        <f t="shared" si="92"/>
        <v xml:space="preserve"> </v>
      </c>
      <c r="AS65" s="10" t="str">
        <f t="shared" si="92"/>
        <v xml:space="preserve"> </v>
      </c>
      <c r="AT65" s="14"/>
      <c r="AU65" s="14"/>
      <c r="AV65" s="10" t="str">
        <f t="shared" si="93"/>
        <v xml:space="preserve"> </v>
      </c>
      <c r="AW65" s="10" t="str">
        <f t="shared" si="93"/>
        <v xml:space="preserve"> </v>
      </c>
      <c r="AX65" s="10" t="str">
        <f t="shared" si="93"/>
        <v xml:space="preserve"> </v>
      </c>
      <c r="AY65" s="10" t="str">
        <f t="shared" si="93"/>
        <v xml:space="preserve"> </v>
      </c>
      <c r="AZ65" s="10" t="str">
        <f t="shared" si="93"/>
        <v xml:space="preserve"> </v>
      </c>
      <c r="BA65" s="14"/>
      <c r="BB65" s="14"/>
      <c r="BC65" s="10" t="str">
        <f t="shared" si="94"/>
        <v xml:space="preserve"> </v>
      </c>
      <c r="BD65" s="10" t="str">
        <f t="shared" si="94"/>
        <v xml:space="preserve"> </v>
      </c>
      <c r="BE65" s="10" t="str">
        <f t="shared" si="94"/>
        <v xml:space="preserve"> </v>
      </c>
      <c r="BF65" s="10" t="str">
        <f t="shared" si="94"/>
        <v xml:space="preserve"> </v>
      </c>
      <c r="BG65" s="10" t="str">
        <f t="shared" si="94"/>
        <v xml:space="preserve"> </v>
      </c>
      <c r="BH65" s="14"/>
      <c r="BI65" s="14"/>
      <c r="BJ65" s="10" t="str">
        <f t="shared" si="95"/>
        <v xml:space="preserve"> </v>
      </c>
      <c r="BK65" s="10" t="str">
        <f t="shared" si="95"/>
        <v xml:space="preserve"> </v>
      </c>
      <c r="BL65" s="10" t="str">
        <f t="shared" si="95"/>
        <v xml:space="preserve"> </v>
      </c>
      <c r="BM65" s="10" t="str">
        <f t="shared" si="95"/>
        <v xml:space="preserve"> </v>
      </c>
      <c r="BN65" s="10" t="str">
        <f t="shared" si="95"/>
        <v xml:space="preserve"> </v>
      </c>
      <c r="BO65" s="14"/>
      <c r="BP65" s="14"/>
      <c r="BQ65" s="10" t="str">
        <f t="shared" si="96"/>
        <v xml:space="preserve"> </v>
      </c>
      <c r="BR65" s="10" t="str">
        <f t="shared" si="96"/>
        <v xml:space="preserve"> </v>
      </c>
      <c r="BS65" s="10" t="str">
        <f t="shared" si="96"/>
        <v xml:space="preserve"> </v>
      </c>
      <c r="BT65" s="10" t="str">
        <f t="shared" si="96"/>
        <v xml:space="preserve"> </v>
      </c>
      <c r="BU65" s="10" t="str">
        <f t="shared" si="96"/>
        <v xml:space="preserve"> </v>
      </c>
      <c r="BV65" s="14"/>
      <c r="BW65" s="14"/>
      <c r="BX65" s="10" t="str">
        <f t="shared" si="97"/>
        <v xml:space="preserve"> </v>
      </c>
      <c r="BY65" s="10" t="str">
        <f t="shared" si="97"/>
        <v xml:space="preserve"> </v>
      </c>
      <c r="BZ65" s="10" t="str">
        <f t="shared" si="97"/>
        <v xml:space="preserve"> </v>
      </c>
      <c r="CA65" s="10" t="str">
        <f t="shared" si="97"/>
        <v xml:space="preserve"> </v>
      </c>
      <c r="CB65" s="10" t="str">
        <f t="shared" si="97"/>
        <v xml:space="preserve"> </v>
      </c>
      <c r="CC65" s="14"/>
      <c r="CD65" s="14"/>
      <c r="CE65" s="10" t="str">
        <f t="shared" si="98"/>
        <v xml:space="preserve"> </v>
      </c>
      <c r="CF65" s="10" t="str">
        <f t="shared" si="98"/>
        <v xml:space="preserve"> </v>
      </c>
      <c r="CG65" s="10" t="str">
        <f t="shared" si="98"/>
        <v xml:space="preserve"> </v>
      </c>
      <c r="CH65" s="10" t="str">
        <f t="shared" si="98"/>
        <v xml:space="preserve"> </v>
      </c>
      <c r="CI65" s="10" t="str">
        <f t="shared" si="98"/>
        <v xml:space="preserve"> </v>
      </c>
      <c r="CJ65" s="14"/>
      <c r="CK65" s="14"/>
      <c r="CL65" s="10" t="str">
        <f t="shared" si="99"/>
        <v xml:space="preserve"> </v>
      </c>
      <c r="CM65" s="10" t="str">
        <f t="shared" si="99"/>
        <v xml:space="preserve"> </v>
      </c>
      <c r="CN65" s="10" t="str">
        <f t="shared" si="99"/>
        <v xml:space="preserve"> </v>
      </c>
      <c r="CO65" s="10" t="str">
        <f t="shared" si="99"/>
        <v xml:space="preserve"> </v>
      </c>
      <c r="CP65" s="10" t="str">
        <f t="shared" si="99"/>
        <v xml:space="preserve"> </v>
      </c>
      <c r="CQ65" s="14"/>
      <c r="CR65" s="14"/>
      <c r="CS65" s="10" t="str">
        <f t="shared" si="100"/>
        <v xml:space="preserve"> </v>
      </c>
      <c r="CT65" s="10" t="str">
        <f t="shared" si="100"/>
        <v xml:space="preserve"> </v>
      </c>
      <c r="CU65" s="10" t="str">
        <f t="shared" si="100"/>
        <v xml:space="preserve"> </v>
      </c>
      <c r="CV65" s="10" t="str">
        <f t="shared" si="100"/>
        <v xml:space="preserve"> </v>
      </c>
      <c r="CW65" s="10" t="str">
        <f t="shared" si="100"/>
        <v xml:space="preserve"> </v>
      </c>
      <c r="CZ65" s="10" t="str">
        <f t="shared" si="101"/>
        <v xml:space="preserve"> </v>
      </c>
      <c r="DA65" s="10" t="str">
        <f t="shared" si="101"/>
        <v xml:space="preserve"> </v>
      </c>
      <c r="DB65" s="10" t="str">
        <f t="shared" si="101"/>
        <v xml:space="preserve"> </v>
      </c>
      <c r="DC65" s="10" t="str">
        <f t="shared" si="101"/>
        <v xml:space="preserve"> </v>
      </c>
      <c r="DD65" s="10" t="str">
        <f t="shared" si="101"/>
        <v xml:space="preserve"> </v>
      </c>
      <c r="DG65" s="10" t="str">
        <f t="shared" si="102"/>
        <v xml:space="preserve"> </v>
      </c>
      <c r="DH65" s="10" t="str">
        <f t="shared" si="102"/>
        <v xml:space="preserve"> </v>
      </c>
      <c r="DI65" s="10" t="str">
        <f t="shared" si="102"/>
        <v xml:space="preserve"> </v>
      </c>
      <c r="DJ65" s="10" t="str">
        <f t="shared" si="102"/>
        <v xml:space="preserve"> </v>
      </c>
      <c r="DK65" s="10" t="str">
        <f t="shared" si="102"/>
        <v xml:space="preserve"> </v>
      </c>
      <c r="DN65" s="10" t="str">
        <f t="shared" si="103"/>
        <v xml:space="preserve"> </v>
      </c>
      <c r="DO65" s="10" t="str">
        <f t="shared" si="103"/>
        <v xml:space="preserve"> </v>
      </c>
      <c r="DP65" s="10" t="str">
        <f t="shared" si="103"/>
        <v xml:space="preserve"> </v>
      </c>
      <c r="DQ65" s="10" t="str">
        <f t="shared" si="103"/>
        <v xml:space="preserve"> </v>
      </c>
      <c r="DR65" s="10" t="str">
        <f t="shared" si="103"/>
        <v xml:space="preserve"> </v>
      </c>
      <c r="DU65" s="10" t="str">
        <f t="shared" si="104"/>
        <v xml:space="preserve"> </v>
      </c>
      <c r="DV65" s="10" t="str">
        <f t="shared" si="104"/>
        <v xml:space="preserve"> </v>
      </c>
      <c r="DW65" s="10" t="str">
        <f t="shared" si="104"/>
        <v xml:space="preserve"> </v>
      </c>
      <c r="DX65" s="10" t="str">
        <f t="shared" si="104"/>
        <v xml:space="preserve"> </v>
      </c>
      <c r="DY65" s="10" t="str">
        <f t="shared" si="104"/>
        <v xml:space="preserve"> </v>
      </c>
      <c r="EB65" s="10" t="str">
        <f t="shared" si="105"/>
        <v xml:space="preserve"> </v>
      </c>
      <c r="EC65" s="10" t="str">
        <f t="shared" si="105"/>
        <v xml:space="preserve"> </v>
      </c>
      <c r="ED65" s="10" t="str">
        <f t="shared" si="105"/>
        <v xml:space="preserve"> </v>
      </c>
      <c r="EE65" s="10" t="str">
        <f t="shared" si="105"/>
        <v xml:space="preserve"> </v>
      </c>
      <c r="EF65" s="10" t="str">
        <f t="shared" si="105"/>
        <v xml:space="preserve"> </v>
      </c>
      <c r="EI65" s="10" t="str">
        <f t="shared" si="106"/>
        <v xml:space="preserve"> </v>
      </c>
      <c r="EJ65" s="10" t="str">
        <f t="shared" si="106"/>
        <v xml:space="preserve"> </v>
      </c>
      <c r="EK65" s="10" t="str">
        <f t="shared" si="106"/>
        <v xml:space="preserve"> </v>
      </c>
      <c r="EL65" s="10" t="str">
        <f t="shared" si="106"/>
        <v xml:space="preserve"> </v>
      </c>
      <c r="EM65" s="10" t="str">
        <f t="shared" si="106"/>
        <v xml:space="preserve"> </v>
      </c>
      <c r="EP65" s="10" t="str">
        <f t="shared" si="107"/>
        <v xml:space="preserve"> </v>
      </c>
      <c r="EQ65" s="10" t="str">
        <f t="shared" si="107"/>
        <v xml:space="preserve"> </v>
      </c>
      <c r="ER65" s="10" t="str">
        <f t="shared" si="107"/>
        <v xml:space="preserve"> </v>
      </c>
      <c r="ES65" s="10" t="str">
        <f t="shared" si="107"/>
        <v xml:space="preserve"> </v>
      </c>
      <c r="ET65" s="10" t="str">
        <f t="shared" si="107"/>
        <v xml:space="preserve"> </v>
      </c>
      <c r="EW65" s="10" t="str">
        <f t="shared" si="108"/>
        <v xml:space="preserve"> </v>
      </c>
      <c r="EX65" s="10" t="str">
        <f t="shared" si="108"/>
        <v xml:space="preserve"> </v>
      </c>
      <c r="EY65" s="10" t="str">
        <f t="shared" si="108"/>
        <v xml:space="preserve"> </v>
      </c>
      <c r="EZ65" s="10" t="str">
        <f t="shared" si="108"/>
        <v xml:space="preserve"> </v>
      </c>
      <c r="FA65" s="10" t="str">
        <f t="shared" si="108"/>
        <v xml:space="preserve"> </v>
      </c>
      <c r="FD65" s="10" t="str">
        <f t="shared" si="109"/>
        <v xml:space="preserve"> </v>
      </c>
      <c r="FE65" s="10" t="str">
        <f t="shared" si="109"/>
        <v xml:space="preserve"> </v>
      </c>
      <c r="FF65" s="10" t="str">
        <f t="shared" si="109"/>
        <v xml:space="preserve"> </v>
      </c>
      <c r="FG65" s="10" t="str">
        <f t="shared" si="109"/>
        <v xml:space="preserve"> </v>
      </c>
      <c r="FH65" s="10" t="str">
        <f t="shared" si="109"/>
        <v xml:space="preserve"> </v>
      </c>
      <c r="FK65" s="10" t="str">
        <f t="shared" si="110"/>
        <v xml:space="preserve"> </v>
      </c>
      <c r="FL65" s="10" t="str">
        <f t="shared" si="110"/>
        <v xml:space="preserve"> </v>
      </c>
      <c r="FM65" s="10" t="str">
        <f t="shared" si="110"/>
        <v xml:space="preserve"> </v>
      </c>
      <c r="FN65" s="10" t="str">
        <f t="shared" si="110"/>
        <v xml:space="preserve"> </v>
      </c>
      <c r="FO65" s="10" t="str">
        <f t="shared" si="110"/>
        <v xml:space="preserve"> </v>
      </c>
      <c r="FR65" s="10" t="str">
        <f t="shared" si="111"/>
        <v xml:space="preserve"> </v>
      </c>
      <c r="FS65" s="10" t="str">
        <f t="shared" si="111"/>
        <v xml:space="preserve"> </v>
      </c>
      <c r="FT65" s="10" t="str">
        <f t="shared" si="111"/>
        <v xml:space="preserve"> </v>
      </c>
      <c r="FU65" s="10" t="str">
        <f t="shared" si="111"/>
        <v xml:space="preserve"> </v>
      </c>
      <c r="FV65" s="10" t="str">
        <f t="shared" si="111"/>
        <v xml:space="preserve"> </v>
      </c>
      <c r="FY65" s="10" t="str">
        <f t="shared" si="112"/>
        <v xml:space="preserve"> </v>
      </c>
      <c r="FZ65" s="10" t="str">
        <f t="shared" si="112"/>
        <v xml:space="preserve"> </v>
      </c>
      <c r="GA65" s="10" t="str">
        <f t="shared" si="112"/>
        <v xml:space="preserve"> </v>
      </c>
      <c r="GB65" s="10" t="str">
        <f t="shared" si="112"/>
        <v xml:space="preserve"> </v>
      </c>
      <c r="GC65" s="10" t="str">
        <f t="shared" si="112"/>
        <v xml:space="preserve"> </v>
      </c>
      <c r="GF65" s="10" t="str">
        <f t="shared" si="113"/>
        <v xml:space="preserve"> </v>
      </c>
      <c r="GG65" s="10" t="str">
        <f t="shared" si="113"/>
        <v xml:space="preserve"> </v>
      </c>
      <c r="GH65" s="10" t="str">
        <f t="shared" si="113"/>
        <v xml:space="preserve"> </v>
      </c>
      <c r="GI65" s="10" t="str">
        <f t="shared" si="113"/>
        <v xml:space="preserve"> </v>
      </c>
      <c r="GJ65" s="10" t="str">
        <f t="shared" si="113"/>
        <v xml:space="preserve"> </v>
      </c>
      <c r="GM65" s="10" t="str">
        <f t="shared" si="114"/>
        <v xml:space="preserve"> </v>
      </c>
      <c r="GN65" s="10" t="str">
        <f t="shared" si="114"/>
        <v xml:space="preserve"> </v>
      </c>
      <c r="GO65" s="10" t="str">
        <f t="shared" si="114"/>
        <v xml:space="preserve"> </v>
      </c>
      <c r="GP65" s="10" t="str">
        <f t="shared" si="114"/>
        <v xml:space="preserve"> </v>
      </c>
      <c r="GQ65" s="10" t="str">
        <f t="shared" si="114"/>
        <v xml:space="preserve"> </v>
      </c>
      <c r="GT65" s="10" t="str">
        <f t="shared" si="115"/>
        <v xml:space="preserve"> </v>
      </c>
      <c r="GU65" s="10" t="str">
        <f t="shared" si="115"/>
        <v xml:space="preserve"> </v>
      </c>
      <c r="GV65" s="10" t="str">
        <f t="shared" si="115"/>
        <v xml:space="preserve"> </v>
      </c>
      <c r="GW65" s="10" t="str">
        <f t="shared" si="115"/>
        <v xml:space="preserve"> </v>
      </c>
      <c r="GX65" s="10" t="str">
        <f t="shared" si="115"/>
        <v xml:space="preserve"> </v>
      </c>
      <c r="HA65" s="10" t="str">
        <f t="shared" si="116"/>
        <v xml:space="preserve"> </v>
      </c>
      <c r="HB65" s="10" t="str">
        <f t="shared" si="116"/>
        <v xml:space="preserve"> </v>
      </c>
      <c r="HC65" s="10" t="str">
        <f t="shared" si="116"/>
        <v xml:space="preserve"> </v>
      </c>
      <c r="HD65" s="10" t="str">
        <f t="shared" si="116"/>
        <v xml:space="preserve"> </v>
      </c>
      <c r="HE65" s="10" t="str">
        <f t="shared" si="116"/>
        <v xml:space="preserve"> </v>
      </c>
      <c r="HH65" s="10" t="str">
        <f t="shared" si="117"/>
        <v xml:space="preserve"> </v>
      </c>
      <c r="HI65" s="10" t="str">
        <f t="shared" si="117"/>
        <v xml:space="preserve"> </v>
      </c>
      <c r="HJ65" s="10" t="str">
        <f t="shared" si="117"/>
        <v xml:space="preserve"> </v>
      </c>
      <c r="HK65" s="10" t="str">
        <f t="shared" si="117"/>
        <v xml:space="preserve"> </v>
      </c>
      <c r="HL65" s="10" t="str">
        <f t="shared" si="117"/>
        <v xml:space="preserve"> </v>
      </c>
      <c r="HO65" s="10" t="str">
        <f t="shared" si="118"/>
        <v xml:space="preserve"> </v>
      </c>
      <c r="HP65" s="10" t="str">
        <f t="shared" si="118"/>
        <v xml:space="preserve"> </v>
      </c>
      <c r="HQ65" s="10" t="str">
        <f t="shared" si="118"/>
        <v xml:space="preserve"> </v>
      </c>
      <c r="HR65" s="10" t="str">
        <f t="shared" si="118"/>
        <v xml:space="preserve"> </v>
      </c>
      <c r="HS65" s="10" t="str">
        <f t="shared" si="118"/>
        <v xml:space="preserve"> </v>
      </c>
      <c r="HV65" s="10" t="str">
        <f t="shared" si="119"/>
        <v xml:space="preserve"> </v>
      </c>
      <c r="HW65" s="10" t="str">
        <f t="shared" si="119"/>
        <v xml:space="preserve"> </v>
      </c>
      <c r="HX65" s="10" t="str">
        <f t="shared" si="119"/>
        <v xml:space="preserve"> </v>
      </c>
      <c r="HY65" s="10" t="str">
        <f t="shared" si="119"/>
        <v xml:space="preserve"> </v>
      </c>
      <c r="HZ65" s="10" t="str">
        <f t="shared" si="119"/>
        <v xml:space="preserve"> </v>
      </c>
      <c r="IC65" s="10" t="str">
        <f t="shared" si="120"/>
        <v xml:space="preserve"> </v>
      </c>
      <c r="ID65" s="10" t="str">
        <f t="shared" si="120"/>
        <v xml:space="preserve"> </v>
      </c>
      <c r="IE65" s="10" t="str">
        <f t="shared" si="120"/>
        <v xml:space="preserve"> </v>
      </c>
      <c r="IF65" s="10" t="str">
        <f t="shared" si="120"/>
        <v xml:space="preserve"> </v>
      </c>
      <c r="IG65" s="10" t="str">
        <f t="shared" si="120"/>
        <v xml:space="preserve"> </v>
      </c>
      <c r="IJ65" s="10" t="str">
        <f t="shared" si="121"/>
        <v xml:space="preserve"> </v>
      </c>
      <c r="IK65" s="10" t="str">
        <f t="shared" si="121"/>
        <v xml:space="preserve"> </v>
      </c>
      <c r="IL65" s="10" t="str">
        <f t="shared" si="121"/>
        <v xml:space="preserve"> </v>
      </c>
      <c r="IM65" s="10" t="str">
        <f t="shared" si="121"/>
        <v xml:space="preserve"> </v>
      </c>
      <c r="IN65" s="10" t="str">
        <f t="shared" si="121"/>
        <v xml:space="preserve"> </v>
      </c>
      <c r="IQ65" s="10" t="str">
        <f t="shared" si="122"/>
        <v xml:space="preserve"> </v>
      </c>
      <c r="IR65" s="10" t="str">
        <f t="shared" si="122"/>
        <v xml:space="preserve"> </v>
      </c>
      <c r="IS65" s="10" t="str">
        <f t="shared" si="122"/>
        <v xml:space="preserve"> </v>
      </c>
      <c r="IT65" s="10" t="str">
        <f t="shared" si="122"/>
        <v xml:space="preserve"> </v>
      </c>
      <c r="IU65" s="10" t="str">
        <f t="shared" si="122"/>
        <v xml:space="preserve"> </v>
      </c>
      <c r="IX65" s="10" t="str">
        <f t="shared" si="123"/>
        <v xml:space="preserve"> </v>
      </c>
      <c r="IY65" s="10" t="str">
        <f t="shared" si="123"/>
        <v xml:space="preserve"> </v>
      </c>
      <c r="IZ65" s="10" t="str">
        <f t="shared" si="123"/>
        <v xml:space="preserve"> </v>
      </c>
      <c r="JA65" s="10" t="str">
        <f t="shared" si="123"/>
        <v xml:space="preserve"> </v>
      </c>
      <c r="JB65" s="10" t="str">
        <f t="shared" si="123"/>
        <v xml:space="preserve"> </v>
      </c>
      <c r="JE65" s="10" t="str">
        <f t="shared" si="124"/>
        <v xml:space="preserve"> </v>
      </c>
      <c r="JF65" s="10" t="str">
        <f t="shared" si="124"/>
        <v xml:space="preserve"> </v>
      </c>
      <c r="JG65" s="10" t="str">
        <f t="shared" si="124"/>
        <v xml:space="preserve"> </v>
      </c>
      <c r="JH65" s="10" t="str">
        <f t="shared" si="124"/>
        <v xml:space="preserve"> </v>
      </c>
      <c r="JI65" s="10" t="str">
        <f t="shared" si="124"/>
        <v xml:space="preserve"> </v>
      </c>
    </row>
    <row r="66" spans="3:269">
      <c r="M66" s="10" t="str">
        <f t="shared" si="88"/>
        <v xml:space="preserve"> </v>
      </c>
      <c r="N66" s="10" t="str">
        <f t="shared" si="88"/>
        <v xml:space="preserve"> </v>
      </c>
      <c r="O66" s="10" t="str">
        <f t="shared" si="88"/>
        <v xml:space="preserve"> </v>
      </c>
      <c r="P66" s="10" t="str">
        <f t="shared" si="88"/>
        <v xml:space="preserve"> </v>
      </c>
      <c r="Q66" s="10" t="str">
        <f t="shared" si="88"/>
        <v xml:space="preserve"> </v>
      </c>
      <c r="R66" s="14"/>
      <c r="S66" s="14"/>
      <c r="T66" s="10" t="str">
        <f t="shared" si="89"/>
        <v xml:space="preserve"> </v>
      </c>
      <c r="U66" s="10" t="str">
        <f t="shared" si="89"/>
        <v xml:space="preserve"> </v>
      </c>
      <c r="V66" s="10" t="str">
        <f t="shared" si="89"/>
        <v xml:space="preserve"> </v>
      </c>
      <c r="W66" s="10" t="str">
        <f t="shared" si="89"/>
        <v xml:space="preserve"> </v>
      </c>
      <c r="X66" s="10" t="str">
        <f t="shared" si="89"/>
        <v xml:space="preserve"> </v>
      </c>
      <c r="Y66" s="14"/>
      <c r="Z66" s="14"/>
      <c r="AA66" s="10" t="str">
        <f t="shared" si="90"/>
        <v xml:space="preserve"> </v>
      </c>
      <c r="AB66" s="10" t="str">
        <f t="shared" si="90"/>
        <v xml:space="preserve"> </v>
      </c>
      <c r="AC66" s="10" t="str">
        <f t="shared" si="90"/>
        <v xml:space="preserve"> </v>
      </c>
      <c r="AD66" s="10" t="str">
        <f t="shared" si="90"/>
        <v xml:space="preserve"> </v>
      </c>
      <c r="AE66" s="10" t="str">
        <f t="shared" si="90"/>
        <v xml:space="preserve"> </v>
      </c>
      <c r="AF66" s="14"/>
      <c r="AG66" s="14"/>
      <c r="AH66" s="10" t="str">
        <f t="shared" si="91"/>
        <v xml:space="preserve"> </v>
      </c>
      <c r="AI66" s="10" t="str">
        <f t="shared" si="91"/>
        <v xml:space="preserve"> </v>
      </c>
      <c r="AJ66" s="10" t="str">
        <f t="shared" si="91"/>
        <v xml:space="preserve"> </v>
      </c>
      <c r="AK66" s="10" t="str">
        <f t="shared" si="91"/>
        <v xml:space="preserve"> </v>
      </c>
      <c r="AL66" s="10" t="str">
        <f t="shared" si="91"/>
        <v xml:space="preserve"> </v>
      </c>
      <c r="AM66" s="14"/>
      <c r="AN66" s="14"/>
      <c r="AO66" s="10" t="str">
        <f t="shared" si="92"/>
        <v xml:space="preserve"> </v>
      </c>
      <c r="AP66" s="10" t="str">
        <f t="shared" si="92"/>
        <v xml:space="preserve"> </v>
      </c>
      <c r="AQ66" s="10" t="str">
        <f t="shared" si="92"/>
        <v xml:space="preserve"> </v>
      </c>
      <c r="AR66" s="10" t="str">
        <f t="shared" si="92"/>
        <v xml:space="preserve"> </v>
      </c>
      <c r="AS66" s="10" t="str">
        <f t="shared" si="92"/>
        <v xml:space="preserve"> </v>
      </c>
      <c r="AT66" s="14"/>
      <c r="AU66" s="14"/>
      <c r="AV66" s="10" t="str">
        <f t="shared" si="93"/>
        <v xml:space="preserve"> </v>
      </c>
      <c r="AW66" s="10" t="str">
        <f t="shared" si="93"/>
        <v xml:space="preserve"> </v>
      </c>
      <c r="AX66" s="10" t="str">
        <f t="shared" si="93"/>
        <v xml:space="preserve"> </v>
      </c>
      <c r="AY66" s="10" t="str">
        <f t="shared" si="93"/>
        <v xml:space="preserve"> </v>
      </c>
      <c r="AZ66" s="10" t="str">
        <f t="shared" si="93"/>
        <v xml:space="preserve"> </v>
      </c>
      <c r="BA66" s="14"/>
      <c r="BB66" s="14"/>
      <c r="BC66" s="10" t="str">
        <f t="shared" si="94"/>
        <v xml:space="preserve"> </v>
      </c>
      <c r="BD66" s="10" t="str">
        <f t="shared" si="94"/>
        <v xml:space="preserve"> </v>
      </c>
      <c r="BE66" s="10" t="str">
        <f t="shared" si="94"/>
        <v xml:space="preserve"> </v>
      </c>
      <c r="BF66" s="10" t="str">
        <f t="shared" si="94"/>
        <v xml:space="preserve"> </v>
      </c>
      <c r="BG66" s="10" t="str">
        <f t="shared" si="94"/>
        <v xml:space="preserve"> </v>
      </c>
      <c r="BH66" s="14"/>
      <c r="BI66" s="14"/>
      <c r="BJ66" s="10" t="str">
        <f t="shared" si="95"/>
        <v xml:space="preserve"> </v>
      </c>
      <c r="BK66" s="10" t="str">
        <f t="shared" si="95"/>
        <v xml:space="preserve"> </v>
      </c>
      <c r="BL66" s="10" t="str">
        <f t="shared" si="95"/>
        <v xml:space="preserve"> </v>
      </c>
      <c r="BM66" s="10" t="str">
        <f t="shared" si="95"/>
        <v xml:space="preserve"> </v>
      </c>
      <c r="BN66" s="10" t="str">
        <f t="shared" si="95"/>
        <v xml:space="preserve"> </v>
      </c>
      <c r="BO66" s="14"/>
      <c r="BP66" s="14"/>
      <c r="BQ66" s="10" t="str">
        <f t="shared" si="96"/>
        <v xml:space="preserve"> </v>
      </c>
      <c r="BR66" s="10" t="str">
        <f t="shared" si="96"/>
        <v xml:space="preserve"> </v>
      </c>
      <c r="BS66" s="10" t="str">
        <f t="shared" si="96"/>
        <v xml:space="preserve"> </v>
      </c>
      <c r="BT66" s="10" t="str">
        <f t="shared" si="96"/>
        <v xml:space="preserve"> </v>
      </c>
      <c r="BU66" s="10" t="str">
        <f t="shared" si="96"/>
        <v xml:space="preserve"> </v>
      </c>
      <c r="BV66" s="14"/>
      <c r="BW66" s="14"/>
      <c r="BX66" s="10" t="str">
        <f t="shared" si="97"/>
        <v xml:space="preserve"> </v>
      </c>
      <c r="BY66" s="10" t="str">
        <f t="shared" si="97"/>
        <v xml:space="preserve"> </v>
      </c>
      <c r="BZ66" s="10" t="str">
        <f t="shared" si="97"/>
        <v xml:space="preserve"> </v>
      </c>
      <c r="CA66" s="10" t="str">
        <f t="shared" si="97"/>
        <v xml:space="preserve"> </v>
      </c>
      <c r="CB66" s="10" t="str">
        <f t="shared" si="97"/>
        <v xml:space="preserve"> </v>
      </c>
      <c r="CC66" s="14"/>
      <c r="CD66" s="14"/>
      <c r="CE66" s="10" t="str">
        <f t="shared" si="98"/>
        <v xml:space="preserve"> </v>
      </c>
      <c r="CF66" s="10" t="str">
        <f t="shared" si="98"/>
        <v xml:space="preserve"> </v>
      </c>
      <c r="CG66" s="10" t="str">
        <f t="shared" si="98"/>
        <v xml:space="preserve"> </v>
      </c>
      <c r="CH66" s="10" t="str">
        <f t="shared" si="98"/>
        <v xml:space="preserve"> </v>
      </c>
      <c r="CI66" s="10" t="str">
        <f t="shared" si="98"/>
        <v xml:space="preserve"> </v>
      </c>
      <c r="CJ66" s="14"/>
      <c r="CK66" s="14"/>
      <c r="CL66" s="10" t="str">
        <f t="shared" si="99"/>
        <v xml:space="preserve"> </v>
      </c>
      <c r="CM66" s="10" t="str">
        <f t="shared" si="99"/>
        <v xml:space="preserve"> </v>
      </c>
      <c r="CN66" s="10" t="str">
        <f t="shared" si="99"/>
        <v xml:space="preserve"> </v>
      </c>
      <c r="CO66" s="10" t="str">
        <f t="shared" si="99"/>
        <v xml:space="preserve"> </v>
      </c>
      <c r="CP66" s="10" t="str">
        <f t="shared" si="99"/>
        <v xml:space="preserve"> </v>
      </c>
      <c r="CQ66" s="14"/>
      <c r="CR66" s="14"/>
      <c r="CS66" s="10" t="str">
        <f t="shared" si="100"/>
        <v xml:space="preserve"> </v>
      </c>
      <c r="CT66" s="10" t="str">
        <f t="shared" si="100"/>
        <v xml:space="preserve"> </v>
      </c>
      <c r="CU66" s="10" t="str">
        <f t="shared" si="100"/>
        <v xml:space="preserve"> </v>
      </c>
      <c r="CV66" s="10" t="str">
        <f t="shared" si="100"/>
        <v xml:space="preserve"> </v>
      </c>
      <c r="CW66" s="10" t="str">
        <f t="shared" si="100"/>
        <v xml:space="preserve"> </v>
      </c>
      <c r="CZ66" s="10" t="str">
        <f t="shared" si="101"/>
        <v xml:space="preserve"> </v>
      </c>
      <c r="DA66" s="10" t="str">
        <f t="shared" si="101"/>
        <v xml:space="preserve"> </v>
      </c>
      <c r="DB66" s="10" t="str">
        <f t="shared" si="101"/>
        <v xml:space="preserve"> </v>
      </c>
      <c r="DC66" s="10" t="str">
        <f t="shared" si="101"/>
        <v xml:space="preserve"> </v>
      </c>
      <c r="DD66" s="10" t="str">
        <f t="shared" si="101"/>
        <v xml:space="preserve"> </v>
      </c>
      <c r="DG66" s="10" t="str">
        <f t="shared" si="102"/>
        <v xml:space="preserve"> </v>
      </c>
      <c r="DH66" s="10" t="str">
        <f t="shared" si="102"/>
        <v xml:space="preserve"> </v>
      </c>
      <c r="DI66" s="10" t="str">
        <f t="shared" si="102"/>
        <v xml:space="preserve"> </v>
      </c>
      <c r="DJ66" s="10" t="str">
        <f t="shared" si="102"/>
        <v xml:space="preserve"> </v>
      </c>
      <c r="DK66" s="10" t="str">
        <f t="shared" si="102"/>
        <v xml:space="preserve"> </v>
      </c>
      <c r="DN66" s="10" t="str">
        <f t="shared" si="103"/>
        <v xml:space="preserve"> </v>
      </c>
      <c r="DO66" s="10" t="str">
        <f t="shared" si="103"/>
        <v xml:space="preserve"> </v>
      </c>
      <c r="DP66" s="10" t="str">
        <f t="shared" si="103"/>
        <v xml:space="preserve"> </v>
      </c>
      <c r="DQ66" s="10" t="str">
        <f t="shared" si="103"/>
        <v xml:space="preserve"> </v>
      </c>
      <c r="DR66" s="10" t="str">
        <f t="shared" si="103"/>
        <v xml:space="preserve"> </v>
      </c>
      <c r="DU66" s="10" t="str">
        <f t="shared" si="104"/>
        <v xml:space="preserve"> </v>
      </c>
      <c r="DV66" s="10" t="str">
        <f t="shared" si="104"/>
        <v xml:space="preserve"> </v>
      </c>
      <c r="DW66" s="10" t="str">
        <f t="shared" si="104"/>
        <v xml:space="preserve"> </v>
      </c>
      <c r="DX66" s="10" t="str">
        <f t="shared" si="104"/>
        <v xml:space="preserve"> </v>
      </c>
      <c r="DY66" s="10" t="str">
        <f t="shared" si="104"/>
        <v xml:space="preserve"> </v>
      </c>
      <c r="EB66" s="10" t="str">
        <f t="shared" si="105"/>
        <v xml:space="preserve"> </v>
      </c>
      <c r="EC66" s="10" t="str">
        <f t="shared" si="105"/>
        <v xml:space="preserve"> </v>
      </c>
      <c r="ED66" s="10" t="str">
        <f t="shared" si="105"/>
        <v xml:space="preserve"> </v>
      </c>
      <c r="EE66" s="10" t="str">
        <f t="shared" si="105"/>
        <v xml:space="preserve"> </v>
      </c>
      <c r="EF66" s="10" t="str">
        <f t="shared" si="105"/>
        <v xml:space="preserve"> </v>
      </c>
      <c r="EI66" s="10" t="str">
        <f t="shared" si="106"/>
        <v xml:space="preserve"> </v>
      </c>
      <c r="EJ66" s="10" t="str">
        <f t="shared" si="106"/>
        <v xml:space="preserve"> </v>
      </c>
      <c r="EK66" s="10" t="str">
        <f t="shared" si="106"/>
        <v xml:space="preserve"> </v>
      </c>
      <c r="EL66" s="10" t="str">
        <f t="shared" si="106"/>
        <v xml:space="preserve"> </v>
      </c>
      <c r="EM66" s="10" t="str">
        <f t="shared" si="106"/>
        <v xml:space="preserve"> </v>
      </c>
      <c r="EP66" s="10" t="str">
        <f t="shared" si="107"/>
        <v xml:space="preserve"> </v>
      </c>
      <c r="EQ66" s="10" t="str">
        <f t="shared" si="107"/>
        <v xml:space="preserve"> </v>
      </c>
      <c r="ER66" s="10" t="str">
        <f t="shared" si="107"/>
        <v xml:space="preserve"> </v>
      </c>
      <c r="ES66" s="10" t="str">
        <f t="shared" si="107"/>
        <v xml:space="preserve"> </v>
      </c>
      <c r="ET66" s="10" t="str">
        <f t="shared" si="107"/>
        <v xml:space="preserve"> </v>
      </c>
      <c r="EW66" s="10" t="str">
        <f t="shared" si="108"/>
        <v xml:space="preserve"> </v>
      </c>
      <c r="EX66" s="10" t="str">
        <f t="shared" si="108"/>
        <v xml:space="preserve"> </v>
      </c>
      <c r="EY66" s="10" t="str">
        <f t="shared" si="108"/>
        <v xml:space="preserve"> </v>
      </c>
      <c r="EZ66" s="10" t="str">
        <f t="shared" si="108"/>
        <v xml:space="preserve"> </v>
      </c>
      <c r="FA66" s="10" t="str">
        <f t="shared" si="108"/>
        <v xml:space="preserve"> </v>
      </c>
      <c r="FD66" s="10" t="str">
        <f t="shared" si="109"/>
        <v xml:space="preserve"> </v>
      </c>
      <c r="FE66" s="10" t="str">
        <f t="shared" si="109"/>
        <v xml:space="preserve"> </v>
      </c>
      <c r="FF66" s="10" t="str">
        <f t="shared" si="109"/>
        <v xml:space="preserve"> </v>
      </c>
      <c r="FG66" s="10" t="str">
        <f t="shared" si="109"/>
        <v xml:space="preserve"> </v>
      </c>
      <c r="FH66" s="10" t="str">
        <f t="shared" si="109"/>
        <v xml:space="preserve"> </v>
      </c>
      <c r="FK66" s="10" t="str">
        <f t="shared" si="110"/>
        <v xml:space="preserve"> </v>
      </c>
      <c r="FL66" s="10" t="str">
        <f t="shared" si="110"/>
        <v xml:space="preserve"> </v>
      </c>
      <c r="FM66" s="10" t="str">
        <f t="shared" si="110"/>
        <v xml:space="preserve"> </v>
      </c>
      <c r="FN66" s="10" t="str">
        <f t="shared" si="110"/>
        <v xml:space="preserve"> </v>
      </c>
      <c r="FO66" s="10" t="str">
        <f t="shared" si="110"/>
        <v xml:space="preserve"> </v>
      </c>
      <c r="FR66" s="10" t="str">
        <f t="shared" si="111"/>
        <v xml:space="preserve"> </v>
      </c>
      <c r="FS66" s="10" t="str">
        <f t="shared" si="111"/>
        <v xml:space="preserve"> </v>
      </c>
      <c r="FT66" s="10" t="str">
        <f t="shared" si="111"/>
        <v xml:space="preserve"> </v>
      </c>
      <c r="FU66" s="10" t="str">
        <f t="shared" si="111"/>
        <v xml:space="preserve"> </v>
      </c>
      <c r="FV66" s="10" t="str">
        <f t="shared" si="111"/>
        <v xml:space="preserve"> </v>
      </c>
      <c r="FY66" s="10" t="str">
        <f t="shared" si="112"/>
        <v xml:space="preserve"> </v>
      </c>
      <c r="FZ66" s="10" t="str">
        <f t="shared" si="112"/>
        <v xml:space="preserve"> </v>
      </c>
      <c r="GA66" s="10" t="str">
        <f t="shared" si="112"/>
        <v xml:space="preserve"> </v>
      </c>
      <c r="GB66" s="10" t="str">
        <f t="shared" si="112"/>
        <v xml:space="preserve"> </v>
      </c>
      <c r="GC66" s="10" t="str">
        <f t="shared" si="112"/>
        <v xml:space="preserve"> </v>
      </c>
      <c r="GF66" s="10" t="str">
        <f t="shared" si="113"/>
        <v xml:space="preserve"> </v>
      </c>
      <c r="GG66" s="10" t="str">
        <f t="shared" si="113"/>
        <v xml:space="preserve"> </v>
      </c>
      <c r="GH66" s="10" t="str">
        <f t="shared" si="113"/>
        <v xml:space="preserve"> </v>
      </c>
      <c r="GI66" s="10" t="str">
        <f t="shared" si="113"/>
        <v xml:space="preserve"> </v>
      </c>
      <c r="GJ66" s="10" t="str">
        <f t="shared" si="113"/>
        <v xml:space="preserve"> </v>
      </c>
      <c r="GM66" s="10" t="str">
        <f t="shared" si="114"/>
        <v xml:space="preserve"> </v>
      </c>
      <c r="GN66" s="10" t="str">
        <f t="shared" si="114"/>
        <v xml:space="preserve"> </v>
      </c>
      <c r="GO66" s="10" t="str">
        <f t="shared" si="114"/>
        <v xml:space="preserve"> </v>
      </c>
      <c r="GP66" s="10" t="str">
        <f t="shared" si="114"/>
        <v xml:space="preserve"> </v>
      </c>
      <c r="GQ66" s="10" t="str">
        <f t="shared" si="114"/>
        <v xml:space="preserve"> </v>
      </c>
      <c r="GT66" s="10" t="str">
        <f t="shared" si="115"/>
        <v xml:space="preserve"> </v>
      </c>
      <c r="GU66" s="10" t="str">
        <f t="shared" si="115"/>
        <v xml:space="preserve"> </v>
      </c>
      <c r="GV66" s="10" t="str">
        <f t="shared" si="115"/>
        <v xml:space="preserve"> </v>
      </c>
      <c r="GW66" s="10" t="str">
        <f t="shared" si="115"/>
        <v xml:space="preserve"> </v>
      </c>
      <c r="GX66" s="10" t="str">
        <f t="shared" si="115"/>
        <v xml:space="preserve"> </v>
      </c>
      <c r="HA66" s="10" t="str">
        <f t="shared" si="116"/>
        <v xml:space="preserve"> </v>
      </c>
      <c r="HB66" s="10" t="str">
        <f t="shared" si="116"/>
        <v xml:space="preserve"> </v>
      </c>
      <c r="HC66" s="10" t="str">
        <f t="shared" si="116"/>
        <v xml:space="preserve"> </v>
      </c>
      <c r="HD66" s="10" t="str">
        <f t="shared" si="116"/>
        <v xml:space="preserve"> </v>
      </c>
      <c r="HE66" s="10" t="str">
        <f t="shared" si="116"/>
        <v xml:space="preserve"> </v>
      </c>
      <c r="HH66" s="10" t="str">
        <f t="shared" si="117"/>
        <v xml:space="preserve"> </v>
      </c>
      <c r="HI66" s="10" t="str">
        <f t="shared" si="117"/>
        <v xml:space="preserve"> </v>
      </c>
      <c r="HJ66" s="10" t="str">
        <f t="shared" si="117"/>
        <v xml:space="preserve"> </v>
      </c>
      <c r="HK66" s="10" t="str">
        <f t="shared" si="117"/>
        <v xml:space="preserve"> </v>
      </c>
      <c r="HL66" s="10" t="str">
        <f t="shared" si="117"/>
        <v xml:space="preserve"> </v>
      </c>
      <c r="HO66" s="10" t="str">
        <f t="shared" si="118"/>
        <v xml:space="preserve"> </v>
      </c>
      <c r="HP66" s="10" t="str">
        <f t="shared" si="118"/>
        <v xml:space="preserve"> </v>
      </c>
      <c r="HQ66" s="10" t="str">
        <f t="shared" si="118"/>
        <v xml:space="preserve"> </v>
      </c>
      <c r="HR66" s="10" t="str">
        <f t="shared" si="118"/>
        <v xml:space="preserve"> </v>
      </c>
      <c r="HS66" s="10" t="str">
        <f t="shared" si="118"/>
        <v xml:space="preserve"> </v>
      </c>
      <c r="HV66" s="10" t="str">
        <f t="shared" si="119"/>
        <v xml:space="preserve"> </v>
      </c>
      <c r="HW66" s="10" t="str">
        <f t="shared" si="119"/>
        <v xml:space="preserve"> </v>
      </c>
      <c r="HX66" s="10" t="str">
        <f t="shared" si="119"/>
        <v xml:space="preserve"> </v>
      </c>
      <c r="HY66" s="10" t="str">
        <f t="shared" si="119"/>
        <v xml:space="preserve"> </v>
      </c>
      <c r="HZ66" s="10" t="str">
        <f t="shared" si="119"/>
        <v xml:space="preserve"> </v>
      </c>
      <c r="IC66" s="10" t="str">
        <f t="shared" si="120"/>
        <v xml:space="preserve"> </v>
      </c>
      <c r="ID66" s="10" t="str">
        <f t="shared" si="120"/>
        <v xml:space="preserve"> </v>
      </c>
      <c r="IE66" s="10" t="str">
        <f t="shared" si="120"/>
        <v xml:space="preserve"> </v>
      </c>
      <c r="IF66" s="10" t="str">
        <f t="shared" si="120"/>
        <v xml:space="preserve"> </v>
      </c>
      <c r="IG66" s="10" t="str">
        <f t="shared" si="120"/>
        <v xml:space="preserve"> </v>
      </c>
      <c r="IJ66" s="10" t="str">
        <f t="shared" si="121"/>
        <v xml:space="preserve"> </v>
      </c>
      <c r="IK66" s="10" t="str">
        <f t="shared" si="121"/>
        <v xml:space="preserve"> </v>
      </c>
      <c r="IL66" s="10" t="str">
        <f t="shared" si="121"/>
        <v xml:space="preserve"> </v>
      </c>
      <c r="IM66" s="10" t="str">
        <f t="shared" si="121"/>
        <v xml:space="preserve"> </v>
      </c>
      <c r="IN66" s="10" t="str">
        <f t="shared" si="121"/>
        <v xml:space="preserve"> </v>
      </c>
      <c r="IQ66" s="10" t="str">
        <f t="shared" si="122"/>
        <v xml:space="preserve"> </v>
      </c>
      <c r="IR66" s="10" t="str">
        <f t="shared" si="122"/>
        <v xml:space="preserve"> </v>
      </c>
      <c r="IS66" s="10" t="str">
        <f t="shared" si="122"/>
        <v xml:space="preserve"> </v>
      </c>
      <c r="IT66" s="10" t="str">
        <f t="shared" si="122"/>
        <v xml:space="preserve"> </v>
      </c>
      <c r="IU66" s="10" t="str">
        <f t="shared" si="122"/>
        <v xml:space="preserve"> </v>
      </c>
      <c r="IX66" s="10" t="str">
        <f t="shared" si="123"/>
        <v xml:space="preserve"> </v>
      </c>
      <c r="IY66" s="10" t="str">
        <f t="shared" si="123"/>
        <v xml:space="preserve"> </v>
      </c>
      <c r="IZ66" s="10" t="str">
        <f t="shared" si="123"/>
        <v xml:space="preserve"> </v>
      </c>
      <c r="JA66" s="10" t="str">
        <f t="shared" si="123"/>
        <v xml:space="preserve"> </v>
      </c>
      <c r="JB66" s="10" t="str">
        <f t="shared" si="123"/>
        <v xml:space="preserve"> </v>
      </c>
      <c r="JE66" s="10" t="str">
        <f t="shared" si="124"/>
        <v xml:space="preserve"> </v>
      </c>
      <c r="JF66" s="10" t="str">
        <f t="shared" si="124"/>
        <v xml:space="preserve"> </v>
      </c>
      <c r="JG66" s="10" t="str">
        <f t="shared" si="124"/>
        <v xml:space="preserve"> </v>
      </c>
      <c r="JH66" s="10" t="str">
        <f t="shared" si="124"/>
        <v xml:space="preserve"> </v>
      </c>
      <c r="JI66" s="10" t="str">
        <f t="shared" si="124"/>
        <v xml:space="preserve"> </v>
      </c>
    </row>
    <row r="67" spans="3:269">
      <c r="M67" s="10" t="str">
        <f t="shared" si="88"/>
        <v xml:space="preserve"> </v>
      </c>
      <c r="N67" s="10" t="str">
        <f t="shared" si="88"/>
        <v xml:space="preserve"> </v>
      </c>
      <c r="O67" s="10" t="str">
        <f t="shared" si="88"/>
        <v xml:space="preserve"> </v>
      </c>
      <c r="P67" s="10" t="str">
        <f t="shared" si="88"/>
        <v xml:space="preserve"> </v>
      </c>
      <c r="Q67" s="10" t="str">
        <f t="shared" si="88"/>
        <v xml:space="preserve"> </v>
      </c>
      <c r="R67" s="14"/>
      <c r="S67" s="14"/>
      <c r="T67" s="10" t="str">
        <f t="shared" si="89"/>
        <v xml:space="preserve"> </v>
      </c>
      <c r="U67" s="10" t="str">
        <f t="shared" si="89"/>
        <v xml:space="preserve"> </v>
      </c>
      <c r="V67" s="10" t="str">
        <f t="shared" si="89"/>
        <v xml:space="preserve"> </v>
      </c>
      <c r="W67" s="10" t="str">
        <f t="shared" si="89"/>
        <v xml:space="preserve"> </v>
      </c>
      <c r="X67" s="10" t="str">
        <f t="shared" si="89"/>
        <v xml:space="preserve"> </v>
      </c>
      <c r="Y67" s="14"/>
      <c r="Z67" s="14"/>
      <c r="AA67" s="10" t="str">
        <f t="shared" si="90"/>
        <v xml:space="preserve"> </v>
      </c>
      <c r="AB67" s="10" t="str">
        <f t="shared" si="90"/>
        <v xml:space="preserve"> </v>
      </c>
      <c r="AC67" s="10" t="str">
        <f t="shared" si="90"/>
        <v xml:space="preserve"> </v>
      </c>
      <c r="AD67" s="10" t="str">
        <f t="shared" si="90"/>
        <v xml:space="preserve"> </v>
      </c>
      <c r="AE67" s="10" t="str">
        <f t="shared" si="90"/>
        <v xml:space="preserve"> </v>
      </c>
      <c r="AF67" s="14"/>
      <c r="AG67" s="14"/>
      <c r="AH67" s="10" t="str">
        <f t="shared" si="91"/>
        <v xml:space="preserve"> </v>
      </c>
      <c r="AI67" s="10" t="str">
        <f t="shared" si="91"/>
        <v xml:space="preserve"> </v>
      </c>
      <c r="AJ67" s="10" t="str">
        <f t="shared" si="91"/>
        <v xml:space="preserve"> </v>
      </c>
      <c r="AK67" s="10" t="str">
        <f t="shared" si="91"/>
        <v xml:space="preserve"> </v>
      </c>
      <c r="AL67" s="10" t="str">
        <f t="shared" si="91"/>
        <v xml:space="preserve"> </v>
      </c>
      <c r="AM67" s="14"/>
      <c r="AN67" s="14"/>
      <c r="AO67" s="10" t="str">
        <f t="shared" si="92"/>
        <v xml:space="preserve"> </v>
      </c>
      <c r="AP67" s="10" t="str">
        <f t="shared" si="92"/>
        <v xml:space="preserve"> </v>
      </c>
      <c r="AQ67" s="10" t="str">
        <f t="shared" si="92"/>
        <v xml:space="preserve"> </v>
      </c>
      <c r="AR67" s="10" t="str">
        <f t="shared" si="92"/>
        <v xml:space="preserve"> </v>
      </c>
      <c r="AS67" s="10" t="str">
        <f t="shared" si="92"/>
        <v xml:space="preserve"> </v>
      </c>
      <c r="AT67" s="14"/>
      <c r="AU67" s="14"/>
      <c r="AV67" s="10" t="str">
        <f t="shared" si="93"/>
        <v xml:space="preserve"> </v>
      </c>
      <c r="AW67" s="10" t="str">
        <f t="shared" si="93"/>
        <v xml:space="preserve"> </v>
      </c>
      <c r="AX67" s="10" t="str">
        <f t="shared" si="93"/>
        <v xml:space="preserve"> </v>
      </c>
      <c r="AY67" s="10" t="str">
        <f t="shared" si="93"/>
        <v xml:space="preserve"> </v>
      </c>
      <c r="AZ67" s="10" t="str">
        <f t="shared" si="93"/>
        <v xml:space="preserve"> </v>
      </c>
      <c r="BA67" s="14"/>
      <c r="BB67" s="14"/>
      <c r="BC67" s="10" t="str">
        <f t="shared" si="94"/>
        <v xml:space="preserve"> </v>
      </c>
      <c r="BD67" s="10" t="str">
        <f t="shared" si="94"/>
        <v xml:space="preserve"> </v>
      </c>
      <c r="BE67" s="10" t="str">
        <f t="shared" si="94"/>
        <v xml:space="preserve"> </v>
      </c>
      <c r="BF67" s="10" t="str">
        <f t="shared" si="94"/>
        <v xml:space="preserve"> </v>
      </c>
      <c r="BG67" s="10" t="str">
        <f t="shared" si="94"/>
        <v xml:space="preserve"> </v>
      </c>
      <c r="BH67" s="14"/>
      <c r="BI67" s="14"/>
      <c r="BJ67" s="10" t="str">
        <f t="shared" si="95"/>
        <v xml:space="preserve"> </v>
      </c>
      <c r="BK67" s="10" t="str">
        <f t="shared" si="95"/>
        <v xml:space="preserve"> </v>
      </c>
      <c r="BL67" s="10" t="str">
        <f t="shared" si="95"/>
        <v xml:space="preserve"> </v>
      </c>
      <c r="BM67" s="10" t="str">
        <f t="shared" si="95"/>
        <v xml:space="preserve"> </v>
      </c>
      <c r="BN67" s="10" t="str">
        <f t="shared" si="95"/>
        <v xml:space="preserve"> </v>
      </c>
      <c r="BO67" s="14"/>
      <c r="BP67" s="14"/>
      <c r="BQ67" s="10" t="str">
        <f t="shared" si="96"/>
        <v xml:space="preserve"> </v>
      </c>
      <c r="BR67" s="10" t="str">
        <f t="shared" si="96"/>
        <v xml:space="preserve"> </v>
      </c>
      <c r="BS67" s="10" t="str">
        <f t="shared" si="96"/>
        <v xml:space="preserve"> </v>
      </c>
      <c r="BT67" s="10" t="str">
        <f t="shared" si="96"/>
        <v xml:space="preserve"> </v>
      </c>
      <c r="BU67" s="10" t="str">
        <f t="shared" si="96"/>
        <v xml:space="preserve"> </v>
      </c>
      <c r="BV67" s="14"/>
      <c r="BW67" s="14"/>
      <c r="BX67" s="10" t="str">
        <f t="shared" si="97"/>
        <v xml:space="preserve"> </v>
      </c>
      <c r="BY67" s="10" t="str">
        <f t="shared" si="97"/>
        <v xml:space="preserve"> </v>
      </c>
      <c r="BZ67" s="10" t="str">
        <f t="shared" si="97"/>
        <v xml:space="preserve"> </v>
      </c>
      <c r="CA67" s="10" t="str">
        <f t="shared" si="97"/>
        <v xml:space="preserve"> </v>
      </c>
      <c r="CB67" s="10" t="str">
        <f t="shared" si="97"/>
        <v xml:space="preserve"> </v>
      </c>
      <c r="CC67" s="14"/>
      <c r="CD67" s="14"/>
      <c r="CE67" s="10" t="str">
        <f t="shared" si="98"/>
        <v xml:space="preserve"> </v>
      </c>
      <c r="CF67" s="10" t="str">
        <f t="shared" si="98"/>
        <v xml:space="preserve"> </v>
      </c>
      <c r="CG67" s="10" t="str">
        <f t="shared" si="98"/>
        <v xml:space="preserve"> </v>
      </c>
      <c r="CH67" s="10" t="str">
        <f t="shared" si="98"/>
        <v xml:space="preserve"> </v>
      </c>
      <c r="CI67" s="10" t="str">
        <f t="shared" si="98"/>
        <v xml:space="preserve"> </v>
      </c>
      <c r="CJ67" s="14"/>
      <c r="CK67" s="14"/>
      <c r="CL67" s="10" t="str">
        <f t="shared" si="99"/>
        <v xml:space="preserve"> </v>
      </c>
      <c r="CM67" s="10" t="str">
        <f t="shared" si="99"/>
        <v xml:space="preserve"> </v>
      </c>
      <c r="CN67" s="10" t="str">
        <f t="shared" si="99"/>
        <v xml:space="preserve"> </v>
      </c>
      <c r="CO67" s="10" t="str">
        <f t="shared" si="99"/>
        <v xml:space="preserve"> </v>
      </c>
      <c r="CP67" s="10" t="str">
        <f t="shared" si="99"/>
        <v xml:space="preserve"> </v>
      </c>
      <c r="CQ67" s="14"/>
      <c r="CR67" s="14"/>
      <c r="CS67" s="10" t="str">
        <f t="shared" si="100"/>
        <v xml:space="preserve"> </v>
      </c>
      <c r="CT67" s="10" t="str">
        <f t="shared" si="100"/>
        <v xml:space="preserve"> </v>
      </c>
      <c r="CU67" s="10" t="str">
        <f t="shared" si="100"/>
        <v xml:space="preserve"> </v>
      </c>
      <c r="CV67" s="10" t="str">
        <f t="shared" si="100"/>
        <v xml:space="preserve"> </v>
      </c>
      <c r="CW67" s="10" t="str">
        <f t="shared" si="100"/>
        <v xml:space="preserve"> </v>
      </c>
      <c r="CZ67" s="10" t="str">
        <f t="shared" si="101"/>
        <v xml:space="preserve"> </v>
      </c>
      <c r="DA67" s="10" t="str">
        <f t="shared" si="101"/>
        <v xml:space="preserve"> </v>
      </c>
      <c r="DB67" s="10" t="str">
        <f t="shared" si="101"/>
        <v xml:space="preserve"> </v>
      </c>
      <c r="DC67" s="10" t="str">
        <f t="shared" si="101"/>
        <v xml:space="preserve"> </v>
      </c>
      <c r="DD67" s="10" t="str">
        <f t="shared" si="101"/>
        <v xml:space="preserve"> </v>
      </c>
      <c r="DG67" s="10" t="str">
        <f t="shared" si="102"/>
        <v xml:space="preserve"> </v>
      </c>
      <c r="DH67" s="10" t="str">
        <f t="shared" si="102"/>
        <v xml:space="preserve"> </v>
      </c>
      <c r="DI67" s="10" t="str">
        <f t="shared" si="102"/>
        <v xml:space="preserve"> </v>
      </c>
      <c r="DJ67" s="10" t="str">
        <f t="shared" si="102"/>
        <v xml:space="preserve"> </v>
      </c>
      <c r="DK67" s="10" t="str">
        <f t="shared" si="102"/>
        <v xml:space="preserve"> </v>
      </c>
      <c r="DN67" s="10" t="str">
        <f t="shared" si="103"/>
        <v xml:space="preserve"> </v>
      </c>
      <c r="DO67" s="10" t="str">
        <f t="shared" si="103"/>
        <v xml:space="preserve"> </v>
      </c>
      <c r="DP67" s="10" t="str">
        <f t="shared" si="103"/>
        <v xml:space="preserve"> </v>
      </c>
      <c r="DQ67" s="10" t="str">
        <f t="shared" si="103"/>
        <v xml:space="preserve"> </v>
      </c>
      <c r="DR67" s="10" t="str">
        <f t="shared" si="103"/>
        <v xml:space="preserve"> </v>
      </c>
      <c r="DU67" s="10" t="str">
        <f t="shared" si="104"/>
        <v xml:space="preserve"> </v>
      </c>
      <c r="DV67" s="10" t="str">
        <f t="shared" si="104"/>
        <v xml:space="preserve"> </v>
      </c>
      <c r="DW67" s="10" t="str">
        <f t="shared" si="104"/>
        <v xml:space="preserve"> </v>
      </c>
      <c r="DX67" s="10" t="str">
        <f t="shared" si="104"/>
        <v xml:space="preserve"> </v>
      </c>
      <c r="DY67" s="10" t="str">
        <f t="shared" si="104"/>
        <v xml:space="preserve"> </v>
      </c>
      <c r="EB67" s="10" t="str">
        <f t="shared" si="105"/>
        <v xml:space="preserve"> </v>
      </c>
      <c r="EC67" s="10" t="str">
        <f t="shared" si="105"/>
        <v xml:space="preserve"> </v>
      </c>
      <c r="ED67" s="10" t="str">
        <f t="shared" si="105"/>
        <v xml:space="preserve"> </v>
      </c>
      <c r="EE67" s="10" t="str">
        <f t="shared" si="105"/>
        <v xml:space="preserve"> </v>
      </c>
      <c r="EF67" s="10" t="str">
        <f t="shared" si="105"/>
        <v xml:space="preserve"> </v>
      </c>
      <c r="EI67" s="10" t="str">
        <f t="shared" si="106"/>
        <v xml:space="preserve"> </v>
      </c>
      <c r="EJ67" s="10" t="str">
        <f t="shared" si="106"/>
        <v xml:space="preserve"> </v>
      </c>
      <c r="EK67" s="10" t="str">
        <f t="shared" si="106"/>
        <v xml:space="preserve"> </v>
      </c>
      <c r="EL67" s="10" t="str">
        <f t="shared" si="106"/>
        <v xml:space="preserve"> </v>
      </c>
      <c r="EM67" s="10" t="str">
        <f t="shared" si="106"/>
        <v xml:space="preserve"> </v>
      </c>
      <c r="EP67" s="10" t="str">
        <f t="shared" si="107"/>
        <v xml:space="preserve"> </v>
      </c>
      <c r="EQ67" s="10" t="str">
        <f t="shared" si="107"/>
        <v xml:space="preserve"> </v>
      </c>
      <c r="ER67" s="10" t="str">
        <f t="shared" si="107"/>
        <v xml:space="preserve"> </v>
      </c>
      <c r="ES67" s="10" t="str">
        <f t="shared" si="107"/>
        <v xml:space="preserve"> </v>
      </c>
      <c r="ET67" s="10" t="str">
        <f t="shared" si="107"/>
        <v xml:space="preserve"> </v>
      </c>
      <c r="EW67" s="10" t="str">
        <f t="shared" si="108"/>
        <v xml:space="preserve"> </v>
      </c>
      <c r="EX67" s="10" t="str">
        <f t="shared" si="108"/>
        <v xml:space="preserve"> </v>
      </c>
      <c r="EY67" s="10" t="str">
        <f t="shared" si="108"/>
        <v xml:space="preserve"> </v>
      </c>
      <c r="EZ67" s="10" t="str">
        <f t="shared" si="108"/>
        <v xml:space="preserve"> </v>
      </c>
      <c r="FA67" s="10" t="str">
        <f t="shared" si="108"/>
        <v xml:space="preserve"> </v>
      </c>
      <c r="FD67" s="10" t="str">
        <f t="shared" si="109"/>
        <v xml:space="preserve"> </v>
      </c>
      <c r="FE67" s="10" t="str">
        <f t="shared" si="109"/>
        <v xml:space="preserve"> </v>
      </c>
      <c r="FF67" s="10" t="str">
        <f t="shared" si="109"/>
        <v xml:space="preserve"> </v>
      </c>
      <c r="FG67" s="10" t="str">
        <f t="shared" si="109"/>
        <v xml:space="preserve"> </v>
      </c>
      <c r="FH67" s="10" t="str">
        <f t="shared" si="109"/>
        <v xml:space="preserve"> </v>
      </c>
      <c r="FK67" s="10" t="str">
        <f t="shared" si="110"/>
        <v xml:space="preserve"> </v>
      </c>
      <c r="FL67" s="10" t="str">
        <f t="shared" si="110"/>
        <v xml:space="preserve"> </v>
      </c>
      <c r="FM67" s="10" t="str">
        <f t="shared" si="110"/>
        <v xml:space="preserve"> </v>
      </c>
      <c r="FN67" s="10" t="str">
        <f t="shared" si="110"/>
        <v xml:space="preserve"> </v>
      </c>
      <c r="FO67" s="10" t="str">
        <f t="shared" si="110"/>
        <v xml:space="preserve"> </v>
      </c>
      <c r="FR67" s="10" t="str">
        <f t="shared" si="111"/>
        <v xml:space="preserve"> </v>
      </c>
      <c r="FS67" s="10" t="str">
        <f t="shared" si="111"/>
        <v xml:space="preserve"> </v>
      </c>
      <c r="FT67" s="10" t="str">
        <f t="shared" si="111"/>
        <v xml:space="preserve"> </v>
      </c>
      <c r="FU67" s="10" t="str">
        <f t="shared" si="111"/>
        <v xml:space="preserve"> </v>
      </c>
      <c r="FV67" s="10" t="str">
        <f t="shared" si="111"/>
        <v xml:space="preserve"> </v>
      </c>
      <c r="FY67" s="10" t="str">
        <f t="shared" si="112"/>
        <v xml:space="preserve"> </v>
      </c>
      <c r="FZ67" s="10" t="str">
        <f t="shared" si="112"/>
        <v xml:space="preserve"> </v>
      </c>
      <c r="GA67" s="10" t="str">
        <f t="shared" si="112"/>
        <v xml:space="preserve"> </v>
      </c>
      <c r="GB67" s="10" t="str">
        <f t="shared" si="112"/>
        <v xml:space="preserve"> </v>
      </c>
      <c r="GC67" s="10" t="str">
        <f t="shared" si="112"/>
        <v xml:space="preserve"> </v>
      </c>
      <c r="GF67" s="10" t="str">
        <f t="shared" si="113"/>
        <v xml:space="preserve"> </v>
      </c>
      <c r="GG67" s="10" t="str">
        <f t="shared" si="113"/>
        <v xml:space="preserve"> </v>
      </c>
      <c r="GH67" s="10" t="str">
        <f t="shared" si="113"/>
        <v xml:space="preserve"> </v>
      </c>
      <c r="GI67" s="10" t="str">
        <f t="shared" si="113"/>
        <v xml:space="preserve"> </v>
      </c>
      <c r="GJ67" s="10" t="str">
        <f t="shared" si="113"/>
        <v xml:space="preserve"> </v>
      </c>
      <c r="GM67" s="10" t="str">
        <f t="shared" si="114"/>
        <v xml:space="preserve"> </v>
      </c>
      <c r="GN67" s="10" t="str">
        <f t="shared" si="114"/>
        <v xml:space="preserve"> </v>
      </c>
      <c r="GO67" s="10" t="str">
        <f t="shared" si="114"/>
        <v xml:space="preserve"> </v>
      </c>
      <c r="GP67" s="10" t="str">
        <f t="shared" si="114"/>
        <v xml:space="preserve"> </v>
      </c>
      <c r="GQ67" s="10" t="str">
        <f t="shared" si="114"/>
        <v xml:space="preserve"> </v>
      </c>
      <c r="GT67" s="10" t="str">
        <f t="shared" si="115"/>
        <v xml:space="preserve"> </v>
      </c>
      <c r="GU67" s="10" t="str">
        <f t="shared" si="115"/>
        <v xml:space="preserve"> </v>
      </c>
      <c r="GV67" s="10" t="str">
        <f t="shared" si="115"/>
        <v xml:space="preserve"> </v>
      </c>
      <c r="GW67" s="10" t="str">
        <f t="shared" si="115"/>
        <v xml:space="preserve"> </v>
      </c>
      <c r="GX67" s="10" t="str">
        <f t="shared" si="115"/>
        <v xml:space="preserve"> </v>
      </c>
      <c r="HA67" s="10" t="str">
        <f t="shared" si="116"/>
        <v xml:space="preserve"> </v>
      </c>
      <c r="HB67" s="10" t="str">
        <f t="shared" si="116"/>
        <v xml:space="preserve"> </v>
      </c>
      <c r="HC67" s="10" t="str">
        <f t="shared" si="116"/>
        <v xml:space="preserve"> </v>
      </c>
      <c r="HD67" s="10" t="str">
        <f t="shared" si="116"/>
        <v xml:space="preserve"> </v>
      </c>
      <c r="HE67" s="10" t="str">
        <f t="shared" si="116"/>
        <v xml:space="preserve"> </v>
      </c>
      <c r="HH67" s="10" t="str">
        <f t="shared" si="117"/>
        <v xml:space="preserve"> </v>
      </c>
      <c r="HI67" s="10" t="str">
        <f t="shared" si="117"/>
        <v xml:space="preserve"> </v>
      </c>
      <c r="HJ67" s="10" t="str">
        <f t="shared" si="117"/>
        <v xml:space="preserve"> </v>
      </c>
      <c r="HK67" s="10" t="str">
        <f t="shared" si="117"/>
        <v xml:space="preserve"> </v>
      </c>
      <c r="HL67" s="10" t="str">
        <f t="shared" si="117"/>
        <v xml:space="preserve"> </v>
      </c>
      <c r="HO67" s="10" t="str">
        <f t="shared" si="118"/>
        <v xml:space="preserve"> </v>
      </c>
      <c r="HP67" s="10" t="str">
        <f t="shared" si="118"/>
        <v xml:space="preserve"> </v>
      </c>
      <c r="HQ67" s="10" t="str">
        <f t="shared" si="118"/>
        <v xml:space="preserve"> </v>
      </c>
      <c r="HR67" s="10" t="str">
        <f t="shared" si="118"/>
        <v xml:space="preserve"> </v>
      </c>
      <c r="HS67" s="10" t="str">
        <f t="shared" si="118"/>
        <v xml:space="preserve"> </v>
      </c>
      <c r="HV67" s="10" t="str">
        <f t="shared" si="119"/>
        <v xml:space="preserve"> </v>
      </c>
      <c r="HW67" s="10" t="str">
        <f t="shared" si="119"/>
        <v xml:space="preserve"> </v>
      </c>
      <c r="HX67" s="10" t="str">
        <f t="shared" si="119"/>
        <v xml:space="preserve"> </v>
      </c>
      <c r="HY67" s="10" t="str">
        <f t="shared" si="119"/>
        <v xml:space="preserve"> </v>
      </c>
      <c r="HZ67" s="10" t="str">
        <f t="shared" si="119"/>
        <v xml:space="preserve"> </v>
      </c>
      <c r="IC67" s="10" t="str">
        <f t="shared" si="120"/>
        <v xml:space="preserve"> </v>
      </c>
      <c r="ID67" s="10" t="str">
        <f t="shared" si="120"/>
        <v xml:space="preserve"> </v>
      </c>
      <c r="IE67" s="10" t="str">
        <f t="shared" si="120"/>
        <v xml:space="preserve"> </v>
      </c>
      <c r="IF67" s="10" t="str">
        <f t="shared" si="120"/>
        <v xml:space="preserve"> </v>
      </c>
      <c r="IG67" s="10" t="str">
        <f t="shared" si="120"/>
        <v xml:space="preserve"> </v>
      </c>
      <c r="IJ67" s="10" t="str">
        <f t="shared" si="121"/>
        <v xml:space="preserve"> </v>
      </c>
      <c r="IK67" s="10" t="str">
        <f t="shared" si="121"/>
        <v xml:space="preserve"> </v>
      </c>
      <c r="IL67" s="10" t="str">
        <f t="shared" si="121"/>
        <v xml:space="preserve"> </v>
      </c>
      <c r="IM67" s="10" t="str">
        <f t="shared" si="121"/>
        <v xml:space="preserve"> </v>
      </c>
      <c r="IN67" s="10" t="str">
        <f t="shared" si="121"/>
        <v xml:space="preserve"> </v>
      </c>
      <c r="IQ67" s="10" t="str">
        <f t="shared" si="122"/>
        <v xml:space="preserve"> </v>
      </c>
      <c r="IR67" s="10" t="str">
        <f t="shared" si="122"/>
        <v xml:space="preserve"> </v>
      </c>
      <c r="IS67" s="10" t="str">
        <f t="shared" si="122"/>
        <v xml:space="preserve"> </v>
      </c>
      <c r="IT67" s="10" t="str">
        <f t="shared" si="122"/>
        <v xml:space="preserve"> </v>
      </c>
      <c r="IU67" s="10" t="str">
        <f t="shared" si="122"/>
        <v xml:space="preserve"> </v>
      </c>
      <c r="IX67" s="10" t="str">
        <f t="shared" si="123"/>
        <v xml:space="preserve"> </v>
      </c>
      <c r="IY67" s="10" t="str">
        <f t="shared" si="123"/>
        <v xml:space="preserve"> </v>
      </c>
      <c r="IZ67" s="10" t="str">
        <f t="shared" si="123"/>
        <v xml:space="preserve"> </v>
      </c>
      <c r="JA67" s="10" t="str">
        <f t="shared" si="123"/>
        <v xml:space="preserve"> </v>
      </c>
      <c r="JB67" s="10" t="str">
        <f t="shared" si="123"/>
        <v xml:space="preserve"> </v>
      </c>
      <c r="JE67" s="10" t="str">
        <f t="shared" si="124"/>
        <v xml:space="preserve"> </v>
      </c>
      <c r="JF67" s="10" t="str">
        <f t="shared" si="124"/>
        <v xml:space="preserve"> </v>
      </c>
      <c r="JG67" s="10" t="str">
        <f t="shared" si="124"/>
        <v xml:space="preserve"> </v>
      </c>
      <c r="JH67" s="10" t="str">
        <f t="shared" si="124"/>
        <v xml:space="preserve"> </v>
      </c>
      <c r="JI67" s="10" t="str">
        <f t="shared" si="124"/>
        <v xml:space="preserve"> </v>
      </c>
    </row>
    <row r="68" spans="3:269">
      <c r="M68" s="10" t="str">
        <f t="shared" si="88"/>
        <v xml:space="preserve"> </v>
      </c>
      <c r="N68" s="10" t="str">
        <f t="shared" si="88"/>
        <v xml:space="preserve"> </v>
      </c>
      <c r="O68" s="10" t="str">
        <f t="shared" si="88"/>
        <v xml:space="preserve"> </v>
      </c>
      <c r="P68" s="10" t="str">
        <f t="shared" si="88"/>
        <v xml:space="preserve"> </v>
      </c>
      <c r="Q68" s="10" t="str">
        <f t="shared" si="88"/>
        <v xml:space="preserve"> </v>
      </c>
      <c r="R68" s="14"/>
      <c r="S68" s="14"/>
      <c r="T68" s="10" t="str">
        <f t="shared" si="89"/>
        <v xml:space="preserve"> </v>
      </c>
      <c r="U68" s="10" t="str">
        <f t="shared" si="89"/>
        <v xml:space="preserve"> </v>
      </c>
      <c r="V68" s="10" t="str">
        <f t="shared" si="89"/>
        <v xml:space="preserve"> </v>
      </c>
      <c r="W68" s="10" t="str">
        <f t="shared" si="89"/>
        <v xml:space="preserve"> </v>
      </c>
      <c r="X68" s="10" t="str">
        <f t="shared" si="89"/>
        <v xml:space="preserve"> </v>
      </c>
      <c r="Y68" s="14"/>
      <c r="Z68" s="14"/>
      <c r="AA68" s="10" t="str">
        <f t="shared" si="90"/>
        <v xml:space="preserve"> </v>
      </c>
      <c r="AB68" s="10" t="str">
        <f t="shared" si="90"/>
        <v xml:space="preserve"> </v>
      </c>
      <c r="AC68" s="10" t="str">
        <f t="shared" si="90"/>
        <v xml:space="preserve"> </v>
      </c>
      <c r="AD68" s="10" t="str">
        <f t="shared" si="90"/>
        <v xml:space="preserve"> </v>
      </c>
      <c r="AE68" s="10" t="str">
        <f t="shared" si="90"/>
        <v xml:space="preserve"> </v>
      </c>
      <c r="AF68" s="14"/>
      <c r="AG68" s="14"/>
      <c r="AH68" s="10" t="str">
        <f t="shared" si="91"/>
        <v xml:space="preserve"> </v>
      </c>
      <c r="AI68" s="10" t="str">
        <f t="shared" si="91"/>
        <v xml:space="preserve"> </v>
      </c>
      <c r="AJ68" s="10" t="str">
        <f t="shared" si="91"/>
        <v xml:space="preserve"> </v>
      </c>
      <c r="AK68" s="10" t="str">
        <f t="shared" si="91"/>
        <v xml:space="preserve"> </v>
      </c>
      <c r="AL68" s="10" t="str">
        <f t="shared" si="91"/>
        <v xml:space="preserve"> </v>
      </c>
      <c r="AM68" s="14"/>
      <c r="AN68" s="14"/>
      <c r="AO68" s="10" t="str">
        <f t="shared" si="92"/>
        <v xml:space="preserve"> </v>
      </c>
      <c r="AP68" s="10" t="str">
        <f t="shared" si="92"/>
        <v xml:space="preserve"> </v>
      </c>
      <c r="AQ68" s="10" t="str">
        <f t="shared" si="92"/>
        <v xml:space="preserve"> </v>
      </c>
      <c r="AR68" s="10" t="str">
        <f t="shared" si="92"/>
        <v xml:space="preserve"> </v>
      </c>
      <c r="AS68" s="10" t="str">
        <f t="shared" si="92"/>
        <v xml:space="preserve"> </v>
      </c>
      <c r="AT68" s="14"/>
      <c r="AU68" s="14"/>
      <c r="AV68" s="10" t="str">
        <f t="shared" si="93"/>
        <v xml:space="preserve"> </v>
      </c>
      <c r="AW68" s="10" t="str">
        <f t="shared" si="93"/>
        <v xml:space="preserve"> </v>
      </c>
      <c r="AX68" s="10" t="str">
        <f t="shared" si="93"/>
        <v xml:space="preserve"> </v>
      </c>
      <c r="AY68" s="10" t="str">
        <f t="shared" si="93"/>
        <v xml:space="preserve"> </v>
      </c>
      <c r="AZ68" s="10" t="str">
        <f t="shared" si="93"/>
        <v xml:space="preserve"> </v>
      </c>
      <c r="BA68" s="14"/>
      <c r="BB68" s="14"/>
      <c r="BC68" s="10" t="str">
        <f t="shared" si="94"/>
        <v xml:space="preserve"> </v>
      </c>
      <c r="BD68" s="10" t="str">
        <f t="shared" si="94"/>
        <v xml:space="preserve"> </v>
      </c>
      <c r="BE68" s="10" t="str">
        <f t="shared" si="94"/>
        <v xml:space="preserve"> </v>
      </c>
      <c r="BF68" s="10" t="str">
        <f t="shared" si="94"/>
        <v xml:space="preserve"> </v>
      </c>
      <c r="BG68" s="10" t="str">
        <f t="shared" si="94"/>
        <v xml:space="preserve"> </v>
      </c>
      <c r="BH68" s="14"/>
      <c r="BI68" s="14"/>
      <c r="BJ68" s="10" t="str">
        <f t="shared" si="95"/>
        <v xml:space="preserve"> </v>
      </c>
      <c r="BK68" s="10" t="str">
        <f t="shared" si="95"/>
        <v xml:space="preserve"> </v>
      </c>
      <c r="BL68" s="10" t="str">
        <f t="shared" si="95"/>
        <v xml:space="preserve"> </v>
      </c>
      <c r="BM68" s="10" t="str">
        <f t="shared" si="95"/>
        <v xml:space="preserve"> </v>
      </c>
      <c r="BN68" s="10" t="str">
        <f t="shared" si="95"/>
        <v xml:space="preserve"> </v>
      </c>
      <c r="BO68" s="14"/>
      <c r="BP68" s="14"/>
      <c r="BQ68" s="10" t="str">
        <f t="shared" si="96"/>
        <v xml:space="preserve"> </v>
      </c>
      <c r="BR68" s="10" t="str">
        <f t="shared" si="96"/>
        <v xml:space="preserve"> </v>
      </c>
      <c r="BS68" s="10" t="str">
        <f t="shared" si="96"/>
        <v xml:space="preserve"> </v>
      </c>
      <c r="BT68" s="10" t="str">
        <f t="shared" si="96"/>
        <v xml:space="preserve"> </v>
      </c>
      <c r="BU68" s="10" t="str">
        <f t="shared" si="96"/>
        <v xml:space="preserve"> </v>
      </c>
      <c r="BV68" s="14"/>
      <c r="BW68" s="14"/>
      <c r="BX68" s="10" t="str">
        <f t="shared" si="97"/>
        <v xml:space="preserve"> </v>
      </c>
      <c r="BY68" s="10" t="str">
        <f t="shared" si="97"/>
        <v xml:space="preserve"> </v>
      </c>
      <c r="BZ68" s="10" t="str">
        <f t="shared" si="97"/>
        <v xml:space="preserve"> </v>
      </c>
      <c r="CA68" s="10" t="str">
        <f t="shared" si="97"/>
        <v xml:space="preserve"> </v>
      </c>
      <c r="CB68" s="10" t="str">
        <f t="shared" si="97"/>
        <v xml:space="preserve"> </v>
      </c>
      <c r="CC68" s="14"/>
      <c r="CD68" s="14"/>
      <c r="CE68" s="10" t="str">
        <f t="shared" si="98"/>
        <v xml:space="preserve"> </v>
      </c>
      <c r="CF68" s="10" t="str">
        <f t="shared" si="98"/>
        <v xml:space="preserve"> </v>
      </c>
      <c r="CG68" s="10" t="str">
        <f t="shared" si="98"/>
        <v xml:space="preserve"> </v>
      </c>
      <c r="CH68" s="10" t="str">
        <f t="shared" si="98"/>
        <v xml:space="preserve"> </v>
      </c>
      <c r="CI68" s="10" t="str">
        <f t="shared" si="98"/>
        <v xml:space="preserve"> </v>
      </c>
      <c r="CJ68" s="14"/>
      <c r="CK68" s="14"/>
      <c r="CL68" s="10" t="str">
        <f t="shared" si="99"/>
        <v xml:space="preserve"> </v>
      </c>
      <c r="CM68" s="10" t="str">
        <f t="shared" si="99"/>
        <v xml:space="preserve"> </v>
      </c>
      <c r="CN68" s="10" t="str">
        <f t="shared" si="99"/>
        <v xml:space="preserve"> </v>
      </c>
      <c r="CO68" s="10" t="str">
        <f t="shared" si="99"/>
        <v xml:space="preserve"> </v>
      </c>
      <c r="CP68" s="10" t="str">
        <f t="shared" si="99"/>
        <v xml:space="preserve"> </v>
      </c>
      <c r="CQ68" s="14"/>
      <c r="CR68" s="14"/>
      <c r="CS68" s="10" t="str">
        <f t="shared" si="100"/>
        <v xml:space="preserve"> </v>
      </c>
      <c r="CT68" s="10" t="str">
        <f t="shared" si="100"/>
        <v xml:space="preserve"> </v>
      </c>
      <c r="CU68" s="10" t="str">
        <f t="shared" si="100"/>
        <v xml:space="preserve"> </v>
      </c>
      <c r="CV68" s="10" t="str">
        <f t="shared" si="100"/>
        <v xml:space="preserve"> </v>
      </c>
      <c r="CW68" s="10" t="str">
        <f t="shared" si="100"/>
        <v xml:space="preserve"> </v>
      </c>
      <c r="CZ68" s="10" t="str">
        <f t="shared" si="101"/>
        <v xml:space="preserve"> </v>
      </c>
      <c r="DA68" s="10" t="str">
        <f t="shared" si="101"/>
        <v xml:space="preserve"> </v>
      </c>
      <c r="DB68" s="10" t="str">
        <f t="shared" si="101"/>
        <v xml:space="preserve"> </v>
      </c>
      <c r="DC68" s="10" t="str">
        <f t="shared" si="101"/>
        <v xml:space="preserve"> </v>
      </c>
      <c r="DD68" s="10" t="str">
        <f t="shared" si="101"/>
        <v xml:space="preserve"> </v>
      </c>
      <c r="DG68" s="10" t="str">
        <f t="shared" si="102"/>
        <v xml:space="preserve"> </v>
      </c>
      <c r="DH68" s="10" t="str">
        <f t="shared" si="102"/>
        <v xml:space="preserve"> </v>
      </c>
      <c r="DI68" s="10" t="str">
        <f t="shared" si="102"/>
        <v xml:space="preserve"> </v>
      </c>
      <c r="DJ68" s="10" t="str">
        <f t="shared" si="102"/>
        <v xml:space="preserve"> </v>
      </c>
      <c r="DK68" s="10" t="str">
        <f t="shared" si="102"/>
        <v xml:space="preserve"> </v>
      </c>
      <c r="DN68" s="10" t="str">
        <f t="shared" si="103"/>
        <v xml:space="preserve"> </v>
      </c>
      <c r="DO68" s="10" t="str">
        <f t="shared" si="103"/>
        <v xml:space="preserve"> </v>
      </c>
      <c r="DP68" s="10" t="str">
        <f t="shared" si="103"/>
        <v xml:space="preserve"> </v>
      </c>
      <c r="DQ68" s="10" t="str">
        <f t="shared" si="103"/>
        <v xml:space="preserve"> </v>
      </c>
      <c r="DR68" s="10" t="str">
        <f t="shared" si="103"/>
        <v xml:space="preserve"> </v>
      </c>
      <c r="DU68" s="10" t="str">
        <f t="shared" si="104"/>
        <v xml:space="preserve"> </v>
      </c>
      <c r="DV68" s="10" t="str">
        <f t="shared" si="104"/>
        <v xml:space="preserve"> </v>
      </c>
      <c r="DW68" s="10" t="str">
        <f t="shared" si="104"/>
        <v xml:space="preserve"> </v>
      </c>
      <c r="DX68" s="10" t="str">
        <f t="shared" si="104"/>
        <v xml:space="preserve"> </v>
      </c>
      <c r="DY68" s="10" t="str">
        <f t="shared" si="104"/>
        <v xml:space="preserve"> </v>
      </c>
      <c r="EB68" s="10" t="str">
        <f t="shared" si="105"/>
        <v xml:space="preserve"> </v>
      </c>
      <c r="EC68" s="10" t="str">
        <f t="shared" si="105"/>
        <v xml:space="preserve"> </v>
      </c>
      <c r="ED68" s="10" t="str">
        <f t="shared" si="105"/>
        <v xml:space="preserve"> </v>
      </c>
      <c r="EE68" s="10" t="str">
        <f t="shared" si="105"/>
        <v xml:space="preserve"> </v>
      </c>
      <c r="EF68" s="10" t="str">
        <f t="shared" si="105"/>
        <v xml:space="preserve"> </v>
      </c>
      <c r="EI68" s="10" t="str">
        <f t="shared" si="106"/>
        <v xml:space="preserve"> </v>
      </c>
      <c r="EJ68" s="10" t="str">
        <f t="shared" si="106"/>
        <v xml:space="preserve"> </v>
      </c>
      <c r="EK68" s="10" t="str">
        <f t="shared" si="106"/>
        <v xml:space="preserve"> </v>
      </c>
      <c r="EL68" s="10" t="str">
        <f t="shared" si="106"/>
        <v xml:space="preserve"> </v>
      </c>
      <c r="EM68" s="10" t="str">
        <f t="shared" si="106"/>
        <v xml:space="preserve"> </v>
      </c>
      <c r="EP68" s="10" t="str">
        <f t="shared" si="107"/>
        <v xml:space="preserve"> </v>
      </c>
      <c r="EQ68" s="10" t="str">
        <f t="shared" si="107"/>
        <v xml:space="preserve"> </v>
      </c>
      <c r="ER68" s="10" t="str">
        <f t="shared" si="107"/>
        <v xml:space="preserve"> </v>
      </c>
      <c r="ES68" s="10" t="str">
        <f t="shared" si="107"/>
        <v xml:space="preserve"> </v>
      </c>
      <c r="ET68" s="10" t="str">
        <f t="shared" si="107"/>
        <v xml:space="preserve"> </v>
      </c>
      <c r="EW68" s="10" t="str">
        <f t="shared" si="108"/>
        <v xml:space="preserve"> </v>
      </c>
      <c r="EX68" s="10" t="str">
        <f t="shared" si="108"/>
        <v xml:space="preserve"> </v>
      </c>
      <c r="EY68" s="10" t="str">
        <f t="shared" si="108"/>
        <v xml:space="preserve"> </v>
      </c>
      <c r="EZ68" s="10" t="str">
        <f t="shared" si="108"/>
        <v xml:space="preserve"> </v>
      </c>
      <c r="FA68" s="10" t="str">
        <f t="shared" si="108"/>
        <v xml:space="preserve"> </v>
      </c>
      <c r="FD68" s="10" t="str">
        <f t="shared" si="109"/>
        <v xml:space="preserve"> </v>
      </c>
      <c r="FE68" s="10" t="str">
        <f t="shared" si="109"/>
        <v xml:space="preserve"> </v>
      </c>
      <c r="FF68" s="10" t="str">
        <f t="shared" si="109"/>
        <v xml:space="preserve"> </v>
      </c>
      <c r="FG68" s="10" t="str">
        <f t="shared" si="109"/>
        <v xml:space="preserve"> </v>
      </c>
      <c r="FH68" s="10" t="str">
        <f t="shared" si="109"/>
        <v xml:space="preserve"> </v>
      </c>
      <c r="FK68" s="10" t="str">
        <f t="shared" si="110"/>
        <v xml:space="preserve"> </v>
      </c>
      <c r="FL68" s="10" t="str">
        <f t="shared" si="110"/>
        <v xml:space="preserve"> </v>
      </c>
      <c r="FM68" s="10" t="str">
        <f t="shared" si="110"/>
        <v xml:space="preserve"> </v>
      </c>
      <c r="FN68" s="10" t="str">
        <f t="shared" si="110"/>
        <v xml:space="preserve"> </v>
      </c>
      <c r="FO68" s="10" t="str">
        <f t="shared" si="110"/>
        <v xml:space="preserve"> </v>
      </c>
      <c r="FR68" s="10" t="str">
        <f t="shared" si="111"/>
        <v xml:space="preserve"> </v>
      </c>
      <c r="FS68" s="10" t="str">
        <f t="shared" si="111"/>
        <v xml:space="preserve"> </v>
      </c>
      <c r="FT68" s="10" t="str">
        <f t="shared" si="111"/>
        <v xml:space="preserve"> </v>
      </c>
      <c r="FU68" s="10" t="str">
        <f t="shared" si="111"/>
        <v xml:space="preserve"> </v>
      </c>
      <c r="FV68" s="10" t="str">
        <f t="shared" si="111"/>
        <v xml:space="preserve"> </v>
      </c>
      <c r="FY68" s="10" t="str">
        <f t="shared" si="112"/>
        <v xml:space="preserve"> </v>
      </c>
      <c r="FZ68" s="10" t="str">
        <f t="shared" si="112"/>
        <v xml:space="preserve"> </v>
      </c>
      <c r="GA68" s="10" t="str">
        <f t="shared" si="112"/>
        <v xml:space="preserve"> </v>
      </c>
      <c r="GB68" s="10" t="str">
        <f t="shared" si="112"/>
        <v xml:space="preserve"> </v>
      </c>
      <c r="GC68" s="10" t="str">
        <f t="shared" si="112"/>
        <v xml:space="preserve"> </v>
      </c>
      <c r="GF68" s="10" t="str">
        <f t="shared" si="113"/>
        <v xml:space="preserve"> </v>
      </c>
      <c r="GG68" s="10" t="str">
        <f t="shared" si="113"/>
        <v xml:space="preserve"> </v>
      </c>
      <c r="GH68" s="10" t="str">
        <f t="shared" si="113"/>
        <v xml:space="preserve"> </v>
      </c>
      <c r="GI68" s="10" t="str">
        <f t="shared" si="113"/>
        <v xml:space="preserve"> </v>
      </c>
      <c r="GJ68" s="10" t="str">
        <f t="shared" si="113"/>
        <v xml:space="preserve"> </v>
      </c>
      <c r="GM68" s="10" t="str">
        <f t="shared" si="114"/>
        <v xml:space="preserve"> </v>
      </c>
      <c r="GN68" s="10" t="str">
        <f t="shared" si="114"/>
        <v xml:space="preserve"> </v>
      </c>
      <c r="GO68" s="10" t="str">
        <f t="shared" si="114"/>
        <v xml:space="preserve"> </v>
      </c>
      <c r="GP68" s="10" t="str">
        <f t="shared" si="114"/>
        <v xml:space="preserve"> </v>
      </c>
      <c r="GQ68" s="10" t="str">
        <f t="shared" si="114"/>
        <v xml:space="preserve"> </v>
      </c>
      <c r="GT68" s="10" t="str">
        <f t="shared" si="115"/>
        <v xml:space="preserve"> </v>
      </c>
      <c r="GU68" s="10" t="str">
        <f t="shared" si="115"/>
        <v xml:space="preserve"> </v>
      </c>
      <c r="GV68" s="10" t="str">
        <f t="shared" si="115"/>
        <v xml:space="preserve"> </v>
      </c>
      <c r="GW68" s="10" t="str">
        <f t="shared" si="115"/>
        <v xml:space="preserve"> </v>
      </c>
      <c r="GX68" s="10" t="str">
        <f t="shared" si="115"/>
        <v xml:space="preserve"> </v>
      </c>
      <c r="HA68" s="10" t="str">
        <f t="shared" si="116"/>
        <v xml:space="preserve"> </v>
      </c>
      <c r="HB68" s="10" t="str">
        <f t="shared" si="116"/>
        <v xml:space="preserve"> </v>
      </c>
      <c r="HC68" s="10" t="str">
        <f t="shared" si="116"/>
        <v xml:space="preserve"> </v>
      </c>
      <c r="HD68" s="10" t="str">
        <f t="shared" si="116"/>
        <v xml:space="preserve"> </v>
      </c>
      <c r="HE68" s="10" t="str">
        <f t="shared" si="116"/>
        <v xml:space="preserve"> </v>
      </c>
      <c r="HH68" s="10" t="str">
        <f t="shared" si="117"/>
        <v xml:space="preserve"> </v>
      </c>
      <c r="HI68" s="10" t="str">
        <f t="shared" si="117"/>
        <v xml:space="preserve"> </v>
      </c>
      <c r="HJ68" s="10" t="str">
        <f t="shared" si="117"/>
        <v xml:space="preserve"> </v>
      </c>
      <c r="HK68" s="10" t="str">
        <f t="shared" si="117"/>
        <v xml:space="preserve"> </v>
      </c>
      <c r="HL68" s="10" t="str">
        <f t="shared" si="117"/>
        <v xml:space="preserve"> </v>
      </c>
      <c r="HO68" s="10" t="str">
        <f t="shared" si="118"/>
        <v xml:space="preserve"> </v>
      </c>
      <c r="HP68" s="10" t="str">
        <f t="shared" si="118"/>
        <v xml:space="preserve"> </v>
      </c>
      <c r="HQ68" s="10" t="str">
        <f t="shared" si="118"/>
        <v xml:space="preserve"> </v>
      </c>
      <c r="HR68" s="10" t="str">
        <f t="shared" si="118"/>
        <v xml:space="preserve"> </v>
      </c>
      <c r="HS68" s="10" t="str">
        <f t="shared" si="118"/>
        <v xml:space="preserve"> </v>
      </c>
      <c r="HV68" s="10" t="str">
        <f t="shared" si="119"/>
        <v xml:space="preserve"> </v>
      </c>
      <c r="HW68" s="10" t="str">
        <f t="shared" si="119"/>
        <v xml:space="preserve"> </v>
      </c>
      <c r="HX68" s="10" t="str">
        <f t="shared" si="119"/>
        <v xml:space="preserve"> </v>
      </c>
      <c r="HY68" s="10" t="str">
        <f t="shared" si="119"/>
        <v xml:space="preserve"> </v>
      </c>
      <c r="HZ68" s="10" t="str">
        <f t="shared" si="119"/>
        <v xml:space="preserve"> </v>
      </c>
      <c r="IC68" s="10" t="str">
        <f t="shared" si="120"/>
        <v xml:space="preserve"> </v>
      </c>
      <c r="ID68" s="10" t="str">
        <f t="shared" si="120"/>
        <v xml:space="preserve"> </v>
      </c>
      <c r="IE68" s="10" t="str">
        <f t="shared" si="120"/>
        <v xml:space="preserve"> </v>
      </c>
      <c r="IF68" s="10" t="str">
        <f t="shared" si="120"/>
        <v xml:space="preserve"> </v>
      </c>
      <c r="IG68" s="10" t="str">
        <f t="shared" si="120"/>
        <v xml:space="preserve"> </v>
      </c>
      <c r="IJ68" s="10" t="str">
        <f t="shared" si="121"/>
        <v xml:space="preserve"> </v>
      </c>
      <c r="IK68" s="10" t="str">
        <f t="shared" si="121"/>
        <v xml:space="preserve"> </v>
      </c>
      <c r="IL68" s="10" t="str">
        <f t="shared" si="121"/>
        <v xml:space="preserve"> </v>
      </c>
      <c r="IM68" s="10" t="str">
        <f t="shared" si="121"/>
        <v xml:space="preserve"> </v>
      </c>
      <c r="IN68" s="10" t="str">
        <f t="shared" si="121"/>
        <v xml:space="preserve"> </v>
      </c>
      <c r="IQ68" s="10" t="str">
        <f t="shared" si="122"/>
        <v xml:space="preserve"> </v>
      </c>
      <c r="IR68" s="10" t="str">
        <f t="shared" si="122"/>
        <v xml:space="preserve"> </v>
      </c>
      <c r="IS68" s="10" t="str">
        <f t="shared" si="122"/>
        <v xml:space="preserve"> </v>
      </c>
      <c r="IT68" s="10" t="str">
        <f t="shared" si="122"/>
        <v xml:space="preserve"> </v>
      </c>
      <c r="IU68" s="10" t="str">
        <f t="shared" si="122"/>
        <v xml:space="preserve"> </v>
      </c>
      <c r="IX68" s="10" t="str">
        <f t="shared" si="123"/>
        <v xml:space="preserve"> </v>
      </c>
      <c r="IY68" s="10" t="str">
        <f t="shared" si="123"/>
        <v xml:space="preserve"> </v>
      </c>
      <c r="IZ68" s="10" t="str">
        <f t="shared" si="123"/>
        <v xml:space="preserve"> </v>
      </c>
      <c r="JA68" s="10" t="str">
        <f t="shared" si="123"/>
        <v xml:space="preserve"> </v>
      </c>
      <c r="JB68" s="10" t="str">
        <f t="shared" si="123"/>
        <v xml:space="preserve"> </v>
      </c>
      <c r="JE68" s="10" t="str">
        <f t="shared" si="124"/>
        <v xml:space="preserve"> </v>
      </c>
      <c r="JF68" s="10" t="str">
        <f t="shared" si="124"/>
        <v xml:space="preserve"> </v>
      </c>
      <c r="JG68" s="10" t="str">
        <f t="shared" si="124"/>
        <v xml:space="preserve"> </v>
      </c>
      <c r="JH68" s="10" t="str">
        <f t="shared" si="124"/>
        <v xml:space="preserve"> </v>
      </c>
      <c r="JI68" s="10" t="str">
        <f t="shared" si="124"/>
        <v xml:space="preserve"> </v>
      </c>
    </row>
    <row r="69" spans="3:269">
      <c r="M69" s="10" t="str">
        <f t="shared" si="88"/>
        <v xml:space="preserve"> </v>
      </c>
      <c r="N69" s="10" t="str">
        <f t="shared" si="88"/>
        <v xml:space="preserve"> </v>
      </c>
      <c r="O69" s="10" t="str">
        <f t="shared" si="88"/>
        <v xml:space="preserve"> </v>
      </c>
      <c r="P69" s="10" t="str">
        <f t="shared" si="88"/>
        <v xml:space="preserve"> </v>
      </c>
      <c r="Q69" s="10" t="str">
        <f t="shared" si="88"/>
        <v xml:space="preserve"> </v>
      </c>
      <c r="R69" s="14"/>
      <c r="S69" s="14"/>
      <c r="T69" s="10" t="str">
        <f t="shared" si="89"/>
        <v xml:space="preserve"> </v>
      </c>
      <c r="U69" s="10" t="str">
        <f t="shared" si="89"/>
        <v xml:space="preserve"> </v>
      </c>
      <c r="V69" s="10" t="str">
        <f t="shared" si="89"/>
        <v xml:space="preserve"> </v>
      </c>
      <c r="W69" s="10" t="str">
        <f t="shared" si="89"/>
        <v xml:space="preserve"> </v>
      </c>
      <c r="X69" s="10" t="str">
        <f t="shared" si="89"/>
        <v xml:space="preserve"> </v>
      </c>
      <c r="Y69" s="14"/>
      <c r="Z69" s="14"/>
      <c r="AA69" s="10" t="str">
        <f t="shared" si="90"/>
        <v xml:space="preserve"> </v>
      </c>
      <c r="AB69" s="10" t="str">
        <f t="shared" si="90"/>
        <v xml:space="preserve"> </v>
      </c>
      <c r="AC69" s="10" t="str">
        <f t="shared" si="90"/>
        <v xml:space="preserve"> </v>
      </c>
      <c r="AD69" s="10" t="str">
        <f t="shared" si="90"/>
        <v xml:space="preserve"> </v>
      </c>
      <c r="AE69" s="10" t="str">
        <f t="shared" si="90"/>
        <v xml:space="preserve"> </v>
      </c>
      <c r="AF69" s="14"/>
      <c r="AG69" s="14"/>
      <c r="AH69" s="10" t="str">
        <f t="shared" si="91"/>
        <v xml:space="preserve"> </v>
      </c>
      <c r="AI69" s="10" t="str">
        <f t="shared" si="91"/>
        <v xml:space="preserve"> </v>
      </c>
      <c r="AJ69" s="10" t="str">
        <f t="shared" si="91"/>
        <v xml:space="preserve"> </v>
      </c>
      <c r="AK69" s="10" t="str">
        <f t="shared" si="91"/>
        <v xml:space="preserve"> </v>
      </c>
      <c r="AL69" s="10" t="str">
        <f t="shared" si="91"/>
        <v xml:space="preserve"> </v>
      </c>
      <c r="AM69" s="14"/>
      <c r="AN69" s="14"/>
      <c r="AO69" s="10" t="str">
        <f t="shared" si="92"/>
        <v xml:space="preserve"> </v>
      </c>
      <c r="AP69" s="10" t="str">
        <f t="shared" si="92"/>
        <v xml:space="preserve"> </v>
      </c>
      <c r="AQ69" s="10" t="str">
        <f t="shared" si="92"/>
        <v xml:space="preserve"> </v>
      </c>
      <c r="AR69" s="10" t="str">
        <f t="shared" si="92"/>
        <v xml:space="preserve"> </v>
      </c>
      <c r="AS69" s="10" t="str">
        <f t="shared" si="92"/>
        <v xml:space="preserve"> </v>
      </c>
      <c r="AT69" s="14"/>
      <c r="AU69" s="14"/>
      <c r="AV69" s="10" t="str">
        <f t="shared" si="93"/>
        <v xml:space="preserve"> </v>
      </c>
      <c r="AW69" s="10" t="str">
        <f t="shared" si="93"/>
        <v xml:space="preserve"> </v>
      </c>
      <c r="AX69" s="10" t="str">
        <f t="shared" si="93"/>
        <v xml:space="preserve"> </v>
      </c>
      <c r="AY69" s="10" t="str">
        <f t="shared" si="93"/>
        <v xml:space="preserve"> </v>
      </c>
      <c r="AZ69" s="10" t="str">
        <f t="shared" si="93"/>
        <v xml:space="preserve"> </v>
      </c>
      <c r="BA69" s="14"/>
      <c r="BB69" s="14"/>
      <c r="BC69" s="10" t="str">
        <f t="shared" si="94"/>
        <v xml:space="preserve"> </v>
      </c>
      <c r="BD69" s="10" t="str">
        <f t="shared" si="94"/>
        <v xml:space="preserve"> </v>
      </c>
      <c r="BE69" s="10" t="str">
        <f t="shared" si="94"/>
        <v xml:space="preserve"> </v>
      </c>
      <c r="BF69" s="10" t="str">
        <f t="shared" si="94"/>
        <v xml:space="preserve"> </v>
      </c>
      <c r="BG69" s="10" t="str">
        <f t="shared" si="94"/>
        <v xml:space="preserve"> </v>
      </c>
      <c r="BH69" s="14"/>
      <c r="BI69" s="14"/>
      <c r="BJ69" s="10" t="str">
        <f t="shared" si="95"/>
        <v xml:space="preserve"> </v>
      </c>
      <c r="BK69" s="10" t="str">
        <f t="shared" si="95"/>
        <v xml:space="preserve"> </v>
      </c>
      <c r="BL69" s="10" t="str">
        <f t="shared" si="95"/>
        <v xml:space="preserve"> </v>
      </c>
      <c r="BM69" s="10" t="str">
        <f t="shared" si="95"/>
        <v xml:space="preserve"> </v>
      </c>
      <c r="BN69" s="10" t="str">
        <f t="shared" si="95"/>
        <v xml:space="preserve"> </v>
      </c>
      <c r="BO69" s="14"/>
      <c r="BP69" s="14"/>
      <c r="BQ69" s="10" t="str">
        <f t="shared" si="96"/>
        <v xml:space="preserve"> </v>
      </c>
      <c r="BR69" s="10" t="str">
        <f t="shared" si="96"/>
        <v xml:space="preserve"> </v>
      </c>
      <c r="BS69" s="10" t="str">
        <f t="shared" si="96"/>
        <v xml:space="preserve"> </v>
      </c>
      <c r="BT69" s="10" t="str">
        <f t="shared" si="96"/>
        <v xml:space="preserve"> </v>
      </c>
      <c r="BU69" s="10" t="str">
        <f t="shared" si="96"/>
        <v xml:space="preserve"> </v>
      </c>
      <c r="BV69" s="14"/>
      <c r="BW69" s="14"/>
      <c r="BX69" s="10" t="str">
        <f t="shared" si="97"/>
        <v xml:space="preserve"> </v>
      </c>
      <c r="BY69" s="10" t="str">
        <f t="shared" si="97"/>
        <v xml:space="preserve"> </v>
      </c>
      <c r="BZ69" s="10" t="str">
        <f t="shared" si="97"/>
        <v xml:space="preserve"> </v>
      </c>
      <c r="CA69" s="10" t="str">
        <f t="shared" si="97"/>
        <v xml:space="preserve"> </v>
      </c>
      <c r="CB69" s="10" t="str">
        <f t="shared" si="97"/>
        <v xml:space="preserve"> </v>
      </c>
      <c r="CC69" s="14"/>
      <c r="CD69" s="14"/>
      <c r="CE69" s="10" t="str">
        <f t="shared" si="98"/>
        <v xml:space="preserve"> </v>
      </c>
      <c r="CF69" s="10" t="str">
        <f t="shared" si="98"/>
        <v xml:space="preserve"> </v>
      </c>
      <c r="CG69" s="10" t="str">
        <f t="shared" si="98"/>
        <v xml:space="preserve"> </v>
      </c>
      <c r="CH69" s="10" t="str">
        <f t="shared" si="98"/>
        <v xml:space="preserve"> </v>
      </c>
      <c r="CI69" s="10" t="str">
        <f t="shared" si="98"/>
        <v xml:space="preserve"> </v>
      </c>
      <c r="CJ69" s="14"/>
      <c r="CK69" s="14"/>
      <c r="CL69" s="10" t="str">
        <f t="shared" si="99"/>
        <v xml:space="preserve"> </v>
      </c>
      <c r="CM69" s="10" t="str">
        <f t="shared" si="99"/>
        <v xml:space="preserve"> </v>
      </c>
      <c r="CN69" s="10" t="str">
        <f t="shared" si="99"/>
        <v xml:space="preserve"> </v>
      </c>
      <c r="CO69" s="10" t="str">
        <f t="shared" si="99"/>
        <v xml:space="preserve"> </v>
      </c>
      <c r="CP69" s="10" t="str">
        <f t="shared" si="99"/>
        <v xml:space="preserve"> </v>
      </c>
      <c r="CQ69" s="14"/>
      <c r="CR69" s="14"/>
      <c r="CS69" s="10" t="str">
        <f t="shared" si="100"/>
        <v xml:space="preserve"> </v>
      </c>
      <c r="CT69" s="10" t="str">
        <f t="shared" si="100"/>
        <v xml:space="preserve"> </v>
      </c>
      <c r="CU69" s="10" t="str">
        <f t="shared" si="100"/>
        <v xml:space="preserve"> </v>
      </c>
      <c r="CV69" s="10" t="str">
        <f t="shared" si="100"/>
        <v xml:space="preserve"> </v>
      </c>
      <c r="CW69" s="10" t="str">
        <f t="shared" si="100"/>
        <v xml:space="preserve"> </v>
      </c>
      <c r="CZ69" s="10" t="str">
        <f t="shared" si="101"/>
        <v xml:space="preserve"> </v>
      </c>
      <c r="DA69" s="10" t="str">
        <f t="shared" si="101"/>
        <v xml:space="preserve"> </v>
      </c>
      <c r="DB69" s="10" t="str">
        <f t="shared" si="101"/>
        <v xml:space="preserve"> </v>
      </c>
      <c r="DC69" s="10" t="str">
        <f t="shared" si="101"/>
        <v xml:space="preserve"> </v>
      </c>
      <c r="DD69" s="10" t="str">
        <f t="shared" si="101"/>
        <v xml:space="preserve"> </v>
      </c>
      <c r="DG69" s="10" t="str">
        <f t="shared" si="102"/>
        <v xml:space="preserve"> </v>
      </c>
      <c r="DH69" s="10" t="str">
        <f t="shared" si="102"/>
        <v xml:space="preserve"> </v>
      </c>
      <c r="DI69" s="10" t="str">
        <f t="shared" si="102"/>
        <v xml:space="preserve"> </v>
      </c>
      <c r="DJ69" s="10" t="str">
        <f t="shared" si="102"/>
        <v xml:space="preserve"> </v>
      </c>
      <c r="DK69" s="10" t="str">
        <f t="shared" si="102"/>
        <v xml:space="preserve"> </v>
      </c>
      <c r="DN69" s="10" t="str">
        <f t="shared" si="103"/>
        <v xml:space="preserve"> </v>
      </c>
      <c r="DO69" s="10" t="str">
        <f t="shared" si="103"/>
        <v xml:space="preserve"> </v>
      </c>
      <c r="DP69" s="10" t="str">
        <f t="shared" si="103"/>
        <v xml:space="preserve"> </v>
      </c>
      <c r="DQ69" s="10" t="str">
        <f t="shared" si="103"/>
        <v xml:space="preserve"> </v>
      </c>
      <c r="DR69" s="10" t="str">
        <f t="shared" si="103"/>
        <v xml:space="preserve"> </v>
      </c>
      <c r="DU69" s="10" t="str">
        <f t="shared" si="104"/>
        <v xml:space="preserve"> </v>
      </c>
      <c r="DV69" s="10" t="str">
        <f t="shared" si="104"/>
        <v xml:space="preserve"> </v>
      </c>
      <c r="DW69" s="10" t="str">
        <f t="shared" si="104"/>
        <v xml:space="preserve"> </v>
      </c>
      <c r="DX69" s="10" t="str">
        <f t="shared" si="104"/>
        <v xml:space="preserve"> </v>
      </c>
      <c r="DY69" s="10" t="str">
        <f t="shared" si="104"/>
        <v xml:space="preserve"> </v>
      </c>
      <c r="EB69" s="10" t="str">
        <f t="shared" si="105"/>
        <v xml:space="preserve"> </v>
      </c>
      <c r="EC69" s="10" t="str">
        <f t="shared" si="105"/>
        <v xml:space="preserve"> </v>
      </c>
      <c r="ED69" s="10" t="str">
        <f t="shared" si="105"/>
        <v xml:space="preserve"> </v>
      </c>
      <c r="EE69" s="10" t="str">
        <f t="shared" si="105"/>
        <v xml:space="preserve"> </v>
      </c>
      <c r="EF69" s="10" t="str">
        <f t="shared" si="105"/>
        <v xml:space="preserve"> </v>
      </c>
      <c r="EI69" s="10" t="str">
        <f t="shared" si="106"/>
        <v xml:space="preserve"> </v>
      </c>
      <c r="EJ69" s="10" t="str">
        <f t="shared" si="106"/>
        <v xml:space="preserve"> </v>
      </c>
      <c r="EK69" s="10" t="str">
        <f t="shared" si="106"/>
        <v xml:space="preserve"> </v>
      </c>
      <c r="EL69" s="10" t="str">
        <f t="shared" si="106"/>
        <v xml:space="preserve"> </v>
      </c>
      <c r="EM69" s="10" t="str">
        <f t="shared" si="106"/>
        <v xml:space="preserve"> </v>
      </c>
      <c r="EP69" s="10" t="str">
        <f t="shared" si="107"/>
        <v xml:space="preserve"> </v>
      </c>
      <c r="EQ69" s="10" t="str">
        <f t="shared" si="107"/>
        <v xml:space="preserve"> </v>
      </c>
      <c r="ER69" s="10" t="str">
        <f t="shared" si="107"/>
        <v xml:space="preserve"> </v>
      </c>
      <c r="ES69" s="10" t="str">
        <f t="shared" si="107"/>
        <v xml:space="preserve"> </v>
      </c>
      <c r="ET69" s="10" t="str">
        <f t="shared" si="107"/>
        <v xml:space="preserve"> </v>
      </c>
      <c r="EW69" s="10" t="str">
        <f t="shared" si="108"/>
        <v xml:space="preserve"> </v>
      </c>
      <c r="EX69" s="10" t="str">
        <f t="shared" si="108"/>
        <v xml:space="preserve"> </v>
      </c>
      <c r="EY69" s="10" t="str">
        <f t="shared" si="108"/>
        <v xml:space="preserve"> </v>
      </c>
      <c r="EZ69" s="10" t="str">
        <f t="shared" si="108"/>
        <v xml:space="preserve"> </v>
      </c>
      <c r="FA69" s="10" t="str">
        <f t="shared" si="108"/>
        <v xml:space="preserve"> </v>
      </c>
      <c r="FD69" s="10" t="str">
        <f t="shared" si="109"/>
        <v xml:space="preserve"> </v>
      </c>
      <c r="FE69" s="10" t="str">
        <f t="shared" si="109"/>
        <v xml:space="preserve"> </v>
      </c>
      <c r="FF69" s="10" t="str">
        <f t="shared" si="109"/>
        <v xml:space="preserve"> </v>
      </c>
      <c r="FG69" s="10" t="str">
        <f t="shared" si="109"/>
        <v xml:space="preserve"> </v>
      </c>
      <c r="FH69" s="10" t="str">
        <f t="shared" si="109"/>
        <v xml:space="preserve"> </v>
      </c>
      <c r="FK69" s="10" t="str">
        <f t="shared" si="110"/>
        <v xml:space="preserve"> </v>
      </c>
      <c r="FL69" s="10" t="str">
        <f t="shared" si="110"/>
        <v xml:space="preserve"> </v>
      </c>
      <c r="FM69" s="10" t="str">
        <f t="shared" si="110"/>
        <v xml:space="preserve"> </v>
      </c>
      <c r="FN69" s="10" t="str">
        <f t="shared" si="110"/>
        <v xml:space="preserve"> </v>
      </c>
      <c r="FO69" s="10" t="str">
        <f t="shared" si="110"/>
        <v xml:space="preserve"> </v>
      </c>
      <c r="FR69" s="10" t="str">
        <f t="shared" si="111"/>
        <v xml:space="preserve"> </v>
      </c>
      <c r="FS69" s="10" t="str">
        <f t="shared" si="111"/>
        <v xml:space="preserve"> </v>
      </c>
      <c r="FT69" s="10" t="str">
        <f t="shared" si="111"/>
        <v xml:space="preserve"> </v>
      </c>
      <c r="FU69" s="10" t="str">
        <f t="shared" si="111"/>
        <v xml:space="preserve"> </v>
      </c>
      <c r="FV69" s="10" t="str">
        <f t="shared" si="111"/>
        <v xml:space="preserve"> </v>
      </c>
      <c r="FY69" s="10" t="str">
        <f t="shared" si="112"/>
        <v xml:space="preserve"> </v>
      </c>
      <c r="FZ69" s="10" t="str">
        <f t="shared" si="112"/>
        <v xml:space="preserve"> </v>
      </c>
      <c r="GA69" s="10" t="str">
        <f t="shared" si="112"/>
        <v xml:space="preserve"> </v>
      </c>
      <c r="GB69" s="10" t="str">
        <f t="shared" si="112"/>
        <v xml:space="preserve"> </v>
      </c>
      <c r="GC69" s="10" t="str">
        <f t="shared" si="112"/>
        <v xml:space="preserve"> </v>
      </c>
      <c r="GF69" s="10" t="str">
        <f t="shared" si="113"/>
        <v xml:space="preserve"> </v>
      </c>
      <c r="GG69" s="10" t="str">
        <f t="shared" si="113"/>
        <v xml:space="preserve"> </v>
      </c>
      <c r="GH69" s="10" t="str">
        <f t="shared" si="113"/>
        <v xml:space="preserve"> </v>
      </c>
      <c r="GI69" s="10" t="str">
        <f t="shared" si="113"/>
        <v xml:space="preserve"> </v>
      </c>
      <c r="GJ69" s="10" t="str">
        <f t="shared" si="113"/>
        <v xml:space="preserve"> </v>
      </c>
      <c r="GM69" s="10" t="str">
        <f t="shared" si="114"/>
        <v xml:space="preserve"> </v>
      </c>
      <c r="GN69" s="10" t="str">
        <f t="shared" si="114"/>
        <v xml:space="preserve"> </v>
      </c>
      <c r="GO69" s="10" t="str">
        <f t="shared" si="114"/>
        <v xml:space="preserve"> </v>
      </c>
      <c r="GP69" s="10" t="str">
        <f t="shared" si="114"/>
        <v xml:space="preserve"> </v>
      </c>
      <c r="GQ69" s="10" t="str">
        <f t="shared" si="114"/>
        <v xml:space="preserve"> </v>
      </c>
      <c r="GT69" s="10" t="str">
        <f t="shared" si="115"/>
        <v xml:space="preserve"> </v>
      </c>
      <c r="GU69" s="10" t="str">
        <f t="shared" si="115"/>
        <v xml:space="preserve"> </v>
      </c>
      <c r="GV69" s="10" t="str">
        <f t="shared" si="115"/>
        <v xml:space="preserve"> </v>
      </c>
      <c r="GW69" s="10" t="str">
        <f t="shared" si="115"/>
        <v xml:space="preserve"> </v>
      </c>
      <c r="GX69" s="10" t="str">
        <f t="shared" si="115"/>
        <v xml:space="preserve"> </v>
      </c>
      <c r="HA69" s="10" t="str">
        <f t="shared" si="116"/>
        <v xml:space="preserve"> </v>
      </c>
      <c r="HB69" s="10" t="str">
        <f t="shared" si="116"/>
        <v xml:space="preserve"> </v>
      </c>
      <c r="HC69" s="10" t="str">
        <f t="shared" si="116"/>
        <v xml:space="preserve"> </v>
      </c>
      <c r="HD69" s="10" t="str">
        <f t="shared" si="116"/>
        <v xml:space="preserve"> </v>
      </c>
      <c r="HE69" s="10" t="str">
        <f t="shared" si="116"/>
        <v xml:space="preserve"> </v>
      </c>
      <c r="HH69" s="10" t="str">
        <f t="shared" si="117"/>
        <v xml:space="preserve"> </v>
      </c>
      <c r="HI69" s="10" t="str">
        <f t="shared" si="117"/>
        <v xml:space="preserve"> </v>
      </c>
      <c r="HJ69" s="10" t="str">
        <f t="shared" si="117"/>
        <v xml:space="preserve"> </v>
      </c>
      <c r="HK69" s="10" t="str">
        <f t="shared" si="117"/>
        <v xml:space="preserve"> </v>
      </c>
      <c r="HL69" s="10" t="str">
        <f t="shared" si="117"/>
        <v xml:space="preserve"> </v>
      </c>
      <c r="HO69" s="10" t="str">
        <f t="shared" si="118"/>
        <v xml:space="preserve"> </v>
      </c>
      <c r="HP69" s="10" t="str">
        <f t="shared" si="118"/>
        <v xml:space="preserve"> </v>
      </c>
      <c r="HQ69" s="10" t="str">
        <f t="shared" si="118"/>
        <v xml:space="preserve"> </v>
      </c>
      <c r="HR69" s="10" t="str">
        <f t="shared" si="118"/>
        <v xml:space="preserve"> </v>
      </c>
      <c r="HS69" s="10" t="str">
        <f t="shared" si="118"/>
        <v xml:space="preserve"> </v>
      </c>
      <c r="HV69" s="10" t="str">
        <f t="shared" si="119"/>
        <v xml:space="preserve"> </v>
      </c>
      <c r="HW69" s="10" t="str">
        <f t="shared" si="119"/>
        <v xml:space="preserve"> </v>
      </c>
      <c r="HX69" s="10" t="str">
        <f t="shared" si="119"/>
        <v xml:space="preserve"> </v>
      </c>
      <c r="HY69" s="10" t="str">
        <f t="shared" si="119"/>
        <v xml:space="preserve"> </v>
      </c>
      <c r="HZ69" s="10" t="str">
        <f t="shared" si="119"/>
        <v xml:space="preserve"> </v>
      </c>
      <c r="IC69" s="10" t="str">
        <f t="shared" si="120"/>
        <v xml:space="preserve"> </v>
      </c>
      <c r="ID69" s="10" t="str">
        <f t="shared" si="120"/>
        <v xml:space="preserve"> </v>
      </c>
      <c r="IE69" s="10" t="str">
        <f t="shared" si="120"/>
        <v xml:space="preserve"> </v>
      </c>
      <c r="IF69" s="10" t="str">
        <f t="shared" si="120"/>
        <v xml:space="preserve"> </v>
      </c>
      <c r="IG69" s="10" t="str">
        <f t="shared" si="120"/>
        <v xml:space="preserve"> </v>
      </c>
      <c r="IJ69" s="10" t="str">
        <f t="shared" si="121"/>
        <v xml:space="preserve"> </v>
      </c>
      <c r="IK69" s="10" t="str">
        <f t="shared" si="121"/>
        <v xml:space="preserve"> </v>
      </c>
      <c r="IL69" s="10" t="str">
        <f t="shared" si="121"/>
        <v xml:space="preserve"> </v>
      </c>
      <c r="IM69" s="10" t="str">
        <f t="shared" si="121"/>
        <v xml:space="preserve"> </v>
      </c>
      <c r="IN69" s="10" t="str">
        <f t="shared" si="121"/>
        <v xml:space="preserve"> </v>
      </c>
      <c r="IQ69" s="10" t="str">
        <f t="shared" si="122"/>
        <v xml:space="preserve"> </v>
      </c>
      <c r="IR69" s="10" t="str">
        <f t="shared" si="122"/>
        <v xml:space="preserve"> </v>
      </c>
      <c r="IS69" s="10" t="str">
        <f t="shared" si="122"/>
        <v xml:space="preserve"> </v>
      </c>
      <c r="IT69" s="10" t="str">
        <f t="shared" si="122"/>
        <v xml:space="preserve"> </v>
      </c>
      <c r="IU69" s="10" t="str">
        <f t="shared" si="122"/>
        <v xml:space="preserve"> </v>
      </c>
      <c r="IX69" s="10" t="str">
        <f t="shared" si="123"/>
        <v xml:space="preserve"> </v>
      </c>
      <c r="IY69" s="10" t="str">
        <f t="shared" si="123"/>
        <v xml:space="preserve"> </v>
      </c>
      <c r="IZ69" s="10" t="str">
        <f t="shared" si="123"/>
        <v xml:space="preserve"> </v>
      </c>
      <c r="JA69" s="10" t="str">
        <f t="shared" si="123"/>
        <v xml:space="preserve"> </v>
      </c>
      <c r="JB69" s="10" t="str">
        <f t="shared" si="123"/>
        <v xml:space="preserve"> </v>
      </c>
      <c r="JE69" s="10" t="str">
        <f t="shared" si="124"/>
        <v xml:space="preserve"> </v>
      </c>
      <c r="JF69" s="10" t="str">
        <f t="shared" si="124"/>
        <v xml:space="preserve"> </v>
      </c>
      <c r="JG69" s="10" t="str">
        <f t="shared" si="124"/>
        <v xml:space="preserve"> </v>
      </c>
      <c r="JH69" s="10" t="str">
        <f t="shared" si="124"/>
        <v xml:space="preserve"> </v>
      </c>
      <c r="JI69" s="10" t="str">
        <f t="shared" si="124"/>
        <v xml:space="preserve"> </v>
      </c>
    </row>
    <row r="70" spans="3:269">
      <c r="M70" s="10" t="str">
        <f t="shared" si="88"/>
        <v xml:space="preserve"> </v>
      </c>
      <c r="N70" s="10" t="str">
        <f t="shared" si="88"/>
        <v xml:space="preserve"> </v>
      </c>
      <c r="O70" s="10" t="str">
        <f t="shared" si="88"/>
        <v xml:space="preserve"> </v>
      </c>
      <c r="P70" s="10" t="str">
        <f t="shared" si="88"/>
        <v xml:space="preserve"> </v>
      </c>
      <c r="Q70" s="10" t="str">
        <f t="shared" si="88"/>
        <v xml:space="preserve"> </v>
      </c>
      <c r="R70" s="14"/>
      <c r="S70" s="14"/>
      <c r="T70" s="10" t="str">
        <f t="shared" ref="T70:X120" si="288">IF(AND(T$6&gt;=$F70,T$6&lt;=$G70),"."," ")</f>
        <v xml:space="preserve"> </v>
      </c>
      <c r="U70" s="10" t="str">
        <f t="shared" si="288"/>
        <v xml:space="preserve"> </v>
      </c>
      <c r="V70" s="10" t="str">
        <f t="shared" si="288"/>
        <v xml:space="preserve"> </v>
      </c>
      <c r="W70" s="10" t="str">
        <f t="shared" si="288"/>
        <v xml:space="preserve"> </v>
      </c>
      <c r="X70" s="10" t="str">
        <f t="shared" si="288"/>
        <v xml:space="preserve"> </v>
      </c>
      <c r="Y70" s="14"/>
      <c r="Z70" s="14"/>
      <c r="AA70" s="10" t="str">
        <f t="shared" ref="AA70:AE120" si="289">IF(AND(AA$6&gt;=$F70,AA$6&lt;=$G70),"."," ")</f>
        <v xml:space="preserve"> </v>
      </c>
      <c r="AB70" s="10" t="str">
        <f t="shared" si="289"/>
        <v xml:space="preserve"> </v>
      </c>
      <c r="AC70" s="10" t="str">
        <f t="shared" si="289"/>
        <v xml:space="preserve"> </v>
      </c>
      <c r="AD70" s="10" t="str">
        <f t="shared" si="289"/>
        <v xml:space="preserve"> </v>
      </c>
      <c r="AE70" s="10" t="str">
        <f t="shared" si="289"/>
        <v xml:space="preserve"> </v>
      </c>
      <c r="AF70" s="14"/>
      <c r="AG70" s="14"/>
      <c r="AH70" s="10" t="str">
        <f t="shared" ref="AH70:AL120" si="290">IF(AND(AH$6&gt;=$F70,AH$6&lt;=$G70),"."," ")</f>
        <v xml:space="preserve"> </v>
      </c>
      <c r="AI70" s="10" t="str">
        <f t="shared" si="290"/>
        <v xml:space="preserve"> </v>
      </c>
      <c r="AJ70" s="10" t="str">
        <f t="shared" si="290"/>
        <v xml:space="preserve"> </v>
      </c>
      <c r="AK70" s="10" t="str">
        <f t="shared" si="290"/>
        <v xml:space="preserve"> </v>
      </c>
      <c r="AL70" s="10" t="str">
        <f t="shared" si="290"/>
        <v xml:space="preserve"> </v>
      </c>
      <c r="AM70" s="14"/>
      <c r="AN70" s="14"/>
      <c r="AO70" s="10" t="str">
        <f t="shared" ref="AO70:AS120" si="291">IF(AND(AO$6&gt;=$F70,AO$6&lt;=$G70),"."," ")</f>
        <v xml:space="preserve"> </v>
      </c>
      <c r="AP70" s="10" t="str">
        <f t="shared" si="291"/>
        <v xml:space="preserve"> </v>
      </c>
      <c r="AQ70" s="10" t="str">
        <f t="shared" si="291"/>
        <v xml:space="preserve"> </v>
      </c>
      <c r="AR70" s="10" t="str">
        <f t="shared" si="291"/>
        <v xml:space="preserve"> </v>
      </c>
      <c r="AS70" s="10" t="str">
        <f t="shared" si="291"/>
        <v xml:space="preserve"> </v>
      </c>
      <c r="AT70" s="14"/>
      <c r="AU70" s="14"/>
      <c r="AV70" s="10" t="str">
        <f t="shared" ref="AV70:AZ120" si="292">IF(AND(AV$6&gt;=$F70,AV$6&lt;=$G70),"."," ")</f>
        <v xml:space="preserve"> </v>
      </c>
      <c r="AW70" s="10" t="str">
        <f t="shared" si="292"/>
        <v xml:space="preserve"> </v>
      </c>
      <c r="AX70" s="10" t="str">
        <f t="shared" si="292"/>
        <v xml:space="preserve"> </v>
      </c>
      <c r="AY70" s="10" t="str">
        <f t="shared" si="292"/>
        <v xml:space="preserve"> </v>
      </c>
      <c r="AZ70" s="10" t="str">
        <f t="shared" si="292"/>
        <v xml:space="preserve"> </v>
      </c>
      <c r="BA70" s="14"/>
      <c r="BB70" s="14"/>
      <c r="BC70" s="10" t="str">
        <f t="shared" ref="BC70:BG120" si="293">IF(AND(BC$6&gt;=$F70,BC$6&lt;=$G70),"."," ")</f>
        <v xml:space="preserve"> </v>
      </c>
      <c r="BD70" s="10" t="str">
        <f t="shared" si="293"/>
        <v xml:space="preserve"> </v>
      </c>
      <c r="BE70" s="10" t="str">
        <f t="shared" si="293"/>
        <v xml:space="preserve"> </v>
      </c>
      <c r="BF70" s="10" t="str">
        <f t="shared" si="293"/>
        <v xml:space="preserve"> </v>
      </c>
      <c r="BG70" s="10" t="str">
        <f t="shared" si="293"/>
        <v xml:space="preserve"> </v>
      </c>
      <c r="BH70" s="14"/>
      <c r="BI70" s="14"/>
      <c r="BJ70" s="10" t="str">
        <f t="shared" ref="BJ70:BN120" si="294">IF(AND(BJ$6&gt;=$F70,BJ$6&lt;=$G70),"."," ")</f>
        <v xml:space="preserve"> </v>
      </c>
      <c r="BK70" s="10" t="str">
        <f t="shared" si="294"/>
        <v xml:space="preserve"> </v>
      </c>
      <c r="BL70" s="10" t="str">
        <f t="shared" si="294"/>
        <v xml:space="preserve"> </v>
      </c>
      <c r="BM70" s="10" t="str">
        <f t="shared" si="294"/>
        <v xml:space="preserve"> </v>
      </c>
      <c r="BN70" s="10" t="str">
        <f t="shared" si="294"/>
        <v xml:space="preserve"> </v>
      </c>
      <c r="BO70" s="14"/>
      <c r="BP70" s="14"/>
      <c r="BQ70" s="10" t="str">
        <f t="shared" ref="BQ70:BU120" si="295">IF(AND(BQ$6&gt;=$F70,BQ$6&lt;=$G70),"."," ")</f>
        <v xml:space="preserve"> </v>
      </c>
      <c r="BR70" s="10" t="str">
        <f t="shared" si="295"/>
        <v xml:space="preserve"> </v>
      </c>
      <c r="BS70" s="10" t="str">
        <f t="shared" si="295"/>
        <v xml:space="preserve"> </v>
      </c>
      <c r="BT70" s="10" t="str">
        <f t="shared" si="295"/>
        <v xml:space="preserve"> </v>
      </c>
      <c r="BU70" s="10" t="str">
        <f t="shared" si="295"/>
        <v xml:space="preserve"> </v>
      </c>
      <c r="BV70" s="14"/>
      <c r="BW70" s="14"/>
      <c r="BX70" s="10" t="str">
        <f t="shared" ref="BX70:CB120" si="296">IF(AND(BX$6&gt;=$F70,BX$6&lt;=$G70),"."," ")</f>
        <v xml:space="preserve"> </v>
      </c>
      <c r="BY70" s="10" t="str">
        <f t="shared" si="296"/>
        <v xml:space="preserve"> </v>
      </c>
      <c r="BZ70" s="10" t="str">
        <f t="shared" si="296"/>
        <v xml:space="preserve"> </v>
      </c>
      <c r="CA70" s="10" t="str">
        <f t="shared" si="296"/>
        <v xml:space="preserve"> </v>
      </c>
      <c r="CB70" s="10" t="str">
        <f t="shared" si="296"/>
        <v xml:space="preserve"> </v>
      </c>
      <c r="CC70" s="14"/>
      <c r="CD70" s="14"/>
      <c r="CE70" s="10" t="str">
        <f t="shared" ref="CE70:CI120" si="297">IF(AND(CE$6&gt;=$F70,CE$6&lt;=$G70),"."," ")</f>
        <v xml:space="preserve"> </v>
      </c>
      <c r="CF70" s="10" t="str">
        <f t="shared" si="297"/>
        <v xml:space="preserve"> </v>
      </c>
      <c r="CG70" s="10" t="str">
        <f t="shared" si="297"/>
        <v xml:space="preserve"> </v>
      </c>
      <c r="CH70" s="10" t="str">
        <f t="shared" si="297"/>
        <v xml:space="preserve"> </v>
      </c>
      <c r="CI70" s="10" t="str">
        <f t="shared" si="297"/>
        <v xml:space="preserve"> </v>
      </c>
      <c r="CJ70" s="14"/>
      <c r="CK70" s="14"/>
      <c r="CL70" s="10" t="str">
        <f t="shared" ref="CL70:CP120" si="298">IF(AND(CL$6&gt;=$F70,CL$6&lt;=$G70),"."," ")</f>
        <v xml:space="preserve"> </v>
      </c>
      <c r="CM70" s="10" t="str">
        <f t="shared" si="298"/>
        <v xml:space="preserve"> </v>
      </c>
      <c r="CN70" s="10" t="str">
        <f t="shared" si="298"/>
        <v xml:space="preserve"> </v>
      </c>
      <c r="CO70" s="10" t="str">
        <f t="shared" si="298"/>
        <v xml:space="preserve"> </v>
      </c>
      <c r="CP70" s="10" t="str">
        <f t="shared" si="298"/>
        <v xml:space="preserve"> </v>
      </c>
      <c r="CQ70" s="14"/>
      <c r="CR70" s="14"/>
      <c r="CS70" s="10" t="str">
        <f t="shared" ref="CS70:CW120" si="299">IF(AND(CS$6&gt;=$F70,CS$6&lt;=$G70),"."," ")</f>
        <v xml:space="preserve"> </v>
      </c>
      <c r="CT70" s="10" t="str">
        <f t="shared" si="299"/>
        <v xml:space="preserve"> </v>
      </c>
      <c r="CU70" s="10" t="str">
        <f t="shared" si="299"/>
        <v xml:space="preserve"> </v>
      </c>
      <c r="CV70" s="10" t="str">
        <f t="shared" si="299"/>
        <v xml:space="preserve"> </v>
      </c>
      <c r="CW70" s="10" t="str">
        <f t="shared" si="299"/>
        <v xml:space="preserve"> </v>
      </c>
      <c r="CZ70" s="10" t="str">
        <f t="shared" ref="CZ70:DD120" si="300">IF(AND(CZ$6&gt;=$F70,CZ$6&lt;=$G70),"."," ")</f>
        <v xml:space="preserve"> </v>
      </c>
      <c r="DA70" s="10" t="str">
        <f t="shared" si="300"/>
        <v xml:space="preserve"> </v>
      </c>
      <c r="DB70" s="10" t="str">
        <f t="shared" si="300"/>
        <v xml:space="preserve"> </v>
      </c>
      <c r="DC70" s="10" t="str">
        <f t="shared" si="300"/>
        <v xml:space="preserve"> </v>
      </c>
      <c r="DD70" s="10" t="str">
        <f t="shared" si="300"/>
        <v xml:space="preserve"> </v>
      </c>
      <c r="DG70" s="10" t="str">
        <f t="shared" ref="DG70:DK120" si="301">IF(AND(DG$6&gt;=$F70,DG$6&lt;=$G70),"."," ")</f>
        <v xml:space="preserve"> </v>
      </c>
      <c r="DH70" s="10" t="str">
        <f t="shared" si="301"/>
        <v xml:space="preserve"> </v>
      </c>
      <c r="DI70" s="10" t="str">
        <f t="shared" si="301"/>
        <v xml:space="preserve"> </v>
      </c>
      <c r="DJ70" s="10" t="str">
        <f t="shared" si="301"/>
        <v xml:space="preserve"> </v>
      </c>
      <c r="DK70" s="10" t="str">
        <f t="shared" si="301"/>
        <v xml:space="preserve"> </v>
      </c>
      <c r="DN70" s="10" t="str">
        <f t="shared" ref="DN70:DR120" si="302">IF(AND(DN$6&gt;=$F70,DN$6&lt;=$G70),"."," ")</f>
        <v xml:space="preserve"> </v>
      </c>
      <c r="DO70" s="10" t="str">
        <f t="shared" si="302"/>
        <v xml:space="preserve"> </v>
      </c>
      <c r="DP70" s="10" t="str">
        <f t="shared" si="302"/>
        <v xml:space="preserve"> </v>
      </c>
      <c r="DQ70" s="10" t="str">
        <f t="shared" si="302"/>
        <v xml:space="preserve"> </v>
      </c>
      <c r="DR70" s="10" t="str">
        <f t="shared" si="302"/>
        <v xml:space="preserve"> </v>
      </c>
      <c r="DU70" s="10" t="str">
        <f t="shared" ref="DU70:DY120" si="303">IF(AND(DU$6&gt;=$F70,DU$6&lt;=$G70),"."," ")</f>
        <v xml:space="preserve"> </v>
      </c>
      <c r="DV70" s="10" t="str">
        <f t="shared" si="303"/>
        <v xml:space="preserve"> </v>
      </c>
      <c r="DW70" s="10" t="str">
        <f t="shared" si="303"/>
        <v xml:space="preserve"> </v>
      </c>
      <c r="DX70" s="10" t="str">
        <f t="shared" si="303"/>
        <v xml:space="preserve"> </v>
      </c>
      <c r="DY70" s="10" t="str">
        <f t="shared" si="303"/>
        <v xml:space="preserve"> </v>
      </c>
      <c r="EB70" s="10" t="str">
        <f t="shared" ref="EB70:EF120" si="304">IF(AND(EB$6&gt;=$F70,EB$6&lt;=$G70),"."," ")</f>
        <v xml:space="preserve"> </v>
      </c>
      <c r="EC70" s="10" t="str">
        <f t="shared" si="304"/>
        <v xml:space="preserve"> </v>
      </c>
      <c r="ED70" s="10" t="str">
        <f t="shared" si="304"/>
        <v xml:space="preserve"> </v>
      </c>
      <c r="EE70" s="10" t="str">
        <f t="shared" si="304"/>
        <v xml:space="preserve"> </v>
      </c>
      <c r="EF70" s="10" t="str">
        <f t="shared" si="304"/>
        <v xml:space="preserve"> </v>
      </c>
      <c r="EI70" s="10" t="str">
        <f t="shared" ref="EI70:EM120" si="305">IF(AND(EI$6&gt;=$F70,EI$6&lt;=$G70),"."," ")</f>
        <v xml:space="preserve"> </v>
      </c>
      <c r="EJ70" s="10" t="str">
        <f t="shared" si="305"/>
        <v xml:space="preserve"> </v>
      </c>
      <c r="EK70" s="10" t="str">
        <f t="shared" si="305"/>
        <v xml:space="preserve"> </v>
      </c>
      <c r="EL70" s="10" t="str">
        <f t="shared" si="305"/>
        <v xml:space="preserve"> </v>
      </c>
      <c r="EM70" s="10" t="str">
        <f t="shared" si="305"/>
        <v xml:space="preserve"> </v>
      </c>
      <c r="EP70" s="10" t="str">
        <f t="shared" ref="EP70:ET120" si="306">IF(AND(EP$6&gt;=$F70,EP$6&lt;=$G70),"."," ")</f>
        <v xml:space="preserve"> </v>
      </c>
      <c r="EQ70" s="10" t="str">
        <f t="shared" si="306"/>
        <v xml:space="preserve"> </v>
      </c>
      <c r="ER70" s="10" t="str">
        <f t="shared" si="306"/>
        <v xml:space="preserve"> </v>
      </c>
      <c r="ES70" s="10" t="str">
        <f t="shared" si="306"/>
        <v xml:space="preserve"> </v>
      </c>
      <c r="ET70" s="10" t="str">
        <f t="shared" si="306"/>
        <v xml:space="preserve"> </v>
      </c>
      <c r="EW70" s="10" t="str">
        <f t="shared" ref="EW70:FA120" si="307">IF(AND(EW$6&gt;=$F70,EW$6&lt;=$G70),"."," ")</f>
        <v xml:space="preserve"> </v>
      </c>
      <c r="EX70" s="10" t="str">
        <f t="shared" si="307"/>
        <v xml:space="preserve"> </v>
      </c>
      <c r="EY70" s="10" t="str">
        <f t="shared" si="307"/>
        <v xml:space="preserve"> </v>
      </c>
      <c r="EZ70" s="10" t="str">
        <f t="shared" si="307"/>
        <v xml:space="preserve"> </v>
      </c>
      <c r="FA70" s="10" t="str">
        <f t="shared" si="307"/>
        <v xml:space="preserve"> </v>
      </c>
      <c r="FD70" s="10" t="str">
        <f t="shared" ref="FD70:FH120" si="308">IF(AND(FD$6&gt;=$F70,FD$6&lt;=$G70),"."," ")</f>
        <v xml:space="preserve"> </v>
      </c>
      <c r="FE70" s="10" t="str">
        <f t="shared" si="308"/>
        <v xml:space="preserve"> </v>
      </c>
      <c r="FF70" s="10" t="str">
        <f t="shared" si="308"/>
        <v xml:space="preserve"> </v>
      </c>
      <c r="FG70" s="10" t="str">
        <f t="shared" si="308"/>
        <v xml:space="preserve"> </v>
      </c>
      <c r="FH70" s="10" t="str">
        <f t="shared" si="308"/>
        <v xml:space="preserve"> </v>
      </c>
      <c r="FK70" s="10" t="str">
        <f t="shared" ref="FK70:FO120" si="309">IF(AND(FK$6&gt;=$F70,FK$6&lt;=$G70),"."," ")</f>
        <v xml:space="preserve"> </v>
      </c>
      <c r="FL70" s="10" t="str">
        <f t="shared" si="309"/>
        <v xml:space="preserve"> </v>
      </c>
      <c r="FM70" s="10" t="str">
        <f t="shared" si="309"/>
        <v xml:space="preserve"> </v>
      </c>
      <c r="FN70" s="10" t="str">
        <f t="shared" si="309"/>
        <v xml:space="preserve"> </v>
      </c>
      <c r="FO70" s="10" t="str">
        <f t="shared" si="309"/>
        <v xml:space="preserve"> </v>
      </c>
      <c r="FR70" s="10" t="str">
        <f t="shared" ref="FR70:FV120" si="310">IF(AND(FR$6&gt;=$F70,FR$6&lt;=$G70),"."," ")</f>
        <v xml:space="preserve"> </v>
      </c>
      <c r="FS70" s="10" t="str">
        <f t="shared" si="310"/>
        <v xml:space="preserve"> </v>
      </c>
      <c r="FT70" s="10" t="str">
        <f t="shared" si="310"/>
        <v xml:space="preserve"> </v>
      </c>
      <c r="FU70" s="10" t="str">
        <f t="shared" si="310"/>
        <v xml:space="preserve"> </v>
      </c>
      <c r="FV70" s="10" t="str">
        <f t="shared" si="310"/>
        <v xml:space="preserve"> </v>
      </c>
      <c r="FY70" s="10" t="str">
        <f t="shared" ref="FY70:GC120" si="311">IF(AND(FY$6&gt;=$F70,FY$6&lt;=$G70),"."," ")</f>
        <v xml:space="preserve"> </v>
      </c>
      <c r="FZ70" s="10" t="str">
        <f t="shared" si="311"/>
        <v xml:space="preserve"> </v>
      </c>
      <c r="GA70" s="10" t="str">
        <f t="shared" si="311"/>
        <v xml:space="preserve"> </v>
      </c>
      <c r="GB70" s="10" t="str">
        <f t="shared" si="311"/>
        <v xml:space="preserve"> </v>
      </c>
      <c r="GC70" s="10" t="str">
        <f t="shared" si="311"/>
        <v xml:space="preserve"> </v>
      </c>
      <c r="GF70" s="10" t="str">
        <f t="shared" ref="GF70:GJ120" si="312">IF(AND(GF$6&gt;=$F70,GF$6&lt;=$G70),"."," ")</f>
        <v xml:space="preserve"> </v>
      </c>
      <c r="GG70" s="10" t="str">
        <f t="shared" si="312"/>
        <v xml:space="preserve"> </v>
      </c>
      <c r="GH70" s="10" t="str">
        <f t="shared" si="312"/>
        <v xml:space="preserve"> </v>
      </c>
      <c r="GI70" s="10" t="str">
        <f t="shared" si="312"/>
        <v xml:space="preserve"> </v>
      </c>
      <c r="GJ70" s="10" t="str">
        <f t="shared" si="312"/>
        <v xml:space="preserve"> </v>
      </c>
      <c r="GM70" s="10" t="str">
        <f t="shared" ref="GM70:GQ120" si="313">IF(AND(GM$6&gt;=$F70,GM$6&lt;=$G70),"."," ")</f>
        <v xml:space="preserve"> </v>
      </c>
      <c r="GN70" s="10" t="str">
        <f t="shared" si="313"/>
        <v xml:space="preserve"> </v>
      </c>
      <c r="GO70" s="10" t="str">
        <f t="shared" si="313"/>
        <v xml:space="preserve"> </v>
      </c>
      <c r="GP70" s="10" t="str">
        <f t="shared" si="313"/>
        <v xml:space="preserve"> </v>
      </c>
      <c r="GQ70" s="10" t="str">
        <f t="shared" si="313"/>
        <v xml:space="preserve"> </v>
      </c>
      <c r="GT70" s="10" t="str">
        <f t="shared" ref="GT70:GX120" si="314">IF(AND(GT$6&gt;=$F70,GT$6&lt;=$G70),"."," ")</f>
        <v xml:space="preserve"> </v>
      </c>
      <c r="GU70" s="10" t="str">
        <f t="shared" si="314"/>
        <v xml:space="preserve"> </v>
      </c>
      <c r="GV70" s="10" t="str">
        <f t="shared" si="314"/>
        <v xml:space="preserve"> </v>
      </c>
      <c r="GW70" s="10" t="str">
        <f t="shared" si="314"/>
        <v xml:space="preserve"> </v>
      </c>
      <c r="GX70" s="10" t="str">
        <f t="shared" si="314"/>
        <v xml:space="preserve"> </v>
      </c>
      <c r="HA70" s="10" t="str">
        <f t="shared" ref="HA70:HE120" si="315">IF(AND(HA$6&gt;=$F70,HA$6&lt;=$G70),"."," ")</f>
        <v xml:space="preserve"> </v>
      </c>
      <c r="HB70" s="10" t="str">
        <f t="shared" si="315"/>
        <v xml:space="preserve"> </v>
      </c>
      <c r="HC70" s="10" t="str">
        <f t="shared" si="315"/>
        <v xml:space="preserve"> </v>
      </c>
      <c r="HD70" s="10" t="str">
        <f t="shared" si="315"/>
        <v xml:space="preserve"> </v>
      </c>
      <c r="HE70" s="10" t="str">
        <f t="shared" si="315"/>
        <v xml:space="preserve"> </v>
      </c>
      <c r="HH70" s="10" t="str">
        <f t="shared" ref="HH70:HL120" si="316">IF(AND(HH$6&gt;=$F70,HH$6&lt;=$G70),"."," ")</f>
        <v xml:space="preserve"> </v>
      </c>
      <c r="HI70" s="10" t="str">
        <f t="shared" si="316"/>
        <v xml:space="preserve"> </v>
      </c>
      <c r="HJ70" s="10" t="str">
        <f t="shared" si="316"/>
        <v xml:space="preserve"> </v>
      </c>
      <c r="HK70" s="10" t="str">
        <f t="shared" si="316"/>
        <v xml:space="preserve"> </v>
      </c>
      <c r="HL70" s="10" t="str">
        <f t="shared" si="316"/>
        <v xml:space="preserve"> </v>
      </c>
      <c r="HO70" s="10" t="str">
        <f t="shared" ref="HO70:HS120" si="317">IF(AND(HO$6&gt;=$F70,HO$6&lt;=$G70),"."," ")</f>
        <v xml:space="preserve"> </v>
      </c>
      <c r="HP70" s="10" t="str">
        <f t="shared" si="317"/>
        <v xml:space="preserve"> </v>
      </c>
      <c r="HQ70" s="10" t="str">
        <f t="shared" si="317"/>
        <v xml:space="preserve"> </v>
      </c>
      <c r="HR70" s="10" t="str">
        <f t="shared" si="317"/>
        <v xml:space="preserve"> </v>
      </c>
      <c r="HS70" s="10" t="str">
        <f t="shared" si="317"/>
        <v xml:space="preserve"> </v>
      </c>
      <c r="HV70" s="10" t="str">
        <f t="shared" ref="HV70:HZ120" si="318">IF(AND(HV$6&gt;=$F70,HV$6&lt;=$G70),"."," ")</f>
        <v xml:space="preserve"> </v>
      </c>
      <c r="HW70" s="10" t="str">
        <f t="shared" si="318"/>
        <v xml:space="preserve"> </v>
      </c>
      <c r="HX70" s="10" t="str">
        <f t="shared" si="318"/>
        <v xml:space="preserve"> </v>
      </c>
      <c r="HY70" s="10" t="str">
        <f t="shared" si="318"/>
        <v xml:space="preserve"> </v>
      </c>
      <c r="HZ70" s="10" t="str">
        <f t="shared" si="318"/>
        <v xml:space="preserve"> </v>
      </c>
      <c r="IC70" s="10" t="str">
        <f t="shared" ref="IC70:IG120" si="319">IF(AND(IC$6&gt;=$F70,IC$6&lt;=$G70),"."," ")</f>
        <v xml:space="preserve"> </v>
      </c>
      <c r="ID70" s="10" t="str">
        <f t="shared" si="319"/>
        <v xml:space="preserve"> </v>
      </c>
      <c r="IE70" s="10" t="str">
        <f t="shared" si="319"/>
        <v xml:space="preserve"> </v>
      </c>
      <c r="IF70" s="10" t="str">
        <f t="shared" si="319"/>
        <v xml:space="preserve"> </v>
      </c>
      <c r="IG70" s="10" t="str">
        <f t="shared" si="319"/>
        <v xml:space="preserve"> </v>
      </c>
      <c r="IJ70" s="10" t="str">
        <f t="shared" ref="IJ70:IN120" si="320">IF(AND(IJ$6&gt;=$F70,IJ$6&lt;=$G70),"."," ")</f>
        <v xml:space="preserve"> </v>
      </c>
      <c r="IK70" s="10" t="str">
        <f t="shared" si="320"/>
        <v xml:space="preserve"> </v>
      </c>
      <c r="IL70" s="10" t="str">
        <f t="shared" si="320"/>
        <v xml:space="preserve"> </v>
      </c>
      <c r="IM70" s="10" t="str">
        <f t="shared" si="320"/>
        <v xml:space="preserve"> </v>
      </c>
      <c r="IN70" s="10" t="str">
        <f t="shared" si="320"/>
        <v xml:space="preserve"> </v>
      </c>
      <c r="IQ70" s="10" t="str">
        <f t="shared" ref="IQ70:IU120" si="321">IF(AND(IQ$6&gt;=$F70,IQ$6&lt;=$G70),"."," ")</f>
        <v xml:space="preserve"> </v>
      </c>
      <c r="IR70" s="10" t="str">
        <f t="shared" si="321"/>
        <v xml:space="preserve"> </v>
      </c>
      <c r="IS70" s="10" t="str">
        <f t="shared" si="321"/>
        <v xml:space="preserve"> </v>
      </c>
      <c r="IT70" s="10" t="str">
        <f t="shared" si="321"/>
        <v xml:space="preserve"> </v>
      </c>
      <c r="IU70" s="10" t="str">
        <f t="shared" si="321"/>
        <v xml:space="preserve"> </v>
      </c>
      <c r="IX70" s="10" t="str">
        <f t="shared" ref="IX70:JB120" si="322">IF(AND(IX$6&gt;=$F70,IX$6&lt;=$G70),"."," ")</f>
        <v xml:space="preserve"> </v>
      </c>
      <c r="IY70" s="10" t="str">
        <f t="shared" si="322"/>
        <v xml:space="preserve"> </v>
      </c>
      <c r="IZ70" s="10" t="str">
        <f t="shared" si="322"/>
        <v xml:space="preserve"> </v>
      </c>
      <c r="JA70" s="10" t="str">
        <f t="shared" si="322"/>
        <v xml:space="preserve"> </v>
      </c>
      <c r="JB70" s="10" t="str">
        <f t="shared" si="322"/>
        <v xml:space="preserve"> </v>
      </c>
      <c r="JE70" s="10" t="str">
        <f t="shared" ref="JE70:JI120" si="323">IF(AND(JE$6&gt;=$F70,JE$6&lt;=$G70),"."," ")</f>
        <v xml:space="preserve"> </v>
      </c>
      <c r="JF70" s="10" t="str">
        <f t="shared" si="323"/>
        <v xml:space="preserve"> </v>
      </c>
      <c r="JG70" s="10" t="str">
        <f t="shared" si="323"/>
        <v xml:space="preserve"> </v>
      </c>
      <c r="JH70" s="10" t="str">
        <f t="shared" si="323"/>
        <v xml:space="preserve"> </v>
      </c>
      <c r="JI70" s="10" t="str">
        <f t="shared" si="323"/>
        <v xml:space="preserve"> </v>
      </c>
    </row>
    <row r="71" spans="3:269">
      <c r="M71" s="10" t="str">
        <f t="shared" si="88"/>
        <v xml:space="preserve"> </v>
      </c>
      <c r="N71" s="10" t="str">
        <f t="shared" si="88"/>
        <v xml:space="preserve"> </v>
      </c>
      <c r="O71" s="10" t="str">
        <f t="shared" si="88"/>
        <v xml:space="preserve"> </v>
      </c>
      <c r="P71" s="10" t="str">
        <f t="shared" si="88"/>
        <v xml:space="preserve"> </v>
      </c>
      <c r="Q71" s="10" t="str">
        <f t="shared" si="88"/>
        <v xml:space="preserve"> </v>
      </c>
      <c r="R71" s="14"/>
      <c r="S71" s="14"/>
      <c r="T71" s="10" t="str">
        <f t="shared" si="288"/>
        <v xml:space="preserve"> </v>
      </c>
      <c r="U71" s="10" t="str">
        <f t="shared" si="288"/>
        <v xml:space="preserve"> </v>
      </c>
      <c r="V71" s="10" t="str">
        <f t="shared" si="288"/>
        <v xml:space="preserve"> </v>
      </c>
      <c r="W71" s="10" t="str">
        <f t="shared" si="288"/>
        <v xml:space="preserve"> </v>
      </c>
      <c r="X71" s="10" t="str">
        <f t="shared" si="288"/>
        <v xml:space="preserve"> </v>
      </c>
      <c r="Y71" s="14"/>
      <c r="Z71" s="14"/>
      <c r="AA71" s="10" t="str">
        <f t="shared" si="289"/>
        <v xml:space="preserve"> </v>
      </c>
      <c r="AB71" s="10" t="str">
        <f t="shared" si="289"/>
        <v xml:space="preserve"> </v>
      </c>
      <c r="AC71" s="10" t="str">
        <f t="shared" si="289"/>
        <v xml:space="preserve"> </v>
      </c>
      <c r="AD71" s="10" t="str">
        <f t="shared" si="289"/>
        <v xml:space="preserve"> </v>
      </c>
      <c r="AE71" s="10" t="str">
        <f t="shared" si="289"/>
        <v xml:space="preserve"> </v>
      </c>
      <c r="AF71" s="14"/>
      <c r="AG71" s="14"/>
      <c r="AH71" s="10" t="str">
        <f t="shared" si="290"/>
        <v xml:space="preserve"> </v>
      </c>
      <c r="AI71" s="10" t="str">
        <f t="shared" si="290"/>
        <v xml:space="preserve"> </v>
      </c>
      <c r="AJ71" s="10" t="str">
        <f t="shared" si="290"/>
        <v xml:space="preserve"> </v>
      </c>
      <c r="AK71" s="10" t="str">
        <f t="shared" si="290"/>
        <v xml:space="preserve"> </v>
      </c>
      <c r="AL71" s="10" t="str">
        <f t="shared" si="290"/>
        <v xml:space="preserve"> </v>
      </c>
      <c r="AM71" s="14"/>
      <c r="AN71" s="14"/>
      <c r="AO71" s="10" t="str">
        <f t="shared" si="291"/>
        <v xml:space="preserve"> </v>
      </c>
      <c r="AP71" s="10" t="str">
        <f t="shared" si="291"/>
        <v xml:space="preserve"> </v>
      </c>
      <c r="AQ71" s="10" t="str">
        <f t="shared" si="291"/>
        <v xml:space="preserve"> </v>
      </c>
      <c r="AR71" s="10" t="str">
        <f t="shared" si="291"/>
        <v xml:space="preserve"> </v>
      </c>
      <c r="AS71" s="10" t="str">
        <f t="shared" si="291"/>
        <v xml:space="preserve"> </v>
      </c>
      <c r="AT71" s="14"/>
      <c r="AU71" s="14"/>
      <c r="AV71" s="10" t="str">
        <f t="shared" si="292"/>
        <v xml:space="preserve"> </v>
      </c>
      <c r="AW71" s="10" t="str">
        <f t="shared" si="292"/>
        <v xml:space="preserve"> </v>
      </c>
      <c r="AX71" s="10" t="str">
        <f t="shared" si="292"/>
        <v xml:space="preserve"> </v>
      </c>
      <c r="AY71" s="10" t="str">
        <f t="shared" si="292"/>
        <v xml:space="preserve"> </v>
      </c>
      <c r="AZ71" s="10" t="str">
        <f t="shared" si="292"/>
        <v xml:space="preserve"> </v>
      </c>
      <c r="BA71" s="14"/>
      <c r="BB71" s="14"/>
      <c r="BC71" s="10" t="str">
        <f t="shared" si="293"/>
        <v xml:space="preserve"> </v>
      </c>
      <c r="BD71" s="10" t="str">
        <f t="shared" si="293"/>
        <v xml:space="preserve"> </v>
      </c>
      <c r="BE71" s="10" t="str">
        <f t="shared" si="293"/>
        <v xml:space="preserve"> </v>
      </c>
      <c r="BF71" s="10" t="str">
        <f t="shared" si="293"/>
        <v xml:space="preserve"> </v>
      </c>
      <c r="BG71" s="10" t="str">
        <f t="shared" si="293"/>
        <v xml:space="preserve"> </v>
      </c>
      <c r="BH71" s="14"/>
      <c r="BI71" s="14"/>
      <c r="BJ71" s="10" t="str">
        <f t="shared" si="294"/>
        <v xml:space="preserve"> </v>
      </c>
      <c r="BK71" s="10" t="str">
        <f t="shared" si="294"/>
        <v xml:space="preserve"> </v>
      </c>
      <c r="BL71" s="10" t="str">
        <f t="shared" si="294"/>
        <v xml:space="preserve"> </v>
      </c>
      <c r="BM71" s="10" t="str">
        <f t="shared" si="294"/>
        <v xml:space="preserve"> </v>
      </c>
      <c r="BN71" s="10" t="str">
        <f t="shared" si="294"/>
        <v xml:space="preserve"> </v>
      </c>
      <c r="BO71" s="14"/>
      <c r="BP71" s="14"/>
      <c r="BQ71" s="10" t="str">
        <f t="shared" si="295"/>
        <v xml:space="preserve"> </v>
      </c>
      <c r="BR71" s="10" t="str">
        <f t="shared" si="295"/>
        <v xml:space="preserve"> </v>
      </c>
      <c r="BS71" s="10" t="str">
        <f t="shared" si="295"/>
        <v xml:space="preserve"> </v>
      </c>
      <c r="BT71" s="10" t="str">
        <f t="shared" si="295"/>
        <v xml:space="preserve"> </v>
      </c>
      <c r="BU71" s="10" t="str">
        <f t="shared" si="295"/>
        <v xml:space="preserve"> </v>
      </c>
      <c r="BV71" s="14"/>
      <c r="BW71" s="14"/>
      <c r="BX71" s="10" t="str">
        <f t="shared" si="296"/>
        <v xml:space="preserve"> </v>
      </c>
      <c r="BY71" s="10" t="str">
        <f t="shared" si="296"/>
        <v xml:space="preserve"> </v>
      </c>
      <c r="BZ71" s="10" t="str">
        <f t="shared" si="296"/>
        <v xml:space="preserve"> </v>
      </c>
      <c r="CA71" s="10" t="str">
        <f t="shared" si="296"/>
        <v xml:space="preserve"> </v>
      </c>
      <c r="CB71" s="10" t="str">
        <f t="shared" si="296"/>
        <v xml:space="preserve"> </v>
      </c>
      <c r="CC71" s="14"/>
      <c r="CD71" s="14"/>
      <c r="CE71" s="10" t="str">
        <f t="shared" si="297"/>
        <v xml:space="preserve"> </v>
      </c>
      <c r="CF71" s="10" t="str">
        <f t="shared" si="297"/>
        <v xml:space="preserve"> </v>
      </c>
      <c r="CG71" s="10" t="str">
        <f t="shared" si="297"/>
        <v xml:space="preserve"> </v>
      </c>
      <c r="CH71" s="10" t="str">
        <f t="shared" si="297"/>
        <v xml:space="preserve"> </v>
      </c>
      <c r="CI71" s="10" t="str">
        <f t="shared" si="297"/>
        <v xml:space="preserve"> </v>
      </c>
      <c r="CJ71" s="14"/>
      <c r="CK71" s="14"/>
      <c r="CL71" s="10" t="str">
        <f t="shared" si="298"/>
        <v xml:space="preserve"> </v>
      </c>
      <c r="CM71" s="10" t="str">
        <f t="shared" si="298"/>
        <v xml:space="preserve"> </v>
      </c>
      <c r="CN71" s="10" t="str">
        <f t="shared" si="298"/>
        <v xml:space="preserve"> </v>
      </c>
      <c r="CO71" s="10" t="str">
        <f t="shared" si="298"/>
        <v xml:space="preserve"> </v>
      </c>
      <c r="CP71" s="10" t="str">
        <f t="shared" si="298"/>
        <v xml:space="preserve"> </v>
      </c>
      <c r="CQ71" s="14"/>
      <c r="CR71" s="14"/>
      <c r="CS71" s="10" t="str">
        <f t="shared" si="299"/>
        <v xml:space="preserve"> </v>
      </c>
      <c r="CT71" s="10" t="str">
        <f t="shared" si="299"/>
        <v xml:space="preserve"> </v>
      </c>
      <c r="CU71" s="10" t="str">
        <f t="shared" si="299"/>
        <v xml:space="preserve"> </v>
      </c>
      <c r="CV71" s="10" t="str">
        <f t="shared" si="299"/>
        <v xml:space="preserve"> </v>
      </c>
      <c r="CW71" s="10" t="str">
        <f t="shared" si="299"/>
        <v xml:space="preserve"> </v>
      </c>
      <c r="CZ71" s="10" t="str">
        <f t="shared" si="300"/>
        <v xml:space="preserve"> </v>
      </c>
      <c r="DA71" s="10" t="str">
        <f t="shared" si="300"/>
        <v xml:space="preserve"> </v>
      </c>
      <c r="DB71" s="10" t="str">
        <f t="shared" si="300"/>
        <v xml:space="preserve"> </v>
      </c>
      <c r="DC71" s="10" t="str">
        <f t="shared" si="300"/>
        <v xml:space="preserve"> </v>
      </c>
      <c r="DD71" s="10" t="str">
        <f t="shared" si="300"/>
        <v xml:space="preserve"> </v>
      </c>
      <c r="DG71" s="10" t="str">
        <f t="shared" si="301"/>
        <v xml:space="preserve"> </v>
      </c>
      <c r="DH71" s="10" t="str">
        <f t="shared" si="301"/>
        <v xml:space="preserve"> </v>
      </c>
      <c r="DI71" s="10" t="str">
        <f t="shared" si="301"/>
        <v xml:space="preserve"> </v>
      </c>
      <c r="DJ71" s="10" t="str">
        <f t="shared" si="301"/>
        <v xml:space="preserve"> </v>
      </c>
      <c r="DK71" s="10" t="str">
        <f t="shared" si="301"/>
        <v xml:space="preserve"> </v>
      </c>
      <c r="DN71" s="10" t="str">
        <f t="shared" si="302"/>
        <v xml:space="preserve"> </v>
      </c>
      <c r="DO71" s="10" t="str">
        <f t="shared" si="302"/>
        <v xml:space="preserve"> </v>
      </c>
      <c r="DP71" s="10" t="str">
        <f t="shared" si="302"/>
        <v xml:space="preserve"> </v>
      </c>
      <c r="DQ71" s="10" t="str">
        <f t="shared" si="302"/>
        <v xml:space="preserve"> </v>
      </c>
      <c r="DR71" s="10" t="str">
        <f t="shared" si="302"/>
        <v xml:space="preserve"> </v>
      </c>
      <c r="DU71" s="10" t="str">
        <f t="shared" si="303"/>
        <v xml:space="preserve"> </v>
      </c>
      <c r="DV71" s="10" t="str">
        <f t="shared" si="303"/>
        <v xml:space="preserve"> </v>
      </c>
      <c r="DW71" s="10" t="str">
        <f t="shared" si="303"/>
        <v xml:space="preserve"> </v>
      </c>
      <c r="DX71" s="10" t="str">
        <f t="shared" si="303"/>
        <v xml:space="preserve"> </v>
      </c>
      <c r="DY71" s="10" t="str">
        <f t="shared" si="303"/>
        <v xml:space="preserve"> </v>
      </c>
      <c r="EB71" s="10" t="str">
        <f t="shared" si="304"/>
        <v xml:space="preserve"> </v>
      </c>
      <c r="EC71" s="10" t="str">
        <f t="shared" si="304"/>
        <v xml:space="preserve"> </v>
      </c>
      <c r="ED71" s="10" t="str">
        <f t="shared" si="304"/>
        <v xml:space="preserve"> </v>
      </c>
      <c r="EE71" s="10" t="str">
        <f t="shared" si="304"/>
        <v xml:space="preserve"> </v>
      </c>
      <c r="EF71" s="10" t="str">
        <f t="shared" si="304"/>
        <v xml:space="preserve"> </v>
      </c>
      <c r="EI71" s="10" t="str">
        <f t="shared" si="305"/>
        <v xml:space="preserve"> </v>
      </c>
      <c r="EJ71" s="10" t="str">
        <f t="shared" si="305"/>
        <v xml:space="preserve"> </v>
      </c>
      <c r="EK71" s="10" t="str">
        <f t="shared" si="305"/>
        <v xml:space="preserve"> </v>
      </c>
      <c r="EL71" s="10" t="str">
        <f t="shared" si="305"/>
        <v xml:space="preserve"> </v>
      </c>
      <c r="EM71" s="10" t="str">
        <f t="shared" si="305"/>
        <v xml:space="preserve"> </v>
      </c>
      <c r="EP71" s="10" t="str">
        <f t="shared" si="306"/>
        <v xml:space="preserve"> </v>
      </c>
      <c r="EQ71" s="10" t="str">
        <f t="shared" si="306"/>
        <v xml:space="preserve"> </v>
      </c>
      <c r="ER71" s="10" t="str">
        <f t="shared" si="306"/>
        <v xml:space="preserve"> </v>
      </c>
      <c r="ES71" s="10" t="str">
        <f t="shared" si="306"/>
        <v xml:space="preserve"> </v>
      </c>
      <c r="ET71" s="10" t="str">
        <f t="shared" si="306"/>
        <v xml:space="preserve"> </v>
      </c>
      <c r="EW71" s="10" t="str">
        <f t="shared" si="307"/>
        <v xml:space="preserve"> </v>
      </c>
      <c r="EX71" s="10" t="str">
        <f t="shared" si="307"/>
        <v xml:space="preserve"> </v>
      </c>
      <c r="EY71" s="10" t="str">
        <f t="shared" si="307"/>
        <v xml:space="preserve"> </v>
      </c>
      <c r="EZ71" s="10" t="str">
        <f t="shared" si="307"/>
        <v xml:space="preserve"> </v>
      </c>
      <c r="FA71" s="10" t="str">
        <f t="shared" si="307"/>
        <v xml:space="preserve"> </v>
      </c>
      <c r="FD71" s="10" t="str">
        <f t="shared" si="308"/>
        <v xml:space="preserve"> </v>
      </c>
      <c r="FE71" s="10" t="str">
        <f t="shared" si="308"/>
        <v xml:space="preserve"> </v>
      </c>
      <c r="FF71" s="10" t="str">
        <f t="shared" si="308"/>
        <v xml:space="preserve"> </v>
      </c>
      <c r="FG71" s="10" t="str">
        <f t="shared" si="308"/>
        <v xml:space="preserve"> </v>
      </c>
      <c r="FH71" s="10" t="str">
        <f t="shared" si="308"/>
        <v xml:space="preserve"> </v>
      </c>
      <c r="FK71" s="10" t="str">
        <f t="shared" si="309"/>
        <v xml:space="preserve"> </v>
      </c>
      <c r="FL71" s="10" t="str">
        <f t="shared" si="309"/>
        <v xml:space="preserve"> </v>
      </c>
      <c r="FM71" s="10" t="str">
        <f t="shared" si="309"/>
        <v xml:space="preserve"> </v>
      </c>
      <c r="FN71" s="10" t="str">
        <f t="shared" si="309"/>
        <v xml:space="preserve"> </v>
      </c>
      <c r="FO71" s="10" t="str">
        <f t="shared" si="309"/>
        <v xml:space="preserve"> </v>
      </c>
      <c r="FR71" s="10" t="str">
        <f t="shared" si="310"/>
        <v xml:space="preserve"> </v>
      </c>
      <c r="FS71" s="10" t="str">
        <f t="shared" si="310"/>
        <v xml:space="preserve"> </v>
      </c>
      <c r="FT71" s="10" t="str">
        <f t="shared" si="310"/>
        <v xml:space="preserve"> </v>
      </c>
      <c r="FU71" s="10" t="str">
        <f t="shared" si="310"/>
        <v xml:space="preserve"> </v>
      </c>
      <c r="FV71" s="10" t="str">
        <f t="shared" si="310"/>
        <v xml:space="preserve"> </v>
      </c>
      <c r="FY71" s="10" t="str">
        <f t="shared" si="311"/>
        <v xml:space="preserve"> </v>
      </c>
      <c r="FZ71" s="10" t="str">
        <f t="shared" si="311"/>
        <v xml:space="preserve"> </v>
      </c>
      <c r="GA71" s="10" t="str">
        <f t="shared" si="311"/>
        <v xml:space="preserve"> </v>
      </c>
      <c r="GB71" s="10" t="str">
        <f t="shared" si="311"/>
        <v xml:space="preserve"> </v>
      </c>
      <c r="GC71" s="10" t="str">
        <f t="shared" si="311"/>
        <v xml:space="preserve"> </v>
      </c>
      <c r="GF71" s="10" t="str">
        <f t="shared" si="312"/>
        <v xml:space="preserve"> </v>
      </c>
      <c r="GG71" s="10" t="str">
        <f t="shared" si="312"/>
        <v xml:space="preserve"> </v>
      </c>
      <c r="GH71" s="10" t="str">
        <f t="shared" si="312"/>
        <v xml:space="preserve"> </v>
      </c>
      <c r="GI71" s="10" t="str">
        <f t="shared" si="312"/>
        <v xml:space="preserve"> </v>
      </c>
      <c r="GJ71" s="10" t="str">
        <f t="shared" si="312"/>
        <v xml:space="preserve"> </v>
      </c>
      <c r="GM71" s="10" t="str">
        <f t="shared" si="313"/>
        <v xml:space="preserve"> </v>
      </c>
      <c r="GN71" s="10" t="str">
        <f t="shared" si="313"/>
        <v xml:space="preserve"> </v>
      </c>
      <c r="GO71" s="10" t="str">
        <f t="shared" si="313"/>
        <v xml:space="preserve"> </v>
      </c>
      <c r="GP71" s="10" t="str">
        <f t="shared" si="313"/>
        <v xml:space="preserve"> </v>
      </c>
      <c r="GQ71" s="10" t="str">
        <f t="shared" si="313"/>
        <v xml:space="preserve"> </v>
      </c>
      <c r="GT71" s="10" t="str">
        <f t="shared" si="314"/>
        <v xml:space="preserve"> </v>
      </c>
      <c r="GU71" s="10" t="str">
        <f t="shared" si="314"/>
        <v xml:space="preserve"> </v>
      </c>
      <c r="GV71" s="10" t="str">
        <f t="shared" si="314"/>
        <v xml:space="preserve"> </v>
      </c>
      <c r="GW71" s="10" t="str">
        <f t="shared" si="314"/>
        <v xml:space="preserve"> </v>
      </c>
      <c r="GX71" s="10" t="str">
        <f t="shared" si="314"/>
        <v xml:space="preserve"> </v>
      </c>
      <c r="HA71" s="10" t="str">
        <f t="shared" si="315"/>
        <v xml:space="preserve"> </v>
      </c>
      <c r="HB71" s="10" t="str">
        <f t="shared" si="315"/>
        <v xml:space="preserve"> </v>
      </c>
      <c r="HC71" s="10" t="str">
        <f t="shared" si="315"/>
        <v xml:space="preserve"> </v>
      </c>
      <c r="HD71" s="10" t="str">
        <f t="shared" si="315"/>
        <v xml:space="preserve"> </v>
      </c>
      <c r="HE71" s="10" t="str">
        <f t="shared" si="315"/>
        <v xml:space="preserve"> </v>
      </c>
      <c r="HH71" s="10" t="str">
        <f t="shared" si="316"/>
        <v xml:space="preserve"> </v>
      </c>
      <c r="HI71" s="10" t="str">
        <f t="shared" si="316"/>
        <v xml:space="preserve"> </v>
      </c>
      <c r="HJ71" s="10" t="str">
        <f t="shared" si="316"/>
        <v xml:space="preserve"> </v>
      </c>
      <c r="HK71" s="10" t="str">
        <f t="shared" si="316"/>
        <v xml:space="preserve"> </v>
      </c>
      <c r="HL71" s="10" t="str">
        <f t="shared" si="316"/>
        <v xml:space="preserve"> </v>
      </c>
      <c r="HO71" s="10" t="str">
        <f t="shared" si="317"/>
        <v xml:space="preserve"> </v>
      </c>
      <c r="HP71" s="10" t="str">
        <f t="shared" si="317"/>
        <v xml:space="preserve"> </v>
      </c>
      <c r="HQ71" s="10" t="str">
        <f t="shared" si="317"/>
        <v xml:space="preserve"> </v>
      </c>
      <c r="HR71" s="10" t="str">
        <f t="shared" si="317"/>
        <v xml:space="preserve"> </v>
      </c>
      <c r="HS71" s="10" t="str">
        <f t="shared" si="317"/>
        <v xml:space="preserve"> </v>
      </c>
      <c r="HV71" s="10" t="str">
        <f t="shared" si="318"/>
        <v xml:space="preserve"> </v>
      </c>
      <c r="HW71" s="10" t="str">
        <f t="shared" si="318"/>
        <v xml:space="preserve"> </v>
      </c>
      <c r="HX71" s="10" t="str">
        <f t="shared" si="318"/>
        <v xml:space="preserve"> </v>
      </c>
      <c r="HY71" s="10" t="str">
        <f t="shared" si="318"/>
        <v xml:space="preserve"> </v>
      </c>
      <c r="HZ71" s="10" t="str">
        <f t="shared" si="318"/>
        <v xml:space="preserve"> </v>
      </c>
      <c r="IC71" s="10" t="str">
        <f t="shared" si="319"/>
        <v xml:space="preserve"> </v>
      </c>
      <c r="ID71" s="10" t="str">
        <f t="shared" si="319"/>
        <v xml:space="preserve"> </v>
      </c>
      <c r="IE71" s="10" t="str">
        <f t="shared" si="319"/>
        <v xml:space="preserve"> </v>
      </c>
      <c r="IF71" s="10" t="str">
        <f t="shared" si="319"/>
        <v xml:space="preserve"> </v>
      </c>
      <c r="IG71" s="10" t="str">
        <f t="shared" si="319"/>
        <v xml:space="preserve"> </v>
      </c>
      <c r="IJ71" s="10" t="str">
        <f t="shared" si="320"/>
        <v xml:space="preserve"> </v>
      </c>
      <c r="IK71" s="10" t="str">
        <f t="shared" si="320"/>
        <v xml:space="preserve"> </v>
      </c>
      <c r="IL71" s="10" t="str">
        <f t="shared" si="320"/>
        <v xml:space="preserve"> </v>
      </c>
      <c r="IM71" s="10" t="str">
        <f t="shared" si="320"/>
        <v xml:space="preserve"> </v>
      </c>
      <c r="IN71" s="10" t="str">
        <f t="shared" si="320"/>
        <v xml:space="preserve"> </v>
      </c>
      <c r="IQ71" s="10" t="str">
        <f t="shared" si="321"/>
        <v xml:space="preserve"> </v>
      </c>
      <c r="IR71" s="10" t="str">
        <f t="shared" si="321"/>
        <v xml:space="preserve"> </v>
      </c>
      <c r="IS71" s="10" t="str">
        <f t="shared" si="321"/>
        <v xml:space="preserve"> </v>
      </c>
      <c r="IT71" s="10" t="str">
        <f t="shared" si="321"/>
        <v xml:space="preserve"> </v>
      </c>
      <c r="IU71" s="10" t="str">
        <f t="shared" si="321"/>
        <v xml:space="preserve"> </v>
      </c>
      <c r="IX71" s="10" t="str">
        <f t="shared" si="322"/>
        <v xml:space="preserve"> </v>
      </c>
      <c r="IY71" s="10" t="str">
        <f t="shared" si="322"/>
        <v xml:space="preserve"> </v>
      </c>
      <c r="IZ71" s="10" t="str">
        <f t="shared" si="322"/>
        <v xml:space="preserve"> </v>
      </c>
      <c r="JA71" s="10" t="str">
        <f t="shared" si="322"/>
        <v xml:space="preserve"> </v>
      </c>
      <c r="JB71" s="10" t="str">
        <f t="shared" si="322"/>
        <v xml:space="preserve"> </v>
      </c>
      <c r="JE71" s="10" t="str">
        <f t="shared" si="323"/>
        <v xml:space="preserve"> </v>
      </c>
      <c r="JF71" s="10" t="str">
        <f t="shared" si="323"/>
        <v xml:space="preserve"> </v>
      </c>
      <c r="JG71" s="10" t="str">
        <f t="shared" si="323"/>
        <v xml:space="preserve"> </v>
      </c>
      <c r="JH71" s="10" t="str">
        <f t="shared" si="323"/>
        <v xml:space="preserve"> </v>
      </c>
      <c r="JI71" s="10" t="str">
        <f t="shared" si="323"/>
        <v xml:space="preserve"> </v>
      </c>
    </row>
    <row r="72" spans="3:269">
      <c r="M72" s="10" t="str">
        <f t="shared" si="88"/>
        <v xml:space="preserve"> </v>
      </c>
      <c r="N72" s="10" t="str">
        <f t="shared" si="88"/>
        <v xml:space="preserve"> </v>
      </c>
      <c r="O72" s="10" t="str">
        <f t="shared" si="88"/>
        <v xml:space="preserve"> </v>
      </c>
      <c r="P72" s="10" t="str">
        <f t="shared" si="88"/>
        <v xml:space="preserve"> </v>
      </c>
      <c r="Q72" s="10" t="str">
        <f t="shared" si="88"/>
        <v xml:space="preserve"> </v>
      </c>
      <c r="R72" s="14"/>
      <c r="S72" s="14"/>
      <c r="T72" s="10" t="str">
        <f t="shared" si="288"/>
        <v xml:space="preserve"> </v>
      </c>
      <c r="U72" s="10" t="str">
        <f t="shared" si="288"/>
        <v xml:space="preserve"> </v>
      </c>
      <c r="V72" s="10" t="str">
        <f t="shared" si="288"/>
        <v xml:space="preserve"> </v>
      </c>
      <c r="W72" s="10" t="str">
        <f t="shared" si="288"/>
        <v xml:space="preserve"> </v>
      </c>
      <c r="X72" s="10" t="str">
        <f t="shared" si="288"/>
        <v xml:space="preserve"> </v>
      </c>
      <c r="Y72" s="14"/>
      <c r="Z72" s="14"/>
      <c r="AA72" s="10" t="str">
        <f t="shared" si="289"/>
        <v xml:space="preserve"> </v>
      </c>
      <c r="AB72" s="10" t="str">
        <f t="shared" si="289"/>
        <v xml:space="preserve"> </v>
      </c>
      <c r="AC72" s="10" t="str">
        <f t="shared" si="289"/>
        <v xml:space="preserve"> </v>
      </c>
      <c r="AD72" s="10" t="str">
        <f t="shared" si="289"/>
        <v xml:space="preserve"> </v>
      </c>
      <c r="AE72" s="10" t="str">
        <f t="shared" si="289"/>
        <v xml:space="preserve"> </v>
      </c>
      <c r="AF72" s="14"/>
      <c r="AG72" s="14"/>
      <c r="AH72" s="10" t="str">
        <f t="shared" si="290"/>
        <v xml:space="preserve"> </v>
      </c>
      <c r="AI72" s="10" t="str">
        <f t="shared" si="290"/>
        <v xml:space="preserve"> </v>
      </c>
      <c r="AJ72" s="10" t="str">
        <f t="shared" si="290"/>
        <v xml:space="preserve"> </v>
      </c>
      <c r="AK72" s="10" t="str">
        <f t="shared" si="290"/>
        <v xml:space="preserve"> </v>
      </c>
      <c r="AL72" s="10" t="str">
        <f t="shared" si="290"/>
        <v xml:space="preserve"> </v>
      </c>
      <c r="AM72" s="14"/>
      <c r="AN72" s="14"/>
      <c r="AO72" s="10" t="str">
        <f t="shared" si="291"/>
        <v xml:space="preserve"> </v>
      </c>
      <c r="AP72" s="10" t="str">
        <f t="shared" si="291"/>
        <v xml:space="preserve"> </v>
      </c>
      <c r="AQ72" s="10" t="str">
        <f t="shared" si="291"/>
        <v xml:space="preserve"> </v>
      </c>
      <c r="AR72" s="10" t="str">
        <f t="shared" si="291"/>
        <v xml:space="preserve"> </v>
      </c>
      <c r="AS72" s="10" t="str">
        <f t="shared" si="291"/>
        <v xml:space="preserve"> </v>
      </c>
      <c r="AT72" s="14"/>
      <c r="AU72" s="14"/>
      <c r="AV72" s="10" t="str">
        <f t="shared" si="292"/>
        <v xml:space="preserve"> </v>
      </c>
      <c r="AW72" s="10" t="str">
        <f t="shared" si="292"/>
        <v xml:space="preserve"> </v>
      </c>
      <c r="AX72" s="10" t="str">
        <f t="shared" si="292"/>
        <v xml:space="preserve"> </v>
      </c>
      <c r="AY72" s="10" t="str">
        <f t="shared" si="292"/>
        <v xml:space="preserve"> </v>
      </c>
      <c r="AZ72" s="10" t="str">
        <f t="shared" si="292"/>
        <v xml:space="preserve"> </v>
      </c>
      <c r="BA72" s="14"/>
      <c r="BB72" s="14"/>
      <c r="BC72" s="10" t="str">
        <f t="shared" si="293"/>
        <v xml:space="preserve"> </v>
      </c>
      <c r="BD72" s="10" t="str">
        <f t="shared" si="293"/>
        <v xml:space="preserve"> </v>
      </c>
      <c r="BE72" s="10" t="str">
        <f t="shared" si="293"/>
        <v xml:space="preserve"> </v>
      </c>
      <c r="BF72" s="10" t="str">
        <f t="shared" si="293"/>
        <v xml:space="preserve"> </v>
      </c>
      <c r="BG72" s="10" t="str">
        <f t="shared" si="293"/>
        <v xml:space="preserve"> </v>
      </c>
      <c r="BH72" s="14"/>
      <c r="BI72" s="14"/>
      <c r="BJ72" s="10" t="str">
        <f t="shared" si="294"/>
        <v xml:space="preserve"> </v>
      </c>
      <c r="BK72" s="10" t="str">
        <f t="shared" si="294"/>
        <v xml:space="preserve"> </v>
      </c>
      <c r="BL72" s="10" t="str">
        <f t="shared" si="294"/>
        <v xml:space="preserve"> </v>
      </c>
      <c r="BM72" s="10" t="str">
        <f t="shared" si="294"/>
        <v xml:space="preserve"> </v>
      </c>
      <c r="BN72" s="10" t="str">
        <f t="shared" si="294"/>
        <v xml:space="preserve"> </v>
      </c>
      <c r="BO72" s="14"/>
      <c r="BP72" s="14"/>
      <c r="BQ72" s="10" t="str">
        <f t="shared" si="295"/>
        <v xml:space="preserve"> </v>
      </c>
      <c r="BR72" s="10" t="str">
        <f t="shared" si="295"/>
        <v xml:space="preserve"> </v>
      </c>
      <c r="BS72" s="10" t="str">
        <f t="shared" si="295"/>
        <v xml:space="preserve"> </v>
      </c>
      <c r="BT72" s="10" t="str">
        <f t="shared" si="295"/>
        <v xml:space="preserve"> </v>
      </c>
      <c r="BU72" s="10" t="str">
        <f t="shared" si="295"/>
        <v xml:space="preserve"> </v>
      </c>
      <c r="BV72" s="14"/>
      <c r="BW72" s="14"/>
      <c r="BX72" s="10" t="str">
        <f t="shared" si="296"/>
        <v xml:space="preserve"> </v>
      </c>
      <c r="BY72" s="10" t="str">
        <f t="shared" si="296"/>
        <v xml:space="preserve"> </v>
      </c>
      <c r="BZ72" s="10" t="str">
        <f t="shared" si="296"/>
        <v xml:space="preserve"> </v>
      </c>
      <c r="CA72" s="10" t="str">
        <f t="shared" si="296"/>
        <v xml:space="preserve"> </v>
      </c>
      <c r="CB72" s="10" t="str">
        <f t="shared" si="296"/>
        <v xml:space="preserve"> </v>
      </c>
      <c r="CC72" s="14"/>
      <c r="CD72" s="14"/>
      <c r="CE72" s="10" t="str">
        <f t="shared" si="297"/>
        <v xml:space="preserve"> </v>
      </c>
      <c r="CF72" s="10" t="str">
        <f t="shared" si="297"/>
        <v xml:space="preserve"> </v>
      </c>
      <c r="CG72" s="10" t="str">
        <f t="shared" si="297"/>
        <v xml:space="preserve"> </v>
      </c>
      <c r="CH72" s="10" t="str">
        <f t="shared" si="297"/>
        <v xml:space="preserve"> </v>
      </c>
      <c r="CI72" s="10" t="str">
        <f t="shared" si="297"/>
        <v xml:space="preserve"> </v>
      </c>
      <c r="CJ72" s="14"/>
      <c r="CK72" s="14"/>
      <c r="CL72" s="10" t="str">
        <f t="shared" si="298"/>
        <v xml:space="preserve"> </v>
      </c>
      <c r="CM72" s="10" t="str">
        <f t="shared" si="298"/>
        <v xml:space="preserve"> </v>
      </c>
      <c r="CN72" s="10" t="str">
        <f t="shared" si="298"/>
        <v xml:space="preserve"> </v>
      </c>
      <c r="CO72" s="10" t="str">
        <f t="shared" si="298"/>
        <v xml:space="preserve"> </v>
      </c>
      <c r="CP72" s="10" t="str">
        <f t="shared" si="298"/>
        <v xml:space="preserve"> </v>
      </c>
      <c r="CQ72" s="14"/>
      <c r="CR72" s="14"/>
      <c r="CS72" s="10" t="str">
        <f t="shared" si="299"/>
        <v xml:space="preserve"> </v>
      </c>
      <c r="CT72" s="10" t="str">
        <f t="shared" si="299"/>
        <v xml:space="preserve"> </v>
      </c>
      <c r="CU72" s="10" t="str">
        <f t="shared" si="299"/>
        <v xml:space="preserve"> </v>
      </c>
      <c r="CV72" s="10" t="str">
        <f t="shared" si="299"/>
        <v xml:space="preserve"> </v>
      </c>
      <c r="CW72" s="10" t="str">
        <f t="shared" si="299"/>
        <v xml:space="preserve"> </v>
      </c>
      <c r="CZ72" s="10" t="str">
        <f t="shared" si="300"/>
        <v xml:space="preserve"> </v>
      </c>
      <c r="DA72" s="10" t="str">
        <f t="shared" si="300"/>
        <v xml:space="preserve"> </v>
      </c>
      <c r="DB72" s="10" t="str">
        <f t="shared" si="300"/>
        <v xml:space="preserve"> </v>
      </c>
      <c r="DC72" s="10" t="str">
        <f t="shared" si="300"/>
        <v xml:space="preserve"> </v>
      </c>
      <c r="DD72" s="10" t="str">
        <f t="shared" si="300"/>
        <v xml:space="preserve"> </v>
      </c>
      <c r="DG72" s="10" t="str">
        <f t="shared" si="301"/>
        <v xml:space="preserve"> </v>
      </c>
      <c r="DH72" s="10" t="str">
        <f t="shared" si="301"/>
        <v xml:space="preserve"> </v>
      </c>
      <c r="DI72" s="10" t="str">
        <f t="shared" si="301"/>
        <v xml:space="preserve"> </v>
      </c>
      <c r="DJ72" s="10" t="str">
        <f t="shared" si="301"/>
        <v xml:space="preserve"> </v>
      </c>
      <c r="DK72" s="10" t="str">
        <f t="shared" si="301"/>
        <v xml:space="preserve"> </v>
      </c>
      <c r="DN72" s="10" t="str">
        <f t="shared" si="302"/>
        <v xml:space="preserve"> </v>
      </c>
      <c r="DO72" s="10" t="str">
        <f t="shared" si="302"/>
        <v xml:space="preserve"> </v>
      </c>
      <c r="DP72" s="10" t="str">
        <f t="shared" si="302"/>
        <v xml:space="preserve"> </v>
      </c>
      <c r="DQ72" s="10" t="str">
        <f t="shared" si="302"/>
        <v xml:space="preserve"> </v>
      </c>
      <c r="DR72" s="10" t="str">
        <f t="shared" si="302"/>
        <v xml:space="preserve"> </v>
      </c>
      <c r="DU72" s="10" t="str">
        <f t="shared" si="303"/>
        <v xml:space="preserve"> </v>
      </c>
      <c r="DV72" s="10" t="str">
        <f t="shared" si="303"/>
        <v xml:space="preserve"> </v>
      </c>
      <c r="DW72" s="10" t="str">
        <f t="shared" si="303"/>
        <v xml:space="preserve"> </v>
      </c>
      <c r="DX72" s="10" t="str">
        <f t="shared" si="303"/>
        <v xml:space="preserve"> </v>
      </c>
      <c r="DY72" s="10" t="str">
        <f t="shared" si="303"/>
        <v xml:space="preserve"> </v>
      </c>
      <c r="EB72" s="10" t="str">
        <f t="shared" si="304"/>
        <v xml:space="preserve"> </v>
      </c>
      <c r="EC72" s="10" t="str">
        <f t="shared" si="304"/>
        <v xml:space="preserve"> </v>
      </c>
      <c r="ED72" s="10" t="str">
        <f t="shared" si="304"/>
        <v xml:space="preserve"> </v>
      </c>
      <c r="EE72" s="10" t="str">
        <f t="shared" si="304"/>
        <v xml:space="preserve"> </v>
      </c>
      <c r="EF72" s="10" t="str">
        <f t="shared" si="304"/>
        <v xml:space="preserve"> </v>
      </c>
      <c r="EI72" s="10" t="str">
        <f t="shared" si="305"/>
        <v xml:space="preserve"> </v>
      </c>
      <c r="EJ72" s="10" t="str">
        <f t="shared" si="305"/>
        <v xml:space="preserve"> </v>
      </c>
      <c r="EK72" s="10" t="str">
        <f t="shared" si="305"/>
        <v xml:space="preserve"> </v>
      </c>
      <c r="EL72" s="10" t="str">
        <f t="shared" si="305"/>
        <v xml:space="preserve"> </v>
      </c>
      <c r="EM72" s="10" t="str">
        <f t="shared" si="305"/>
        <v xml:space="preserve"> </v>
      </c>
      <c r="EP72" s="10" t="str">
        <f t="shared" si="306"/>
        <v xml:space="preserve"> </v>
      </c>
      <c r="EQ72" s="10" t="str">
        <f t="shared" si="306"/>
        <v xml:space="preserve"> </v>
      </c>
      <c r="ER72" s="10" t="str">
        <f t="shared" si="306"/>
        <v xml:space="preserve"> </v>
      </c>
      <c r="ES72" s="10" t="str">
        <f t="shared" si="306"/>
        <v xml:space="preserve"> </v>
      </c>
      <c r="ET72" s="10" t="str">
        <f t="shared" si="306"/>
        <v xml:space="preserve"> </v>
      </c>
      <c r="EW72" s="10" t="str">
        <f t="shared" si="307"/>
        <v xml:space="preserve"> </v>
      </c>
      <c r="EX72" s="10" t="str">
        <f t="shared" si="307"/>
        <v xml:space="preserve"> </v>
      </c>
      <c r="EY72" s="10" t="str">
        <f t="shared" si="307"/>
        <v xml:space="preserve"> </v>
      </c>
      <c r="EZ72" s="10" t="str">
        <f t="shared" si="307"/>
        <v xml:space="preserve"> </v>
      </c>
      <c r="FA72" s="10" t="str">
        <f t="shared" si="307"/>
        <v xml:space="preserve"> </v>
      </c>
      <c r="FD72" s="10" t="str">
        <f t="shared" si="308"/>
        <v xml:space="preserve"> </v>
      </c>
      <c r="FE72" s="10" t="str">
        <f t="shared" si="308"/>
        <v xml:space="preserve"> </v>
      </c>
      <c r="FF72" s="10" t="str">
        <f t="shared" si="308"/>
        <v xml:space="preserve"> </v>
      </c>
      <c r="FG72" s="10" t="str">
        <f t="shared" si="308"/>
        <v xml:space="preserve"> </v>
      </c>
      <c r="FH72" s="10" t="str">
        <f t="shared" si="308"/>
        <v xml:space="preserve"> </v>
      </c>
      <c r="FK72" s="10" t="str">
        <f t="shared" si="309"/>
        <v xml:space="preserve"> </v>
      </c>
      <c r="FL72" s="10" t="str">
        <f t="shared" si="309"/>
        <v xml:space="preserve"> </v>
      </c>
      <c r="FM72" s="10" t="str">
        <f t="shared" si="309"/>
        <v xml:space="preserve"> </v>
      </c>
      <c r="FN72" s="10" t="str">
        <f t="shared" si="309"/>
        <v xml:space="preserve"> </v>
      </c>
      <c r="FO72" s="10" t="str">
        <f t="shared" si="309"/>
        <v xml:space="preserve"> </v>
      </c>
      <c r="FR72" s="10" t="str">
        <f t="shared" si="310"/>
        <v xml:space="preserve"> </v>
      </c>
      <c r="FS72" s="10" t="str">
        <f t="shared" si="310"/>
        <v xml:space="preserve"> </v>
      </c>
      <c r="FT72" s="10" t="str">
        <f t="shared" si="310"/>
        <v xml:space="preserve"> </v>
      </c>
      <c r="FU72" s="10" t="str">
        <f t="shared" si="310"/>
        <v xml:space="preserve"> </v>
      </c>
      <c r="FV72" s="10" t="str">
        <f t="shared" si="310"/>
        <v xml:space="preserve"> </v>
      </c>
      <c r="FY72" s="10" t="str">
        <f t="shared" si="311"/>
        <v xml:space="preserve"> </v>
      </c>
      <c r="FZ72" s="10" t="str">
        <f t="shared" si="311"/>
        <v xml:space="preserve"> </v>
      </c>
      <c r="GA72" s="10" t="str">
        <f t="shared" si="311"/>
        <v xml:space="preserve"> </v>
      </c>
      <c r="GB72" s="10" t="str">
        <f t="shared" si="311"/>
        <v xml:space="preserve"> </v>
      </c>
      <c r="GC72" s="10" t="str">
        <f t="shared" si="311"/>
        <v xml:space="preserve"> </v>
      </c>
      <c r="GF72" s="10" t="str">
        <f t="shared" si="312"/>
        <v xml:space="preserve"> </v>
      </c>
      <c r="GG72" s="10" t="str">
        <f t="shared" si="312"/>
        <v xml:space="preserve"> </v>
      </c>
      <c r="GH72" s="10" t="str">
        <f t="shared" si="312"/>
        <v xml:space="preserve"> </v>
      </c>
      <c r="GI72" s="10" t="str">
        <f t="shared" si="312"/>
        <v xml:space="preserve"> </v>
      </c>
      <c r="GJ72" s="10" t="str">
        <f t="shared" si="312"/>
        <v xml:space="preserve"> </v>
      </c>
      <c r="GM72" s="10" t="str">
        <f t="shared" si="313"/>
        <v xml:space="preserve"> </v>
      </c>
      <c r="GN72" s="10" t="str">
        <f t="shared" si="313"/>
        <v xml:space="preserve"> </v>
      </c>
      <c r="GO72" s="10" t="str">
        <f t="shared" si="313"/>
        <v xml:space="preserve"> </v>
      </c>
      <c r="GP72" s="10" t="str">
        <f t="shared" si="313"/>
        <v xml:space="preserve"> </v>
      </c>
      <c r="GQ72" s="10" t="str">
        <f t="shared" si="313"/>
        <v xml:space="preserve"> </v>
      </c>
      <c r="GT72" s="10" t="str">
        <f t="shared" si="314"/>
        <v xml:space="preserve"> </v>
      </c>
      <c r="GU72" s="10" t="str">
        <f t="shared" si="314"/>
        <v xml:space="preserve"> </v>
      </c>
      <c r="GV72" s="10" t="str">
        <f t="shared" si="314"/>
        <v xml:space="preserve"> </v>
      </c>
      <c r="GW72" s="10" t="str">
        <f t="shared" si="314"/>
        <v xml:space="preserve"> </v>
      </c>
      <c r="GX72" s="10" t="str">
        <f t="shared" si="314"/>
        <v xml:space="preserve"> </v>
      </c>
      <c r="HA72" s="10" t="str">
        <f t="shared" si="315"/>
        <v xml:space="preserve"> </v>
      </c>
      <c r="HB72" s="10" t="str">
        <f t="shared" si="315"/>
        <v xml:space="preserve"> </v>
      </c>
      <c r="HC72" s="10" t="str">
        <f t="shared" si="315"/>
        <v xml:space="preserve"> </v>
      </c>
      <c r="HD72" s="10" t="str">
        <f t="shared" si="315"/>
        <v xml:space="preserve"> </v>
      </c>
      <c r="HE72" s="10" t="str">
        <f t="shared" si="315"/>
        <v xml:space="preserve"> </v>
      </c>
      <c r="HH72" s="10" t="str">
        <f t="shared" si="316"/>
        <v xml:space="preserve"> </v>
      </c>
      <c r="HI72" s="10" t="str">
        <f t="shared" si="316"/>
        <v xml:space="preserve"> </v>
      </c>
      <c r="HJ72" s="10" t="str">
        <f t="shared" si="316"/>
        <v xml:space="preserve"> </v>
      </c>
      <c r="HK72" s="10" t="str">
        <f t="shared" si="316"/>
        <v xml:space="preserve"> </v>
      </c>
      <c r="HL72" s="10" t="str">
        <f t="shared" si="316"/>
        <v xml:space="preserve"> </v>
      </c>
      <c r="HO72" s="10" t="str">
        <f t="shared" si="317"/>
        <v xml:space="preserve"> </v>
      </c>
      <c r="HP72" s="10" t="str">
        <f t="shared" si="317"/>
        <v xml:space="preserve"> </v>
      </c>
      <c r="HQ72" s="10" t="str">
        <f t="shared" si="317"/>
        <v xml:space="preserve"> </v>
      </c>
      <c r="HR72" s="10" t="str">
        <f t="shared" si="317"/>
        <v xml:space="preserve"> </v>
      </c>
      <c r="HS72" s="10" t="str">
        <f t="shared" si="317"/>
        <v xml:space="preserve"> </v>
      </c>
      <c r="HV72" s="10" t="str">
        <f t="shared" si="318"/>
        <v xml:space="preserve"> </v>
      </c>
      <c r="HW72" s="10" t="str">
        <f t="shared" si="318"/>
        <v xml:space="preserve"> </v>
      </c>
      <c r="HX72" s="10" t="str">
        <f t="shared" si="318"/>
        <v xml:space="preserve"> </v>
      </c>
      <c r="HY72" s="10" t="str">
        <f t="shared" si="318"/>
        <v xml:space="preserve"> </v>
      </c>
      <c r="HZ72" s="10" t="str">
        <f t="shared" si="318"/>
        <v xml:space="preserve"> </v>
      </c>
      <c r="IC72" s="10" t="str">
        <f t="shared" si="319"/>
        <v xml:space="preserve"> </v>
      </c>
      <c r="ID72" s="10" t="str">
        <f t="shared" si="319"/>
        <v xml:space="preserve"> </v>
      </c>
      <c r="IE72" s="10" t="str">
        <f t="shared" si="319"/>
        <v xml:space="preserve"> </v>
      </c>
      <c r="IF72" s="10" t="str">
        <f t="shared" si="319"/>
        <v xml:space="preserve"> </v>
      </c>
      <c r="IG72" s="10" t="str">
        <f t="shared" si="319"/>
        <v xml:space="preserve"> </v>
      </c>
      <c r="IJ72" s="10" t="str">
        <f t="shared" si="320"/>
        <v xml:space="preserve"> </v>
      </c>
      <c r="IK72" s="10" t="str">
        <f t="shared" si="320"/>
        <v xml:space="preserve"> </v>
      </c>
      <c r="IL72" s="10" t="str">
        <f t="shared" si="320"/>
        <v xml:space="preserve"> </v>
      </c>
      <c r="IM72" s="10" t="str">
        <f t="shared" si="320"/>
        <v xml:space="preserve"> </v>
      </c>
      <c r="IN72" s="10" t="str">
        <f t="shared" si="320"/>
        <v xml:space="preserve"> </v>
      </c>
      <c r="IQ72" s="10" t="str">
        <f t="shared" si="321"/>
        <v xml:space="preserve"> </v>
      </c>
      <c r="IR72" s="10" t="str">
        <f t="shared" si="321"/>
        <v xml:space="preserve"> </v>
      </c>
      <c r="IS72" s="10" t="str">
        <f t="shared" si="321"/>
        <v xml:space="preserve"> </v>
      </c>
      <c r="IT72" s="10" t="str">
        <f t="shared" si="321"/>
        <v xml:space="preserve"> </v>
      </c>
      <c r="IU72" s="10" t="str">
        <f t="shared" si="321"/>
        <v xml:space="preserve"> </v>
      </c>
      <c r="IX72" s="10" t="str">
        <f t="shared" si="322"/>
        <v xml:space="preserve"> </v>
      </c>
      <c r="IY72" s="10" t="str">
        <f t="shared" si="322"/>
        <v xml:space="preserve"> </v>
      </c>
      <c r="IZ72" s="10" t="str">
        <f t="shared" si="322"/>
        <v xml:space="preserve"> </v>
      </c>
      <c r="JA72" s="10" t="str">
        <f t="shared" si="322"/>
        <v xml:space="preserve"> </v>
      </c>
      <c r="JB72" s="10" t="str">
        <f t="shared" si="322"/>
        <v xml:space="preserve"> </v>
      </c>
      <c r="JE72" s="10" t="str">
        <f t="shared" si="323"/>
        <v xml:space="preserve"> </v>
      </c>
      <c r="JF72" s="10" t="str">
        <f t="shared" si="323"/>
        <v xml:space="preserve"> </v>
      </c>
      <c r="JG72" s="10" t="str">
        <f t="shared" si="323"/>
        <v xml:space="preserve"> </v>
      </c>
      <c r="JH72" s="10" t="str">
        <f t="shared" si="323"/>
        <v xml:space="preserve"> </v>
      </c>
      <c r="JI72" s="10" t="str">
        <f t="shared" si="323"/>
        <v xml:space="preserve"> </v>
      </c>
    </row>
    <row r="73" spans="3:269">
      <c r="M73" s="10" t="str">
        <f t="shared" si="88"/>
        <v xml:space="preserve"> </v>
      </c>
      <c r="N73" s="10" t="str">
        <f t="shared" si="88"/>
        <v xml:space="preserve"> </v>
      </c>
      <c r="O73" s="10" t="str">
        <f t="shared" si="88"/>
        <v xml:space="preserve"> </v>
      </c>
      <c r="P73" s="10" t="str">
        <f t="shared" si="88"/>
        <v xml:space="preserve"> </v>
      </c>
      <c r="Q73" s="10" t="str">
        <f t="shared" si="88"/>
        <v xml:space="preserve"> </v>
      </c>
      <c r="R73" s="14"/>
      <c r="S73" s="14"/>
      <c r="T73" s="10" t="str">
        <f t="shared" si="288"/>
        <v xml:space="preserve"> </v>
      </c>
      <c r="U73" s="10" t="str">
        <f t="shared" si="288"/>
        <v xml:space="preserve"> </v>
      </c>
      <c r="V73" s="10" t="str">
        <f t="shared" si="288"/>
        <v xml:space="preserve"> </v>
      </c>
      <c r="W73" s="10" t="str">
        <f t="shared" si="288"/>
        <v xml:space="preserve"> </v>
      </c>
      <c r="X73" s="10" t="str">
        <f t="shared" si="288"/>
        <v xml:space="preserve"> </v>
      </c>
      <c r="Y73" s="14"/>
      <c r="Z73" s="14"/>
      <c r="AA73" s="10" t="str">
        <f t="shared" si="289"/>
        <v xml:space="preserve"> </v>
      </c>
      <c r="AB73" s="10" t="str">
        <f t="shared" si="289"/>
        <v xml:space="preserve"> </v>
      </c>
      <c r="AC73" s="10" t="str">
        <f t="shared" si="289"/>
        <v xml:space="preserve"> </v>
      </c>
      <c r="AD73" s="10" t="str">
        <f t="shared" si="289"/>
        <v xml:space="preserve"> </v>
      </c>
      <c r="AE73" s="10" t="str">
        <f t="shared" si="289"/>
        <v xml:space="preserve"> </v>
      </c>
      <c r="AF73" s="14"/>
      <c r="AG73" s="14"/>
      <c r="AH73" s="10" t="str">
        <f t="shared" si="290"/>
        <v xml:space="preserve"> </v>
      </c>
      <c r="AI73" s="10" t="str">
        <f t="shared" si="290"/>
        <v xml:space="preserve"> </v>
      </c>
      <c r="AJ73" s="10" t="str">
        <f t="shared" si="290"/>
        <v xml:space="preserve"> </v>
      </c>
      <c r="AK73" s="10" t="str">
        <f t="shared" si="290"/>
        <v xml:space="preserve"> </v>
      </c>
      <c r="AL73" s="10" t="str">
        <f t="shared" si="290"/>
        <v xml:space="preserve"> </v>
      </c>
      <c r="AM73" s="14"/>
      <c r="AN73" s="14"/>
      <c r="AO73" s="10" t="str">
        <f t="shared" si="291"/>
        <v xml:space="preserve"> </v>
      </c>
      <c r="AP73" s="10" t="str">
        <f t="shared" si="291"/>
        <v xml:space="preserve"> </v>
      </c>
      <c r="AQ73" s="10" t="str">
        <f t="shared" si="291"/>
        <v xml:space="preserve"> </v>
      </c>
      <c r="AR73" s="10" t="str">
        <f t="shared" si="291"/>
        <v xml:space="preserve"> </v>
      </c>
      <c r="AS73" s="10" t="str">
        <f t="shared" si="291"/>
        <v xml:space="preserve"> </v>
      </c>
      <c r="AT73" s="14"/>
      <c r="AU73" s="14"/>
      <c r="AV73" s="10" t="str">
        <f t="shared" si="292"/>
        <v xml:space="preserve"> </v>
      </c>
      <c r="AW73" s="10" t="str">
        <f t="shared" si="292"/>
        <v xml:space="preserve"> </v>
      </c>
      <c r="AX73" s="10" t="str">
        <f t="shared" si="292"/>
        <v xml:space="preserve"> </v>
      </c>
      <c r="AY73" s="10" t="str">
        <f t="shared" si="292"/>
        <v xml:space="preserve"> </v>
      </c>
      <c r="AZ73" s="10" t="str">
        <f t="shared" si="292"/>
        <v xml:space="preserve"> </v>
      </c>
      <c r="BA73" s="14"/>
      <c r="BB73" s="14"/>
      <c r="BC73" s="10" t="str">
        <f t="shared" si="293"/>
        <v xml:space="preserve"> </v>
      </c>
      <c r="BD73" s="10" t="str">
        <f t="shared" si="293"/>
        <v xml:space="preserve"> </v>
      </c>
      <c r="BE73" s="10" t="str">
        <f t="shared" si="293"/>
        <v xml:space="preserve"> </v>
      </c>
      <c r="BF73" s="10" t="str">
        <f t="shared" si="293"/>
        <v xml:space="preserve"> </v>
      </c>
      <c r="BG73" s="10" t="str">
        <f t="shared" si="293"/>
        <v xml:space="preserve"> </v>
      </c>
      <c r="BH73" s="14"/>
      <c r="BI73" s="14"/>
      <c r="BJ73" s="10" t="str">
        <f t="shared" si="294"/>
        <v xml:space="preserve"> </v>
      </c>
      <c r="BK73" s="10" t="str">
        <f t="shared" si="294"/>
        <v xml:space="preserve"> </v>
      </c>
      <c r="BL73" s="10" t="str">
        <f t="shared" si="294"/>
        <v xml:space="preserve"> </v>
      </c>
      <c r="BM73" s="10" t="str">
        <f t="shared" si="294"/>
        <v xml:space="preserve"> </v>
      </c>
      <c r="BN73" s="10" t="str">
        <f t="shared" si="294"/>
        <v xml:space="preserve"> </v>
      </c>
      <c r="BO73" s="14"/>
      <c r="BP73" s="14"/>
      <c r="BQ73" s="10" t="str">
        <f t="shared" si="295"/>
        <v xml:space="preserve"> </v>
      </c>
      <c r="BR73" s="10" t="str">
        <f t="shared" si="295"/>
        <v xml:space="preserve"> </v>
      </c>
      <c r="BS73" s="10" t="str">
        <f t="shared" si="295"/>
        <v xml:space="preserve"> </v>
      </c>
      <c r="BT73" s="10" t="str">
        <f t="shared" si="295"/>
        <v xml:space="preserve"> </v>
      </c>
      <c r="BU73" s="10" t="str">
        <f t="shared" si="295"/>
        <v xml:space="preserve"> </v>
      </c>
      <c r="BV73" s="14"/>
      <c r="BW73" s="14"/>
      <c r="BX73" s="10" t="str">
        <f t="shared" si="296"/>
        <v xml:space="preserve"> </v>
      </c>
      <c r="BY73" s="10" t="str">
        <f t="shared" si="296"/>
        <v xml:space="preserve"> </v>
      </c>
      <c r="BZ73" s="10" t="str">
        <f t="shared" si="296"/>
        <v xml:space="preserve"> </v>
      </c>
      <c r="CA73" s="10" t="str">
        <f t="shared" si="296"/>
        <v xml:space="preserve"> </v>
      </c>
      <c r="CB73" s="10" t="str">
        <f t="shared" si="296"/>
        <v xml:space="preserve"> </v>
      </c>
      <c r="CC73" s="14"/>
      <c r="CD73" s="14"/>
      <c r="CE73" s="10" t="str">
        <f t="shared" si="297"/>
        <v xml:space="preserve"> </v>
      </c>
      <c r="CF73" s="10" t="str">
        <f t="shared" si="297"/>
        <v xml:space="preserve"> </v>
      </c>
      <c r="CG73" s="10" t="str">
        <f t="shared" si="297"/>
        <v xml:space="preserve"> </v>
      </c>
      <c r="CH73" s="10" t="str">
        <f t="shared" si="297"/>
        <v xml:space="preserve"> </v>
      </c>
      <c r="CI73" s="10" t="str">
        <f t="shared" si="297"/>
        <v xml:space="preserve"> </v>
      </c>
      <c r="CJ73" s="14"/>
      <c r="CK73" s="14"/>
      <c r="CL73" s="10" t="str">
        <f t="shared" si="298"/>
        <v xml:space="preserve"> </v>
      </c>
      <c r="CM73" s="10" t="str">
        <f t="shared" si="298"/>
        <v xml:space="preserve"> </v>
      </c>
      <c r="CN73" s="10" t="str">
        <f t="shared" si="298"/>
        <v xml:space="preserve"> </v>
      </c>
      <c r="CO73" s="10" t="str">
        <f t="shared" si="298"/>
        <v xml:space="preserve"> </v>
      </c>
      <c r="CP73" s="10" t="str">
        <f t="shared" si="298"/>
        <v xml:space="preserve"> </v>
      </c>
      <c r="CQ73" s="14"/>
      <c r="CR73" s="14"/>
      <c r="CS73" s="10" t="str">
        <f t="shared" si="299"/>
        <v xml:space="preserve"> </v>
      </c>
      <c r="CT73" s="10" t="str">
        <f t="shared" si="299"/>
        <v xml:space="preserve"> </v>
      </c>
      <c r="CU73" s="10" t="str">
        <f t="shared" si="299"/>
        <v xml:space="preserve"> </v>
      </c>
      <c r="CV73" s="10" t="str">
        <f t="shared" si="299"/>
        <v xml:space="preserve"> </v>
      </c>
      <c r="CW73" s="10" t="str">
        <f t="shared" si="299"/>
        <v xml:space="preserve"> </v>
      </c>
      <c r="CZ73" s="10" t="str">
        <f t="shared" si="300"/>
        <v xml:space="preserve"> </v>
      </c>
      <c r="DA73" s="10" t="str">
        <f t="shared" si="300"/>
        <v xml:space="preserve"> </v>
      </c>
      <c r="DB73" s="10" t="str">
        <f t="shared" si="300"/>
        <v xml:space="preserve"> </v>
      </c>
      <c r="DC73" s="10" t="str">
        <f t="shared" si="300"/>
        <v xml:space="preserve"> </v>
      </c>
      <c r="DD73" s="10" t="str">
        <f t="shared" si="300"/>
        <v xml:space="preserve"> </v>
      </c>
      <c r="DG73" s="10" t="str">
        <f t="shared" si="301"/>
        <v xml:space="preserve"> </v>
      </c>
      <c r="DH73" s="10" t="str">
        <f t="shared" si="301"/>
        <v xml:space="preserve"> </v>
      </c>
      <c r="DI73" s="10" t="str">
        <f t="shared" si="301"/>
        <v xml:space="preserve"> </v>
      </c>
      <c r="DJ73" s="10" t="str">
        <f t="shared" si="301"/>
        <v xml:space="preserve"> </v>
      </c>
      <c r="DK73" s="10" t="str">
        <f t="shared" si="301"/>
        <v xml:space="preserve"> </v>
      </c>
      <c r="DN73" s="10" t="str">
        <f t="shared" si="302"/>
        <v xml:space="preserve"> </v>
      </c>
      <c r="DO73" s="10" t="str">
        <f t="shared" si="302"/>
        <v xml:space="preserve"> </v>
      </c>
      <c r="DP73" s="10" t="str">
        <f t="shared" si="302"/>
        <v xml:space="preserve"> </v>
      </c>
      <c r="DQ73" s="10" t="str">
        <f t="shared" si="302"/>
        <v xml:space="preserve"> </v>
      </c>
      <c r="DR73" s="10" t="str">
        <f t="shared" si="302"/>
        <v xml:space="preserve"> </v>
      </c>
      <c r="DU73" s="10" t="str">
        <f t="shared" si="303"/>
        <v xml:space="preserve"> </v>
      </c>
      <c r="DV73" s="10" t="str">
        <f t="shared" si="303"/>
        <v xml:space="preserve"> </v>
      </c>
      <c r="DW73" s="10" t="str">
        <f t="shared" si="303"/>
        <v xml:space="preserve"> </v>
      </c>
      <c r="DX73" s="10" t="str">
        <f t="shared" si="303"/>
        <v xml:space="preserve"> </v>
      </c>
      <c r="DY73" s="10" t="str">
        <f t="shared" si="303"/>
        <v xml:space="preserve"> </v>
      </c>
      <c r="EB73" s="10" t="str">
        <f t="shared" si="304"/>
        <v xml:space="preserve"> </v>
      </c>
      <c r="EC73" s="10" t="str">
        <f t="shared" si="304"/>
        <v xml:space="preserve"> </v>
      </c>
      <c r="ED73" s="10" t="str">
        <f t="shared" si="304"/>
        <v xml:space="preserve"> </v>
      </c>
      <c r="EE73" s="10" t="str">
        <f t="shared" si="304"/>
        <v xml:space="preserve"> </v>
      </c>
      <c r="EF73" s="10" t="str">
        <f t="shared" si="304"/>
        <v xml:space="preserve"> </v>
      </c>
      <c r="EI73" s="10" t="str">
        <f t="shared" si="305"/>
        <v xml:space="preserve"> </v>
      </c>
      <c r="EJ73" s="10" t="str">
        <f t="shared" si="305"/>
        <v xml:space="preserve"> </v>
      </c>
      <c r="EK73" s="10" t="str">
        <f t="shared" si="305"/>
        <v xml:space="preserve"> </v>
      </c>
      <c r="EL73" s="10" t="str">
        <f t="shared" si="305"/>
        <v xml:space="preserve"> </v>
      </c>
      <c r="EM73" s="10" t="str">
        <f t="shared" si="305"/>
        <v xml:space="preserve"> </v>
      </c>
      <c r="EP73" s="10" t="str">
        <f t="shared" si="306"/>
        <v xml:space="preserve"> </v>
      </c>
      <c r="EQ73" s="10" t="str">
        <f t="shared" si="306"/>
        <v xml:space="preserve"> </v>
      </c>
      <c r="ER73" s="10" t="str">
        <f t="shared" si="306"/>
        <v xml:space="preserve"> </v>
      </c>
      <c r="ES73" s="10" t="str">
        <f t="shared" si="306"/>
        <v xml:space="preserve"> </v>
      </c>
      <c r="ET73" s="10" t="str">
        <f t="shared" si="306"/>
        <v xml:space="preserve"> </v>
      </c>
      <c r="EW73" s="10" t="str">
        <f t="shared" si="307"/>
        <v xml:space="preserve"> </v>
      </c>
      <c r="EX73" s="10" t="str">
        <f t="shared" si="307"/>
        <v xml:space="preserve"> </v>
      </c>
      <c r="EY73" s="10" t="str">
        <f t="shared" si="307"/>
        <v xml:space="preserve"> </v>
      </c>
      <c r="EZ73" s="10" t="str">
        <f t="shared" si="307"/>
        <v xml:space="preserve"> </v>
      </c>
      <c r="FA73" s="10" t="str">
        <f t="shared" si="307"/>
        <v xml:space="preserve"> </v>
      </c>
      <c r="FD73" s="10" t="str">
        <f t="shared" si="308"/>
        <v xml:space="preserve"> </v>
      </c>
      <c r="FE73" s="10" t="str">
        <f t="shared" si="308"/>
        <v xml:space="preserve"> </v>
      </c>
      <c r="FF73" s="10" t="str">
        <f t="shared" si="308"/>
        <v xml:space="preserve"> </v>
      </c>
      <c r="FG73" s="10" t="str">
        <f t="shared" si="308"/>
        <v xml:space="preserve"> </v>
      </c>
      <c r="FH73" s="10" t="str">
        <f t="shared" si="308"/>
        <v xml:space="preserve"> </v>
      </c>
      <c r="FK73" s="10" t="str">
        <f t="shared" si="309"/>
        <v xml:space="preserve"> </v>
      </c>
      <c r="FL73" s="10" t="str">
        <f t="shared" si="309"/>
        <v xml:space="preserve"> </v>
      </c>
      <c r="FM73" s="10" t="str">
        <f t="shared" si="309"/>
        <v xml:space="preserve"> </v>
      </c>
      <c r="FN73" s="10" t="str">
        <f t="shared" si="309"/>
        <v xml:space="preserve"> </v>
      </c>
      <c r="FO73" s="10" t="str">
        <f t="shared" si="309"/>
        <v xml:space="preserve"> </v>
      </c>
      <c r="FR73" s="10" t="str">
        <f t="shared" si="310"/>
        <v xml:space="preserve"> </v>
      </c>
      <c r="FS73" s="10" t="str">
        <f t="shared" si="310"/>
        <v xml:space="preserve"> </v>
      </c>
      <c r="FT73" s="10" t="str">
        <f t="shared" si="310"/>
        <v xml:space="preserve"> </v>
      </c>
      <c r="FU73" s="10" t="str">
        <f t="shared" si="310"/>
        <v xml:space="preserve"> </v>
      </c>
      <c r="FV73" s="10" t="str">
        <f t="shared" si="310"/>
        <v xml:space="preserve"> </v>
      </c>
      <c r="FY73" s="10" t="str">
        <f t="shared" si="311"/>
        <v xml:space="preserve"> </v>
      </c>
      <c r="FZ73" s="10" t="str">
        <f t="shared" si="311"/>
        <v xml:space="preserve"> </v>
      </c>
      <c r="GA73" s="10" t="str">
        <f t="shared" si="311"/>
        <v xml:space="preserve"> </v>
      </c>
      <c r="GB73" s="10" t="str">
        <f t="shared" si="311"/>
        <v xml:space="preserve"> </v>
      </c>
      <c r="GC73" s="10" t="str">
        <f t="shared" si="311"/>
        <v xml:space="preserve"> </v>
      </c>
      <c r="GF73" s="10" t="str">
        <f t="shared" si="312"/>
        <v xml:space="preserve"> </v>
      </c>
      <c r="GG73" s="10" t="str">
        <f t="shared" si="312"/>
        <v xml:space="preserve"> </v>
      </c>
      <c r="GH73" s="10" t="str">
        <f t="shared" si="312"/>
        <v xml:space="preserve"> </v>
      </c>
      <c r="GI73" s="10" t="str">
        <f t="shared" si="312"/>
        <v xml:space="preserve"> </v>
      </c>
      <c r="GJ73" s="10" t="str">
        <f t="shared" si="312"/>
        <v xml:space="preserve"> </v>
      </c>
      <c r="GM73" s="10" t="str">
        <f t="shared" si="313"/>
        <v xml:space="preserve"> </v>
      </c>
      <c r="GN73" s="10" t="str">
        <f t="shared" si="313"/>
        <v xml:space="preserve"> </v>
      </c>
      <c r="GO73" s="10" t="str">
        <f t="shared" si="313"/>
        <v xml:space="preserve"> </v>
      </c>
      <c r="GP73" s="10" t="str">
        <f t="shared" si="313"/>
        <v xml:space="preserve"> </v>
      </c>
      <c r="GQ73" s="10" t="str">
        <f t="shared" si="313"/>
        <v xml:space="preserve"> </v>
      </c>
      <c r="GT73" s="10" t="str">
        <f t="shared" si="314"/>
        <v xml:space="preserve"> </v>
      </c>
      <c r="GU73" s="10" t="str">
        <f t="shared" si="314"/>
        <v xml:space="preserve"> </v>
      </c>
      <c r="GV73" s="10" t="str">
        <f t="shared" si="314"/>
        <v xml:space="preserve"> </v>
      </c>
      <c r="GW73" s="10" t="str">
        <f t="shared" si="314"/>
        <v xml:space="preserve"> </v>
      </c>
      <c r="GX73" s="10" t="str">
        <f t="shared" si="314"/>
        <v xml:space="preserve"> </v>
      </c>
      <c r="HA73" s="10" t="str">
        <f t="shared" si="315"/>
        <v xml:space="preserve"> </v>
      </c>
      <c r="HB73" s="10" t="str">
        <f t="shared" si="315"/>
        <v xml:space="preserve"> </v>
      </c>
      <c r="HC73" s="10" t="str">
        <f t="shared" si="315"/>
        <v xml:space="preserve"> </v>
      </c>
      <c r="HD73" s="10" t="str">
        <f t="shared" si="315"/>
        <v xml:space="preserve"> </v>
      </c>
      <c r="HE73" s="10" t="str">
        <f t="shared" si="315"/>
        <v xml:space="preserve"> </v>
      </c>
      <c r="HH73" s="10" t="str">
        <f t="shared" si="316"/>
        <v xml:space="preserve"> </v>
      </c>
      <c r="HI73" s="10" t="str">
        <f t="shared" si="316"/>
        <v xml:space="preserve"> </v>
      </c>
      <c r="HJ73" s="10" t="str">
        <f t="shared" si="316"/>
        <v xml:space="preserve"> </v>
      </c>
      <c r="HK73" s="10" t="str">
        <f t="shared" si="316"/>
        <v xml:space="preserve"> </v>
      </c>
      <c r="HL73" s="10" t="str">
        <f t="shared" si="316"/>
        <v xml:space="preserve"> </v>
      </c>
      <c r="HO73" s="10" t="str">
        <f t="shared" si="317"/>
        <v xml:space="preserve"> </v>
      </c>
      <c r="HP73" s="10" t="str">
        <f t="shared" si="317"/>
        <v xml:space="preserve"> </v>
      </c>
      <c r="HQ73" s="10" t="str">
        <f t="shared" si="317"/>
        <v xml:space="preserve"> </v>
      </c>
      <c r="HR73" s="10" t="str">
        <f t="shared" si="317"/>
        <v xml:space="preserve"> </v>
      </c>
      <c r="HS73" s="10" t="str">
        <f t="shared" si="317"/>
        <v xml:space="preserve"> </v>
      </c>
      <c r="HV73" s="10" t="str">
        <f t="shared" si="318"/>
        <v xml:space="preserve"> </v>
      </c>
      <c r="HW73" s="10" t="str">
        <f t="shared" si="318"/>
        <v xml:space="preserve"> </v>
      </c>
      <c r="HX73" s="10" t="str">
        <f t="shared" si="318"/>
        <v xml:space="preserve"> </v>
      </c>
      <c r="HY73" s="10" t="str">
        <f t="shared" si="318"/>
        <v xml:space="preserve"> </v>
      </c>
      <c r="HZ73" s="10" t="str">
        <f t="shared" si="318"/>
        <v xml:space="preserve"> </v>
      </c>
      <c r="IC73" s="10" t="str">
        <f t="shared" si="319"/>
        <v xml:space="preserve"> </v>
      </c>
      <c r="ID73" s="10" t="str">
        <f t="shared" si="319"/>
        <v xml:space="preserve"> </v>
      </c>
      <c r="IE73" s="10" t="str">
        <f t="shared" si="319"/>
        <v xml:space="preserve"> </v>
      </c>
      <c r="IF73" s="10" t="str">
        <f t="shared" si="319"/>
        <v xml:space="preserve"> </v>
      </c>
      <c r="IG73" s="10" t="str">
        <f t="shared" si="319"/>
        <v xml:space="preserve"> </v>
      </c>
      <c r="IJ73" s="10" t="str">
        <f t="shared" si="320"/>
        <v xml:space="preserve"> </v>
      </c>
      <c r="IK73" s="10" t="str">
        <f t="shared" si="320"/>
        <v xml:space="preserve"> </v>
      </c>
      <c r="IL73" s="10" t="str">
        <f t="shared" si="320"/>
        <v xml:space="preserve"> </v>
      </c>
      <c r="IM73" s="10" t="str">
        <f t="shared" si="320"/>
        <v xml:space="preserve"> </v>
      </c>
      <c r="IN73" s="10" t="str">
        <f t="shared" si="320"/>
        <v xml:space="preserve"> </v>
      </c>
      <c r="IQ73" s="10" t="str">
        <f t="shared" si="321"/>
        <v xml:space="preserve"> </v>
      </c>
      <c r="IR73" s="10" t="str">
        <f t="shared" si="321"/>
        <v xml:space="preserve"> </v>
      </c>
      <c r="IS73" s="10" t="str">
        <f t="shared" si="321"/>
        <v xml:space="preserve"> </v>
      </c>
      <c r="IT73" s="10" t="str">
        <f t="shared" si="321"/>
        <v xml:space="preserve"> </v>
      </c>
      <c r="IU73" s="10" t="str">
        <f t="shared" si="321"/>
        <v xml:space="preserve"> </v>
      </c>
      <c r="IX73" s="10" t="str">
        <f t="shared" si="322"/>
        <v xml:space="preserve"> </v>
      </c>
      <c r="IY73" s="10" t="str">
        <f t="shared" si="322"/>
        <v xml:space="preserve"> </v>
      </c>
      <c r="IZ73" s="10" t="str">
        <f t="shared" si="322"/>
        <v xml:space="preserve"> </v>
      </c>
      <c r="JA73" s="10" t="str">
        <f t="shared" si="322"/>
        <v xml:space="preserve"> </v>
      </c>
      <c r="JB73" s="10" t="str">
        <f t="shared" si="322"/>
        <v xml:space="preserve"> </v>
      </c>
      <c r="JE73" s="10" t="str">
        <f t="shared" si="323"/>
        <v xml:space="preserve"> </v>
      </c>
      <c r="JF73" s="10" t="str">
        <f t="shared" si="323"/>
        <v xml:space="preserve"> </v>
      </c>
      <c r="JG73" s="10" t="str">
        <f t="shared" si="323"/>
        <v xml:space="preserve"> </v>
      </c>
      <c r="JH73" s="10" t="str">
        <f t="shared" si="323"/>
        <v xml:space="preserve"> </v>
      </c>
      <c r="JI73" s="10" t="str">
        <f t="shared" si="323"/>
        <v xml:space="preserve"> </v>
      </c>
    </row>
    <row r="74" spans="3:269">
      <c r="M74" s="10" t="str">
        <f t="shared" si="88"/>
        <v xml:space="preserve"> </v>
      </c>
      <c r="N74" s="10" t="str">
        <f t="shared" si="88"/>
        <v xml:space="preserve"> </v>
      </c>
      <c r="O74" s="10" t="str">
        <f t="shared" si="88"/>
        <v xml:space="preserve"> </v>
      </c>
      <c r="P74" s="10" t="str">
        <f t="shared" si="88"/>
        <v xml:space="preserve"> </v>
      </c>
      <c r="Q74" s="10" t="str">
        <f t="shared" si="88"/>
        <v xml:space="preserve"> </v>
      </c>
      <c r="R74" s="14"/>
      <c r="S74" s="14"/>
      <c r="T74" s="10" t="str">
        <f t="shared" si="288"/>
        <v xml:space="preserve"> </v>
      </c>
      <c r="U74" s="10" t="str">
        <f t="shared" si="288"/>
        <v xml:space="preserve"> </v>
      </c>
      <c r="V74" s="10" t="str">
        <f t="shared" si="288"/>
        <v xml:space="preserve"> </v>
      </c>
      <c r="W74" s="10" t="str">
        <f t="shared" si="288"/>
        <v xml:space="preserve"> </v>
      </c>
      <c r="X74" s="10" t="str">
        <f t="shared" si="288"/>
        <v xml:space="preserve"> </v>
      </c>
      <c r="Y74" s="14"/>
      <c r="Z74" s="14"/>
      <c r="AA74" s="10" t="str">
        <f t="shared" si="289"/>
        <v xml:space="preserve"> </v>
      </c>
      <c r="AB74" s="10" t="str">
        <f t="shared" si="289"/>
        <v xml:space="preserve"> </v>
      </c>
      <c r="AC74" s="10" t="str">
        <f t="shared" si="289"/>
        <v xml:space="preserve"> </v>
      </c>
      <c r="AD74" s="10" t="str">
        <f t="shared" si="289"/>
        <v xml:space="preserve"> </v>
      </c>
      <c r="AE74" s="10" t="str">
        <f t="shared" si="289"/>
        <v xml:space="preserve"> </v>
      </c>
      <c r="AF74" s="14"/>
      <c r="AG74" s="14"/>
      <c r="AH74" s="10" t="str">
        <f t="shared" si="290"/>
        <v xml:space="preserve"> </v>
      </c>
      <c r="AI74" s="10" t="str">
        <f t="shared" si="290"/>
        <v xml:space="preserve"> </v>
      </c>
      <c r="AJ74" s="10" t="str">
        <f t="shared" si="290"/>
        <v xml:space="preserve"> </v>
      </c>
      <c r="AK74" s="10" t="str">
        <f t="shared" si="290"/>
        <v xml:space="preserve"> </v>
      </c>
      <c r="AL74" s="10" t="str">
        <f t="shared" si="290"/>
        <v xml:space="preserve"> </v>
      </c>
      <c r="AM74" s="14"/>
      <c r="AN74" s="14"/>
      <c r="AO74" s="10" t="str">
        <f t="shared" si="291"/>
        <v xml:space="preserve"> </v>
      </c>
      <c r="AP74" s="10" t="str">
        <f t="shared" si="291"/>
        <v xml:space="preserve"> </v>
      </c>
      <c r="AQ74" s="10" t="str">
        <f t="shared" si="291"/>
        <v xml:space="preserve"> </v>
      </c>
      <c r="AR74" s="10" t="str">
        <f t="shared" si="291"/>
        <v xml:space="preserve"> </v>
      </c>
      <c r="AS74" s="10" t="str">
        <f t="shared" si="291"/>
        <v xml:space="preserve"> </v>
      </c>
      <c r="AT74" s="14"/>
      <c r="AU74" s="14"/>
      <c r="AV74" s="10" t="str">
        <f t="shared" si="292"/>
        <v xml:space="preserve"> </v>
      </c>
      <c r="AW74" s="10" t="str">
        <f t="shared" si="292"/>
        <v xml:space="preserve"> </v>
      </c>
      <c r="AX74" s="10" t="str">
        <f t="shared" si="292"/>
        <v xml:space="preserve"> </v>
      </c>
      <c r="AY74" s="10" t="str">
        <f t="shared" si="292"/>
        <v xml:space="preserve"> </v>
      </c>
      <c r="AZ74" s="10" t="str">
        <f t="shared" si="292"/>
        <v xml:space="preserve"> </v>
      </c>
      <c r="BA74" s="14"/>
      <c r="BB74" s="14"/>
      <c r="BC74" s="10" t="str">
        <f t="shared" si="293"/>
        <v xml:space="preserve"> </v>
      </c>
      <c r="BD74" s="10" t="str">
        <f t="shared" si="293"/>
        <v xml:space="preserve"> </v>
      </c>
      <c r="BE74" s="10" t="str">
        <f t="shared" si="293"/>
        <v xml:space="preserve"> </v>
      </c>
      <c r="BF74" s="10" t="str">
        <f t="shared" si="293"/>
        <v xml:space="preserve"> </v>
      </c>
      <c r="BG74" s="10" t="str">
        <f t="shared" si="293"/>
        <v xml:space="preserve"> </v>
      </c>
      <c r="BH74" s="14"/>
      <c r="BI74" s="14"/>
      <c r="BJ74" s="10" t="str">
        <f t="shared" si="294"/>
        <v xml:space="preserve"> </v>
      </c>
      <c r="BK74" s="10" t="str">
        <f t="shared" si="294"/>
        <v xml:space="preserve"> </v>
      </c>
      <c r="BL74" s="10" t="str">
        <f t="shared" si="294"/>
        <v xml:space="preserve"> </v>
      </c>
      <c r="BM74" s="10" t="str">
        <f t="shared" si="294"/>
        <v xml:space="preserve"> </v>
      </c>
      <c r="BN74" s="10" t="str">
        <f t="shared" si="294"/>
        <v xml:space="preserve"> </v>
      </c>
      <c r="BO74" s="14"/>
      <c r="BP74" s="14"/>
      <c r="BQ74" s="10" t="str">
        <f t="shared" si="295"/>
        <v xml:space="preserve"> </v>
      </c>
      <c r="BR74" s="10" t="str">
        <f t="shared" si="295"/>
        <v xml:space="preserve"> </v>
      </c>
      <c r="BS74" s="10" t="str">
        <f t="shared" si="295"/>
        <v xml:space="preserve"> </v>
      </c>
      <c r="BT74" s="10" t="str">
        <f t="shared" si="295"/>
        <v xml:space="preserve"> </v>
      </c>
      <c r="BU74" s="10" t="str">
        <f t="shared" si="295"/>
        <v xml:space="preserve"> </v>
      </c>
      <c r="BV74" s="14"/>
      <c r="BW74" s="14"/>
      <c r="BX74" s="10" t="str">
        <f t="shared" si="296"/>
        <v xml:space="preserve"> </v>
      </c>
      <c r="BY74" s="10" t="str">
        <f t="shared" si="296"/>
        <v xml:space="preserve"> </v>
      </c>
      <c r="BZ74" s="10" t="str">
        <f t="shared" si="296"/>
        <v xml:space="preserve"> </v>
      </c>
      <c r="CA74" s="10" t="str">
        <f t="shared" si="296"/>
        <v xml:space="preserve"> </v>
      </c>
      <c r="CB74" s="10" t="str">
        <f t="shared" si="296"/>
        <v xml:space="preserve"> </v>
      </c>
      <c r="CC74" s="14"/>
      <c r="CD74" s="14"/>
      <c r="CE74" s="10" t="str">
        <f t="shared" si="297"/>
        <v xml:space="preserve"> </v>
      </c>
      <c r="CF74" s="10" t="str">
        <f t="shared" si="297"/>
        <v xml:space="preserve"> </v>
      </c>
      <c r="CG74" s="10" t="str">
        <f t="shared" si="297"/>
        <v xml:space="preserve"> </v>
      </c>
      <c r="CH74" s="10" t="str">
        <f t="shared" si="297"/>
        <v xml:space="preserve"> </v>
      </c>
      <c r="CI74" s="10" t="str">
        <f t="shared" si="297"/>
        <v xml:space="preserve"> </v>
      </c>
      <c r="CJ74" s="14"/>
      <c r="CK74" s="14"/>
      <c r="CL74" s="10" t="str">
        <f t="shared" si="298"/>
        <v xml:space="preserve"> </v>
      </c>
      <c r="CM74" s="10" t="str">
        <f t="shared" si="298"/>
        <v xml:space="preserve"> </v>
      </c>
      <c r="CN74" s="10" t="str">
        <f t="shared" si="298"/>
        <v xml:space="preserve"> </v>
      </c>
      <c r="CO74" s="10" t="str">
        <f t="shared" si="298"/>
        <v xml:space="preserve"> </v>
      </c>
      <c r="CP74" s="10" t="str">
        <f t="shared" si="298"/>
        <v xml:space="preserve"> </v>
      </c>
      <c r="CQ74" s="14"/>
      <c r="CR74" s="14"/>
      <c r="CS74" s="10" t="str">
        <f t="shared" si="299"/>
        <v xml:space="preserve"> </v>
      </c>
      <c r="CT74" s="10" t="str">
        <f t="shared" si="299"/>
        <v xml:space="preserve"> </v>
      </c>
      <c r="CU74" s="10" t="str">
        <f t="shared" si="299"/>
        <v xml:space="preserve"> </v>
      </c>
      <c r="CV74" s="10" t="str">
        <f t="shared" si="299"/>
        <v xml:space="preserve"> </v>
      </c>
      <c r="CW74" s="10" t="str">
        <f t="shared" si="299"/>
        <v xml:space="preserve"> </v>
      </c>
      <c r="CZ74" s="10" t="str">
        <f t="shared" si="300"/>
        <v xml:space="preserve"> </v>
      </c>
      <c r="DA74" s="10" t="str">
        <f t="shared" si="300"/>
        <v xml:space="preserve"> </v>
      </c>
      <c r="DB74" s="10" t="str">
        <f t="shared" si="300"/>
        <v xml:space="preserve"> </v>
      </c>
      <c r="DC74" s="10" t="str">
        <f t="shared" si="300"/>
        <v xml:space="preserve"> </v>
      </c>
      <c r="DD74" s="10" t="str">
        <f t="shared" si="300"/>
        <v xml:space="preserve"> </v>
      </c>
      <c r="DG74" s="10" t="str">
        <f t="shared" si="301"/>
        <v xml:space="preserve"> </v>
      </c>
      <c r="DH74" s="10" t="str">
        <f t="shared" si="301"/>
        <v xml:space="preserve"> </v>
      </c>
      <c r="DI74" s="10" t="str">
        <f t="shared" si="301"/>
        <v xml:space="preserve"> </v>
      </c>
      <c r="DJ74" s="10" t="str">
        <f t="shared" si="301"/>
        <v xml:space="preserve"> </v>
      </c>
      <c r="DK74" s="10" t="str">
        <f t="shared" si="301"/>
        <v xml:space="preserve"> </v>
      </c>
      <c r="DN74" s="10" t="str">
        <f t="shared" si="302"/>
        <v xml:space="preserve"> </v>
      </c>
      <c r="DO74" s="10" t="str">
        <f t="shared" si="302"/>
        <v xml:space="preserve"> </v>
      </c>
      <c r="DP74" s="10" t="str">
        <f t="shared" si="302"/>
        <v xml:space="preserve"> </v>
      </c>
      <c r="DQ74" s="10" t="str">
        <f t="shared" si="302"/>
        <v xml:space="preserve"> </v>
      </c>
      <c r="DR74" s="10" t="str">
        <f t="shared" si="302"/>
        <v xml:space="preserve"> </v>
      </c>
      <c r="DU74" s="10" t="str">
        <f t="shared" si="303"/>
        <v xml:space="preserve"> </v>
      </c>
      <c r="DV74" s="10" t="str">
        <f t="shared" si="303"/>
        <v xml:space="preserve"> </v>
      </c>
      <c r="DW74" s="10" t="str">
        <f t="shared" si="303"/>
        <v xml:space="preserve"> </v>
      </c>
      <c r="DX74" s="10" t="str">
        <f t="shared" si="303"/>
        <v xml:space="preserve"> </v>
      </c>
      <c r="DY74" s="10" t="str">
        <f t="shared" si="303"/>
        <v xml:space="preserve"> </v>
      </c>
      <c r="EB74" s="10" t="str">
        <f t="shared" si="304"/>
        <v xml:space="preserve"> </v>
      </c>
      <c r="EC74" s="10" t="str">
        <f t="shared" si="304"/>
        <v xml:space="preserve"> </v>
      </c>
      <c r="ED74" s="10" t="str">
        <f t="shared" si="304"/>
        <v xml:space="preserve"> </v>
      </c>
      <c r="EE74" s="10" t="str">
        <f t="shared" si="304"/>
        <v xml:space="preserve"> </v>
      </c>
      <c r="EF74" s="10" t="str">
        <f t="shared" si="304"/>
        <v xml:space="preserve"> </v>
      </c>
      <c r="EI74" s="10" t="str">
        <f t="shared" si="305"/>
        <v xml:space="preserve"> </v>
      </c>
      <c r="EJ74" s="10" t="str">
        <f t="shared" si="305"/>
        <v xml:space="preserve"> </v>
      </c>
      <c r="EK74" s="10" t="str">
        <f t="shared" si="305"/>
        <v xml:space="preserve"> </v>
      </c>
      <c r="EL74" s="10" t="str">
        <f t="shared" si="305"/>
        <v xml:space="preserve"> </v>
      </c>
      <c r="EM74" s="10" t="str">
        <f t="shared" si="305"/>
        <v xml:space="preserve"> </v>
      </c>
      <c r="EP74" s="10" t="str">
        <f t="shared" si="306"/>
        <v xml:space="preserve"> </v>
      </c>
      <c r="EQ74" s="10" t="str">
        <f t="shared" si="306"/>
        <v xml:space="preserve"> </v>
      </c>
      <c r="ER74" s="10" t="str">
        <f t="shared" si="306"/>
        <v xml:space="preserve"> </v>
      </c>
      <c r="ES74" s="10" t="str">
        <f t="shared" si="306"/>
        <v xml:space="preserve"> </v>
      </c>
      <c r="ET74" s="10" t="str">
        <f t="shared" si="306"/>
        <v xml:space="preserve"> </v>
      </c>
      <c r="EW74" s="10" t="str">
        <f t="shared" si="307"/>
        <v xml:space="preserve"> </v>
      </c>
      <c r="EX74" s="10" t="str">
        <f t="shared" si="307"/>
        <v xml:space="preserve"> </v>
      </c>
      <c r="EY74" s="10" t="str">
        <f t="shared" si="307"/>
        <v xml:space="preserve"> </v>
      </c>
      <c r="EZ74" s="10" t="str">
        <f t="shared" si="307"/>
        <v xml:space="preserve"> </v>
      </c>
      <c r="FA74" s="10" t="str">
        <f t="shared" si="307"/>
        <v xml:space="preserve"> </v>
      </c>
      <c r="FD74" s="10" t="str">
        <f t="shared" si="308"/>
        <v xml:space="preserve"> </v>
      </c>
      <c r="FE74" s="10" t="str">
        <f t="shared" si="308"/>
        <v xml:space="preserve"> </v>
      </c>
      <c r="FF74" s="10" t="str">
        <f t="shared" si="308"/>
        <v xml:space="preserve"> </v>
      </c>
      <c r="FG74" s="10" t="str">
        <f t="shared" si="308"/>
        <v xml:space="preserve"> </v>
      </c>
      <c r="FH74" s="10" t="str">
        <f t="shared" si="308"/>
        <v xml:space="preserve"> </v>
      </c>
      <c r="FK74" s="10" t="str">
        <f t="shared" si="309"/>
        <v xml:space="preserve"> </v>
      </c>
      <c r="FL74" s="10" t="str">
        <f t="shared" si="309"/>
        <v xml:space="preserve"> </v>
      </c>
      <c r="FM74" s="10" t="str">
        <f t="shared" si="309"/>
        <v xml:space="preserve"> </v>
      </c>
      <c r="FN74" s="10" t="str">
        <f t="shared" si="309"/>
        <v xml:space="preserve"> </v>
      </c>
      <c r="FO74" s="10" t="str">
        <f t="shared" si="309"/>
        <v xml:space="preserve"> </v>
      </c>
      <c r="FR74" s="10" t="str">
        <f t="shared" si="310"/>
        <v xml:space="preserve"> </v>
      </c>
      <c r="FS74" s="10" t="str">
        <f t="shared" si="310"/>
        <v xml:space="preserve"> </v>
      </c>
      <c r="FT74" s="10" t="str">
        <f t="shared" si="310"/>
        <v xml:space="preserve"> </v>
      </c>
      <c r="FU74" s="10" t="str">
        <f t="shared" si="310"/>
        <v xml:space="preserve"> </v>
      </c>
      <c r="FV74" s="10" t="str">
        <f t="shared" si="310"/>
        <v xml:space="preserve"> </v>
      </c>
      <c r="FY74" s="10" t="str">
        <f t="shared" si="311"/>
        <v xml:space="preserve"> </v>
      </c>
      <c r="FZ74" s="10" t="str">
        <f t="shared" si="311"/>
        <v xml:space="preserve"> </v>
      </c>
      <c r="GA74" s="10" t="str">
        <f t="shared" si="311"/>
        <v xml:space="preserve"> </v>
      </c>
      <c r="GB74" s="10" t="str">
        <f t="shared" si="311"/>
        <v xml:space="preserve"> </v>
      </c>
      <c r="GC74" s="10" t="str">
        <f t="shared" si="311"/>
        <v xml:space="preserve"> </v>
      </c>
      <c r="GF74" s="10" t="str">
        <f t="shared" si="312"/>
        <v xml:space="preserve"> </v>
      </c>
      <c r="GG74" s="10" t="str">
        <f t="shared" si="312"/>
        <v xml:space="preserve"> </v>
      </c>
      <c r="GH74" s="10" t="str">
        <f t="shared" si="312"/>
        <v xml:space="preserve"> </v>
      </c>
      <c r="GI74" s="10" t="str">
        <f t="shared" si="312"/>
        <v xml:space="preserve"> </v>
      </c>
      <c r="GJ74" s="10" t="str">
        <f t="shared" si="312"/>
        <v xml:space="preserve"> </v>
      </c>
      <c r="GM74" s="10" t="str">
        <f t="shared" si="313"/>
        <v xml:space="preserve"> </v>
      </c>
      <c r="GN74" s="10" t="str">
        <f t="shared" si="313"/>
        <v xml:space="preserve"> </v>
      </c>
      <c r="GO74" s="10" t="str">
        <f t="shared" si="313"/>
        <v xml:space="preserve"> </v>
      </c>
      <c r="GP74" s="10" t="str">
        <f t="shared" si="313"/>
        <v xml:space="preserve"> </v>
      </c>
      <c r="GQ74" s="10" t="str">
        <f t="shared" si="313"/>
        <v xml:space="preserve"> </v>
      </c>
      <c r="GT74" s="10" t="str">
        <f t="shared" si="314"/>
        <v xml:space="preserve"> </v>
      </c>
      <c r="GU74" s="10" t="str">
        <f t="shared" si="314"/>
        <v xml:space="preserve"> </v>
      </c>
      <c r="GV74" s="10" t="str">
        <f t="shared" si="314"/>
        <v xml:space="preserve"> </v>
      </c>
      <c r="GW74" s="10" t="str">
        <f t="shared" si="314"/>
        <v xml:space="preserve"> </v>
      </c>
      <c r="GX74" s="10" t="str">
        <f t="shared" si="314"/>
        <v xml:space="preserve"> </v>
      </c>
      <c r="HA74" s="10" t="str">
        <f t="shared" si="315"/>
        <v xml:space="preserve"> </v>
      </c>
      <c r="HB74" s="10" t="str">
        <f t="shared" si="315"/>
        <v xml:space="preserve"> </v>
      </c>
      <c r="HC74" s="10" t="str">
        <f t="shared" si="315"/>
        <v xml:space="preserve"> </v>
      </c>
      <c r="HD74" s="10" t="str">
        <f t="shared" si="315"/>
        <v xml:space="preserve"> </v>
      </c>
      <c r="HE74" s="10" t="str">
        <f t="shared" si="315"/>
        <v xml:space="preserve"> </v>
      </c>
      <c r="HH74" s="10" t="str">
        <f t="shared" si="316"/>
        <v xml:space="preserve"> </v>
      </c>
      <c r="HI74" s="10" t="str">
        <f t="shared" si="316"/>
        <v xml:space="preserve"> </v>
      </c>
      <c r="HJ74" s="10" t="str">
        <f t="shared" si="316"/>
        <v xml:space="preserve"> </v>
      </c>
      <c r="HK74" s="10" t="str">
        <f t="shared" si="316"/>
        <v xml:space="preserve"> </v>
      </c>
      <c r="HL74" s="10" t="str">
        <f t="shared" si="316"/>
        <v xml:space="preserve"> </v>
      </c>
      <c r="HO74" s="10" t="str">
        <f t="shared" si="317"/>
        <v xml:space="preserve"> </v>
      </c>
      <c r="HP74" s="10" t="str">
        <f t="shared" si="317"/>
        <v xml:space="preserve"> </v>
      </c>
      <c r="HQ74" s="10" t="str">
        <f t="shared" si="317"/>
        <v xml:space="preserve"> </v>
      </c>
      <c r="HR74" s="10" t="str">
        <f t="shared" si="317"/>
        <v xml:space="preserve"> </v>
      </c>
      <c r="HS74" s="10" t="str">
        <f t="shared" si="317"/>
        <v xml:space="preserve"> </v>
      </c>
      <c r="HV74" s="10" t="str">
        <f t="shared" si="318"/>
        <v xml:space="preserve"> </v>
      </c>
      <c r="HW74" s="10" t="str">
        <f t="shared" si="318"/>
        <v xml:space="preserve"> </v>
      </c>
      <c r="HX74" s="10" t="str">
        <f t="shared" si="318"/>
        <v xml:space="preserve"> </v>
      </c>
      <c r="HY74" s="10" t="str">
        <f t="shared" si="318"/>
        <v xml:space="preserve"> </v>
      </c>
      <c r="HZ74" s="10" t="str">
        <f t="shared" si="318"/>
        <v xml:space="preserve"> </v>
      </c>
      <c r="IC74" s="10" t="str">
        <f t="shared" si="319"/>
        <v xml:space="preserve"> </v>
      </c>
      <c r="ID74" s="10" t="str">
        <f t="shared" si="319"/>
        <v xml:space="preserve"> </v>
      </c>
      <c r="IE74" s="10" t="str">
        <f t="shared" si="319"/>
        <v xml:space="preserve"> </v>
      </c>
      <c r="IF74" s="10" t="str">
        <f t="shared" si="319"/>
        <v xml:space="preserve"> </v>
      </c>
      <c r="IG74" s="10" t="str">
        <f t="shared" si="319"/>
        <v xml:space="preserve"> </v>
      </c>
      <c r="IJ74" s="10" t="str">
        <f t="shared" si="320"/>
        <v xml:space="preserve"> </v>
      </c>
      <c r="IK74" s="10" t="str">
        <f t="shared" si="320"/>
        <v xml:space="preserve"> </v>
      </c>
      <c r="IL74" s="10" t="str">
        <f t="shared" si="320"/>
        <v xml:space="preserve"> </v>
      </c>
      <c r="IM74" s="10" t="str">
        <f t="shared" si="320"/>
        <v xml:space="preserve"> </v>
      </c>
      <c r="IN74" s="10" t="str">
        <f t="shared" si="320"/>
        <v xml:space="preserve"> </v>
      </c>
      <c r="IQ74" s="10" t="str">
        <f t="shared" si="321"/>
        <v xml:space="preserve"> </v>
      </c>
      <c r="IR74" s="10" t="str">
        <f t="shared" si="321"/>
        <v xml:space="preserve"> </v>
      </c>
      <c r="IS74" s="10" t="str">
        <f t="shared" si="321"/>
        <v xml:space="preserve"> </v>
      </c>
      <c r="IT74" s="10" t="str">
        <f t="shared" si="321"/>
        <v xml:space="preserve"> </v>
      </c>
      <c r="IU74" s="10" t="str">
        <f t="shared" si="321"/>
        <v xml:space="preserve"> </v>
      </c>
      <c r="IX74" s="10" t="str">
        <f t="shared" si="322"/>
        <v xml:space="preserve"> </v>
      </c>
      <c r="IY74" s="10" t="str">
        <f t="shared" si="322"/>
        <v xml:space="preserve"> </v>
      </c>
      <c r="IZ74" s="10" t="str">
        <f t="shared" si="322"/>
        <v xml:space="preserve"> </v>
      </c>
      <c r="JA74" s="10" t="str">
        <f t="shared" si="322"/>
        <v xml:space="preserve"> </v>
      </c>
      <c r="JB74" s="10" t="str">
        <f t="shared" si="322"/>
        <v xml:space="preserve"> </v>
      </c>
      <c r="JE74" s="10" t="str">
        <f t="shared" si="323"/>
        <v xml:space="preserve"> </v>
      </c>
      <c r="JF74" s="10" t="str">
        <f t="shared" si="323"/>
        <v xml:space="preserve"> </v>
      </c>
      <c r="JG74" s="10" t="str">
        <f t="shared" si="323"/>
        <v xml:space="preserve"> </v>
      </c>
      <c r="JH74" s="10" t="str">
        <f t="shared" si="323"/>
        <v xml:space="preserve"> </v>
      </c>
      <c r="JI74" s="10" t="str">
        <f t="shared" si="323"/>
        <v xml:space="preserve"> </v>
      </c>
    </row>
    <row r="75" spans="3:269">
      <c r="C75" s="16"/>
      <c r="D75" s="16"/>
      <c r="E75" s="17"/>
      <c r="M75" s="10" t="str">
        <f t="shared" si="88"/>
        <v xml:space="preserve"> </v>
      </c>
      <c r="N75" s="10" t="str">
        <f t="shared" si="88"/>
        <v xml:space="preserve"> </v>
      </c>
      <c r="O75" s="10" t="str">
        <f t="shared" si="88"/>
        <v xml:space="preserve"> </v>
      </c>
      <c r="P75" s="10" t="str">
        <f t="shared" si="88"/>
        <v xml:space="preserve"> </v>
      </c>
      <c r="Q75" s="10" t="str">
        <f t="shared" si="88"/>
        <v xml:space="preserve"> </v>
      </c>
      <c r="R75" s="14"/>
      <c r="S75" s="14"/>
      <c r="T75" s="10" t="str">
        <f t="shared" si="288"/>
        <v xml:space="preserve"> </v>
      </c>
      <c r="U75" s="10" t="str">
        <f t="shared" si="288"/>
        <v xml:space="preserve"> </v>
      </c>
      <c r="V75" s="10" t="str">
        <f t="shared" si="288"/>
        <v xml:space="preserve"> </v>
      </c>
      <c r="W75" s="10" t="str">
        <f t="shared" si="288"/>
        <v xml:space="preserve"> </v>
      </c>
      <c r="X75" s="10" t="str">
        <f t="shared" si="288"/>
        <v xml:space="preserve"> </v>
      </c>
      <c r="Y75" s="14"/>
      <c r="Z75" s="14"/>
      <c r="AA75" s="10" t="str">
        <f t="shared" si="289"/>
        <v xml:space="preserve"> </v>
      </c>
      <c r="AB75" s="10" t="str">
        <f t="shared" si="289"/>
        <v xml:space="preserve"> </v>
      </c>
      <c r="AC75" s="10" t="str">
        <f t="shared" si="289"/>
        <v xml:space="preserve"> </v>
      </c>
      <c r="AD75" s="10" t="str">
        <f t="shared" si="289"/>
        <v xml:space="preserve"> </v>
      </c>
      <c r="AE75" s="10" t="str">
        <f t="shared" si="289"/>
        <v xml:space="preserve"> </v>
      </c>
      <c r="AF75" s="14"/>
      <c r="AG75" s="14"/>
      <c r="AH75" s="10" t="str">
        <f t="shared" si="290"/>
        <v xml:space="preserve"> </v>
      </c>
      <c r="AI75" s="10" t="str">
        <f t="shared" si="290"/>
        <v xml:space="preserve"> </v>
      </c>
      <c r="AJ75" s="10" t="str">
        <f t="shared" si="290"/>
        <v xml:space="preserve"> </v>
      </c>
      <c r="AK75" s="10" t="str">
        <f t="shared" si="290"/>
        <v xml:space="preserve"> </v>
      </c>
      <c r="AL75" s="10" t="str">
        <f t="shared" si="290"/>
        <v xml:space="preserve"> </v>
      </c>
      <c r="AM75" s="14"/>
      <c r="AN75" s="14"/>
      <c r="AO75" s="10" t="str">
        <f t="shared" si="291"/>
        <v xml:space="preserve"> </v>
      </c>
      <c r="AP75" s="10" t="str">
        <f t="shared" si="291"/>
        <v xml:space="preserve"> </v>
      </c>
      <c r="AQ75" s="10" t="str">
        <f t="shared" si="291"/>
        <v xml:space="preserve"> </v>
      </c>
      <c r="AR75" s="10" t="str">
        <f t="shared" si="291"/>
        <v xml:space="preserve"> </v>
      </c>
      <c r="AS75" s="10" t="str">
        <f t="shared" si="291"/>
        <v xml:space="preserve"> </v>
      </c>
      <c r="AT75" s="14"/>
      <c r="AU75" s="14"/>
      <c r="AV75" s="10" t="str">
        <f t="shared" si="292"/>
        <v xml:space="preserve"> </v>
      </c>
      <c r="AW75" s="10" t="str">
        <f t="shared" si="292"/>
        <v xml:space="preserve"> </v>
      </c>
      <c r="AX75" s="10" t="str">
        <f t="shared" si="292"/>
        <v xml:space="preserve"> </v>
      </c>
      <c r="AY75" s="10" t="str">
        <f t="shared" si="292"/>
        <v xml:space="preserve"> </v>
      </c>
      <c r="AZ75" s="10" t="str">
        <f t="shared" si="292"/>
        <v xml:space="preserve"> </v>
      </c>
      <c r="BA75" s="14"/>
      <c r="BB75" s="14"/>
      <c r="BC75" s="10" t="str">
        <f t="shared" si="293"/>
        <v xml:space="preserve"> </v>
      </c>
      <c r="BD75" s="10" t="str">
        <f t="shared" si="293"/>
        <v xml:space="preserve"> </v>
      </c>
      <c r="BE75" s="10" t="str">
        <f t="shared" si="293"/>
        <v xml:space="preserve"> </v>
      </c>
      <c r="BF75" s="10" t="str">
        <f t="shared" si="293"/>
        <v xml:space="preserve"> </v>
      </c>
      <c r="BG75" s="10" t="str">
        <f t="shared" si="293"/>
        <v xml:space="preserve"> </v>
      </c>
      <c r="BH75" s="14"/>
      <c r="BI75" s="14"/>
      <c r="BJ75" s="10" t="str">
        <f t="shared" si="294"/>
        <v xml:space="preserve"> </v>
      </c>
      <c r="BK75" s="10" t="str">
        <f t="shared" si="294"/>
        <v xml:space="preserve"> </v>
      </c>
      <c r="BL75" s="10" t="str">
        <f t="shared" si="294"/>
        <v xml:space="preserve"> </v>
      </c>
      <c r="BM75" s="10" t="str">
        <f t="shared" si="294"/>
        <v xml:space="preserve"> </v>
      </c>
      <c r="BN75" s="10" t="str">
        <f t="shared" si="294"/>
        <v xml:space="preserve"> </v>
      </c>
      <c r="BO75" s="14"/>
      <c r="BP75" s="14"/>
      <c r="BQ75" s="10" t="str">
        <f t="shared" si="295"/>
        <v xml:space="preserve"> </v>
      </c>
      <c r="BR75" s="10" t="str">
        <f t="shared" si="295"/>
        <v xml:space="preserve"> </v>
      </c>
      <c r="BS75" s="10" t="str">
        <f t="shared" si="295"/>
        <v xml:space="preserve"> </v>
      </c>
      <c r="BT75" s="10" t="str">
        <f t="shared" si="295"/>
        <v xml:space="preserve"> </v>
      </c>
      <c r="BU75" s="10" t="str">
        <f t="shared" si="295"/>
        <v xml:space="preserve"> </v>
      </c>
      <c r="BV75" s="14"/>
      <c r="BW75" s="14"/>
      <c r="BX75" s="10" t="str">
        <f t="shared" si="296"/>
        <v xml:space="preserve"> </v>
      </c>
      <c r="BY75" s="10" t="str">
        <f t="shared" si="296"/>
        <v xml:space="preserve"> </v>
      </c>
      <c r="BZ75" s="10" t="str">
        <f t="shared" si="296"/>
        <v xml:space="preserve"> </v>
      </c>
      <c r="CA75" s="10" t="str">
        <f t="shared" si="296"/>
        <v xml:space="preserve"> </v>
      </c>
      <c r="CB75" s="10" t="str">
        <f t="shared" si="296"/>
        <v xml:space="preserve"> </v>
      </c>
      <c r="CC75" s="14"/>
      <c r="CD75" s="14"/>
      <c r="CE75" s="10" t="str">
        <f t="shared" si="297"/>
        <v xml:space="preserve"> </v>
      </c>
      <c r="CF75" s="10" t="str">
        <f t="shared" si="297"/>
        <v xml:space="preserve"> </v>
      </c>
      <c r="CG75" s="10" t="str">
        <f t="shared" si="297"/>
        <v xml:space="preserve"> </v>
      </c>
      <c r="CH75" s="10" t="str">
        <f t="shared" si="297"/>
        <v xml:space="preserve"> </v>
      </c>
      <c r="CI75" s="10" t="str">
        <f t="shared" si="297"/>
        <v xml:space="preserve"> </v>
      </c>
      <c r="CJ75" s="14"/>
      <c r="CK75" s="14"/>
      <c r="CL75" s="10" t="str">
        <f t="shared" si="298"/>
        <v xml:space="preserve"> </v>
      </c>
      <c r="CM75" s="10" t="str">
        <f t="shared" si="298"/>
        <v xml:space="preserve"> </v>
      </c>
      <c r="CN75" s="10" t="str">
        <f t="shared" si="298"/>
        <v xml:space="preserve"> </v>
      </c>
      <c r="CO75" s="10" t="str">
        <f t="shared" si="298"/>
        <v xml:space="preserve"> </v>
      </c>
      <c r="CP75" s="10" t="str">
        <f t="shared" si="298"/>
        <v xml:space="preserve"> </v>
      </c>
      <c r="CQ75" s="14"/>
      <c r="CR75" s="14"/>
      <c r="CS75" s="10" t="str">
        <f t="shared" si="299"/>
        <v xml:space="preserve"> </v>
      </c>
      <c r="CT75" s="10" t="str">
        <f t="shared" si="299"/>
        <v xml:space="preserve"> </v>
      </c>
      <c r="CU75" s="10" t="str">
        <f t="shared" si="299"/>
        <v xml:space="preserve"> </v>
      </c>
      <c r="CV75" s="10" t="str">
        <f t="shared" si="299"/>
        <v xml:space="preserve"> </v>
      </c>
      <c r="CW75" s="10" t="str">
        <f t="shared" si="299"/>
        <v xml:space="preserve"> </v>
      </c>
      <c r="CZ75" s="10" t="str">
        <f t="shared" si="300"/>
        <v xml:space="preserve"> </v>
      </c>
      <c r="DA75" s="10" t="str">
        <f t="shared" si="300"/>
        <v xml:space="preserve"> </v>
      </c>
      <c r="DB75" s="10" t="str">
        <f t="shared" si="300"/>
        <v xml:space="preserve"> </v>
      </c>
      <c r="DC75" s="10" t="str">
        <f t="shared" si="300"/>
        <v xml:space="preserve"> </v>
      </c>
      <c r="DD75" s="10" t="str">
        <f t="shared" si="300"/>
        <v xml:space="preserve"> </v>
      </c>
      <c r="DG75" s="10" t="str">
        <f t="shared" si="301"/>
        <v xml:space="preserve"> </v>
      </c>
      <c r="DH75" s="10" t="str">
        <f t="shared" si="301"/>
        <v xml:space="preserve"> </v>
      </c>
      <c r="DI75" s="10" t="str">
        <f t="shared" si="301"/>
        <v xml:space="preserve"> </v>
      </c>
      <c r="DJ75" s="10" t="str">
        <f t="shared" si="301"/>
        <v xml:space="preserve"> </v>
      </c>
      <c r="DK75" s="10" t="str">
        <f t="shared" si="301"/>
        <v xml:space="preserve"> </v>
      </c>
      <c r="DN75" s="10" t="str">
        <f t="shared" si="302"/>
        <v xml:space="preserve"> </v>
      </c>
      <c r="DO75" s="10" t="str">
        <f t="shared" si="302"/>
        <v xml:space="preserve"> </v>
      </c>
      <c r="DP75" s="10" t="str">
        <f t="shared" si="302"/>
        <v xml:space="preserve"> </v>
      </c>
      <c r="DQ75" s="10" t="str">
        <f t="shared" si="302"/>
        <v xml:space="preserve"> </v>
      </c>
      <c r="DR75" s="10" t="str">
        <f t="shared" si="302"/>
        <v xml:space="preserve"> </v>
      </c>
      <c r="DU75" s="10" t="str">
        <f t="shared" si="303"/>
        <v xml:space="preserve"> </v>
      </c>
      <c r="DV75" s="10" t="str">
        <f t="shared" si="303"/>
        <v xml:space="preserve"> </v>
      </c>
      <c r="DW75" s="10" t="str">
        <f t="shared" si="303"/>
        <v xml:space="preserve"> </v>
      </c>
      <c r="DX75" s="10" t="str">
        <f t="shared" si="303"/>
        <v xml:space="preserve"> </v>
      </c>
      <c r="DY75" s="10" t="str">
        <f t="shared" si="303"/>
        <v xml:space="preserve"> </v>
      </c>
      <c r="EB75" s="10" t="str">
        <f t="shared" si="304"/>
        <v xml:space="preserve"> </v>
      </c>
      <c r="EC75" s="10" t="str">
        <f t="shared" si="304"/>
        <v xml:space="preserve"> </v>
      </c>
      <c r="ED75" s="10" t="str">
        <f t="shared" si="304"/>
        <v xml:space="preserve"> </v>
      </c>
      <c r="EE75" s="10" t="str">
        <f t="shared" si="304"/>
        <v xml:space="preserve"> </v>
      </c>
      <c r="EF75" s="10" t="str">
        <f t="shared" si="304"/>
        <v xml:space="preserve"> </v>
      </c>
      <c r="EI75" s="10" t="str">
        <f t="shared" si="305"/>
        <v xml:space="preserve"> </v>
      </c>
      <c r="EJ75" s="10" t="str">
        <f t="shared" si="305"/>
        <v xml:space="preserve"> </v>
      </c>
      <c r="EK75" s="10" t="str">
        <f t="shared" si="305"/>
        <v xml:space="preserve"> </v>
      </c>
      <c r="EL75" s="10" t="str">
        <f t="shared" si="305"/>
        <v xml:space="preserve"> </v>
      </c>
      <c r="EM75" s="10" t="str">
        <f t="shared" si="305"/>
        <v xml:space="preserve"> </v>
      </c>
      <c r="EP75" s="10" t="str">
        <f t="shared" si="306"/>
        <v xml:space="preserve"> </v>
      </c>
      <c r="EQ75" s="10" t="str">
        <f t="shared" si="306"/>
        <v xml:space="preserve"> </v>
      </c>
      <c r="ER75" s="10" t="str">
        <f t="shared" si="306"/>
        <v xml:space="preserve"> </v>
      </c>
      <c r="ES75" s="10" t="str">
        <f t="shared" si="306"/>
        <v xml:space="preserve"> </v>
      </c>
      <c r="ET75" s="10" t="str">
        <f t="shared" si="306"/>
        <v xml:space="preserve"> </v>
      </c>
      <c r="EW75" s="10" t="str">
        <f t="shared" si="307"/>
        <v xml:space="preserve"> </v>
      </c>
      <c r="EX75" s="10" t="str">
        <f t="shared" si="307"/>
        <v xml:space="preserve"> </v>
      </c>
      <c r="EY75" s="10" t="str">
        <f t="shared" si="307"/>
        <v xml:space="preserve"> </v>
      </c>
      <c r="EZ75" s="10" t="str">
        <f t="shared" si="307"/>
        <v xml:space="preserve"> </v>
      </c>
      <c r="FA75" s="10" t="str">
        <f t="shared" si="307"/>
        <v xml:space="preserve"> </v>
      </c>
      <c r="FD75" s="10" t="str">
        <f t="shared" si="308"/>
        <v xml:space="preserve"> </v>
      </c>
      <c r="FE75" s="10" t="str">
        <f t="shared" si="308"/>
        <v xml:space="preserve"> </v>
      </c>
      <c r="FF75" s="10" t="str">
        <f t="shared" si="308"/>
        <v xml:space="preserve"> </v>
      </c>
      <c r="FG75" s="10" t="str">
        <f t="shared" si="308"/>
        <v xml:space="preserve"> </v>
      </c>
      <c r="FH75" s="10" t="str">
        <f t="shared" si="308"/>
        <v xml:space="preserve"> </v>
      </c>
      <c r="FK75" s="10" t="str">
        <f t="shared" si="309"/>
        <v xml:space="preserve"> </v>
      </c>
      <c r="FL75" s="10" t="str">
        <f t="shared" si="309"/>
        <v xml:space="preserve"> </v>
      </c>
      <c r="FM75" s="10" t="str">
        <f t="shared" si="309"/>
        <v xml:space="preserve"> </v>
      </c>
      <c r="FN75" s="10" t="str">
        <f t="shared" si="309"/>
        <v xml:space="preserve"> </v>
      </c>
      <c r="FO75" s="10" t="str">
        <f t="shared" si="309"/>
        <v xml:space="preserve"> </v>
      </c>
      <c r="FR75" s="10" t="str">
        <f t="shared" si="310"/>
        <v xml:space="preserve"> </v>
      </c>
      <c r="FS75" s="10" t="str">
        <f t="shared" si="310"/>
        <v xml:space="preserve"> </v>
      </c>
      <c r="FT75" s="10" t="str">
        <f t="shared" si="310"/>
        <v xml:space="preserve"> </v>
      </c>
      <c r="FU75" s="10" t="str">
        <f t="shared" si="310"/>
        <v xml:space="preserve"> </v>
      </c>
      <c r="FV75" s="10" t="str">
        <f t="shared" si="310"/>
        <v xml:space="preserve"> </v>
      </c>
      <c r="FY75" s="10" t="str">
        <f t="shared" si="311"/>
        <v xml:space="preserve"> </v>
      </c>
      <c r="FZ75" s="10" t="str">
        <f t="shared" si="311"/>
        <v xml:space="preserve"> </v>
      </c>
      <c r="GA75" s="10" t="str">
        <f t="shared" si="311"/>
        <v xml:space="preserve"> </v>
      </c>
      <c r="GB75" s="10" t="str">
        <f t="shared" si="311"/>
        <v xml:space="preserve"> </v>
      </c>
      <c r="GC75" s="10" t="str">
        <f t="shared" si="311"/>
        <v xml:space="preserve"> </v>
      </c>
      <c r="GF75" s="10" t="str">
        <f t="shared" si="312"/>
        <v xml:space="preserve"> </v>
      </c>
      <c r="GG75" s="10" t="str">
        <f t="shared" si="312"/>
        <v xml:space="preserve"> </v>
      </c>
      <c r="GH75" s="10" t="str">
        <f t="shared" si="312"/>
        <v xml:space="preserve"> </v>
      </c>
      <c r="GI75" s="10" t="str">
        <f t="shared" si="312"/>
        <v xml:space="preserve"> </v>
      </c>
      <c r="GJ75" s="10" t="str">
        <f t="shared" si="312"/>
        <v xml:space="preserve"> </v>
      </c>
      <c r="GM75" s="10" t="str">
        <f t="shared" si="313"/>
        <v xml:space="preserve"> </v>
      </c>
      <c r="GN75" s="10" t="str">
        <f t="shared" si="313"/>
        <v xml:space="preserve"> </v>
      </c>
      <c r="GO75" s="10" t="str">
        <f t="shared" si="313"/>
        <v xml:space="preserve"> </v>
      </c>
      <c r="GP75" s="10" t="str">
        <f t="shared" si="313"/>
        <v xml:space="preserve"> </v>
      </c>
      <c r="GQ75" s="10" t="str">
        <f t="shared" si="313"/>
        <v xml:space="preserve"> </v>
      </c>
      <c r="GT75" s="10" t="str">
        <f t="shared" si="314"/>
        <v xml:space="preserve"> </v>
      </c>
      <c r="GU75" s="10" t="str">
        <f t="shared" si="314"/>
        <v xml:space="preserve"> </v>
      </c>
      <c r="GV75" s="10" t="str">
        <f t="shared" si="314"/>
        <v xml:space="preserve"> </v>
      </c>
      <c r="GW75" s="10" t="str">
        <f t="shared" si="314"/>
        <v xml:space="preserve"> </v>
      </c>
      <c r="GX75" s="10" t="str">
        <f t="shared" si="314"/>
        <v xml:space="preserve"> </v>
      </c>
      <c r="HA75" s="10" t="str">
        <f t="shared" si="315"/>
        <v xml:space="preserve"> </v>
      </c>
      <c r="HB75" s="10" t="str">
        <f t="shared" si="315"/>
        <v xml:space="preserve"> </v>
      </c>
      <c r="HC75" s="10" t="str">
        <f t="shared" si="315"/>
        <v xml:space="preserve"> </v>
      </c>
      <c r="HD75" s="10" t="str">
        <f t="shared" si="315"/>
        <v xml:space="preserve"> </v>
      </c>
      <c r="HE75" s="10" t="str">
        <f t="shared" si="315"/>
        <v xml:space="preserve"> </v>
      </c>
      <c r="HH75" s="10" t="str">
        <f t="shared" si="316"/>
        <v xml:space="preserve"> </v>
      </c>
      <c r="HI75" s="10" t="str">
        <f t="shared" si="316"/>
        <v xml:space="preserve"> </v>
      </c>
      <c r="HJ75" s="10" t="str">
        <f t="shared" si="316"/>
        <v xml:space="preserve"> </v>
      </c>
      <c r="HK75" s="10" t="str">
        <f t="shared" si="316"/>
        <v xml:space="preserve"> </v>
      </c>
      <c r="HL75" s="10" t="str">
        <f t="shared" si="316"/>
        <v xml:space="preserve"> </v>
      </c>
      <c r="HO75" s="10" t="str">
        <f t="shared" si="317"/>
        <v xml:space="preserve"> </v>
      </c>
      <c r="HP75" s="10" t="str">
        <f t="shared" si="317"/>
        <v xml:space="preserve"> </v>
      </c>
      <c r="HQ75" s="10" t="str">
        <f t="shared" si="317"/>
        <v xml:space="preserve"> </v>
      </c>
      <c r="HR75" s="10" t="str">
        <f t="shared" si="317"/>
        <v xml:space="preserve"> </v>
      </c>
      <c r="HS75" s="10" t="str">
        <f t="shared" si="317"/>
        <v xml:space="preserve"> </v>
      </c>
      <c r="HV75" s="10" t="str">
        <f t="shared" si="318"/>
        <v xml:space="preserve"> </v>
      </c>
      <c r="HW75" s="10" t="str">
        <f t="shared" si="318"/>
        <v xml:space="preserve"> </v>
      </c>
      <c r="HX75" s="10" t="str">
        <f t="shared" si="318"/>
        <v xml:space="preserve"> </v>
      </c>
      <c r="HY75" s="10" t="str">
        <f t="shared" si="318"/>
        <v xml:space="preserve"> </v>
      </c>
      <c r="HZ75" s="10" t="str">
        <f t="shared" si="318"/>
        <v xml:space="preserve"> </v>
      </c>
      <c r="IC75" s="10" t="str">
        <f t="shared" si="319"/>
        <v xml:space="preserve"> </v>
      </c>
      <c r="ID75" s="10" t="str">
        <f t="shared" si="319"/>
        <v xml:space="preserve"> </v>
      </c>
      <c r="IE75" s="10" t="str">
        <f t="shared" si="319"/>
        <v xml:space="preserve"> </v>
      </c>
      <c r="IF75" s="10" t="str">
        <f t="shared" si="319"/>
        <v xml:space="preserve"> </v>
      </c>
      <c r="IG75" s="10" t="str">
        <f t="shared" si="319"/>
        <v xml:space="preserve"> </v>
      </c>
      <c r="IJ75" s="10" t="str">
        <f t="shared" si="320"/>
        <v xml:space="preserve"> </v>
      </c>
      <c r="IK75" s="10" t="str">
        <f t="shared" si="320"/>
        <v xml:space="preserve"> </v>
      </c>
      <c r="IL75" s="10" t="str">
        <f t="shared" si="320"/>
        <v xml:space="preserve"> </v>
      </c>
      <c r="IM75" s="10" t="str">
        <f t="shared" si="320"/>
        <v xml:space="preserve"> </v>
      </c>
      <c r="IN75" s="10" t="str">
        <f t="shared" si="320"/>
        <v xml:space="preserve"> </v>
      </c>
      <c r="IQ75" s="10" t="str">
        <f t="shared" si="321"/>
        <v xml:space="preserve"> </v>
      </c>
      <c r="IR75" s="10" t="str">
        <f t="shared" si="321"/>
        <v xml:space="preserve"> </v>
      </c>
      <c r="IS75" s="10" t="str">
        <f t="shared" si="321"/>
        <v xml:space="preserve"> </v>
      </c>
      <c r="IT75" s="10" t="str">
        <f t="shared" si="321"/>
        <v xml:space="preserve"> </v>
      </c>
      <c r="IU75" s="10" t="str">
        <f t="shared" si="321"/>
        <v xml:space="preserve"> </v>
      </c>
      <c r="IX75" s="10" t="str">
        <f t="shared" si="322"/>
        <v xml:space="preserve"> </v>
      </c>
      <c r="IY75" s="10" t="str">
        <f t="shared" si="322"/>
        <v xml:space="preserve"> </v>
      </c>
      <c r="IZ75" s="10" t="str">
        <f t="shared" si="322"/>
        <v xml:space="preserve"> </v>
      </c>
      <c r="JA75" s="10" t="str">
        <f t="shared" si="322"/>
        <v xml:space="preserve"> </v>
      </c>
      <c r="JB75" s="10" t="str">
        <f t="shared" si="322"/>
        <v xml:space="preserve"> </v>
      </c>
      <c r="JE75" s="10" t="str">
        <f t="shared" si="323"/>
        <v xml:space="preserve"> </v>
      </c>
      <c r="JF75" s="10" t="str">
        <f t="shared" si="323"/>
        <v xml:space="preserve"> </v>
      </c>
      <c r="JG75" s="10" t="str">
        <f t="shared" si="323"/>
        <v xml:space="preserve"> </v>
      </c>
      <c r="JH75" s="10" t="str">
        <f t="shared" si="323"/>
        <v xml:space="preserve"> </v>
      </c>
      <c r="JI75" s="10" t="str">
        <f t="shared" si="323"/>
        <v xml:space="preserve"> </v>
      </c>
    </row>
    <row r="76" spans="3:269">
      <c r="M76" s="10" t="str">
        <f t="shared" si="88"/>
        <v xml:space="preserve"> </v>
      </c>
      <c r="N76" s="10" t="str">
        <f t="shared" si="88"/>
        <v xml:space="preserve"> </v>
      </c>
      <c r="O76" s="10" t="str">
        <f t="shared" si="88"/>
        <v xml:space="preserve"> </v>
      </c>
      <c r="P76" s="10" t="str">
        <f t="shared" si="88"/>
        <v xml:space="preserve"> </v>
      </c>
      <c r="Q76" s="10" t="str">
        <f t="shared" si="88"/>
        <v xml:space="preserve"> </v>
      </c>
      <c r="R76" s="14"/>
      <c r="S76" s="14"/>
      <c r="T76" s="10" t="str">
        <f t="shared" si="288"/>
        <v xml:space="preserve"> </v>
      </c>
      <c r="U76" s="10" t="str">
        <f t="shared" si="288"/>
        <v xml:space="preserve"> </v>
      </c>
      <c r="V76" s="10" t="str">
        <f t="shared" si="288"/>
        <v xml:space="preserve"> </v>
      </c>
      <c r="W76" s="10" t="str">
        <f t="shared" si="288"/>
        <v xml:space="preserve"> </v>
      </c>
      <c r="X76" s="10" t="str">
        <f t="shared" si="288"/>
        <v xml:space="preserve"> </v>
      </c>
      <c r="Y76" s="14"/>
      <c r="Z76" s="14"/>
      <c r="AA76" s="10" t="str">
        <f t="shared" si="289"/>
        <v xml:space="preserve"> </v>
      </c>
      <c r="AB76" s="10" t="str">
        <f t="shared" si="289"/>
        <v xml:space="preserve"> </v>
      </c>
      <c r="AC76" s="10" t="str">
        <f t="shared" si="289"/>
        <v xml:space="preserve"> </v>
      </c>
      <c r="AD76" s="10" t="str">
        <f t="shared" si="289"/>
        <v xml:space="preserve"> </v>
      </c>
      <c r="AE76" s="10" t="str">
        <f t="shared" si="289"/>
        <v xml:space="preserve"> </v>
      </c>
      <c r="AF76" s="14"/>
      <c r="AG76" s="14"/>
      <c r="AH76" s="10" t="str">
        <f t="shared" si="290"/>
        <v xml:space="preserve"> </v>
      </c>
      <c r="AI76" s="10" t="str">
        <f t="shared" si="290"/>
        <v xml:space="preserve"> </v>
      </c>
      <c r="AJ76" s="10" t="str">
        <f t="shared" si="290"/>
        <v xml:space="preserve"> </v>
      </c>
      <c r="AK76" s="10" t="str">
        <f t="shared" si="290"/>
        <v xml:space="preserve"> </v>
      </c>
      <c r="AL76" s="10" t="str">
        <f t="shared" si="290"/>
        <v xml:space="preserve"> </v>
      </c>
      <c r="AM76" s="14"/>
      <c r="AN76" s="14"/>
      <c r="AO76" s="10" t="str">
        <f t="shared" si="291"/>
        <v xml:space="preserve"> </v>
      </c>
      <c r="AP76" s="10" t="str">
        <f t="shared" si="291"/>
        <v xml:space="preserve"> </v>
      </c>
      <c r="AQ76" s="10" t="str">
        <f t="shared" si="291"/>
        <v xml:space="preserve"> </v>
      </c>
      <c r="AR76" s="10" t="str">
        <f t="shared" si="291"/>
        <v xml:space="preserve"> </v>
      </c>
      <c r="AS76" s="10" t="str">
        <f t="shared" si="291"/>
        <v xml:space="preserve"> </v>
      </c>
      <c r="AT76" s="14"/>
      <c r="AU76" s="14"/>
      <c r="AV76" s="10" t="str">
        <f t="shared" si="292"/>
        <v xml:space="preserve"> </v>
      </c>
      <c r="AW76" s="10" t="str">
        <f t="shared" si="292"/>
        <v xml:space="preserve"> </v>
      </c>
      <c r="AX76" s="10" t="str">
        <f t="shared" si="292"/>
        <v xml:space="preserve"> </v>
      </c>
      <c r="AY76" s="10" t="str">
        <f t="shared" si="292"/>
        <v xml:space="preserve"> </v>
      </c>
      <c r="AZ76" s="10" t="str">
        <f t="shared" si="292"/>
        <v xml:space="preserve"> </v>
      </c>
      <c r="BA76" s="14"/>
      <c r="BB76" s="14"/>
      <c r="BC76" s="10" t="str">
        <f t="shared" si="293"/>
        <v xml:space="preserve"> </v>
      </c>
      <c r="BD76" s="10" t="str">
        <f t="shared" si="293"/>
        <v xml:space="preserve"> </v>
      </c>
      <c r="BE76" s="10" t="str">
        <f t="shared" si="293"/>
        <v xml:space="preserve"> </v>
      </c>
      <c r="BF76" s="10" t="str">
        <f t="shared" si="293"/>
        <v xml:space="preserve"> </v>
      </c>
      <c r="BG76" s="10" t="str">
        <f t="shared" si="293"/>
        <v xml:space="preserve"> </v>
      </c>
      <c r="BH76" s="14"/>
      <c r="BI76" s="14"/>
      <c r="BJ76" s="10" t="str">
        <f t="shared" si="294"/>
        <v xml:space="preserve"> </v>
      </c>
      <c r="BK76" s="10" t="str">
        <f t="shared" si="294"/>
        <v xml:space="preserve"> </v>
      </c>
      <c r="BL76" s="10" t="str">
        <f t="shared" si="294"/>
        <v xml:space="preserve"> </v>
      </c>
      <c r="BM76" s="10" t="str">
        <f t="shared" si="294"/>
        <v xml:space="preserve"> </v>
      </c>
      <c r="BN76" s="10" t="str">
        <f t="shared" si="294"/>
        <v xml:space="preserve"> </v>
      </c>
      <c r="BO76" s="14"/>
      <c r="BP76" s="14"/>
      <c r="BQ76" s="10" t="str">
        <f t="shared" si="295"/>
        <v xml:space="preserve"> </v>
      </c>
      <c r="BR76" s="10" t="str">
        <f t="shared" si="295"/>
        <v xml:space="preserve"> </v>
      </c>
      <c r="BS76" s="10" t="str">
        <f t="shared" si="295"/>
        <v xml:space="preserve"> </v>
      </c>
      <c r="BT76" s="10" t="str">
        <f t="shared" si="295"/>
        <v xml:space="preserve"> </v>
      </c>
      <c r="BU76" s="10" t="str">
        <f t="shared" si="295"/>
        <v xml:space="preserve"> </v>
      </c>
      <c r="BV76" s="14"/>
      <c r="BW76" s="14"/>
      <c r="BX76" s="10" t="str">
        <f t="shared" si="296"/>
        <v xml:space="preserve"> </v>
      </c>
      <c r="BY76" s="10" t="str">
        <f t="shared" si="296"/>
        <v xml:space="preserve"> </v>
      </c>
      <c r="BZ76" s="10" t="str">
        <f t="shared" si="296"/>
        <v xml:space="preserve"> </v>
      </c>
      <c r="CA76" s="10" t="str">
        <f t="shared" si="296"/>
        <v xml:space="preserve"> </v>
      </c>
      <c r="CB76" s="10" t="str">
        <f t="shared" si="296"/>
        <v xml:space="preserve"> </v>
      </c>
      <c r="CC76" s="14"/>
      <c r="CD76" s="14"/>
      <c r="CE76" s="10" t="str">
        <f t="shared" si="297"/>
        <v xml:space="preserve"> </v>
      </c>
      <c r="CF76" s="10" t="str">
        <f t="shared" si="297"/>
        <v xml:space="preserve"> </v>
      </c>
      <c r="CG76" s="10" t="str">
        <f t="shared" si="297"/>
        <v xml:space="preserve"> </v>
      </c>
      <c r="CH76" s="10" t="str">
        <f t="shared" si="297"/>
        <v xml:space="preserve"> </v>
      </c>
      <c r="CI76" s="10" t="str">
        <f t="shared" si="297"/>
        <v xml:space="preserve"> </v>
      </c>
      <c r="CJ76" s="14"/>
      <c r="CK76" s="14"/>
      <c r="CL76" s="10" t="str">
        <f t="shared" si="298"/>
        <v xml:space="preserve"> </v>
      </c>
      <c r="CM76" s="10" t="str">
        <f t="shared" si="298"/>
        <v xml:space="preserve"> </v>
      </c>
      <c r="CN76" s="10" t="str">
        <f t="shared" si="298"/>
        <v xml:space="preserve"> </v>
      </c>
      <c r="CO76" s="10" t="str">
        <f t="shared" si="298"/>
        <v xml:space="preserve"> </v>
      </c>
      <c r="CP76" s="10" t="str">
        <f t="shared" si="298"/>
        <v xml:space="preserve"> </v>
      </c>
      <c r="CQ76" s="14"/>
      <c r="CR76" s="14"/>
      <c r="CS76" s="10" t="str">
        <f t="shared" si="299"/>
        <v xml:space="preserve"> </v>
      </c>
      <c r="CT76" s="10" t="str">
        <f t="shared" si="299"/>
        <v xml:space="preserve"> </v>
      </c>
      <c r="CU76" s="10" t="str">
        <f t="shared" si="299"/>
        <v xml:space="preserve"> </v>
      </c>
      <c r="CV76" s="10" t="str">
        <f t="shared" si="299"/>
        <v xml:space="preserve"> </v>
      </c>
      <c r="CW76" s="10" t="str">
        <f t="shared" si="299"/>
        <v xml:space="preserve"> </v>
      </c>
      <c r="CZ76" s="10" t="str">
        <f t="shared" si="300"/>
        <v xml:space="preserve"> </v>
      </c>
      <c r="DA76" s="10" t="str">
        <f t="shared" si="300"/>
        <v xml:space="preserve"> </v>
      </c>
      <c r="DB76" s="10" t="str">
        <f t="shared" si="300"/>
        <v xml:space="preserve"> </v>
      </c>
      <c r="DC76" s="10" t="str">
        <f t="shared" si="300"/>
        <v xml:space="preserve"> </v>
      </c>
      <c r="DD76" s="10" t="str">
        <f t="shared" si="300"/>
        <v xml:space="preserve"> </v>
      </c>
      <c r="DG76" s="10" t="str">
        <f t="shared" si="301"/>
        <v xml:space="preserve"> </v>
      </c>
      <c r="DH76" s="10" t="str">
        <f t="shared" si="301"/>
        <v xml:space="preserve"> </v>
      </c>
      <c r="DI76" s="10" t="str">
        <f t="shared" si="301"/>
        <v xml:space="preserve"> </v>
      </c>
      <c r="DJ76" s="10" t="str">
        <f t="shared" si="301"/>
        <v xml:space="preserve"> </v>
      </c>
      <c r="DK76" s="10" t="str">
        <f t="shared" si="301"/>
        <v xml:space="preserve"> </v>
      </c>
      <c r="DN76" s="10" t="str">
        <f t="shared" si="302"/>
        <v xml:space="preserve"> </v>
      </c>
      <c r="DO76" s="10" t="str">
        <f t="shared" si="302"/>
        <v xml:space="preserve"> </v>
      </c>
      <c r="DP76" s="10" t="str">
        <f t="shared" si="302"/>
        <v xml:space="preserve"> </v>
      </c>
      <c r="DQ76" s="10" t="str">
        <f t="shared" si="302"/>
        <v xml:space="preserve"> </v>
      </c>
      <c r="DR76" s="10" t="str">
        <f t="shared" si="302"/>
        <v xml:space="preserve"> </v>
      </c>
      <c r="DU76" s="10" t="str">
        <f t="shared" si="303"/>
        <v xml:space="preserve"> </v>
      </c>
      <c r="DV76" s="10" t="str">
        <f t="shared" si="303"/>
        <v xml:space="preserve"> </v>
      </c>
      <c r="DW76" s="10" t="str">
        <f t="shared" si="303"/>
        <v xml:space="preserve"> </v>
      </c>
      <c r="DX76" s="10" t="str">
        <f t="shared" si="303"/>
        <v xml:space="preserve"> </v>
      </c>
      <c r="DY76" s="10" t="str">
        <f t="shared" si="303"/>
        <v xml:space="preserve"> </v>
      </c>
      <c r="EB76" s="10" t="str">
        <f t="shared" si="304"/>
        <v xml:space="preserve"> </v>
      </c>
      <c r="EC76" s="10" t="str">
        <f t="shared" si="304"/>
        <v xml:space="preserve"> </v>
      </c>
      <c r="ED76" s="10" t="str">
        <f t="shared" si="304"/>
        <v xml:space="preserve"> </v>
      </c>
      <c r="EE76" s="10" t="str">
        <f t="shared" si="304"/>
        <v xml:space="preserve"> </v>
      </c>
      <c r="EF76" s="10" t="str">
        <f t="shared" si="304"/>
        <v xml:space="preserve"> </v>
      </c>
      <c r="EI76" s="10" t="str">
        <f t="shared" si="305"/>
        <v xml:space="preserve"> </v>
      </c>
      <c r="EJ76" s="10" t="str">
        <f t="shared" si="305"/>
        <v xml:space="preserve"> </v>
      </c>
      <c r="EK76" s="10" t="str">
        <f t="shared" si="305"/>
        <v xml:space="preserve"> </v>
      </c>
      <c r="EL76" s="10" t="str">
        <f t="shared" si="305"/>
        <v xml:space="preserve"> </v>
      </c>
      <c r="EM76" s="10" t="str">
        <f t="shared" si="305"/>
        <v xml:space="preserve"> </v>
      </c>
      <c r="EP76" s="10" t="str">
        <f t="shared" si="306"/>
        <v xml:space="preserve"> </v>
      </c>
      <c r="EQ76" s="10" t="str">
        <f t="shared" si="306"/>
        <v xml:space="preserve"> </v>
      </c>
      <c r="ER76" s="10" t="str">
        <f t="shared" si="306"/>
        <v xml:space="preserve"> </v>
      </c>
      <c r="ES76" s="10" t="str">
        <f t="shared" si="306"/>
        <v xml:space="preserve"> </v>
      </c>
      <c r="ET76" s="10" t="str">
        <f t="shared" si="306"/>
        <v xml:space="preserve"> </v>
      </c>
      <c r="EW76" s="10" t="str">
        <f t="shared" si="307"/>
        <v xml:space="preserve"> </v>
      </c>
      <c r="EX76" s="10" t="str">
        <f t="shared" si="307"/>
        <v xml:space="preserve"> </v>
      </c>
      <c r="EY76" s="10" t="str">
        <f t="shared" si="307"/>
        <v xml:space="preserve"> </v>
      </c>
      <c r="EZ76" s="10" t="str">
        <f t="shared" si="307"/>
        <v xml:space="preserve"> </v>
      </c>
      <c r="FA76" s="10" t="str">
        <f t="shared" si="307"/>
        <v xml:space="preserve"> </v>
      </c>
      <c r="FD76" s="10" t="str">
        <f t="shared" si="308"/>
        <v xml:space="preserve"> </v>
      </c>
      <c r="FE76" s="10" t="str">
        <f t="shared" si="308"/>
        <v xml:space="preserve"> </v>
      </c>
      <c r="FF76" s="10" t="str">
        <f t="shared" si="308"/>
        <v xml:space="preserve"> </v>
      </c>
      <c r="FG76" s="10" t="str">
        <f t="shared" si="308"/>
        <v xml:space="preserve"> </v>
      </c>
      <c r="FH76" s="10" t="str">
        <f t="shared" si="308"/>
        <v xml:space="preserve"> </v>
      </c>
      <c r="FK76" s="10" t="str">
        <f t="shared" si="309"/>
        <v xml:space="preserve"> </v>
      </c>
      <c r="FL76" s="10" t="str">
        <f t="shared" si="309"/>
        <v xml:space="preserve"> </v>
      </c>
      <c r="FM76" s="10" t="str">
        <f t="shared" si="309"/>
        <v xml:space="preserve"> </v>
      </c>
      <c r="FN76" s="10" t="str">
        <f t="shared" si="309"/>
        <v xml:space="preserve"> </v>
      </c>
      <c r="FO76" s="10" t="str">
        <f t="shared" si="309"/>
        <v xml:space="preserve"> </v>
      </c>
      <c r="FR76" s="10" t="str">
        <f t="shared" si="310"/>
        <v xml:space="preserve"> </v>
      </c>
      <c r="FS76" s="10" t="str">
        <f t="shared" si="310"/>
        <v xml:space="preserve"> </v>
      </c>
      <c r="FT76" s="10" t="str">
        <f t="shared" si="310"/>
        <v xml:space="preserve"> </v>
      </c>
      <c r="FU76" s="10" t="str">
        <f t="shared" si="310"/>
        <v xml:space="preserve"> </v>
      </c>
      <c r="FV76" s="10" t="str">
        <f t="shared" si="310"/>
        <v xml:space="preserve"> </v>
      </c>
      <c r="FY76" s="10" t="str">
        <f t="shared" si="311"/>
        <v xml:space="preserve"> </v>
      </c>
      <c r="FZ76" s="10" t="str">
        <f t="shared" si="311"/>
        <v xml:space="preserve"> </v>
      </c>
      <c r="GA76" s="10" t="str">
        <f t="shared" si="311"/>
        <v xml:space="preserve"> </v>
      </c>
      <c r="GB76" s="10" t="str">
        <f t="shared" si="311"/>
        <v xml:space="preserve"> </v>
      </c>
      <c r="GC76" s="10" t="str">
        <f t="shared" si="311"/>
        <v xml:space="preserve"> </v>
      </c>
      <c r="GF76" s="10" t="str">
        <f t="shared" si="312"/>
        <v xml:space="preserve"> </v>
      </c>
      <c r="GG76" s="10" t="str">
        <f t="shared" si="312"/>
        <v xml:space="preserve"> </v>
      </c>
      <c r="GH76" s="10" t="str">
        <f t="shared" si="312"/>
        <v xml:space="preserve"> </v>
      </c>
      <c r="GI76" s="10" t="str">
        <f t="shared" si="312"/>
        <v xml:space="preserve"> </v>
      </c>
      <c r="GJ76" s="10" t="str">
        <f t="shared" si="312"/>
        <v xml:space="preserve"> </v>
      </c>
      <c r="GM76" s="10" t="str">
        <f t="shared" si="313"/>
        <v xml:space="preserve"> </v>
      </c>
      <c r="GN76" s="10" t="str">
        <f t="shared" si="313"/>
        <v xml:space="preserve"> </v>
      </c>
      <c r="GO76" s="10" t="str">
        <f t="shared" si="313"/>
        <v xml:space="preserve"> </v>
      </c>
      <c r="GP76" s="10" t="str">
        <f t="shared" si="313"/>
        <v xml:space="preserve"> </v>
      </c>
      <c r="GQ76" s="10" t="str">
        <f t="shared" si="313"/>
        <v xml:space="preserve"> </v>
      </c>
      <c r="GT76" s="10" t="str">
        <f t="shared" si="314"/>
        <v xml:space="preserve"> </v>
      </c>
      <c r="GU76" s="10" t="str">
        <f t="shared" si="314"/>
        <v xml:space="preserve"> </v>
      </c>
      <c r="GV76" s="10" t="str">
        <f t="shared" si="314"/>
        <v xml:space="preserve"> </v>
      </c>
      <c r="GW76" s="10" t="str">
        <f t="shared" si="314"/>
        <v xml:space="preserve"> </v>
      </c>
      <c r="GX76" s="10" t="str">
        <f t="shared" si="314"/>
        <v xml:space="preserve"> </v>
      </c>
      <c r="HA76" s="10" t="str">
        <f t="shared" si="315"/>
        <v xml:space="preserve"> </v>
      </c>
      <c r="HB76" s="10" t="str">
        <f t="shared" si="315"/>
        <v xml:space="preserve"> </v>
      </c>
      <c r="HC76" s="10" t="str">
        <f t="shared" si="315"/>
        <v xml:space="preserve"> </v>
      </c>
      <c r="HD76" s="10" t="str">
        <f t="shared" si="315"/>
        <v xml:space="preserve"> </v>
      </c>
      <c r="HE76" s="10" t="str">
        <f t="shared" si="315"/>
        <v xml:space="preserve"> </v>
      </c>
      <c r="HH76" s="10" t="str">
        <f t="shared" si="316"/>
        <v xml:space="preserve"> </v>
      </c>
      <c r="HI76" s="10" t="str">
        <f t="shared" si="316"/>
        <v xml:space="preserve"> </v>
      </c>
      <c r="HJ76" s="10" t="str">
        <f t="shared" si="316"/>
        <v xml:space="preserve"> </v>
      </c>
      <c r="HK76" s="10" t="str">
        <f t="shared" si="316"/>
        <v xml:space="preserve"> </v>
      </c>
      <c r="HL76" s="10" t="str">
        <f t="shared" si="316"/>
        <v xml:space="preserve"> </v>
      </c>
      <c r="HO76" s="10" t="str">
        <f t="shared" si="317"/>
        <v xml:space="preserve"> </v>
      </c>
      <c r="HP76" s="10" t="str">
        <f t="shared" si="317"/>
        <v xml:space="preserve"> </v>
      </c>
      <c r="HQ76" s="10" t="str">
        <f t="shared" si="317"/>
        <v xml:space="preserve"> </v>
      </c>
      <c r="HR76" s="10" t="str">
        <f t="shared" si="317"/>
        <v xml:space="preserve"> </v>
      </c>
      <c r="HS76" s="10" t="str">
        <f t="shared" si="317"/>
        <v xml:space="preserve"> </v>
      </c>
      <c r="HV76" s="10" t="str">
        <f t="shared" si="318"/>
        <v xml:space="preserve"> </v>
      </c>
      <c r="HW76" s="10" t="str">
        <f t="shared" si="318"/>
        <v xml:space="preserve"> </v>
      </c>
      <c r="HX76" s="10" t="str">
        <f t="shared" si="318"/>
        <v xml:space="preserve"> </v>
      </c>
      <c r="HY76" s="10" t="str">
        <f t="shared" si="318"/>
        <v xml:space="preserve"> </v>
      </c>
      <c r="HZ76" s="10" t="str">
        <f t="shared" si="318"/>
        <v xml:space="preserve"> </v>
      </c>
      <c r="IC76" s="10" t="str">
        <f t="shared" si="319"/>
        <v xml:space="preserve"> </v>
      </c>
      <c r="ID76" s="10" t="str">
        <f t="shared" si="319"/>
        <v xml:space="preserve"> </v>
      </c>
      <c r="IE76" s="10" t="str">
        <f t="shared" si="319"/>
        <v xml:space="preserve"> </v>
      </c>
      <c r="IF76" s="10" t="str">
        <f t="shared" si="319"/>
        <v xml:space="preserve"> </v>
      </c>
      <c r="IG76" s="10" t="str">
        <f t="shared" si="319"/>
        <v xml:space="preserve"> </v>
      </c>
      <c r="IJ76" s="10" t="str">
        <f t="shared" si="320"/>
        <v xml:space="preserve"> </v>
      </c>
      <c r="IK76" s="10" t="str">
        <f t="shared" si="320"/>
        <v xml:space="preserve"> </v>
      </c>
      <c r="IL76" s="10" t="str">
        <f t="shared" si="320"/>
        <v xml:space="preserve"> </v>
      </c>
      <c r="IM76" s="10" t="str">
        <f t="shared" si="320"/>
        <v xml:space="preserve"> </v>
      </c>
      <c r="IN76" s="10" t="str">
        <f t="shared" si="320"/>
        <v xml:space="preserve"> </v>
      </c>
      <c r="IQ76" s="10" t="str">
        <f t="shared" si="321"/>
        <v xml:space="preserve"> </v>
      </c>
      <c r="IR76" s="10" t="str">
        <f t="shared" si="321"/>
        <v xml:space="preserve"> </v>
      </c>
      <c r="IS76" s="10" t="str">
        <f t="shared" si="321"/>
        <v xml:space="preserve"> </v>
      </c>
      <c r="IT76" s="10" t="str">
        <f t="shared" si="321"/>
        <v xml:space="preserve"> </v>
      </c>
      <c r="IU76" s="10" t="str">
        <f t="shared" si="321"/>
        <v xml:space="preserve"> </v>
      </c>
      <c r="IX76" s="10" t="str">
        <f t="shared" si="322"/>
        <v xml:space="preserve"> </v>
      </c>
      <c r="IY76" s="10" t="str">
        <f t="shared" si="322"/>
        <v xml:space="preserve"> </v>
      </c>
      <c r="IZ76" s="10" t="str">
        <f t="shared" si="322"/>
        <v xml:space="preserve"> </v>
      </c>
      <c r="JA76" s="10" t="str">
        <f t="shared" si="322"/>
        <v xml:space="preserve"> </v>
      </c>
      <c r="JB76" s="10" t="str">
        <f t="shared" si="322"/>
        <v xml:space="preserve"> </v>
      </c>
      <c r="JE76" s="10" t="str">
        <f t="shared" si="323"/>
        <v xml:space="preserve"> </v>
      </c>
      <c r="JF76" s="10" t="str">
        <f t="shared" si="323"/>
        <v xml:space="preserve"> </v>
      </c>
      <c r="JG76" s="10" t="str">
        <f t="shared" si="323"/>
        <v xml:space="preserve"> </v>
      </c>
      <c r="JH76" s="10" t="str">
        <f t="shared" si="323"/>
        <v xml:space="preserve"> </v>
      </c>
      <c r="JI76" s="10" t="str">
        <f t="shared" si="323"/>
        <v xml:space="preserve"> </v>
      </c>
    </row>
    <row r="77" spans="3:269">
      <c r="M77" s="10" t="str">
        <f t="shared" si="88"/>
        <v xml:space="preserve"> </v>
      </c>
      <c r="N77" s="10" t="str">
        <f t="shared" si="88"/>
        <v xml:space="preserve"> </v>
      </c>
      <c r="O77" s="10" t="str">
        <f t="shared" si="88"/>
        <v xml:space="preserve"> </v>
      </c>
      <c r="P77" s="10" t="str">
        <f t="shared" si="88"/>
        <v xml:space="preserve"> </v>
      </c>
      <c r="Q77" s="10" t="str">
        <f t="shared" si="88"/>
        <v xml:space="preserve"> </v>
      </c>
      <c r="R77" s="14"/>
      <c r="S77" s="14"/>
      <c r="T77" s="10" t="str">
        <f t="shared" si="288"/>
        <v xml:space="preserve"> </v>
      </c>
      <c r="U77" s="10" t="str">
        <f t="shared" si="288"/>
        <v xml:space="preserve"> </v>
      </c>
      <c r="V77" s="10" t="str">
        <f t="shared" si="288"/>
        <v xml:space="preserve"> </v>
      </c>
      <c r="W77" s="10" t="str">
        <f t="shared" si="288"/>
        <v xml:space="preserve"> </v>
      </c>
      <c r="X77" s="10" t="str">
        <f t="shared" si="288"/>
        <v xml:space="preserve"> </v>
      </c>
      <c r="Y77" s="14"/>
      <c r="Z77" s="14"/>
      <c r="AA77" s="10" t="str">
        <f t="shared" si="289"/>
        <v xml:space="preserve"> </v>
      </c>
      <c r="AB77" s="10" t="str">
        <f t="shared" si="289"/>
        <v xml:space="preserve"> </v>
      </c>
      <c r="AC77" s="10" t="str">
        <f t="shared" si="289"/>
        <v xml:space="preserve"> </v>
      </c>
      <c r="AD77" s="10" t="str">
        <f t="shared" si="289"/>
        <v xml:space="preserve"> </v>
      </c>
      <c r="AE77" s="10" t="str">
        <f t="shared" si="289"/>
        <v xml:space="preserve"> </v>
      </c>
      <c r="AF77" s="14"/>
      <c r="AG77" s="14"/>
      <c r="AH77" s="10" t="str">
        <f t="shared" si="290"/>
        <v xml:space="preserve"> </v>
      </c>
      <c r="AI77" s="10" t="str">
        <f t="shared" si="290"/>
        <v xml:space="preserve"> </v>
      </c>
      <c r="AJ77" s="10" t="str">
        <f t="shared" si="290"/>
        <v xml:space="preserve"> </v>
      </c>
      <c r="AK77" s="10" t="str">
        <f t="shared" si="290"/>
        <v xml:space="preserve"> </v>
      </c>
      <c r="AL77" s="10" t="str">
        <f t="shared" si="290"/>
        <v xml:space="preserve"> </v>
      </c>
      <c r="AM77" s="14"/>
      <c r="AN77" s="14"/>
      <c r="AO77" s="10" t="str">
        <f t="shared" si="291"/>
        <v xml:space="preserve"> </v>
      </c>
      <c r="AP77" s="10" t="str">
        <f t="shared" si="291"/>
        <v xml:space="preserve"> </v>
      </c>
      <c r="AQ77" s="10" t="str">
        <f t="shared" si="291"/>
        <v xml:space="preserve"> </v>
      </c>
      <c r="AR77" s="10" t="str">
        <f t="shared" si="291"/>
        <v xml:space="preserve"> </v>
      </c>
      <c r="AS77" s="10" t="str">
        <f t="shared" si="291"/>
        <v xml:space="preserve"> </v>
      </c>
      <c r="AT77" s="14"/>
      <c r="AU77" s="14"/>
      <c r="AV77" s="10" t="str">
        <f t="shared" si="292"/>
        <v xml:space="preserve"> </v>
      </c>
      <c r="AW77" s="10" t="str">
        <f t="shared" si="292"/>
        <v xml:space="preserve"> </v>
      </c>
      <c r="AX77" s="10" t="str">
        <f t="shared" si="292"/>
        <v xml:space="preserve"> </v>
      </c>
      <c r="AY77" s="10" t="str">
        <f t="shared" si="292"/>
        <v xml:space="preserve"> </v>
      </c>
      <c r="AZ77" s="10" t="str">
        <f t="shared" si="292"/>
        <v xml:space="preserve"> </v>
      </c>
      <c r="BA77" s="14"/>
      <c r="BB77" s="14"/>
      <c r="BC77" s="10" t="str">
        <f t="shared" si="293"/>
        <v xml:space="preserve"> </v>
      </c>
      <c r="BD77" s="10" t="str">
        <f t="shared" si="293"/>
        <v xml:space="preserve"> </v>
      </c>
      <c r="BE77" s="10" t="str">
        <f t="shared" si="293"/>
        <v xml:space="preserve"> </v>
      </c>
      <c r="BF77" s="10" t="str">
        <f t="shared" si="293"/>
        <v xml:space="preserve"> </v>
      </c>
      <c r="BG77" s="10" t="str">
        <f t="shared" si="293"/>
        <v xml:space="preserve"> </v>
      </c>
      <c r="BH77" s="14"/>
      <c r="BI77" s="14"/>
      <c r="BJ77" s="10" t="str">
        <f t="shared" si="294"/>
        <v xml:space="preserve"> </v>
      </c>
      <c r="BK77" s="10" t="str">
        <f t="shared" si="294"/>
        <v xml:space="preserve"> </v>
      </c>
      <c r="BL77" s="10" t="str">
        <f t="shared" si="294"/>
        <v xml:space="preserve"> </v>
      </c>
      <c r="BM77" s="10" t="str">
        <f t="shared" si="294"/>
        <v xml:space="preserve"> </v>
      </c>
      <c r="BN77" s="10" t="str">
        <f t="shared" si="294"/>
        <v xml:space="preserve"> </v>
      </c>
      <c r="BO77" s="14"/>
      <c r="BP77" s="14"/>
      <c r="BQ77" s="10" t="str">
        <f t="shared" si="295"/>
        <v xml:space="preserve"> </v>
      </c>
      <c r="BR77" s="10" t="str">
        <f t="shared" si="295"/>
        <v xml:space="preserve"> </v>
      </c>
      <c r="BS77" s="10" t="str">
        <f t="shared" si="295"/>
        <v xml:space="preserve"> </v>
      </c>
      <c r="BT77" s="10" t="str">
        <f t="shared" si="295"/>
        <v xml:space="preserve"> </v>
      </c>
      <c r="BU77" s="10" t="str">
        <f t="shared" si="295"/>
        <v xml:space="preserve"> </v>
      </c>
      <c r="BV77" s="14"/>
      <c r="BW77" s="14"/>
      <c r="BX77" s="10" t="str">
        <f t="shared" si="296"/>
        <v xml:space="preserve"> </v>
      </c>
      <c r="BY77" s="10" t="str">
        <f t="shared" si="296"/>
        <v xml:space="preserve"> </v>
      </c>
      <c r="BZ77" s="10" t="str">
        <f t="shared" si="296"/>
        <v xml:space="preserve"> </v>
      </c>
      <c r="CA77" s="10" t="str">
        <f t="shared" si="296"/>
        <v xml:space="preserve"> </v>
      </c>
      <c r="CB77" s="10" t="str">
        <f t="shared" si="296"/>
        <v xml:space="preserve"> </v>
      </c>
      <c r="CC77" s="14"/>
      <c r="CD77" s="14"/>
      <c r="CE77" s="10" t="str">
        <f t="shared" si="297"/>
        <v xml:space="preserve"> </v>
      </c>
      <c r="CF77" s="10" t="str">
        <f t="shared" si="297"/>
        <v xml:space="preserve"> </v>
      </c>
      <c r="CG77" s="10" t="str">
        <f t="shared" si="297"/>
        <v xml:space="preserve"> </v>
      </c>
      <c r="CH77" s="10" t="str">
        <f t="shared" si="297"/>
        <v xml:space="preserve"> </v>
      </c>
      <c r="CI77" s="10" t="str">
        <f t="shared" si="297"/>
        <v xml:space="preserve"> </v>
      </c>
      <c r="CJ77" s="14"/>
      <c r="CK77" s="14"/>
      <c r="CL77" s="10" t="str">
        <f t="shared" si="298"/>
        <v xml:space="preserve"> </v>
      </c>
      <c r="CM77" s="10" t="str">
        <f t="shared" si="298"/>
        <v xml:space="preserve"> </v>
      </c>
      <c r="CN77" s="10" t="str">
        <f t="shared" si="298"/>
        <v xml:space="preserve"> </v>
      </c>
      <c r="CO77" s="10" t="str">
        <f t="shared" si="298"/>
        <v xml:space="preserve"> </v>
      </c>
      <c r="CP77" s="10" t="str">
        <f t="shared" si="298"/>
        <v xml:space="preserve"> </v>
      </c>
      <c r="CQ77" s="14"/>
      <c r="CR77" s="14"/>
      <c r="CS77" s="10" t="str">
        <f t="shared" si="299"/>
        <v xml:space="preserve"> </v>
      </c>
      <c r="CT77" s="10" t="str">
        <f t="shared" si="299"/>
        <v xml:space="preserve"> </v>
      </c>
      <c r="CU77" s="10" t="str">
        <f t="shared" si="299"/>
        <v xml:space="preserve"> </v>
      </c>
      <c r="CV77" s="10" t="str">
        <f t="shared" si="299"/>
        <v xml:space="preserve"> </v>
      </c>
      <c r="CW77" s="10" t="str">
        <f t="shared" si="299"/>
        <v xml:space="preserve"> </v>
      </c>
      <c r="CZ77" s="10" t="str">
        <f t="shared" si="300"/>
        <v xml:space="preserve"> </v>
      </c>
      <c r="DA77" s="10" t="str">
        <f t="shared" si="300"/>
        <v xml:space="preserve"> </v>
      </c>
      <c r="DB77" s="10" t="str">
        <f t="shared" si="300"/>
        <v xml:space="preserve"> </v>
      </c>
      <c r="DC77" s="10" t="str">
        <f t="shared" si="300"/>
        <v xml:space="preserve"> </v>
      </c>
      <c r="DD77" s="10" t="str">
        <f t="shared" si="300"/>
        <v xml:space="preserve"> </v>
      </c>
      <c r="DG77" s="10" t="str">
        <f t="shared" si="301"/>
        <v xml:space="preserve"> </v>
      </c>
      <c r="DH77" s="10" t="str">
        <f t="shared" si="301"/>
        <v xml:space="preserve"> </v>
      </c>
      <c r="DI77" s="10" t="str">
        <f t="shared" si="301"/>
        <v xml:space="preserve"> </v>
      </c>
      <c r="DJ77" s="10" t="str">
        <f t="shared" si="301"/>
        <v xml:space="preserve"> </v>
      </c>
      <c r="DK77" s="10" t="str">
        <f t="shared" si="301"/>
        <v xml:space="preserve"> </v>
      </c>
      <c r="DN77" s="10" t="str">
        <f t="shared" si="302"/>
        <v xml:space="preserve"> </v>
      </c>
      <c r="DO77" s="10" t="str">
        <f t="shared" si="302"/>
        <v xml:space="preserve"> </v>
      </c>
      <c r="DP77" s="10" t="str">
        <f t="shared" si="302"/>
        <v xml:space="preserve"> </v>
      </c>
      <c r="DQ77" s="10" t="str">
        <f t="shared" si="302"/>
        <v xml:space="preserve"> </v>
      </c>
      <c r="DR77" s="10" t="str">
        <f t="shared" si="302"/>
        <v xml:space="preserve"> </v>
      </c>
      <c r="DU77" s="10" t="str">
        <f t="shared" si="303"/>
        <v xml:space="preserve"> </v>
      </c>
      <c r="DV77" s="10" t="str">
        <f t="shared" si="303"/>
        <v xml:space="preserve"> </v>
      </c>
      <c r="DW77" s="10" t="str">
        <f t="shared" si="303"/>
        <v xml:space="preserve"> </v>
      </c>
      <c r="DX77" s="10" t="str">
        <f t="shared" si="303"/>
        <v xml:space="preserve"> </v>
      </c>
      <c r="DY77" s="10" t="str">
        <f t="shared" si="303"/>
        <v xml:space="preserve"> </v>
      </c>
      <c r="EB77" s="10" t="str">
        <f t="shared" si="304"/>
        <v xml:space="preserve"> </v>
      </c>
      <c r="EC77" s="10" t="str">
        <f t="shared" si="304"/>
        <v xml:space="preserve"> </v>
      </c>
      <c r="ED77" s="10" t="str">
        <f t="shared" si="304"/>
        <v xml:space="preserve"> </v>
      </c>
      <c r="EE77" s="10" t="str">
        <f t="shared" si="304"/>
        <v xml:space="preserve"> </v>
      </c>
      <c r="EF77" s="10" t="str">
        <f t="shared" si="304"/>
        <v xml:space="preserve"> </v>
      </c>
      <c r="EI77" s="10" t="str">
        <f t="shared" si="305"/>
        <v xml:space="preserve"> </v>
      </c>
      <c r="EJ77" s="10" t="str">
        <f t="shared" si="305"/>
        <v xml:space="preserve"> </v>
      </c>
      <c r="EK77" s="10" t="str">
        <f t="shared" si="305"/>
        <v xml:space="preserve"> </v>
      </c>
      <c r="EL77" s="10" t="str">
        <f t="shared" si="305"/>
        <v xml:space="preserve"> </v>
      </c>
      <c r="EM77" s="10" t="str">
        <f t="shared" si="305"/>
        <v xml:space="preserve"> </v>
      </c>
      <c r="EP77" s="10" t="str">
        <f t="shared" si="306"/>
        <v xml:space="preserve"> </v>
      </c>
      <c r="EQ77" s="10" t="str">
        <f t="shared" si="306"/>
        <v xml:space="preserve"> </v>
      </c>
      <c r="ER77" s="10" t="str">
        <f t="shared" si="306"/>
        <v xml:space="preserve"> </v>
      </c>
      <c r="ES77" s="10" t="str">
        <f t="shared" si="306"/>
        <v xml:space="preserve"> </v>
      </c>
      <c r="ET77" s="10" t="str">
        <f t="shared" si="306"/>
        <v xml:space="preserve"> </v>
      </c>
      <c r="EW77" s="10" t="str">
        <f t="shared" si="307"/>
        <v xml:space="preserve"> </v>
      </c>
      <c r="EX77" s="10" t="str">
        <f t="shared" si="307"/>
        <v xml:space="preserve"> </v>
      </c>
      <c r="EY77" s="10" t="str">
        <f t="shared" si="307"/>
        <v xml:space="preserve"> </v>
      </c>
      <c r="EZ77" s="10" t="str">
        <f t="shared" si="307"/>
        <v xml:space="preserve"> </v>
      </c>
      <c r="FA77" s="10" t="str">
        <f t="shared" si="307"/>
        <v xml:space="preserve"> </v>
      </c>
      <c r="FD77" s="10" t="str">
        <f t="shared" si="308"/>
        <v xml:space="preserve"> </v>
      </c>
      <c r="FE77" s="10" t="str">
        <f t="shared" si="308"/>
        <v xml:space="preserve"> </v>
      </c>
      <c r="FF77" s="10" t="str">
        <f t="shared" si="308"/>
        <v xml:space="preserve"> </v>
      </c>
      <c r="FG77" s="10" t="str">
        <f t="shared" si="308"/>
        <v xml:space="preserve"> </v>
      </c>
      <c r="FH77" s="10" t="str">
        <f t="shared" si="308"/>
        <v xml:space="preserve"> </v>
      </c>
      <c r="FK77" s="10" t="str">
        <f t="shared" si="309"/>
        <v xml:space="preserve"> </v>
      </c>
      <c r="FL77" s="10" t="str">
        <f t="shared" si="309"/>
        <v xml:space="preserve"> </v>
      </c>
      <c r="FM77" s="10" t="str">
        <f t="shared" si="309"/>
        <v xml:space="preserve"> </v>
      </c>
      <c r="FN77" s="10" t="str">
        <f t="shared" si="309"/>
        <v xml:space="preserve"> </v>
      </c>
      <c r="FO77" s="10" t="str">
        <f t="shared" si="309"/>
        <v xml:space="preserve"> </v>
      </c>
      <c r="FR77" s="10" t="str">
        <f t="shared" si="310"/>
        <v xml:space="preserve"> </v>
      </c>
      <c r="FS77" s="10" t="str">
        <f t="shared" si="310"/>
        <v xml:space="preserve"> </v>
      </c>
      <c r="FT77" s="10" t="str">
        <f t="shared" si="310"/>
        <v xml:space="preserve"> </v>
      </c>
      <c r="FU77" s="10" t="str">
        <f t="shared" si="310"/>
        <v xml:space="preserve"> </v>
      </c>
      <c r="FV77" s="10" t="str">
        <f t="shared" si="310"/>
        <v xml:space="preserve"> </v>
      </c>
      <c r="FY77" s="10" t="str">
        <f t="shared" si="311"/>
        <v xml:space="preserve"> </v>
      </c>
      <c r="FZ77" s="10" t="str">
        <f t="shared" si="311"/>
        <v xml:space="preserve"> </v>
      </c>
      <c r="GA77" s="10" t="str">
        <f t="shared" si="311"/>
        <v xml:space="preserve"> </v>
      </c>
      <c r="GB77" s="10" t="str">
        <f t="shared" si="311"/>
        <v xml:space="preserve"> </v>
      </c>
      <c r="GC77" s="10" t="str">
        <f t="shared" si="311"/>
        <v xml:space="preserve"> </v>
      </c>
      <c r="GF77" s="10" t="str">
        <f t="shared" si="312"/>
        <v xml:space="preserve"> </v>
      </c>
      <c r="GG77" s="10" t="str">
        <f t="shared" si="312"/>
        <v xml:space="preserve"> </v>
      </c>
      <c r="GH77" s="10" t="str">
        <f t="shared" si="312"/>
        <v xml:space="preserve"> </v>
      </c>
      <c r="GI77" s="10" t="str">
        <f t="shared" si="312"/>
        <v xml:space="preserve"> </v>
      </c>
      <c r="GJ77" s="10" t="str">
        <f t="shared" si="312"/>
        <v xml:space="preserve"> </v>
      </c>
      <c r="GM77" s="10" t="str">
        <f t="shared" si="313"/>
        <v xml:space="preserve"> </v>
      </c>
      <c r="GN77" s="10" t="str">
        <f t="shared" si="313"/>
        <v xml:space="preserve"> </v>
      </c>
      <c r="GO77" s="10" t="str">
        <f t="shared" si="313"/>
        <v xml:space="preserve"> </v>
      </c>
      <c r="GP77" s="10" t="str">
        <f t="shared" si="313"/>
        <v xml:space="preserve"> </v>
      </c>
      <c r="GQ77" s="10" t="str">
        <f t="shared" si="313"/>
        <v xml:space="preserve"> </v>
      </c>
      <c r="GT77" s="10" t="str">
        <f t="shared" si="314"/>
        <v xml:space="preserve"> </v>
      </c>
      <c r="GU77" s="10" t="str">
        <f t="shared" si="314"/>
        <v xml:space="preserve"> </v>
      </c>
      <c r="GV77" s="10" t="str">
        <f t="shared" si="314"/>
        <v xml:space="preserve"> </v>
      </c>
      <c r="GW77" s="10" t="str">
        <f t="shared" si="314"/>
        <v xml:space="preserve"> </v>
      </c>
      <c r="GX77" s="10" t="str">
        <f t="shared" si="314"/>
        <v xml:space="preserve"> </v>
      </c>
      <c r="HA77" s="10" t="str">
        <f t="shared" si="315"/>
        <v xml:space="preserve"> </v>
      </c>
      <c r="HB77" s="10" t="str">
        <f t="shared" si="315"/>
        <v xml:space="preserve"> </v>
      </c>
      <c r="HC77" s="10" t="str">
        <f t="shared" si="315"/>
        <v xml:space="preserve"> </v>
      </c>
      <c r="HD77" s="10" t="str">
        <f t="shared" si="315"/>
        <v xml:space="preserve"> </v>
      </c>
      <c r="HE77" s="10" t="str">
        <f t="shared" si="315"/>
        <v xml:space="preserve"> </v>
      </c>
      <c r="HH77" s="10" t="str">
        <f t="shared" si="316"/>
        <v xml:space="preserve"> </v>
      </c>
      <c r="HI77" s="10" t="str">
        <f t="shared" si="316"/>
        <v xml:space="preserve"> </v>
      </c>
      <c r="HJ77" s="10" t="str">
        <f t="shared" si="316"/>
        <v xml:space="preserve"> </v>
      </c>
      <c r="HK77" s="10" t="str">
        <f t="shared" si="316"/>
        <v xml:space="preserve"> </v>
      </c>
      <c r="HL77" s="10" t="str">
        <f t="shared" si="316"/>
        <v xml:space="preserve"> </v>
      </c>
      <c r="HO77" s="10" t="str">
        <f t="shared" si="317"/>
        <v xml:space="preserve"> </v>
      </c>
      <c r="HP77" s="10" t="str">
        <f t="shared" si="317"/>
        <v xml:space="preserve"> </v>
      </c>
      <c r="HQ77" s="10" t="str">
        <f t="shared" si="317"/>
        <v xml:space="preserve"> </v>
      </c>
      <c r="HR77" s="10" t="str">
        <f t="shared" si="317"/>
        <v xml:space="preserve"> </v>
      </c>
      <c r="HS77" s="10" t="str">
        <f t="shared" si="317"/>
        <v xml:space="preserve"> </v>
      </c>
      <c r="HV77" s="10" t="str">
        <f t="shared" si="318"/>
        <v xml:space="preserve"> </v>
      </c>
      <c r="HW77" s="10" t="str">
        <f t="shared" si="318"/>
        <v xml:space="preserve"> </v>
      </c>
      <c r="HX77" s="10" t="str">
        <f t="shared" si="318"/>
        <v xml:space="preserve"> </v>
      </c>
      <c r="HY77" s="10" t="str">
        <f t="shared" si="318"/>
        <v xml:space="preserve"> </v>
      </c>
      <c r="HZ77" s="10" t="str">
        <f t="shared" si="318"/>
        <v xml:space="preserve"> </v>
      </c>
      <c r="IC77" s="10" t="str">
        <f t="shared" si="319"/>
        <v xml:space="preserve"> </v>
      </c>
      <c r="ID77" s="10" t="str">
        <f t="shared" si="319"/>
        <v xml:space="preserve"> </v>
      </c>
      <c r="IE77" s="10" t="str">
        <f t="shared" si="319"/>
        <v xml:space="preserve"> </v>
      </c>
      <c r="IF77" s="10" t="str">
        <f t="shared" si="319"/>
        <v xml:space="preserve"> </v>
      </c>
      <c r="IG77" s="10" t="str">
        <f t="shared" si="319"/>
        <v xml:space="preserve"> </v>
      </c>
      <c r="IJ77" s="10" t="str">
        <f t="shared" si="320"/>
        <v xml:space="preserve"> </v>
      </c>
      <c r="IK77" s="10" t="str">
        <f t="shared" si="320"/>
        <v xml:space="preserve"> </v>
      </c>
      <c r="IL77" s="10" t="str">
        <f t="shared" si="320"/>
        <v xml:space="preserve"> </v>
      </c>
      <c r="IM77" s="10" t="str">
        <f t="shared" si="320"/>
        <v xml:space="preserve"> </v>
      </c>
      <c r="IN77" s="10" t="str">
        <f t="shared" si="320"/>
        <v xml:space="preserve"> </v>
      </c>
      <c r="IQ77" s="10" t="str">
        <f t="shared" si="321"/>
        <v xml:space="preserve"> </v>
      </c>
      <c r="IR77" s="10" t="str">
        <f t="shared" si="321"/>
        <v xml:space="preserve"> </v>
      </c>
      <c r="IS77" s="10" t="str">
        <f t="shared" si="321"/>
        <v xml:space="preserve"> </v>
      </c>
      <c r="IT77" s="10" t="str">
        <f t="shared" si="321"/>
        <v xml:space="preserve"> </v>
      </c>
      <c r="IU77" s="10" t="str">
        <f t="shared" si="321"/>
        <v xml:space="preserve"> </v>
      </c>
      <c r="IX77" s="10" t="str">
        <f t="shared" si="322"/>
        <v xml:space="preserve"> </v>
      </c>
      <c r="IY77" s="10" t="str">
        <f t="shared" si="322"/>
        <v xml:space="preserve"> </v>
      </c>
      <c r="IZ77" s="10" t="str">
        <f t="shared" si="322"/>
        <v xml:space="preserve"> </v>
      </c>
      <c r="JA77" s="10" t="str">
        <f t="shared" si="322"/>
        <v xml:space="preserve"> </v>
      </c>
      <c r="JB77" s="10" t="str">
        <f t="shared" si="322"/>
        <v xml:space="preserve"> </v>
      </c>
      <c r="JE77" s="10" t="str">
        <f t="shared" si="323"/>
        <v xml:space="preserve"> </v>
      </c>
      <c r="JF77" s="10" t="str">
        <f t="shared" si="323"/>
        <v xml:space="preserve"> </v>
      </c>
      <c r="JG77" s="10" t="str">
        <f t="shared" si="323"/>
        <v xml:space="preserve"> </v>
      </c>
      <c r="JH77" s="10" t="str">
        <f t="shared" si="323"/>
        <v xml:space="preserve"> </v>
      </c>
      <c r="JI77" s="10" t="str">
        <f t="shared" si="323"/>
        <v xml:space="preserve"> </v>
      </c>
    </row>
    <row r="78" spans="3:269">
      <c r="M78" s="10" t="str">
        <f t="shared" si="88"/>
        <v xml:space="preserve"> </v>
      </c>
      <c r="N78" s="10" t="str">
        <f t="shared" si="88"/>
        <v xml:space="preserve"> </v>
      </c>
      <c r="O78" s="10" t="str">
        <f t="shared" si="88"/>
        <v xml:space="preserve"> </v>
      </c>
      <c r="P78" s="10" t="str">
        <f t="shared" si="88"/>
        <v xml:space="preserve"> </v>
      </c>
      <c r="Q78" s="10" t="str">
        <f t="shared" si="88"/>
        <v xml:space="preserve"> </v>
      </c>
      <c r="R78" s="14"/>
      <c r="S78" s="14"/>
      <c r="T78" s="10" t="str">
        <f t="shared" si="288"/>
        <v xml:space="preserve"> </v>
      </c>
      <c r="U78" s="10" t="str">
        <f t="shared" si="288"/>
        <v xml:space="preserve"> </v>
      </c>
      <c r="V78" s="10" t="str">
        <f t="shared" si="288"/>
        <v xml:space="preserve"> </v>
      </c>
      <c r="W78" s="10" t="str">
        <f t="shared" si="288"/>
        <v xml:space="preserve"> </v>
      </c>
      <c r="X78" s="10" t="str">
        <f t="shared" si="288"/>
        <v xml:space="preserve"> </v>
      </c>
      <c r="Y78" s="14"/>
      <c r="Z78" s="14"/>
      <c r="AA78" s="10" t="str">
        <f t="shared" si="289"/>
        <v xml:space="preserve"> </v>
      </c>
      <c r="AB78" s="10" t="str">
        <f t="shared" si="289"/>
        <v xml:space="preserve"> </v>
      </c>
      <c r="AC78" s="10" t="str">
        <f t="shared" si="289"/>
        <v xml:space="preserve"> </v>
      </c>
      <c r="AD78" s="10" t="str">
        <f t="shared" si="289"/>
        <v xml:space="preserve"> </v>
      </c>
      <c r="AE78" s="10" t="str">
        <f t="shared" si="289"/>
        <v xml:space="preserve"> </v>
      </c>
      <c r="AF78" s="14"/>
      <c r="AG78" s="14"/>
      <c r="AH78" s="10" t="str">
        <f t="shared" si="290"/>
        <v xml:space="preserve"> </v>
      </c>
      <c r="AI78" s="10" t="str">
        <f t="shared" si="290"/>
        <v xml:space="preserve"> </v>
      </c>
      <c r="AJ78" s="10" t="str">
        <f t="shared" si="290"/>
        <v xml:space="preserve"> </v>
      </c>
      <c r="AK78" s="10" t="str">
        <f t="shared" si="290"/>
        <v xml:space="preserve"> </v>
      </c>
      <c r="AL78" s="10" t="str">
        <f t="shared" si="290"/>
        <v xml:space="preserve"> </v>
      </c>
      <c r="AM78" s="14"/>
      <c r="AN78" s="14"/>
      <c r="AO78" s="10" t="str">
        <f t="shared" si="291"/>
        <v xml:space="preserve"> </v>
      </c>
      <c r="AP78" s="10" t="str">
        <f t="shared" si="291"/>
        <v xml:space="preserve"> </v>
      </c>
      <c r="AQ78" s="10" t="str">
        <f t="shared" si="291"/>
        <v xml:space="preserve"> </v>
      </c>
      <c r="AR78" s="10" t="str">
        <f t="shared" si="291"/>
        <v xml:space="preserve"> </v>
      </c>
      <c r="AS78" s="10" t="str">
        <f t="shared" si="291"/>
        <v xml:space="preserve"> </v>
      </c>
      <c r="AT78" s="14"/>
      <c r="AU78" s="14"/>
      <c r="AV78" s="10" t="str">
        <f t="shared" si="292"/>
        <v xml:space="preserve"> </v>
      </c>
      <c r="AW78" s="10" t="str">
        <f t="shared" si="292"/>
        <v xml:space="preserve"> </v>
      </c>
      <c r="AX78" s="10" t="str">
        <f t="shared" si="292"/>
        <v xml:space="preserve"> </v>
      </c>
      <c r="AY78" s="10" t="str">
        <f t="shared" si="292"/>
        <v xml:space="preserve"> </v>
      </c>
      <c r="AZ78" s="10" t="str">
        <f t="shared" si="292"/>
        <v xml:space="preserve"> </v>
      </c>
      <c r="BA78" s="14"/>
      <c r="BB78" s="14"/>
      <c r="BC78" s="10" t="str">
        <f t="shared" si="293"/>
        <v xml:space="preserve"> </v>
      </c>
      <c r="BD78" s="10" t="str">
        <f t="shared" si="293"/>
        <v xml:space="preserve"> </v>
      </c>
      <c r="BE78" s="10" t="str">
        <f t="shared" si="293"/>
        <v xml:space="preserve"> </v>
      </c>
      <c r="BF78" s="10" t="str">
        <f t="shared" si="293"/>
        <v xml:space="preserve"> </v>
      </c>
      <c r="BG78" s="10" t="str">
        <f t="shared" si="293"/>
        <v xml:space="preserve"> </v>
      </c>
      <c r="BH78" s="14"/>
      <c r="BI78" s="14"/>
      <c r="BJ78" s="10" t="str">
        <f t="shared" si="294"/>
        <v xml:space="preserve"> </v>
      </c>
      <c r="BK78" s="10" t="str">
        <f t="shared" si="294"/>
        <v xml:space="preserve"> </v>
      </c>
      <c r="BL78" s="10" t="str">
        <f t="shared" si="294"/>
        <v xml:space="preserve"> </v>
      </c>
      <c r="BM78" s="10" t="str">
        <f t="shared" si="294"/>
        <v xml:space="preserve"> </v>
      </c>
      <c r="BN78" s="10" t="str">
        <f t="shared" si="294"/>
        <v xml:space="preserve"> </v>
      </c>
      <c r="BO78" s="14"/>
      <c r="BP78" s="14"/>
      <c r="BQ78" s="10" t="str">
        <f t="shared" si="295"/>
        <v xml:space="preserve"> </v>
      </c>
      <c r="BR78" s="10" t="str">
        <f t="shared" si="295"/>
        <v xml:space="preserve"> </v>
      </c>
      <c r="BS78" s="10" t="str">
        <f t="shared" si="295"/>
        <v xml:space="preserve"> </v>
      </c>
      <c r="BT78" s="10" t="str">
        <f t="shared" si="295"/>
        <v xml:space="preserve"> </v>
      </c>
      <c r="BU78" s="10" t="str">
        <f t="shared" si="295"/>
        <v xml:space="preserve"> </v>
      </c>
      <c r="BV78" s="14"/>
      <c r="BW78" s="14"/>
      <c r="BX78" s="10" t="str">
        <f t="shared" si="296"/>
        <v xml:space="preserve"> </v>
      </c>
      <c r="BY78" s="10" t="str">
        <f t="shared" si="296"/>
        <v xml:space="preserve"> </v>
      </c>
      <c r="BZ78" s="10" t="str">
        <f t="shared" si="296"/>
        <v xml:space="preserve"> </v>
      </c>
      <c r="CA78" s="10" t="str">
        <f t="shared" si="296"/>
        <v xml:space="preserve"> </v>
      </c>
      <c r="CB78" s="10" t="str">
        <f t="shared" si="296"/>
        <v xml:space="preserve"> </v>
      </c>
      <c r="CC78" s="14"/>
      <c r="CD78" s="14"/>
      <c r="CE78" s="10" t="str">
        <f t="shared" si="297"/>
        <v xml:space="preserve"> </v>
      </c>
      <c r="CF78" s="10" t="str">
        <f t="shared" si="297"/>
        <v xml:space="preserve"> </v>
      </c>
      <c r="CG78" s="10" t="str">
        <f t="shared" si="297"/>
        <v xml:space="preserve"> </v>
      </c>
      <c r="CH78" s="10" t="str">
        <f t="shared" si="297"/>
        <v xml:space="preserve"> </v>
      </c>
      <c r="CI78" s="10" t="str">
        <f t="shared" si="297"/>
        <v xml:space="preserve"> </v>
      </c>
      <c r="CJ78" s="14"/>
      <c r="CK78" s="14"/>
      <c r="CL78" s="10" t="str">
        <f t="shared" si="298"/>
        <v xml:space="preserve"> </v>
      </c>
      <c r="CM78" s="10" t="str">
        <f t="shared" si="298"/>
        <v xml:space="preserve"> </v>
      </c>
      <c r="CN78" s="10" t="str">
        <f t="shared" si="298"/>
        <v xml:space="preserve"> </v>
      </c>
      <c r="CO78" s="10" t="str">
        <f t="shared" si="298"/>
        <v xml:space="preserve"> </v>
      </c>
      <c r="CP78" s="10" t="str">
        <f t="shared" si="298"/>
        <v xml:space="preserve"> </v>
      </c>
      <c r="CQ78" s="14"/>
      <c r="CR78" s="14"/>
      <c r="CS78" s="10" t="str">
        <f t="shared" si="299"/>
        <v xml:space="preserve"> </v>
      </c>
      <c r="CT78" s="10" t="str">
        <f t="shared" si="299"/>
        <v xml:space="preserve"> </v>
      </c>
      <c r="CU78" s="10" t="str">
        <f t="shared" si="299"/>
        <v xml:space="preserve"> </v>
      </c>
      <c r="CV78" s="10" t="str">
        <f t="shared" si="299"/>
        <v xml:space="preserve"> </v>
      </c>
      <c r="CW78" s="10" t="str">
        <f t="shared" si="299"/>
        <v xml:space="preserve"> </v>
      </c>
      <c r="CZ78" s="10" t="str">
        <f t="shared" si="300"/>
        <v xml:space="preserve"> </v>
      </c>
      <c r="DA78" s="10" t="str">
        <f t="shared" si="300"/>
        <v xml:space="preserve"> </v>
      </c>
      <c r="DB78" s="10" t="str">
        <f t="shared" si="300"/>
        <v xml:space="preserve"> </v>
      </c>
      <c r="DC78" s="10" t="str">
        <f t="shared" si="300"/>
        <v xml:space="preserve"> </v>
      </c>
      <c r="DD78" s="10" t="str">
        <f t="shared" si="300"/>
        <v xml:space="preserve"> </v>
      </c>
      <c r="DG78" s="10" t="str">
        <f t="shared" si="301"/>
        <v xml:space="preserve"> </v>
      </c>
      <c r="DH78" s="10" t="str">
        <f t="shared" si="301"/>
        <v xml:space="preserve"> </v>
      </c>
      <c r="DI78" s="10" t="str">
        <f t="shared" si="301"/>
        <v xml:space="preserve"> </v>
      </c>
      <c r="DJ78" s="10" t="str">
        <f t="shared" si="301"/>
        <v xml:space="preserve"> </v>
      </c>
      <c r="DK78" s="10" t="str">
        <f t="shared" si="301"/>
        <v xml:space="preserve"> </v>
      </c>
      <c r="DN78" s="10" t="str">
        <f t="shared" si="302"/>
        <v xml:space="preserve"> </v>
      </c>
      <c r="DO78" s="10" t="str">
        <f t="shared" si="302"/>
        <v xml:space="preserve"> </v>
      </c>
      <c r="DP78" s="10" t="str">
        <f t="shared" si="302"/>
        <v xml:space="preserve"> </v>
      </c>
      <c r="DQ78" s="10" t="str">
        <f t="shared" si="302"/>
        <v xml:space="preserve"> </v>
      </c>
      <c r="DR78" s="10" t="str">
        <f t="shared" si="302"/>
        <v xml:space="preserve"> </v>
      </c>
      <c r="DU78" s="10" t="str">
        <f t="shared" si="303"/>
        <v xml:space="preserve"> </v>
      </c>
      <c r="DV78" s="10" t="str">
        <f t="shared" si="303"/>
        <v xml:space="preserve"> </v>
      </c>
      <c r="DW78" s="10" t="str">
        <f t="shared" si="303"/>
        <v xml:space="preserve"> </v>
      </c>
      <c r="DX78" s="10" t="str">
        <f t="shared" si="303"/>
        <v xml:space="preserve"> </v>
      </c>
      <c r="DY78" s="10" t="str">
        <f t="shared" si="303"/>
        <v xml:space="preserve"> </v>
      </c>
      <c r="EB78" s="10" t="str">
        <f t="shared" si="304"/>
        <v xml:space="preserve"> </v>
      </c>
      <c r="EC78" s="10" t="str">
        <f t="shared" si="304"/>
        <v xml:space="preserve"> </v>
      </c>
      <c r="ED78" s="10" t="str">
        <f t="shared" si="304"/>
        <v xml:space="preserve"> </v>
      </c>
      <c r="EE78" s="10" t="str">
        <f t="shared" si="304"/>
        <v xml:space="preserve"> </v>
      </c>
      <c r="EF78" s="10" t="str">
        <f t="shared" si="304"/>
        <v xml:space="preserve"> </v>
      </c>
      <c r="EI78" s="10" t="str">
        <f t="shared" si="305"/>
        <v xml:space="preserve"> </v>
      </c>
      <c r="EJ78" s="10" t="str">
        <f t="shared" si="305"/>
        <v xml:space="preserve"> </v>
      </c>
      <c r="EK78" s="10" t="str">
        <f t="shared" si="305"/>
        <v xml:space="preserve"> </v>
      </c>
      <c r="EL78" s="10" t="str">
        <f t="shared" si="305"/>
        <v xml:space="preserve"> </v>
      </c>
      <c r="EM78" s="10" t="str">
        <f t="shared" si="305"/>
        <v xml:space="preserve"> </v>
      </c>
      <c r="EP78" s="10" t="str">
        <f t="shared" si="306"/>
        <v xml:space="preserve"> </v>
      </c>
      <c r="EQ78" s="10" t="str">
        <f t="shared" si="306"/>
        <v xml:space="preserve"> </v>
      </c>
      <c r="ER78" s="10" t="str">
        <f t="shared" si="306"/>
        <v xml:space="preserve"> </v>
      </c>
      <c r="ES78" s="10" t="str">
        <f t="shared" si="306"/>
        <v xml:space="preserve"> </v>
      </c>
      <c r="ET78" s="10" t="str">
        <f t="shared" si="306"/>
        <v xml:space="preserve"> </v>
      </c>
      <c r="EW78" s="10" t="str">
        <f t="shared" si="307"/>
        <v xml:space="preserve"> </v>
      </c>
      <c r="EX78" s="10" t="str">
        <f t="shared" si="307"/>
        <v xml:space="preserve"> </v>
      </c>
      <c r="EY78" s="10" t="str">
        <f t="shared" si="307"/>
        <v xml:space="preserve"> </v>
      </c>
      <c r="EZ78" s="10" t="str">
        <f t="shared" si="307"/>
        <v xml:space="preserve"> </v>
      </c>
      <c r="FA78" s="10" t="str">
        <f t="shared" si="307"/>
        <v xml:space="preserve"> </v>
      </c>
      <c r="FD78" s="10" t="str">
        <f t="shared" si="308"/>
        <v xml:space="preserve"> </v>
      </c>
      <c r="FE78" s="10" t="str">
        <f t="shared" si="308"/>
        <v xml:space="preserve"> </v>
      </c>
      <c r="FF78" s="10" t="str">
        <f t="shared" si="308"/>
        <v xml:space="preserve"> </v>
      </c>
      <c r="FG78" s="10" t="str">
        <f t="shared" si="308"/>
        <v xml:space="preserve"> </v>
      </c>
      <c r="FH78" s="10" t="str">
        <f t="shared" si="308"/>
        <v xml:space="preserve"> </v>
      </c>
      <c r="FK78" s="10" t="str">
        <f t="shared" si="309"/>
        <v xml:space="preserve"> </v>
      </c>
      <c r="FL78" s="10" t="str">
        <f t="shared" si="309"/>
        <v xml:space="preserve"> </v>
      </c>
      <c r="FM78" s="10" t="str">
        <f t="shared" si="309"/>
        <v xml:space="preserve"> </v>
      </c>
      <c r="FN78" s="10" t="str">
        <f t="shared" si="309"/>
        <v xml:space="preserve"> </v>
      </c>
      <c r="FO78" s="10" t="str">
        <f t="shared" si="309"/>
        <v xml:space="preserve"> </v>
      </c>
      <c r="FR78" s="10" t="str">
        <f t="shared" si="310"/>
        <v xml:space="preserve"> </v>
      </c>
      <c r="FS78" s="10" t="str">
        <f t="shared" si="310"/>
        <v xml:space="preserve"> </v>
      </c>
      <c r="FT78" s="10" t="str">
        <f t="shared" si="310"/>
        <v xml:space="preserve"> </v>
      </c>
      <c r="FU78" s="10" t="str">
        <f t="shared" si="310"/>
        <v xml:space="preserve"> </v>
      </c>
      <c r="FV78" s="10" t="str">
        <f t="shared" si="310"/>
        <v xml:space="preserve"> </v>
      </c>
      <c r="FY78" s="10" t="str">
        <f t="shared" si="311"/>
        <v xml:space="preserve"> </v>
      </c>
      <c r="FZ78" s="10" t="str">
        <f t="shared" si="311"/>
        <v xml:space="preserve"> </v>
      </c>
      <c r="GA78" s="10" t="str">
        <f t="shared" si="311"/>
        <v xml:space="preserve"> </v>
      </c>
      <c r="GB78" s="10" t="str">
        <f t="shared" si="311"/>
        <v xml:space="preserve"> </v>
      </c>
      <c r="GC78" s="10" t="str">
        <f t="shared" si="311"/>
        <v xml:space="preserve"> </v>
      </c>
      <c r="GF78" s="10" t="str">
        <f t="shared" si="312"/>
        <v xml:space="preserve"> </v>
      </c>
      <c r="GG78" s="10" t="str">
        <f t="shared" si="312"/>
        <v xml:space="preserve"> </v>
      </c>
      <c r="GH78" s="10" t="str">
        <f t="shared" si="312"/>
        <v xml:space="preserve"> </v>
      </c>
      <c r="GI78" s="10" t="str">
        <f t="shared" si="312"/>
        <v xml:space="preserve"> </v>
      </c>
      <c r="GJ78" s="10" t="str">
        <f t="shared" si="312"/>
        <v xml:space="preserve"> </v>
      </c>
      <c r="GM78" s="10" t="str">
        <f t="shared" si="313"/>
        <v xml:space="preserve"> </v>
      </c>
      <c r="GN78" s="10" t="str">
        <f t="shared" si="313"/>
        <v xml:space="preserve"> </v>
      </c>
      <c r="GO78" s="10" t="str">
        <f t="shared" si="313"/>
        <v xml:space="preserve"> </v>
      </c>
      <c r="GP78" s="10" t="str">
        <f t="shared" si="313"/>
        <v xml:space="preserve"> </v>
      </c>
      <c r="GQ78" s="10" t="str">
        <f t="shared" si="313"/>
        <v xml:space="preserve"> </v>
      </c>
      <c r="GT78" s="10" t="str">
        <f t="shared" si="314"/>
        <v xml:space="preserve"> </v>
      </c>
      <c r="GU78" s="10" t="str">
        <f t="shared" si="314"/>
        <v xml:space="preserve"> </v>
      </c>
      <c r="GV78" s="10" t="str">
        <f t="shared" si="314"/>
        <v xml:space="preserve"> </v>
      </c>
      <c r="GW78" s="10" t="str">
        <f t="shared" si="314"/>
        <v xml:space="preserve"> </v>
      </c>
      <c r="GX78" s="10" t="str">
        <f t="shared" si="314"/>
        <v xml:space="preserve"> </v>
      </c>
      <c r="HA78" s="10" t="str">
        <f t="shared" si="315"/>
        <v xml:space="preserve"> </v>
      </c>
      <c r="HB78" s="10" t="str">
        <f t="shared" si="315"/>
        <v xml:space="preserve"> </v>
      </c>
      <c r="HC78" s="10" t="str">
        <f t="shared" si="315"/>
        <v xml:space="preserve"> </v>
      </c>
      <c r="HD78" s="10" t="str">
        <f t="shared" si="315"/>
        <v xml:space="preserve"> </v>
      </c>
      <c r="HE78" s="10" t="str">
        <f t="shared" si="315"/>
        <v xml:space="preserve"> </v>
      </c>
      <c r="HH78" s="10" t="str">
        <f t="shared" si="316"/>
        <v xml:space="preserve"> </v>
      </c>
      <c r="HI78" s="10" t="str">
        <f t="shared" si="316"/>
        <v xml:space="preserve"> </v>
      </c>
      <c r="HJ78" s="10" t="str">
        <f t="shared" si="316"/>
        <v xml:space="preserve"> </v>
      </c>
      <c r="HK78" s="10" t="str">
        <f t="shared" si="316"/>
        <v xml:space="preserve"> </v>
      </c>
      <c r="HL78" s="10" t="str">
        <f t="shared" si="316"/>
        <v xml:space="preserve"> </v>
      </c>
      <c r="HO78" s="10" t="str">
        <f t="shared" si="317"/>
        <v xml:space="preserve"> </v>
      </c>
      <c r="HP78" s="10" t="str">
        <f t="shared" si="317"/>
        <v xml:space="preserve"> </v>
      </c>
      <c r="HQ78" s="10" t="str">
        <f t="shared" si="317"/>
        <v xml:space="preserve"> </v>
      </c>
      <c r="HR78" s="10" t="str">
        <f t="shared" si="317"/>
        <v xml:space="preserve"> </v>
      </c>
      <c r="HS78" s="10" t="str">
        <f t="shared" si="317"/>
        <v xml:space="preserve"> </v>
      </c>
      <c r="HV78" s="10" t="str">
        <f t="shared" si="318"/>
        <v xml:space="preserve"> </v>
      </c>
      <c r="HW78" s="10" t="str">
        <f t="shared" si="318"/>
        <v xml:space="preserve"> </v>
      </c>
      <c r="HX78" s="10" t="str">
        <f t="shared" si="318"/>
        <v xml:space="preserve"> </v>
      </c>
      <c r="HY78" s="10" t="str">
        <f t="shared" si="318"/>
        <v xml:space="preserve"> </v>
      </c>
      <c r="HZ78" s="10" t="str">
        <f t="shared" si="318"/>
        <v xml:space="preserve"> </v>
      </c>
      <c r="IC78" s="10" t="str">
        <f t="shared" si="319"/>
        <v xml:space="preserve"> </v>
      </c>
      <c r="ID78" s="10" t="str">
        <f t="shared" si="319"/>
        <v xml:space="preserve"> </v>
      </c>
      <c r="IE78" s="10" t="str">
        <f t="shared" si="319"/>
        <v xml:space="preserve"> </v>
      </c>
      <c r="IF78" s="10" t="str">
        <f t="shared" si="319"/>
        <v xml:space="preserve"> </v>
      </c>
      <c r="IG78" s="10" t="str">
        <f t="shared" si="319"/>
        <v xml:space="preserve"> </v>
      </c>
      <c r="IJ78" s="10" t="str">
        <f t="shared" si="320"/>
        <v xml:space="preserve"> </v>
      </c>
      <c r="IK78" s="10" t="str">
        <f t="shared" si="320"/>
        <v xml:space="preserve"> </v>
      </c>
      <c r="IL78" s="10" t="str">
        <f t="shared" si="320"/>
        <v xml:space="preserve"> </v>
      </c>
      <c r="IM78" s="10" t="str">
        <f t="shared" si="320"/>
        <v xml:space="preserve"> </v>
      </c>
      <c r="IN78" s="10" t="str">
        <f t="shared" si="320"/>
        <v xml:space="preserve"> </v>
      </c>
      <c r="IQ78" s="10" t="str">
        <f t="shared" si="321"/>
        <v xml:space="preserve"> </v>
      </c>
      <c r="IR78" s="10" t="str">
        <f t="shared" si="321"/>
        <v xml:space="preserve"> </v>
      </c>
      <c r="IS78" s="10" t="str">
        <f t="shared" si="321"/>
        <v xml:space="preserve"> </v>
      </c>
      <c r="IT78" s="10" t="str">
        <f t="shared" si="321"/>
        <v xml:space="preserve"> </v>
      </c>
      <c r="IU78" s="10" t="str">
        <f t="shared" si="321"/>
        <v xml:space="preserve"> </v>
      </c>
      <c r="IX78" s="10" t="str">
        <f t="shared" si="322"/>
        <v xml:space="preserve"> </v>
      </c>
      <c r="IY78" s="10" t="str">
        <f t="shared" si="322"/>
        <v xml:space="preserve"> </v>
      </c>
      <c r="IZ78" s="10" t="str">
        <f t="shared" si="322"/>
        <v xml:space="preserve"> </v>
      </c>
      <c r="JA78" s="10" t="str">
        <f t="shared" si="322"/>
        <v xml:space="preserve"> </v>
      </c>
      <c r="JB78" s="10" t="str">
        <f t="shared" si="322"/>
        <v xml:space="preserve"> </v>
      </c>
      <c r="JE78" s="10" t="str">
        <f t="shared" si="323"/>
        <v xml:space="preserve"> </v>
      </c>
      <c r="JF78" s="10" t="str">
        <f t="shared" si="323"/>
        <v xml:space="preserve"> </v>
      </c>
      <c r="JG78" s="10" t="str">
        <f t="shared" si="323"/>
        <v xml:space="preserve"> </v>
      </c>
      <c r="JH78" s="10" t="str">
        <f t="shared" si="323"/>
        <v xml:space="preserve"> </v>
      </c>
      <c r="JI78" s="10" t="str">
        <f t="shared" si="323"/>
        <v xml:space="preserve"> </v>
      </c>
    </row>
    <row r="79" spans="3:269">
      <c r="M79" s="10" t="str">
        <f t="shared" si="88"/>
        <v xml:space="preserve"> </v>
      </c>
      <c r="N79" s="10" t="str">
        <f t="shared" si="88"/>
        <v xml:space="preserve"> </v>
      </c>
      <c r="O79" s="10" t="str">
        <f t="shared" si="88"/>
        <v xml:space="preserve"> </v>
      </c>
      <c r="P79" s="10" t="str">
        <f t="shared" si="88"/>
        <v xml:space="preserve"> </v>
      </c>
      <c r="Q79" s="10" t="str">
        <f t="shared" si="88"/>
        <v xml:space="preserve"> </v>
      </c>
      <c r="R79" s="14"/>
      <c r="S79" s="14"/>
      <c r="T79" s="10" t="str">
        <f t="shared" si="288"/>
        <v xml:space="preserve"> </v>
      </c>
      <c r="U79" s="10" t="str">
        <f t="shared" si="288"/>
        <v xml:space="preserve"> </v>
      </c>
      <c r="V79" s="10" t="str">
        <f t="shared" si="288"/>
        <v xml:space="preserve"> </v>
      </c>
      <c r="W79" s="10" t="str">
        <f t="shared" si="288"/>
        <v xml:space="preserve"> </v>
      </c>
      <c r="X79" s="10" t="str">
        <f t="shared" si="288"/>
        <v xml:space="preserve"> </v>
      </c>
      <c r="Y79" s="14"/>
      <c r="Z79" s="14"/>
      <c r="AA79" s="10" t="str">
        <f t="shared" si="289"/>
        <v xml:space="preserve"> </v>
      </c>
      <c r="AB79" s="10" t="str">
        <f t="shared" si="289"/>
        <v xml:space="preserve"> </v>
      </c>
      <c r="AC79" s="10" t="str">
        <f t="shared" si="289"/>
        <v xml:space="preserve"> </v>
      </c>
      <c r="AD79" s="10" t="str">
        <f t="shared" si="289"/>
        <v xml:space="preserve"> </v>
      </c>
      <c r="AE79" s="10" t="str">
        <f t="shared" si="289"/>
        <v xml:space="preserve"> </v>
      </c>
      <c r="AF79" s="14"/>
      <c r="AG79" s="14"/>
      <c r="AH79" s="10" t="str">
        <f t="shared" si="290"/>
        <v xml:space="preserve"> </v>
      </c>
      <c r="AI79" s="10" t="str">
        <f t="shared" si="290"/>
        <v xml:space="preserve"> </v>
      </c>
      <c r="AJ79" s="10" t="str">
        <f t="shared" si="290"/>
        <v xml:space="preserve"> </v>
      </c>
      <c r="AK79" s="10" t="str">
        <f t="shared" si="290"/>
        <v xml:space="preserve"> </v>
      </c>
      <c r="AL79" s="10" t="str">
        <f t="shared" si="290"/>
        <v xml:space="preserve"> </v>
      </c>
      <c r="AM79" s="14"/>
      <c r="AN79" s="14"/>
      <c r="AO79" s="10" t="str">
        <f t="shared" si="291"/>
        <v xml:space="preserve"> </v>
      </c>
      <c r="AP79" s="10" t="str">
        <f t="shared" si="291"/>
        <v xml:space="preserve"> </v>
      </c>
      <c r="AQ79" s="10" t="str">
        <f t="shared" si="291"/>
        <v xml:space="preserve"> </v>
      </c>
      <c r="AR79" s="10" t="str">
        <f t="shared" si="291"/>
        <v xml:space="preserve"> </v>
      </c>
      <c r="AS79" s="10" t="str">
        <f t="shared" si="291"/>
        <v xml:space="preserve"> </v>
      </c>
      <c r="AT79" s="14"/>
      <c r="AU79" s="14"/>
      <c r="AV79" s="10" t="str">
        <f t="shared" si="292"/>
        <v xml:space="preserve"> </v>
      </c>
      <c r="AW79" s="10" t="str">
        <f t="shared" si="292"/>
        <v xml:space="preserve"> </v>
      </c>
      <c r="AX79" s="10" t="str">
        <f t="shared" si="292"/>
        <v xml:space="preserve"> </v>
      </c>
      <c r="AY79" s="10" t="str">
        <f t="shared" si="292"/>
        <v xml:space="preserve"> </v>
      </c>
      <c r="AZ79" s="10" t="str">
        <f t="shared" si="292"/>
        <v xml:space="preserve"> </v>
      </c>
      <c r="BA79" s="14"/>
      <c r="BB79" s="14"/>
      <c r="BC79" s="10" t="str">
        <f t="shared" si="293"/>
        <v xml:space="preserve"> </v>
      </c>
      <c r="BD79" s="10" t="str">
        <f t="shared" si="293"/>
        <v xml:space="preserve"> </v>
      </c>
      <c r="BE79" s="10" t="str">
        <f t="shared" si="293"/>
        <v xml:space="preserve"> </v>
      </c>
      <c r="BF79" s="10" t="str">
        <f t="shared" si="293"/>
        <v xml:space="preserve"> </v>
      </c>
      <c r="BG79" s="10" t="str">
        <f t="shared" si="293"/>
        <v xml:space="preserve"> </v>
      </c>
      <c r="BH79" s="14"/>
      <c r="BI79" s="14"/>
      <c r="BJ79" s="10" t="str">
        <f t="shared" si="294"/>
        <v xml:space="preserve"> </v>
      </c>
      <c r="BK79" s="10" t="str">
        <f t="shared" si="294"/>
        <v xml:space="preserve"> </v>
      </c>
      <c r="BL79" s="10" t="str">
        <f t="shared" si="294"/>
        <v xml:space="preserve"> </v>
      </c>
      <c r="BM79" s="10" t="str">
        <f t="shared" si="294"/>
        <v xml:space="preserve"> </v>
      </c>
      <c r="BN79" s="10" t="str">
        <f t="shared" si="294"/>
        <v xml:space="preserve"> </v>
      </c>
      <c r="BO79" s="14"/>
      <c r="BP79" s="14"/>
      <c r="BQ79" s="10" t="str">
        <f t="shared" si="295"/>
        <v xml:space="preserve"> </v>
      </c>
      <c r="BR79" s="10" t="str">
        <f t="shared" si="295"/>
        <v xml:space="preserve"> </v>
      </c>
      <c r="BS79" s="10" t="str">
        <f t="shared" si="295"/>
        <v xml:space="preserve"> </v>
      </c>
      <c r="BT79" s="10" t="str">
        <f t="shared" si="295"/>
        <v xml:space="preserve"> </v>
      </c>
      <c r="BU79" s="10" t="str">
        <f t="shared" si="295"/>
        <v xml:space="preserve"> </v>
      </c>
      <c r="BV79" s="14"/>
      <c r="BW79" s="14"/>
      <c r="BX79" s="10" t="str">
        <f t="shared" si="296"/>
        <v xml:space="preserve"> </v>
      </c>
      <c r="BY79" s="10" t="str">
        <f t="shared" si="296"/>
        <v xml:space="preserve"> </v>
      </c>
      <c r="BZ79" s="10" t="str">
        <f t="shared" si="296"/>
        <v xml:space="preserve"> </v>
      </c>
      <c r="CA79" s="10" t="str">
        <f t="shared" si="296"/>
        <v xml:space="preserve"> </v>
      </c>
      <c r="CB79" s="10" t="str">
        <f t="shared" si="296"/>
        <v xml:space="preserve"> </v>
      </c>
      <c r="CC79" s="14"/>
      <c r="CD79" s="14"/>
      <c r="CE79" s="10" t="str">
        <f t="shared" si="297"/>
        <v xml:space="preserve"> </v>
      </c>
      <c r="CF79" s="10" t="str">
        <f t="shared" si="297"/>
        <v xml:space="preserve"> </v>
      </c>
      <c r="CG79" s="10" t="str">
        <f t="shared" si="297"/>
        <v xml:space="preserve"> </v>
      </c>
      <c r="CH79" s="10" t="str">
        <f t="shared" si="297"/>
        <v xml:space="preserve"> </v>
      </c>
      <c r="CI79" s="10" t="str">
        <f t="shared" si="297"/>
        <v xml:space="preserve"> </v>
      </c>
      <c r="CJ79" s="14"/>
      <c r="CK79" s="14"/>
      <c r="CL79" s="10" t="str">
        <f t="shared" si="298"/>
        <v xml:space="preserve"> </v>
      </c>
      <c r="CM79" s="10" t="str">
        <f t="shared" si="298"/>
        <v xml:space="preserve"> </v>
      </c>
      <c r="CN79" s="10" t="str">
        <f t="shared" si="298"/>
        <v xml:space="preserve"> </v>
      </c>
      <c r="CO79" s="10" t="str">
        <f t="shared" si="298"/>
        <v xml:space="preserve"> </v>
      </c>
      <c r="CP79" s="10" t="str">
        <f t="shared" si="298"/>
        <v xml:space="preserve"> </v>
      </c>
      <c r="CQ79" s="14"/>
      <c r="CR79" s="14"/>
      <c r="CS79" s="10" t="str">
        <f t="shared" si="299"/>
        <v xml:space="preserve"> </v>
      </c>
      <c r="CT79" s="10" t="str">
        <f t="shared" si="299"/>
        <v xml:space="preserve"> </v>
      </c>
      <c r="CU79" s="10" t="str">
        <f t="shared" si="299"/>
        <v xml:space="preserve"> </v>
      </c>
      <c r="CV79" s="10" t="str">
        <f t="shared" si="299"/>
        <v xml:space="preserve"> </v>
      </c>
      <c r="CW79" s="10" t="str">
        <f t="shared" si="299"/>
        <v xml:space="preserve"> </v>
      </c>
      <c r="CZ79" s="10" t="str">
        <f t="shared" si="300"/>
        <v xml:space="preserve"> </v>
      </c>
      <c r="DA79" s="10" t="str">
        <f t="shared" si="300"/>
        <v xml:space="preserve"> </v>
      </c>
      <c r="DB79" s="10" t="str">
        <f t="shared" si="300"/>
        <v xml:space="preserve"> </v>
      </c>
      <c r="DC79" s="10" t="str">
        <f t="shared" si="300"/>
        <v xml:space="preserve"> </v>
      </c>
      <c r="DD79" s="10" t="str">
        <f t="shared" si="300"/>
        <v xml:space="preserve"> </v>
      </c>
      <c r="DG79" s="10" t="str">
        <f t="shared" si="301"/>
        <v xml:space="preserve"> </v>
      </c>
      <c r="DH79" s="10" t="str">
        <f t="shared" si="301"/>
        <v xml:space="preserve"> </v>
      </c>
      <c r="DI79" s="10" t="str">
        <f t="shared" si="301"/>
        <v xml:space="preserve"> </v>
      </c>
      <c r="DJ79" s="10" t="str">
        <f t="shared" si="301"/>
        <v xml:space="preserve"> </v>
      </c>
      <c r="DK79" s="10" t="str">
        <f t="shared" si="301"/>
        <v xml:space="preserve"> </v>
      </c>
      <c r="DN79" s="10" t="str">
        <f t="shared" si="302"/>
        <v xml:space="preserve"> </v>
      </c>
      <c r="DO79" s="10" t="str">
        <f t="shared" si="302"/>
        <v xml:space="preserve"> </v>
      </c>
      <c r="DP79" s="10" t="str">
        <f t="shared" si="302"/>
        <v xml:space="preserve"> </v>
      </c>
      <c r="DQ79" s="10" t="str">
        <f t="shared" si="302"/>
        <v xml:space="preserve"> </v>
      </c>
      <c r="DR79" s="10" t="str">
        <f t="shared" si="302"/>
        <v xml:space="preserve"> </v>
      </c>
      <c r="DU79" s="10" t="str">
        <f t="shared" si="303"/>
        <v xml:space="preserve"> </v>
      </c>
      <c r="DV79" s="10" t="str">
        <f t="shared" si="303"/>
        <v xml:space="preserve"> </v>
      </c>
      <c r="DW79" s="10" t="str">
        <f t="shared" si="303"/>
        <v xml:space="preserve"> </v>
      </c>
      <c r="DX79" s="10" t="str">
        <f t="shared" si="303"/>
        <v xml:space="preserve"> </v>
      </c>
      <c r="DY79" s="10" t="str">
        <f t="shared" si="303"/>
        <v xml:space="preserve"> </v>
      </c>
      <c r="EB79" s="10" t="str">
        <f t="shared" si="304"/>
        <v xml:space="preserve"> </v>
      </c>
      <c r="EC79" s="10" t="str">
        <f t="shared" si="304"/>
        <v xml:space="preserve"> </v>
      </c>
      <c r="ED79" s="10" t="str">
        <f t="shared" si="304"/>
        <v xml:space="preserve"> </v>
      </c>
      <c r="EE79" s="10" t="str">
        <f t="shared" si="304"/>
        <v xml:space="preserve"> </v>
      </c>
      <c r="EF79" s="10" t="str">
        <f t="shared" si="304"/>
        <v xml:space="preserve"> </v>
      </c>
      <c r="EI79" s="10" t="str">
        <f t="shared" si="305"/>
        <v xml:space="preserve"> </v>
      </c>
      <c r="EJ79" s="10" t="str">
        <f t="shared" si="305"/>
        <v xml:space="preserve"> </v>
      </c>
      <c r="EK79" s="10" t="str">
        <f t="shared" si="305"/>
        <v xml:space="preserve"> </v>
      </c>
      <c r="EL79" s="10" t="str">
        <f t="shared" si="305"/>
        <v xml:space="preserve"> </v>
      </c>
      <c r="EM79" s="10" t="str">
        <f t="shared" si="305"/>
        <v xml:space="preserve"> </v>
      </c>
      <c r="EP79" s="10" t="str">
        <f t="shared" si="306"/>
        <v xml:space="preserve"> </v>
      </c>
      <c r="EQ79" s="10" t="str">
        <f t="shared" si="306"/>
        <v xml:space="preserve"> </v>
      </c>
      <c r="ER79" s="10" t="str">
        <f t="shared" si="306"/>
        <v xml:space="preserve"> </v>
      </c>
      <c r="ES79" s="10" t="str">
        <f t="shared" si="306"/>
        <v xml:space="preserve"> </v>
      </c>
      <c r="ET79" s="10" t="str">
        <f t="shared" si="306"/>
        <v xml:space="preserve"> </v>
      </c>
      <c r="EW79" s="10" t="str">
        <f t="shared" si="307"/>
        <v xml:space="preserve"> </v>
      </c>
      <c r="EX79" s="10" t="str">
        <f t="shared" si="307"/>
        <v xml:space="preserve"> </v>
      </c>
      <c r="EY79" s="10" t="str">
        <f t="shared" si="307"/>
        <v xml:space="preserve"> </v>
      </c>
      <c r="EZ79" s="10" t="str">
        <f t="shared" si="307"/>
        <v xml:space="preserve"> </v>
      </c>
      <c r="FA79" s="10" t="str">
        <f t="shared" si="307"/>
        <v xml:space="preserve"> </v>
      </c>
      <c r="FD79" s="10" t="str">
        <f t="shared" si="308"/>
        <v xml:space="preserve"> </v>
      </c>
      <c r="FE79" s="10" t="str">
        <f t="shared" si="308"/>
        <v xml:space="preserve"> </v>
      </c>
      <c r="FF79" s="10" t="str">
        <f t="shared" si="308"/>
        <v xml:space="preserve"> </v>
      </c>
      <c r="FG79" s="10" t="str">
        <f t="shared" si="308"/>
        <v xml:space="preserve"> </v>
      </c>
      <c r="FH79" s="10" t="str">
        <f t="shared" si="308"/>
        <v xml:space="preserve"> </v>
      </c>
      <c r="FK79" s="10" t="str">
        <f t="shared" si="309"/>
        <v xml:space="preserve"> </v>
      </c>
      <c r="FL79" s="10" t="str">
        <f t="shared" si="309"/>
        <v xml:space="preserve"> </v>
      </c>
      <c r="FM79" s="10" t="str">
        <f t="shared" si="309"/>
        <v xml:space="preserve"> </v>
      </c>
      <c r="FN79" s="10" t="str">
        <f t="shared" si="309"/>
        <v xml:space="preserve"> </v>
      </c>
      <c r="FO79" s="10" t="str">
        <f t="shared" si="309"/>
        <v xml:space="preserve"> </v>
      </c>
      <c r="FR79" s="10" t="str">
        <f t="shared" si="310"/>
        <v xml:space="preserve"> </v>
      </c>
      <c r="FS79" s="10" t="str">
        <f t="shared" si="310"/>
        <v xml:space="preserve"> </v>
      </c>
      <c r="FT79" s="10" t="str">
        <f t="shared" si="310"/>
        <v xml:space="preserve"> </v>
      </c>
      <c r="FU79" s="10" t="str">
        <f t="shared" si="310"/>
        <v xml:space="preserve"> </v>
      </c>
      <c r="FV79" s="10" t="str">
        <f t="shared" si="310"/>
        <v xml:space="preserve"> </v>
      </c>
      <c r="FY79" s="10" t="str">
        <f t="shared" si="311"/>
        <v xml:space="preserve"> </v>
      </c>
      <c r="FZ79" s="10" t="str">
        <f t="shared" si="311"/>
        <v xml:space="preserve"> </v>
      </c>
      <c r="GA79" s="10" t="str">
        <f t="shared" si="311"/>
        <v xml:space="preserve"> </v>
      </c>
      <c r="GB79" s="10" t="str">
        <f t="shared" si="311"/>
        <v xml:space="preserve"> </v>
      </c>
      <c r="GC79" s="10" t="str">
        <f t="shared" si="311"/>
        <v xml:space="preserve"> </v>
      </c>
      <c r="GF79" s="10" t="str">
        <f t="shared" si="312"/>
        <v xml:space="preserve"> </v>
      </c>
      <c r="GG79" s="10" t="str">
        <f t="shared" si="312"/>
        <v xml:space="preserve"> </v>
      </c>
      <c r="GH79" s="10" t="str">
        <f t="shared" si="312"/>
        <v xml:space="preserve"> </v>
      </c>
      <c r="GI79" s="10" t="str">
        <f t="shared" si="312"/>
        <v xml:space="preserve"> </v>
      </c>
      <c r="GJ79" s="10" t="str">
        <f t="shared" si="312"/>
        <v xml:space="preserve"> </v>
      </c>
      <c r="GM79" s="10" t="str">
        <f t="shared" si="313"/>
        <v xml:space="preserve"> </v>
      </c>
      <c r="GN79" s="10" t="str">
        <f t="shared" si="313"/>
        <v xml:space="preserve"> </v>
      </c>
      <c r="GO79" s="10" t="str">
        <f t="shared" si="313"/>
        <v xml:space="preserve"> </v>
      </c>
      <c r="GP79" s="10" t="str">
        <f t="shared" si="313"/>
        <v xml:space="preserve"> </v>
      </c>
      <c r="GQ79" s="10" t="str">
        <f t="shared" si="313"/>
        <v xml:space="preserve"> </v>
      </c>
      <c r="GT79" s="10" t="str">
        <f t="shared" si="314"/>
        <v xml:space="preserve"> </v>
      </c>
      <c r="GU79" s="10" t="str">
        <f t="shared" si="314"/>
        <v xml:space="preserve"> </v>
      </c>
      <c r="GV79" s="10" t="str">
        <f t="shared" si="314"/>
        <v xml:space="preserve"> </v>
      </c>
      <c r="GW79" s="10" t="str">
        <f t="shared" si="314"/>
        <v xml:space="preserve"> </v>
      </c>
      <c r="GX79" s="10" t="str">
        <f t="shared" si="314"/>
        <v xml:space="preserve"> </v>
      </c>
      <c r="HA79" s="10" t="str">
        <f t="shared" si="315"/>
        <v xml:space="preserve"> </v>
      </c>
      <c r="HB79" s="10" t="str">
        <f t="shared" si="315"/>
        <v xml:space="preserve"> </v>
      </c>
      <c r="HC79" s="10" t="str">
        <f t="shared" si="315"/>
        <v xml:space="preserve"> </v>
      </c>
      <c r="HD79" s="10" t="str">
        <f t="shared" si="315"/>
        <v xml:space="preserve"> </v>
      </c>
      <c r="HE79" s="10" t="str">
        <f t="shared" si="315"/>
        <v xml:space="preserve"> </v>
      </c>
      <c r="HH79" s="10" t="str">
        <f t="shared" si="316"/>
        <v xml:space="preserve"> </v>
      </c>
      <c r="HI79" s="10" t="str">
        <f t="shared" si="316"/>
        <v xml:space="preserve"> </v>
      </c>
      <c r="HJ79" s="10" t="str">
        <f t="shared" si="316"/>
        <v xml:space="preserve"> </v>
      </c>
      <c r="HK79" s="10" t="str">
        <f t="shared" si="316"/>
        <v xml:space="preserve"> </v>
      </c>
      <c r="HL79" s="10" t="str">
        <f t="shared" si="316"/>
        <v xml:space="preserve"> </v>
      </c>
      <c r="HO79" s="10" t="str">
        <f t="shared" si="317"/>
        <v xml:space="preserve"> </v>
      </c>
      <c r="HP79" s="10" t="str">
        <f t="shared" si="317"/>
        <v xml:space="preserve"> </v>
      </c>
      <c r="HQ79" s="10" t="str">
        <f t="shared" si="317"/>
        <v xml:space="preserve"> </v>
      </c>
      <c r="HR79" s="10" t="str">
        <f t="shared" si="317"/>
        <v xml:space="preserve"> </v>
      </c>
      <c r="HS79" s="10" t="str">
        <f t="shared" si="317"/>
        <v xml:space="preserve"> </v>
      </c>
      <c r="HV79" s="10" t="str">
        <f t="shared" si="318"/>
        <v xml:space="preserve"> </v>
      </c>
      <c r="HW79" s="10" t="str">
        <f t="shared" si="318"/>
        <v xml:space="preserve"> </v>
      </c>
      <c r="HX79" s="10" t="str">
        <f t="shared" si="318"/>
        <v xml:space="preserve"> </v>
      </c>
      <c r="HY79" s="10" t="str">
        <f t="shared" si="318"/>
        <v xml:space="preserve"> </v>
      </c>
      <c r="HZ79" s="10" t="str">
        <f t="shared" si="318"/>
        <v xml:space="preserve"> </v>
      </c>
      <c r="IC79" s="10" t="str">
        <f t="shared" si="319"/>
        <v xml:space="preserve"> </v>
      </c>
      <c r="ID79" s="10" t="str">
        <f t="shared" si="319"/>
        <v xml:space="preserve"> </v>
      </c>
      <c r="IE79" s="10" t="str">
        <f t="shared" si="319"/>
        <v xml:space="preserve"> </v>
      </c>
      <c r="IF79" s="10" t="str">
        <f t="shared" si="319"/>
        <v xml:space="preserve"> </v>
      </c>
      <c r="IG79" s="10" t="str">
        <f t="shared" si="319"/>
        <v xml:space="preserve"> </v>
      </c>
      <c r="IJ79" s="10" t="str">
        <f t="shared" si="320"/>
        <v xml:space="preserve"> </v>
      </c>
      <c r="IK79" s="10" t="str">
        <f t="shared" si="320"/>
        <v xml:space="preserve"> </v>
      </c>
      <c r="IL79" s="10" t="str">
        <f t="shared" si="320"/>
        <v xml:space="preserve"> </v>
      </c>
      <c r="IM79" s="10" t="str">
        <f t="shared" si="320"/>
        <v xml:space="preserve"> </v>
      </c>
      <c r="IN79" s="10" t="str">
        <f t="shared" si="320"/>
        <v xml:space="preserve"> </v>
      </c>
      <c r="IQ79" s="10" t="str">
        <f t="shared" si="321"/>
        <v xml:space="preserve"> </v>
      </c>
      <c r="IR79" s="10" t="str">
        <f t="shared" si="321"/>
        <v xml:space="preserve"> </v>
      </c>
      <c r="IS79" s="10" t="str">
        <f t="shared" si="321"/>
        <v xml:space="preserve"> </v>
      </c>
      <c r="IT79" s="10" t="str">
        <f t="shared" si="321"/>
        <v xml:space="preserve"> </v>
      </c>
      <c r="IU79" s="10" t="str">
        <f t="shared" si="321"/>
        <v xml:space="preserve"> </v>
      </c>
      <c r="IX79" s="10" t="str">
        <f t="shared" si="322"/>
        <v xml:space="preserve"> </v>
      </c>
      <c r="IY79" s="10" t="str">
        <f t="shared" si="322"/>
        <v xml:space="preserve"> </v>
      </c>
      <c r="IZ79" s="10" t="str">
        <f t="shared" si="322"/>
        <v xml:space="preserve"> </v>
      </c>
      <c r="JA79" s="10" t="str">
        <f t="shared" si="322"/>
        <v xml:space="preserve"> </v>
      </c>
      <c r="JB79" s="10" t="str">
        <f t="shared" si="322"/>
        <v xml:space="preserve"> </v>
      </c>
      <c r="JE79" s="10" t="str">
        <f t="shared" si="323"/>
        <v xml:space="preserve"> </v>
      </c>
      <c r="JF79" s="10" t="str">
        <f t="shared" si="323"/>
        <v xml:space="preserve"> </v>
      </c>
      <c r="JG79" s="10" t="str">
        <f t="shared" si="323"/>
        <v xml:space="preserve"> </v>
      </c>
      <c r="JH79" s="10" t="str">
        <f t="shared" si="323"/>
        <v xml:space="preserve"> </v>
      </c>
      <c r="JI79" s="10" t="str">
        <f t="shared" si="323"/>
        <v xml:space="preserve"> </v>
      </c>
    </row>
    <row r="80" spans="3:269">
      <c r="M80" s="10" t="str">
        <f t="shared" si="88"/>
        <v xml:space="preserve"> </v>
      </c>
      <c r="N80" s="10" t="str">
        <f t="shared" si="88"/>
        <v xml:space="preserve"> </v>
      </c>
      <c r="O80" s="10" t="str">
        <f t="shared" si="88"/>
        <v xml:space="preserve"> </v>
      </c>
      <c r="P80" s="10" t="str">
        <f t="shared" si="88"/>
        <v xml:space="preserve"> </v>
      </c>
      <c r="Q80" s="10" t="str">
        <f t="shared" si="88"/>
        <v xml:space="preserve"> </v>
      </c>
      <c r="R80" s="14"/>
      <c r="S80" s="14"/>
      <c r="T80" s="10" t="str">
        <f t="shared" si="288"/>
        <v xml:space="preserve"> </v>
      </c>
      <c r="U80" s="10" t="str">
        <f t="shared" si="288"/>
        <v xml:space="preserve"> </v>
      </c>
      <c r="V80" s="10" t="str">
        <f t="shared" si="288"/>
        <v xml:space="preserve"> </v>
      </c>
      <c r="W80" s="10" t="str">
        <f t="shared" si="288"/>
        <v xml:space="preserve"> </v>
      </c>
      <c r="X80" s="10" t="str">
        <f t="shared" si="288"/>
        <v xml:space="preserve"> </v>
      </c>
      <c r="Y80" s="14"/>
      <c r="Z80" s="14"/>
      <c r="AA80" s="10" t="str">
        <f t="shared" si="289"/>
        <v xml:space="preserve"> </v>
      </c>
      <c r="AB80" s="10" t="str">
        <f t="shared" si="289"/>
        <v xml:space="preserve"> </v>
      </c>
      <c r="AC80" s="10" t="str">
        <f t="shared" si="289"/>
        <v xml:space="preserve"> </v>
      </c>
      <c r="AD80" s="10" t="str">
        <f t="shared" si="289"/>
        <v xml:space="preserve"> </v>
      </c>
      <c r="AE80" s="10" t="str">
        <f t="shared" si="289"/>
        <v xml:space="preserve"> </v>
      </c>
      <c r="AF80" s="14"/>
      <c r="AG80" s="14"/>
      <c r="AH80" s="10" t="str">
        <f t="shared" si="290"/>
        <v xml:space="preserve"> </v>
      </c>
      <c r="AI80" s="10" t="str">
        <f t="shared" si="290"/>
        <v xml:space="preserve"> </v>
      </c>
      <c r="AJ80" s="10" t="str">
        <f t="shared" si="290"/>
        <v xml:space="preserve"> </v>
      </c>
      <c r="AK80" s="10" t="str">
        <f t="shared" si="290"/>
        <v xml:space="preserve"> </v>
      </c>
      <c r="AL80" s="10" t="str">
        <f t="shared" si="290"/>
        <v xml:space="preserve"> </v>
      </c>
      <c r="AM80" s="14"/>
      <c r="AN80" s="14"/>
      <c r="AO80" s="10" t="str">
        <f t="shared" si="291"/>
        <v xml:space="preserve"> </v>
      </c>
      <c r="AP80" s="10" t="str">
        <f t="shared" si="291"/>
        <v xml:space="preserve"> </v>
      </c>
      <c r="AQ80" s="10" t="str">
        <f t="shared" si="291"/>
        <v xml:space="preserve"> </v>
      </c>
      <c r="AR80" s="10" t="str">
        <f t="shared" si="291"/>
        <v xml:space="preserve"> </v>
      </c>
      <c r="AS80" s="10" t="str">
        <f t="shared" si="291"/>
        <v xml:space="preserve"> </v>
      </c>
      <c r="AT80" s="14"/>
      <c r="AU80" s="14"/>
      <c r="AV80" s="10" t="str">
        <f t="shared" si="292"/>
        <v xml:space="preserve"> </v>
      </c>
      <c r="AW80" s="10" t="str">
        <f t="shared" si="292"/>
        <v xml:space="preserve"> </v>
      </c>
      <c r="AX80" s="10" t="str">
        <f t="shared" si="292"/>
        <v xml:space="preserve"> </v>
      </c>
      <c r="AY80" s="10" t="str">
        <f t="shared" si="292"/>
        <v xml:space="preserve"> </v>
      </c>
      <c r="AZ80" s="10" t="str">
        <f t="shared" si="292"/>
        <v xml:space="preserve"> </v>
      </c>
      <c r="BA80" s="14"/>
      <c r="BB80" s="14"/>
      <c r="BC80" s="10" t="str">
        <f t="shared" si="293"/>
        <v xml:space="preserve"> </v>
      </c>
      <c r="BD80" s="10" t="str">
        <f t="shared" si="293"/>
        <v xml:space="preserve"> </v>
      </c>
      <c r="BE80" s="10" t="str">
        <f t="shared" si="293"/>
        <v xml:space="preserve"> </v>
      </c>
      <c r="BF80" s="10" t="str">
        <f t="shared" si="293"/>
        <v xml:space="preserve"> </v>
      </c>
      <c r="BG80" s="10" t="str">
        <f t="shared" si="293"/>
        <v xml:space="preserve"> </v>
      </c>
      <c r="BH80" s="14"/>
      <c r="BI80" s="14"/>
      <c r="BJ80" s="10" t="str">
        <f t="shared" si="294"/>
        <v xml:space="preserve"> </v>
      </c>
      <c r="BK80" s="10" t="str">
        <f t="shared" si="294"/>
        <v xml:space="preserve"> </v>
      </c>
      <c r="BL80" s="10" t="str">
        <f t="shared" si="294"/>
        <v xml:space="preserve"> </v>
      </c>
      <c r="BM80" s="10" t="str">
        <f t="shared" si="294"/>
        <v xml:space="preserve"> </v>
      </c>
      <c r="BN80" s="10" t="str">
        <f t="shared" si="294"/>
        <v xml:space="preserve"> </v>
      </c>
      <c r="BO80" s="14"/>
      <c r="BP80" s="14"/>
      <c r="BQ80" s="10" t="str">
        <f t="shared" si="295"/>
        <v xml:space="preserve"> </v>
      </c>
      <c r="BR80" s="10" t="str">
        <f t="shared" si="295"/>
        <v xml:space="preserve"> </v>
      </c>
      <c r="BS80" s="10" t="str">
        <f t="shared" si="295"/>
        <v xml:space="preserve"> </v>
      </c>
      <c r="BT80" s="10" t="str">
        <f t="shared" si="295"/>
        <v xml:space="preserve"> </v>
      </c>
      <c r="BU80" s="10" t="str">
        <f t="shared" si="295"/>
        <v xml:space="preserve"> </v>
      </c>
      <c r="BV80" s="14"/>
      <c r="BW80" s="14"/>
      <c r="BX80" s="10" t="str">
        <f t="shared" si="296"/>
        <v xml:space="preserve"> </v>
      </c>
      <c r="BY80" s="10" t="str">
        <f t="shared" si="296"/>
        <v xml:space="preserve"> </v>
      </c>
      <c r="BZ80" s="10" t="str">
        <f t="shared" si="296"/>
        <v xml:space="preserve"> </v>
      </c>
      <c r="CA80" s="10" t="str">
        <f t="shared" si="296"/>
        <v xml:space="preserve"> </v>
      </c>
      <c r="CB80" s="10" t="str">
        <f t="shared" si="296"/>
        <v xml:space="preserve"> </v>
      </c>
      <c r="CC80" s="14"/>
      <c r="CD80" s="14"/>
      <c r="CE80" s="10" t="str">
        <f t="shared" si="297"/>
        <v xml:space="preserve"> </v>
      </c>
      <c r="CF80" s="10" t="str">
        <f t="shared" si="297"/>
        <v xml:space="preserve"> </v>
      </c>
      <c r="CG80" s="10" t="str">
        <f t="shared" si="297"/>
        <v xml:space="preserve"> </v>
      </c>
      <c r="CH80" s="10" t="str">
        <f t="shared" si="297"/>
        <v xml:space="preserve"> </v>
      </c>
      <c r="CI80" s="10" t="str">
        <f t="shared" si="297"/>
        <v xml:space="preserve"> </v>
      </c>
      <c r="CJ80" s="14"/>
      <c r="CK80" s="14"/>
      <c r="CL80" s="10" t="str">
        <f t="shared" si="298"/>
        <v xml:space="preserve"> </v>
      </c>
      <c r="CM80" s="10" t="str">
        <f t="shared" si="298"/>
        <v xml:space="preserve"> </v>
      </c>
      <c r="CN80" s="10" t="str">
        <f t="shared" si="298"/>
        <v xml:space="preserve"> </v>
      </c>
      <c r="CO80" s="10" t="str">
        <f t="shared" si="298"/>
        <v xml:space="preserve"> </v>
      </c>
      <c r="CP80" s="10" t="str">
        <f t="shared" si="298"/>
        <v xml:space="preserve"> </v>
      </c>
      <c r="CQ80" s="14"/>
      <c r="CR80" s="14"/>
      <c r="CS80" s="10" t="str">
        <f t="shared" si="299"/>
        <v xml:space="preserve"> </v>
      </c>
      <c r="CT80" s="10" t="str">
        <f t="shared" si="299"/>
        <v xml:space="preserve"> </v>
      </c>
      <c r="CU80" s="10" t="str">
        <f t="shared" si="299"/>
        <v xml:space="preserve"> </v>
      </c>
      <c r="CV80" s="10" t="str">
        <f t="shared" si="299"/>
        <v xml:space="preserve"> </v>
      </c>
      <c r="CW80" s="10" t="str">
        <f t="shared" si="299"/>
        <v xml:space="preserve"> </v>
      </c>
      <c r="CZ80" s="10" t="str">
        <f t="shared" si="300"/>
        <v xml:space="preserve"> </v>
      </c>
      <c r="DA80" s="10" t="str">
        <f t="shared" si="300"/>
        <v xml:space="preserve"> </v>
      </c>
      <c r="DB80" s="10" t="str">
        <f t="shared" si="300"/>
        <v xml:space="preserve"> </v>
      </c>
      <c r="DC80" s="10" t="str">
        <f t="shared" si="300"/>
        <v xml:space="preserve"> </v>
      </c>
      <c r="DD80" s="10" t="str">
        <f t="shared" si="300"/>
        <v xml:space="preserve"> </v>
      </c>
      <c r="DG80" s="10" t="str">
        <f t="shared" si="301"/>
        <v xml:space="preserve"> </v>
      </c>
      <c r="DH80" s="10" t="str">
        <f t="shared" si="301"/>
        <v xml:space="preserve"> </v>
      </c>
      <c r="DI80" s="10" t="str">
        <f t="shared" si="301"/>
        <v xml:space="preserve"> </v>
      </c>
      <c r="DJ80" s="10" t="str">
        <f t="shared" si="301"/>
        <v xml:space="preserve"> </v>
      </c>
      <c r="DK80" s="10" t="str">
        <f t="shared" si="301"/>
        <v xml:space="preserve"> </v>
      </c>
      <c r="DN80" s="10" t="str">
        <f t="shared" si="302"/>
        <v xml:space="preserve"> </v>
      </c>
      <c r="DO80" s="10" t="str">
        <f t="shared" si="302"/>
        <v xml:space="preserve"> </v>
      </c>
      <c r="DP80" s="10" t="str">
        <f t="shared" si="302"/>
        <v xml:space="preserve"> </v>
      </c>
      <c r="DQ80" s="10" t="str">
        <f t="shared" si="302"/>
        <v xml:space="preserve"> </v>
      </c>
      <c r="DR80" s="10" t="str">
        <f t="shared" si="302"/>
        <v xml:space="preserve"> </v>
      </c>
      <c r="DU80" s="10" t="str">
        <f t="shared" si="303"/>
        <v xml:space="preserve"> </v>
      </c>
      <c r="DV80" s="10" t="str">
        <f t="shared" si="303"/>
        <v xml:space="preserve"> </v>
      </c>
      <c r="DW80" s="10" t="str">
        <f t="shared" si="303"/>
        <v xml:space="preserve"> </v>
      </c>
      <c r="DX80" s="10" t="str">
        <f t="shared" si="303"/>
        <v xml:space="preserve"> </v>
      </c>
      <c r="DY80" s="10" t="str">
        <f t="shared" si="303"/>
        <v xml:space="preserve"> </v>
      </c>
      <c r="EB80" s="10" t="str">
        <f t="shared" si="304"/>
        <v xml:space="preserve"> </v>
      </c>
      <c r="EC80" s="10" t="str">
        <f t="shared" si="304"/>
        <v xml:space="preserve"> </v>
      </c>
      <c r="ED80" s="10" t="str">
        <f t="shared" si="304"/>
        <v xml:space="preserve"> </v>
      </c>
      <c r="EE80" s="10" t="str">
        <f t="shared" si="304"/>
        <v xml:space="preserve"> </v>
      </c>
      <c r="EF80" s="10" t="str">
        <f t="shared" si="304"/>
        <v xml:space="preserve"> </v>
      </c>
      <c r="EI80" s="10" t="str">
        <f t="shared" si="305"/>
        <v xml:space="preserve"> </v>
      </c>
      <c r="EJ80" s="10" t="str">
        <f t="shared" si="305"/>
        <v xml:space="preserve"> </v>
      </c>
      <c r="EK80" s="10" t="str">
        <f t="shared" si="305"/>
        <v xml:space="preserve"> </v>
      </c>
      <c r="EL80" s="10" t="str">
        <f t="shared" si="305"/>
        <v xml:space="preserve"> </v>
      </c>
      <c r="EM80" s="10" t="str">
        <f t="shared" si="305"/>
        <v xml:space="preserve"> </v>
      </c>
      <c r="EP80" s="10" t="str">
        <f t="shared" si="306"/>
        <v xml:space="preserve"> </v>
      </c>
      <c r="EQ80" s="10" t="str">
        <f t="shared" si="306"/>
        <v xml:space="preserve"> </v>
      </c>
      <c r="ER80" s="10" t="str">
        <f t="shared" si="306"/>
        <v xml:space="preserve"> </v>
      </c>
      <c r="ES80" s="10" t="str">
        <f t="shared" si="306"/>
        <v xml:space="preserve"> </v>
      </c>
      <c r="ET80" s="10" t="str">
        <f t="shared" si="306"/>
        <v xml:space="preserve"> </v>
      </c>
      <c r="EW80" s="10" t="str">
        <f t="shared" si="307"/>
        <v xml:space="preserve"> </v>
      </c>
      <c r="EX80" s="10" t="str">
        <f t="shared" si="307"/>
        <v xml:space="preserve"> </v>
      </c>
      <c r="EY80" s="10" t="str">
        <f t="shared" si="307"/>
        <v xml:space="preserve"> </v>
      </c>
      <c r="EZ80" s="10" t="str">
        <f t="shared" si="307"/>
        <v xml:space="preserve"> </v>
      </c>
      <c r="FA80" s="10" t="str">
        <f t="shared" si="307"/>
        <v xml:space="preserve"> </v>
      </c>
      <c r="FD80" s="10" t="str">
        <f t="shared" si="308"/>
        <v xml:space="preserve"> </v>
      </c>
      <c r="FE80" s="10" t="str">
        <f t="shared" si="308"/>
        <v xml:space="preserve"> </v>
      </c>
      <c r="FF80" s="10" t="str">
        <f t="shared" si="308"/>
        <v xml:space="preserve"> </v>
      </c>
      <c r="FG80" s="10" t="str">
        <f t="shared" si="308"/>
        <v xml:space="preserve"> </v>
      </c>
      <c r="FH80" s="10" t="str">
        <f t="shared" si="308"/>
        <v xml:space="preserve"> </v>
      </c>
      <c r="FK80" s="10" t="str">
        <f t="shared" si="309"/>
        <v xml:space="preserve"> </v>
      </c>
      <c r="FL80" s="10" t="str">
        <f t="shared" si="309"/>
        <v xml:space="preserve"> </v>
      </c>
      <c r="FM80" s="10" t="str">
        <f t="shared" si="309"/>
        <v xml:space="preserve"> </v>
      </c>
      <c r="FN80" s="10" t="str">
        <f t="shared" si="309"/>
        <v xml:space="preserve"> </v>
      </c>
      <c r="FO80" s="10" t="str">
        <f t="shared" si="309"/>
        <v xml:space="preserve"> </v>
      </c>
      <c r="FR80" s="10" t="str">
        <f t="shared" si="310"/>
        <v xml:space="preserve"> </v>
      </c>
      <c r="FS80" s="10" t="str">
        <f t="shared" si="310"/>
        <v xml:space="preserve"> </v>
      </c>
      <c r="FT80" s="10" t="str">
        <f t="shared" si="310"/>
        <v xml:space="preserve"> </v>
      </c>
      <c r="FU80" s="10" t="str">
        <f t="shared" si="310"/>
        <v xml:space="preserve"> </v>
      </c>
      <c r="FV80" s="10" t="str">
        <f t="shared" si="310"/>
        <v xml:space="preserve"> </v>
      </c>
      <c r="FY80" s="10" t="str">
        <f t="shared" si="311"/>
        <v xml:space="preserve"> </v>
      </c>
      <c r="FZ80" s="10" t="str">
        <f t="shared" si="311"/>
        <v xml:space="preserve"> </v>
      </c>
      <c r="GA80" s="10" t="str">
        <f t="shared" si="311"/>
        <v xml:space="preserve"> </v>
      </c>
      <c r="GB80" s="10" t="str">
        <f t="shared" si="311"/>
        <v xml:space="preserve"> </v>
      </c>
      <c r="GC80" s="10" t="str">
        <f t="shared" si="311"/>
        <v xml:space="preserve"> </v>
      </c>
      <c r="GF80" s="10" t="str">
        <f t="shared" si="312"/>
        <v xml:space="preserve"> </v>
      </c>
      <c r="GG80" s="10" t="str">
        <f t="shared" si="312"/>
        <v xml:space="preserve"> </v>
      </c>
      <c r="GH80" s="10" t="str">
        <f t="shared" si="312"/>
        <v xml:space="preserve"> </v>
      </c>
      <c r="GI80" s="10" t="str">
        <f t="shared" si="312"/>
        <v xml:space="preserve"> </v>
      </c>
      <c r="GJ80" s="10" t="str">
        <f t="shared" si="312"/>
        <v xml:space="preserve"> </v>
      </c>
      <c r="GM80" s="10" t="str">
        <f t="shared" si="313"/>
        <v xml:space="preserve"> </v>
      </c>
      <c r="GN80" s="10" t="str">
        <f t="shared" si="313"/>
        <v xml:space="preserve"> </v>
      </c>
      <c r="GO80" s="10" t="str">
        <f t="shared" si="313"/>
        <v xml:space="preserve"> </v>
      </c>
      <c r="GP80" s="10" t="str">
        <f t="shared" si="313"/>
        <v xml:space="preserve"> </v>
      </c>
      <c r="GQ80" s="10" t="str">
        <f t="shared" si="313"/>
        <v xml:space="preserve"> </v>
      </c>
      <c r="GT80" s="10" t="str">
        <f t="shared" si="314"/>
        <v xml:space="preserve"> </v>
      </c>
      <c r="GU80" s="10" t="str">
        <f t="shared" si="314"/>
        <v xml:space="preserve"> </v>
      </c>
      <c r="GV80" s="10" t="str">
        <f t="shared" si="314"/>
        <v xml:space="preserve"> </v>
      </c>
      <c r="GW80" s="10" t="str">
        <f t="shared" si="314"/>
        <v xml:space="preserve"> </v>
      </c>
      <c r="GX80" s="10" t="str">
        <f t="shared" si="314"/>
        <v xml:space="preserve"> </v>
      </c>
      <c r="HA80" s="10" t="str">
        <f t="shared" si="315"/>
        <v xml:space="preserve"> </v>
      </c>
      <c r="HB80" s="10" t="str">
        <f t="shared" si="315"/>
        <v xml:space="preserve"> </v>
      </c>
      <c r="HC80" s="10" t="str">
        <f t="shared" si="315"/>
        <v xml:space="preserve"> </v>
      </c>
      <c r="HD80" s="10" t="str">
        <f t="shared" si="315"/>
        <v xml:space="preserve"> </v>
      </c>
      <c r="HE80" s="10" t="str">
        <f t="shared" si="315"/>
        <v xml:space="preserve"> </v>
      </c>
      <c r="HH80" s="10" t="str">
        <f t="shared" si="316"/>
        <v xml:space="preserve"> </v>
      </c>
      <c r="HI80" s="10" t="str">
        <f t="shared" si="316"/>
        <v xml:space="preserve"> </v>
      </c>
      <c r="HJ80" s="10" t="str">
        <f t="shared" si="316"/>
        <v xml:space="preserve"> </v>
      </c>
      <c r="HK80" s="10" t="str">
        <f t="shared" si="316"/>
        <v xml:space="preserve"> </v>
      </c>
      <c r="HL80" s="10" t="str">
        <f t="shared" si="316"/>
        <v xml:space="preserve"> </v>
      </c>
      <c r="HO80" s="10" t="str">
        <f t="shared" si="317"/>
        <v xml:space="preserve"> </v>
      </c>
      <c r="HP80" s="10" t="str">
        <f t="shared" si="317"/>
        <v xml:space="preserve"> </v>
      </c>
      <c r="HQ80" s="10" t="str">
        <f t="shared" si="317"/>
        <v xml:space="preserve"> </v>
      </c>
      <c r="HR80" s="10" t="str">
        <f t="shared" si="317"/>
        <v xml:space="preserve"> </v>
      </c>
      <c r="HS80" s="10" t="str">
        <f t="shared" si="317"/>
        <v xml:space="preserve"> </v>
      </c>
      <c r="HV80" s="10" t="str">
        <f t="shared" si="318"/>
        <v xml:space="preserve"> </v>
      </c>
      <c r="HW80" s="10" t="str">
        <f t="shared" si="318"/>
        <v xml:space="preserve"> </v>
      </c>
      <c r="HX80" s="10" t="str">
        <f t="shared" si="318"/>
        <v xml:space="preserve"> </v>
      </c>
      <c r="HY80" s="10" t="str">
        <f t="shared" si="318"/>
        <v xml:space="preserve"> </v>
      </c>
      <c r="HZ80" s="10" t="str">
        <f t="shared" si="318"/>
        <v xml:space="preserve"> </v>
      </c>
      <c r="IC80" s="10" t="str">
        <f t="shared" si="319"/>
        <v xml:space="preserve"> </v>
      </c>
      <c r="ID80" s="10" t="str">
        <f t="shared" si="319"/>
        <v xml:space="preserve"> </v>
      </c>
      <c r="IE80" s="10" t="str">
        <f t="shared" si="319"/>
        <v xml:space="preserve"> </v>
      </c>
      <c r="IF80" s="10" t="str">
        <f t="shared" si="319"/>
        <v xml:space="preserve"> </v>
      </c>
      <c r="IG80" s="10" t="str">
        <f t="shared" si="319"/>
        <v xml:space="preserve"> </v>
      </c>
      <c r="IJ80" s="10" t="str">
        <f t="shared" si="320"/>
        <v xml:space="preserve"> </v>
      </c>
      <c r="IK80" s="10" t="str">
        <f t="shared" si="320"/>
        <v xml:space="preserve"> </v>
      </c>
      <c r="IL80" s="10" t="str">
        <f t="shared" si="320"/>
        <v xml:space="preserve"> </v>
      </c>
      <c r="IM80" s="10" t="str">
        <f t="shared" si="320"/>
        <v xml:space="preserve"> </v>
      </c>
      <c r="IN80" s="10" t="str">
        <f t="shared" si="320"/>
        <v xml:space="preserve"> </v>
      </c>
      <c r="IQ80" s="10" t="str">
        <f t="shared" si="321"/>
        <v xml:space="preserve"> </v>
      </c>
      <c r="IR80" s="10" t="str">
        <f t="shared" si="321"/>
        <v xml:space="preserve"> </v>
      </c>
      <c r="IS80" s="10" t="str">
        <f t="shared" si="321"/>
        <v xml:space="preserve"> </v>
      </c>
      <c r="IT80" s="10" t="str">
        <f t="shared" si="321"/>
        <v xml:space="preserve"> </v>
      </c>
      <c r="IU80" s="10" t="str">
        <f t="shared" si="321"/>
        <v xml:space="preserve"> </v>
      </c>
      <c r="IX80" s="10" t="str">
        <f t="shared" si="322"/>
        <v xml:space="preserve"> </v>
      </c>
      <c r="IY80" s="10" t="str">
        <f t="shared" si="322"/>
        <v xml:space="preserve"> </v>
      </c>
      <c r="IZ80" s="10" t="str">
        <f t="shared" si="322"/>
        <v xml:space="preserve"> </v>
      </c>
      <c r="JA80" s="10" t="str">
        <f t="shared" si="322"/>
        <v xml:space="preserve"> </v>
      </c>
      <c r="JB80" s="10" t="str">
        <f t="shared" si="322"/>
        <v xml:space="preserve"> </v>
      </c>
      <c r="JE80" s="10" t="str">
        <f t="shared" si="323"/>
        <v xml:space="preserve"> </v>
      </c>
      <c r="JF80" s="10" t="str">
        <f t="shared" si="323"/>
        <v xml:space="preserve"> </v>
      </c>
      <c r="JG80" s="10" t="str">
        <f t="shared" si="323"/>
        <v xml:space="preserve"> </v>
      </c>
      <c r="JH80" s="10" t="str">
        <f t="shared" si="323"/>
        <v xml:space="preserve"> </v>
      </c>
      <c r="JI80" s="10" t="str">
        <f t="shared" si="323"/>
        <v xml:space="preserve"> </v>
      </c>
    </row>
    <row r="81" spans="13:269">
      <c r="M81" s="10" t="str">
        <f t="shared" si="88"/>
        <v xml:space="preserve"> </v>
      </c>
      <c r="N81" s="10" t="str">
        <f t="shared" si="88"/>
        <v xml:space="preserve"> </v>
      </c>
      <c r="O81" s="10" t="str">
        <f t="shared" si="88"/>
        <v xml:space="preserve"> </v>
      </c>
      <c r="P81" s="10" t="str">
        <f t="shared" si="88"/>
        <v xml:space="preserve"> </v>
      </c>
      <c r="Q81" s="10" t="str">
        <f t="shared" si="88"/>
        <v xml:space="preserve"> </v>
      </c>
      <c r="R81" s="14"/>
      <c r="S81" s="14"/>
      <c r="T81" s="10" t="str">
        <f t="shared" si="288"/>
        <v xml:space="preserve"> </v>
      </c>
      <c r="U81" s="10" t="str">
        <f t="shared" si="288"/>
        <v xml:space="preserve"> </v>
      </c>
      <c r="V81" s="10" t="str">
        <f t="shared" si="288"/>
        <v xml:space="preserve"> </v>
      </c>
      <c r="W81" s="10" t="str">
        <f t="shared" si="288"/>
        <v xml:space="preserve"> </v>
      </c>
      <c r="X81" s="10" t="str">
        <f t="shared" si="288"/>
        <v xml:space="preserve"> </v>
      </c>
      <c r="Y81" s="14"/>
      <c r="Z81" s="14"/>
      <c r="AA81" s="10" t="str">
        <f t="shared" si="289"/>
        <v xml:space="preserve"> </v>
      </c>
      <c r="AB81" s="10" t="str">
        <f t="shared" si="289"/>
        <v xml:space="preserve"> </v>
      </c>
      <c r="AC81" s="10" t="str">
        <f t="shared" si="289"/>
        <v xml:space="preserve"> </v>
      </c>
      <c r="AD81" s="10" t="str">
        <f t="shared" si="289"/>
        <v xml:space="preserve"> </v>
      </c>
      <c r="AE81" s="10" t="str">
        <f t="shared" si="289"/>
        <v xml:space="preserve"> </v>
      </c>
      <c r="AF81" s="14"/>
      <c r="AG81" s="14"/>
      <c r="AH81" s="10" t="str">
        <f t="shared" si="290"/>
        <v xml:space="preserve"> </v>
      </c>
      <c r="AI81" s="10" t="str">
        <f t="shared" si="290"/>
        <v xml:space="preserve"> </v>
      </c>
      <c r="AJ81" s="10" t="str">
        <f t="shared" si="290"/>
        <v xml:space="preserve"> </v>
      </c>
      <c r="AK81" s="10" t="str">
        <f t="shared" si="290"/>
        <v xml:space="preserve"> </v>
      </c>
      <c r="AL81" s="10" t="str">
        <f t="shared" si="290"/>
        <v xml:space="preserve"> </v>
      </c>
      <c r="AM81" s="14"/>
      <c r="AN81" s="14"/>
      <c r="AO81" s="10" t="str">
        <f t="shared" si="291"/>
        <v xml:space="preserve"> </v>
      </c>
      <c r="AP81" s="10" t="str">
        <f t="shared" si="291"/>
        <v xml:space="preserve"> </v>
      </c>
      <c r="AQ81" s="10" t="str">
        <f t="shared" si="291"/>
        <v xml:space="preserve"> </v>
      </c>
      <c r="AR81" s="10" t="str">
        <f t="shared" si="291"/>
        <v xml:space="preserve"> </v>
      </c>
      <c r="AS81" s="10" t="str">
        <f t="shared" si="291"/>
        <v xml:space="preserve"> </v>
      </c>
      <c r="AT81" s="14"/>
      <c r="AU81" s="14"/>
      <c r="AV81" s="10" t="str">
        <f t="shared" si="292"/>
        <v xml:space="preserve"> </v>
      </c>
      <c r="AW81" s="10" t="str">
        <f t="shared" si="292"/>
        <v xml:space="preserve"> </v>
      </c>
      <c r="AX81" s="10" t="str">
        <f t="shared" si="292"/>
        <v xml:space="preserve"> </v>
      </c>
      <c r="AY81" s="10" t="str">
        <f t="shared" si="292"/>
        <v xml:space="preserve"> </v>
      </c>
      <c r="AZ81" s="10" t="str">
        <f t="shared" si="292"/>
        <v xml:space="preserve"> </v>
      </c>
      <c r="BA81" s="14"/>
      <c r="BB81" s="14"/>
      <c r="BC81" s="10" t="str">
        <f t="shared" si="293"/>
        <v xml:space="preserve"> </v>
      </c>
      <c r="BD81" s="10" t="str">
        <f t="shared" si="293"/>
        <v xml:space="preserve"> </v>
      </c>
      <c r="BE81" s="10" t="str">
        <f t="shared" si="293"/>
        <v xml:space="preserve"> </v>
      </c>
      <c r="BF81" s="10" t="str">
        <f t="shared" si="293"/>
        <v xml:space="preserve"> </v>
      </c>
      <c r="BG81" s="10" t="str">
        <f t="shared" si="293"/>
        <v xml:space="preserve"> </v>
      </c>
      <c r="BH81" s="14"/>
      <c r="BI81" s="14"/>
      <c r="BJ81" s="10" t="str">
        <f t="shared" si="294"/>
        <v xml:space="preserve"> </v>
      </c>
      <c r="BK81" s="10" t="str">
        <f t="shared" si="294"/>
        <v xml:space="preserve"> </v>
      </c>
      <c r="BL81" s="10" t="str">
        <f t="shared" si="294"/>
        <v xml:space="preserve"> </v>
      </c>
      <c r="BM81" s="10" t="str">
        <f t="shared" si="294"/>
        <v xml:space="preserve"> </v>
      </c>
      <c r="BN81" s="10" t="str">
        <f t="shared" si="294"/>
        <v xml:space="preserve"> </v>
      </c>
      <c r="BO81" s="14"/>
      <c r="BP81" s="14"/>
      <c r="BQ81" s="10" t="str">
        <f t="shared" si="295"/>
        <v xml:space="preserve"> </v>
      </c>
      <c r="BR81" s="10" t="str">
        <f t="shared" si="295"/>
        <v xml:space="preserve"> </v>
      </c>
      <c r="BS81" s="10" t="str">
        <f t="shared" si="295"/>
        <v xml:space="preserve"> </v>
      </c>
      <c r="BT81" s="10" t="str">
        <f t="shared" si="295"/>
        <v xml:space="preserve"> </v>
      </c>
      <c r="BU81" s="10" t="str">
        <f t="shared" si="295"/>
        <v xml:space="preserve"> </v>
      </c>
      <c r="BV81" s="14"/>
      <c r="BW81" s="14"/>
      <c r="BX81" s="10" t="str">
        <f t="shared" si="296"/>
        <v xml:space="preserve"> </v>
      </c>
      <c r="BY81" s="10" t="str">
        <f t="shared" si="296"/>
        <v xml:space="preserve"> </v>
      </c>
      <c r="BZ81" s="10" t="str">
        <f t="shared" si="296"/>
        <v xml:space="preserve"> </v>
      </c>
      <c r="CA81" s="10" t="str">
        <f t="shared" si="296"/>
        <v xml:space="preserve"> </v>
      </c>
      <c r="CB81" s="10" t="str">
        <f t="shared" si="296"/>
        <v xml:space="preserve"> </v>
      </c>
      <c r="CC81" s="14"/>
      <c r="CD81" s="14"/>
      <c r="CE81" s="10" t="str">
        <f t="shared" si="297"/>
        <v xml:space="preserve"> </v>
      </c>
      <c r="CF81" s="10" t="str">
        <f t="shared" si="297"/>
        <v xml:space="preserve"> </v>
      </c>
      <c r="CG81" s="10" t="str">
        <f t="shared" si="297"/>
        <v xml:space="preserve"> </v>
      </c>
      <c r="CH81" s="10" t="str">
        <f t="shared" si="297"/>
        <v xml:space="preserve"> </v>
      </c>
      <c r="CI81" s="10" t="str">
        <f t="shared" si="297"/>
        <v xml:space="preserve"> </v>
      </c>
      <c r="CJ81" s="14"/>
      <c r="CK81" s="14"/>
      <c r="CL81" s="10" t="str">
        <f t="shared" si="298"/>
        <v xml:space="preserve"> </v>
      </c>
      <c r="CM81" s="10" t="str">
        <f t="shared" si="298"/>
        <v xml:space="preserve"> </v>
      </c>
      <c r="CN81" s="10" t="str">
        <f t="shared" si="298"/>
        <v xml:space="preserve"> </v>
      </c>
      <c r="CO81" s="10" t="str">
        <f t="shared" si="298"/>
        <v xml:space="preserve"> </v>
      </c>
      <c r="CP81" s="10" t="str">
        <f t="shared" si="298"/>
        <v xml:space="preserve"> </v>
      </c>
      <c r="CQ81" s="14"/>
      <c r="CR81" s="14"/>
      <c r="CS81" s="10" t="str">
        <f t="shared" si="299"/>
        <v xml:space="preserve"> </v>
      </c>
      <c r="CT81" s="10" t="str">
        <f t="shared" si="299"/>
        <v xml:space="preserve"> </v>
      </c>
      <c r="CU81" s="10" t="str">
        <f t="shared" si="299"/>
        <v xml:space="preserve"> </v>
      </c>
      <c r="CV81" s="10" t="str">
        <f t="shared" si="299"/>
        <v xml:space="preserve"> </v>
      </c>
      <c r="CW81" s="10" t="str">
        <f t="shared" si="299"/>
        <v xml:space="preserve"> </v>
      </c>
      <c r="CZ81" s="10" t="str">
        <f t="shared" si="300"/>
        <v xml:space="preserve"> </v>
      </c>
      <c r="DA81" s="10" t="str">
        <f t="shared" si="300"/>
        <v xml:space="preserve"> </v>
      </c>
      <c r="DB81" s="10" t="str">
        <f t="shared" si="300"/>
        <v xml:space="preserve"> </v>
      </c>
      <c r="DC81" s="10" t="str">
        <f t="shared" si="300"/>
        <v xml:space="preserve"> </v>
      </c>
      <c r="DD81" s="10" t="str">
        <f t="shared" si="300"/>
        <v xml:space="preserve"> </v>
      </c>
      <c r="DG81" s="10" t="str">
        <f t="shared" si="301"/>
        <v xml:space="preserve"> </v>
      </c>
      <c r="DH81" s="10" t="str">
        <f t="shared" si="301"/>
        <v xml:space="preserve"> </v>
      </c>
      <c r="DI81" s="10" t="str">
        <f t="shared" si="301"/>
        <v xml:space="preserve"> </v>
      </c>
      <c r="DJ81" s="10" t="str">
        <f t="shared" si="301"/>
        <v xml:space="preserve"> </v>
      </c>
      <c r="DK81" s="10" t="str">
        <f t="shared" si="301"/>
        <v xml:space="preserve"> </v>
      </c>
      <c r="DN81" s="10" t="str">
        <f t="shared" si="302"/>
        <v xml:space="preserve"> </v>
      </c>
      <c r="DO81" s="10" t="str">
        <f t="shared" si="302"/>
        <v xml:space="preserve"> </v>
      </c>
      <c r="DP81" s="10" t="str">
        <f t="shared" si="302"/>
        <v xml:space="preserve"> </v>
      </c>
      <c r="DQ81" s="10" t="str">
        <f t="shared" si="302"/>
        <v xml:space="preserve"> </v>
      </c>
      <c r="DR81" s="10" t="str">
        <f t="shared" si="302"/>
        <v xml:space="preserve"> </v>
      </c>
      <c r="DU81" s="10" t="str">
        <f t="shared" si="303"/>
        <v xml:space="preserve"> </v>
      </c>
      <c r="DV81" s="10" t="str">
        <f t="shared" si="303"/>
        <v xml:space="preserve"> </v>
      </c>
      <c r="DW81" s="10" t="str">
        <f t="shared" si="303"/>
        <v xml:space="preserve"> </v>
      </c>
      <c r="DX81" s="10" t="str">
        <f t="shared" si="303"/>
        <v xml:space="preserve"> </v>
      </c>
      <c r="DY81" s="10" t="str">
        <f t="shared" si="303"/>
        <v xml:space="preserve"> </v>
      </c>
      <c r="EB81" s="10" t="str">
        <f t="shared" si="304"/>
        <v xml:space="preserve"> </v>
      </c>
      <c r="EC81" s="10" t="str">
        <f t="shared" si="304"/>
        <v xml:space="preserve"> </v>
      </c>
      <c r="ED81" s="10" t="str">
        <f t="shared" si="304"/>
        <v xml:space="preserve"> </v>
      </c>
      <c r="EE81" s="10" t="str">
        <f t="shared" si="304"/>
        <v xml:space="preserve"> </v>
      </c>
      <c r="EF81" s="10" t="str">
        <f t="shared" si="304"/>
        <v xml:space="preserve"> </v>
      </c>
      <c r="EI81" s="10" t="str">
        <f t="shared" si="305"/>
        <v xml:space="preserve"> </v>
      </c>
      <c r="EJ81" s="10" t="str">
        <f t="shared" si="305"/>
        <v xml:space="preserve"> </v>
      </c>
      <c r="EK81" s="10" t="str">
        <f t="shared" si="305"/>
        <v xml:space="preserve"> </v>
      </c>
      <c r="EL81" s="10" t="str">
        <f t="shared" si="305"/>
        <v xml:space="preserve"> </v>
      </c>
      <c r="EM81" s="10" t="str">
        <f t="shared" si="305"/>
        <v xml:space="preserve"> </v>
      </c>
      <c r="EP81" s="10" t="str">
        <f t="shared" si="306"/>
        <v xml:space="preserve"> </v>
      </c>
      <c r="EQ81" s="10" t="str">
        <f t="shared" si="306"/>
        <v xml:space="preserve"> </v>
      </c>
      <c r="ER81" s="10" t="str">
        <f t="shared" si="306"/>
        <v xml:space="preserve"> </v>
      </c>
      <c r="ES81" s="10" t="str">
        <f t="shared" si="306"/>
        <v xml:space="preserve"> </v>
      </c>
      <c r="ET81" s="10" t="str">
        <f t="shared" si="306"/>
        <v xml:space="preserve"> </v>
      </c>
      <c r="EW81" s="10" t="str">
        <f t="shared" si="307"/>
        <v xml:space="preserve"> </v>
      </c>
      <c r="EX81" s="10" t="str">
        <f t="shared" si="307"/>
        <v xml:space="preserve"> </v>
      </c>
      <c r="EY81" s="10" t="str">
        <f t="shared" si="307"/>
        <v xml:space="preserve"> </v>
      </c>
      <c r="EZ81" s="10" t="str">
        <f t="shared" si="307"/>
        <v xml:space="preserve"> </v>
      </c>
      <c r="FA81" s="10" t="str">
        <f t="shared" si="307"/>
        <v xml:space="preserve"> </v>
      </c>
      <c r="FD81" s="10" t="str">
        <f t="shared" si="308"/>
        <v xml:space="preserve"> </v>
      </c>
      <c r="FE81" s="10" t="str">
        <f t="shared" si="308"/>
        <v xml:space="preserve"> </v>
      </c>
      <c r="FF81" s="10" t="str">
        <f t="shared" si="308"/>
        <v xml:space="preserve"> </v>
      </c>
      <c r="FG81" s="10" t="str">
        <f t="shared" si="308"/>
        <v xml:space="preserve"> </v>
      </c>
      <c r="FH81" s="10" t="str">
        <f t="shared" si="308"/>
        <v xml:space="preserve"> </v>
      </c>
      <c r="FK81" s="10" t="str">
        <f t="shared" si="309"/>
        <v xml:space="preserve"> </v>
      </c>
      <c r="FL81" s="10" t="str">
        <f t="shared" si="309"/>
        <v xml:space="preserve"> </v>
      </c>
      <c r="FM81" s="10" t="str">
        <f t="shared" si="309"/>
        <v xml:space="preserve"> </v>
      </c>
      <c r="FN81" s="10" t="str">
        <f t="shared" si="309"/>
        <v xml:space="preserve"> </v>
      </c>
      <c r="FO81" s="10" t="str">
        <f t="shared" si="309"/>
        <v xml:space="preserve"> </v>
      </c>
      <c r="FR81" s="10" t="str">
        <f t="shared" si="310"/>
        <v xml:space="preserve"> </v>
      </c>
      <c r="FS81" s="10" t="str">
        <f t="shared" si="310"/>
        <v xml:space="preserve"> </v>
      </c>
      <c r="FT81" s="10" t="str">
        <f t="shared" si="310"/>
        <v xml:space="preserve"> </v>
      </c>
      <c r="FU81" s="10" t="str">
        <f t="shared" si="310"/>
        <v xml:space="preserve"> </v>
      </c>
      <c r="FV81" s="10" t="str">
        <f t="shared" si="310"/>
        <v xml:space="preserve"> </v>
      </c>
      <c r="FY81" s="10" t="str">
        <f t="shared" si="311"/>
        <v xml:space="preserve"> </v>
      </c>
      <c r="FZ81" s="10" t="str">
        <f t="shared" si="311"/>
        <v xml:space="preserve"> </v>
      </c>
      <c r="GA81" s="10" t="str">
        <f t="shared" si="311"/>
        <v xml:space="preserve"> </v>
      </c>
      <c r="GB81" s="10" t="str">
        <f t="shared" si="311"/>
        <v xml:space="preserve"> </v>
      </c>
      <c r="GC81" s="10" t="str">
        <f t="shared" si="311"/>
        <v xml:space="preserve"> </v>
      </c>
      <c r="GF81" s="10" t="str">
        <f t="shared" si="312"/>
        <v xml:space="preserve"> </v>
      </c>
      <c r="GG81" s="10" t="str">
        <f t="shared" si="312"/>
        <v xml:space="preserve"> </v>
      </c>
      <c r="GH81" s="10" t="str">
        <f t="shared" si="312"/>
        <v xml:space="preserve"> </v>
      </c>
      <c r="GI81" s="10" t="str">
        <f t="shared" si="312"/>
        <v xml:space="preserve"> </v>
      </c>
      <c r="GJ81" s="10" t="str">
        <f t="shared" si="312"/>
        <v xml:space="preserve"> </v>
      </c>
      <c r="GM81" s="10" t="str">
        <f t="shared" si="313"/>
        <v xml:space="preserve"> </v>
      </c>
      <c r="GN81" s="10" t="str">
        <f t="shared" si="313"/>
        <v xml:space="preserve"> </v>
      </c>
      <c r="GO81" s="10" t="str">
        <f t="shared" si="313"/>
        <v xml:space="preserve"> </v>
      </c>
      <c r="GP81" s="10" t="str">
        <f t="shared" si="313"/>
        <v xml:space="preserve"> </v>
      </c>
      <c r="GQ81" s="10" t="str">
        <f t="shared" si="313"/>
        <v xml:space="preserve"> </v>
      </c>
      <c r="GT81" s="10" t="str">
        <f t="shared" si="314"/>
        <v xml:space="preserve"> </v>
      </c>
      <c r="GU81" s="10" t="str">
        <f t="shared" si="314"/>
        <v xml:space="preserve"> </v>
      </c>
      <c r="GV81" s="10" t="str">
        <f t="shared" si="314"/>
        <v xml:space="preserve"> </v>
      </c>
      <c r="GW81" s="10" t="str">
        <f t="shared" si="314"/>
        <v xml:space="preserve"> </v>
      </c>
      <c r="GX81" s="10" t="str">
        <f t="shared" si="314"/>
        <v xml:space="preserve"> </v>
      </c>
      <c r="HA81" s="10" t="str">
        <f t="shared" si="315"/>
        <v xml:space="preserve"> </v>
      </c>
      <c r="HB81" s="10" t="str">
        <f t="shared" si="315"/>
        <v xml:space="preserve"> </v>
      </c>
      <c r="HC81" s="10" t="str">
        <f t="shared" si="315"/>
        <v xml:space="preserve"> </v>
      </c>
      <c r="HD81" s="10" t="str">
        <f t="shared" si="315"/>
        <v xml:space="preserve"> </v>
      </c>
      <c r="HE81" s="10" t="str">
        <f t="shared" si="315"/>
        <v xml:space="preserve"> </v>
      </c>
      <c r="HH81" s="10" t="str">
        <f t="shared" si="316"/>
        <v xml:space="preserve"> </v>
      </c>
      <c r="HI81" s="10" t="str">
        <f t="shared" si="316"/>
        <v xml:space="preserve"> </v>
      </c>
      <c r="HJ81" s="10" t="str">
        <f t="shared" si="316"/>
        <v xml:space="preserve"> </v>
      </c>
      <c r="HK81" s="10" t="str">
        <f t="shared" si="316"/>
        <v xml:space="preserve"> </v>
      </c>
      <c r="HL81" s="10" t="str">
        <f t="shared" si="316"/>
        <v xml:space="preserve"> </v>
      </c>
      <c r="HO81" s="10" t="str">
        <f t="shared" si="317"/>
        <v xml:space="preserve"> </v>
      </c>
      <c r="HP81" s="10" t="str">
        <f t="shared" si="317"/>
        <v xml:space="preserve"> </v>
      </c>
      <c r="HQ81" s="10" t="str">
        <f t="shared" si="317"/>
        <v xml:space="preserve"> </v>
      </c>
      <c r="HR81" s="10" t="str">
        <f t="shared" si="317"/>
        <v xml:space="preserve"> </v>
      </c>
      <c r="HS81" s="10" t="str">
        <f t="shared" si="317"/>
        <v xml:space="preserve"> </v>
      </c>
      <c r="HV81" s="10" t="str">
        <f t="shared" si="318"/>
        <v xml:space="preserve"> </v>
      </c>
      <c r="HW81" s="10" t="str">
        <f t="shared" si="318"/>
        <v xml:space="preserve"> </v>
      </c>
      <c r="HX81" s="10" t="str">
        <f t="shared" si="318"/>
        <v xml:space="preserve"> </v>
      </c>
      <c r="HY81" s="10" t="str">
        <f t="shared" si="318"/>
        <v xml:space="preserve"> </v>
      </c>
      <c r="HZ81" s="10" t="str">
        <f t="shared" si="318"/>
        <v xml:space="preserve"> </v>
      </c>
      <c r="IC81" s="10" t="str">
        <f t="shared" si="319"/>
        <v xml:space="preserve"> </v>
      </c>
      <c r="ID81" s="10" t="str">
        <f t="shared" si="319"/>
        <v xml:space="preserve"> </v>
      </c>
      <c r="IE81" s="10" t="str">
        <f t="shared" si="319"/>
        <v xml:space="preserve"> </v>
      </c>
      <c r="IF81" s="10" t="str">
        <f t="shared" si="319"/>
        <v xml:space="preserve"> </v>
      </c>
      <c r="IG81" s="10" t="str">
        <f t="shared" si="319"/>
        <v xml:space="preserve"> </v>
      </c>
      <c r="IJ81" s="10" t="str">
        <f t="shared" si="320"/>
        <v xml:space="preserve"> </v>
      </c>
      <c r="IK81" s="10" t="str">
        <f t="shared" si="320"/>
        <v xml:space="preserve"> </v>
      </c>
      <c r="IL81" s="10" t="str">
        <f t="shared" si="320"/>
        <v xml:space="preserve"> </v>
      </c>
      <c r="IM81" s="10" t="str">
        <f t="shared" si="320"/>
        <v xml:space="preserve"> </v>
      </c>
      <c r="IN81" s="10" t="str">
        <f t="shared" si="320"/>
        <v xml:space="preserve"> </v>
      </c>
      <c r="IQ81" s="10" t="str">
        <f t="shared" si="321"/>
        <v xml:space="preserve"> </v>
      </c>
      <c r="IR81" s="10" t="str">
        <f t="shared" si="321"/>
        <v xml:space="preserve"> </v>
      </c>
      <c r="IS81" s="10" t="str">
        <f t="shared" si="321"/>
        <v xml:space="preserve"> </v>
      </c>
      <c r="IT81" s="10" t="str">
        <f t="shared" si="321"/>
        <v xml:space="preserve"> </v>
      </c>
      <c r="IU81" s="10" t="str">
        <f t="shared" si="321"/>
        <v xml:space="preserve"> </v>
      </c>
      <c r="IX81" s="10" t="str">
        <f t="shared" si="322"/>
        <v xml:space="preserve"> </v>
      </c>
      <c r="IY81" s="10" t="str">
        <f t="shared" si="322"/>
        <v xml:space="preserve"> </v>
      </c>
      <c r="IZ81" s="10" t="str">
        <f t="shared" si="322"/>
        <v xml:space="preserve"> </v>
      </c>
      <c r="JA81" s="10" t="str">
        <f t="shared" si="322"/>
        <v xml:space="preserve"> </v>
      </c>
      <c r="JB81" s="10" t="str">
        <f t="shared" si="322"/>
        <v xml:space="preserve"> </v>
      </c>
      <c r="JE81" s="10" t="str">
        <f t="shared" si="323"/>
        <v xml:space="preserve"> </v>
      </c>
      <c r="JF81" s="10" t="str">
        <f t="shared" si="323"/>
        <v xml:space="preserve"> </v>
      </c>
      <c r="JG81" s="10" t="str">
        <f t="shared" si="323"/>
        <v xml:space="preserve"> </v>
      </c>
      <c r="JH81" s="10" t="str">
        <f t="shared" si="323"/>
        <v xml:space="preserve"> </v>
      </c>
      <c r="JI81" s="10" t="str">
        <f t="shared" si="323"/>
        <v xml:space="preserve"> </v>
      </c>
    </row>
    <row r="82" spans="13:269">
      <c r="M82" s="10" t="str">
        <f t="shared" si="88"/>
        <v xml:space="preserve"> </v>
      </c>
      <c r="N82" s="10" t="str">
        <f t="shared" si="88"/>
        <v xml:space="preserve"> </v>
      </c>
      <c r="O82" s="10" t="str">
        <f t="shared" si="88"/>
        <v xml:space="preserve"> </v>
      </c>
      <c r="P82" s="10" t="str">
        <f t="shared" si="88"/>
        <v xml:space="preserve"> </v>
      </c>
      <c r="Q82" s="10" t="str">
        <f t="shared" si="88"/>
        <v xml:space="preserve"> </v>
      </c>
      <c r="R82" s="14"/>
      <c r="S82" s="14"/>
      <c r="T82" s="10" t="str">
        <f t="shared" si="288"/>
        <v xml:space="preserve"> </v>
      </c>
      <c r="U82" s="10" t="str">
        <f t="shared" si="288"/>
        <v xml:space="preserve"> </v>
      </c>
      <c r="V82" s="10" t="str">
        <f t="shared" si="288"/>
        <v xml:space="preserve"> </v>
      </c>
      <c r="W82" s="10" t="str">
        <f t="shared" si="288"/>
        <v xml:space="preserve"> </v>
      </c>
      <c r="X82" s="10" t="str">
        <f t="shared" si="288"/>
        <v xml:space="preserve"> </v>
      </c>
      <c r="Y82" s="14"/>
      <c r="Z82" s="14"/>
      <c r="AA82" s="10" t="str">
        <f t="shared" si="289"/>
        <v xml:space="preserve"> </v>
      </c>
      <c r="AB82" s="10" t="str">
        <f t="shared" si="289"/>
        <v xml:space="preserve"> </v>
      </c>
      <c r="AC82" s="10" t="str">
        <f t="shared" si="289"/>
        <v xml:space="preserve"> </v>
      </c>
      <c r="AD82" s="10" t="str">
        <f t="shared" si="289"/>
        <v xml:space="preserve"> </v>
      </c>
      <c r="AE82" s="10" t="str">
        <f t="shared" si="289"/>
        <v xml:space="preserve"> </v>
      </c>
      <c r="AF82" s="14"/>
      <c r="AG82" s="14"/>
      <c r="AH82" s="10" t="str">
        <f t="shared" si="290"/>
        <v xml:space="preserve"> </v>
      </c>
      <c r="AI82" s="10" t="str">
        <f t="shared" si="290"/>
        <v xml:space="preserve"> </v>
      </c>
      <c r="AJ82" s="10" t="str">
        <f t="shared" si="290"/>
        <v xml:space="preserve"> </v>
      </c>
      <c r="AK82" s="10" t="str">
        <f t="shared" si="290"/>
        <v xml:space="preserve"> </v>
      </c>
      <c r="AL82" s="10" t="str">
        <f t="shared" si="290"/>
        <v xml:space="preserve"> </v>
      </c>
      <c r="AM82" s="14"/>
      <c r="AN82" s="14"/>
      <c r="AO82" s="10" t="str">
        <f t="shared" si="291"/>
        <v xml:space="preserve"> </v>
      </c>
      <c r="AP82" s="10" t="str">
        <f t="shared" si="291"/>
        <v xml:space="preserve"> </v>
      </c>
      <c r="AQ82" s="10" t="str">
        <f t="shared" si="291"/>
        <v xml:space="preserve"> </v>
      </c>
      <c r="AR82" s="10" t="str">
        <f t="shared" si="291"/>
        <v xml:space="preserve"> </v>
      </c>
      <c r="AS82" s="10" t="str">
        <f t="shared" si="291"/>
        <v xml:space="preserve"> </v>
      </c>
      <c r="AT82" s="14"/>
      <c r="AU82" s="14"/>
      <c r="AV82" s="10" t="str">
        <f t="shared" si="292"/>
        <v xml:space="preserve"> </v>
      </c>
      <c r="AW82" s="10" t="str">
        <f t="shared" si="292"/>
        <v xml:space="preserve"> </v>
      </c>
      <c r="AX82" s="10" t="str">
        <f t="shared" si="292"/>
        <v xml:space="preserve"> </v>
      </c>
      <c r="AY82" s="10" t="str">
        <f t="shared" si="292"/>
        <v xml:space="preserve"> </v>
      </c>
      <c r="AZ82" s="10" t="str">
        <f t="shared" si="292"/>
        <v xml:space="preserve"> </v>
      </c>
      <c r="BA82" s="14"/>
      <c r="BB82" s="14"/>
      <c r="BC82" s="10" t="str">
        <f t="shared" si="293"/>
        <v xml:space="preserve"> </v>
      </c>
      <c r="BD82" s="10" t="str">
        <f t="shared" si="293"/>
        <v xml:space="preserve"> </v>
      </c>
      <c r="BE82" s="10" t="str">
        <f t="shared" si="293"/>
        <v xml:space="preserve"> </v>
      </c>
      <c r="BF82" s="10" t="str">
        <f t="shared" si="293"/>
        <v xml:space="preserve"> </v>
      </c>
      <c r="BG82" s="10" t="str">
        <f t="shared" si="293"/>
        <v xml:space="preserve"> </v>
      </c>
      <c r="BH82" s="14"/>
      <c r="BI82" s="14"/>
      <c r="BJ82" s="10" t="str">
        <f t="shared" si="294"/>
        <v xml:space="preserve"> </v>
      </c>
      <c r="BK82" s="10" t="str">
        <f t="shared" si="294"/>
        <v xml:space="preserve"> </v>
      </c>
      <c r="BL82" s="10" t="str">
        <f t="shared" si="294"/>
        <v xml:space="preserve"> </v>
      </c>
      <c r="BM82" s="10" t="str">
        <f t="shared" si="294"/>
        <v xml:space="preserve"> </v>
      </c>
      <c r="BN82" s="10" t="str">
        <f t="shared" si="294"/>
        <v xml:space="preserve"> </v>
      </c>
      <c r="BO82" s="14"/>
      <c r="BP82" s="14"/>
      <c r="BQ82" s="10" t="str">
        <f t="shared" si="295"/>
        <v xml:space="preserve"> </v>
      </c>
      <c r="BR82" s="10" t="str">
        <f t="shared" si="295"/>
        <v xml:space="preserve"> </v>
      </c>
      <c r="BS82" s="10" t="str">
        <f t="shared" si="295"/>
        <v xml:space="preserve"> </v>
      </c>
      <c r="BT82" s="10" t="str">
        <f t="shared" si="295"/>
        <v xml:space="preserve"> </v>
      </c>
      <c r="BU82" s="10" t="str">
        <f t="shared" si="295"/>
        <v xml:space="preserve"> </v>
      </c>
      <c r="BV82" s="14"/>
      <c r="BW82" s="14"/>
      <c r="BX82" s="10" t="str">
        <f t="shared" si="296"/>
        <v xml:space="preserve"> </v>
      </c>
      <c r="BY82" s="10" t="str">
        <f t="shared" si="296"/>
        <v xml:space="preserve"> </v>
      </c>
      <c r="BZ82" s="10" t="str">
        <f t="shared" si="296"/>
        <v xml:space="preserve"> </v>
      </c>
      <c r="CA82" s="10" t="str">
        <f t="shared" si="296"/>
        <v xml:space="preserve"> </v>
      </c>
      <c r="CB82" s="10" t="str">
        <f t="shared" si="296"/>
        <v xml:space="preserve"> </v>
      </c>
      <c r="CC82" s="14"/>
      <c r="CD82" s="14"/>
      <c r="CE82" s="10" t="str">
        <f t="shared" si="297"/>
        <v xml:space="preserve"> </v>
      </c>
      <c r="CF82" s="10" t="str">
        <f t="shared" si="297"/>
        <v xml:space="preserve"> </v>
      </c>
      <c r="CG82" s="10" t="str">
        <f t="shared" si="297"/>
        <v xml:space="preserve"> </v>
      </c>
      <c r="CH82" s="10" t="str">
        <f t="shared" si="297"/>
        <v xml:space="preserve"> </v>
      </c>
      <c r="CI82" s="10" t="str">
        <f t="shared" si="297"/>
        <v xml:space="preserve"> </v>
      </c>
      <c r="CJ82" s="14"/>
      <c r="CK82" s="14"/>
      <c r="CL82" s="10" t="str">
        <f t="shared" si="298"/>
        <v xml:space="preserve"> </v>
      </c>
      <c r="CM82" s="10" t="str">
        <f t="shared" si="298"/>
        <v xml:space="preserve"> </v>
      </c>
      <c r="CN82" s="10" t="str">
        <f t="shared" si="298"/>
        <v xml:space="preserve"> </v>
      </c>
      <c r="CO82" s="10" t="str">
        <f t="shared" si="298"/>
        <v xml:space="preserve"> </v>
      </c>
      <c r="CP82" s="10" t="str">
        <f t="shared" si="298"/>
        <v xml:space="preserve"> </v>
      </c>
      <c r="CQ82" s="14"/>
      <c r="CR82" s="14"/>
      <c r="CS82" s="10" t="str">
        <f t="shared" si="299"/>
        <v xml:space="preserve"> </v>
      </c>
      <c r="CT82" s="10" t="str">
        <f t="shared" si="299"/>
        <v xml:space="preserve"> </v>
      </c>
      <c r="CU82" s="10" t="str">
        <f t="shared" si="299"/>
        <v xml:space="preserve"> </v>
      </c>
      <c r="CV82" s="10" t="str">
        <f t="shared" si="299"/>
        <v xml:space="preserve"> </v>
      </c>
      <c r="CW82" s="10" t="str">
        <f t="shared" si="299"/>
        <v xml:space="preserve"> </v>
      </c>
      <c r="CZ82" s="10" t="str">
        <f t="shared" si="300"/>
        <v xml:space="preserve"> </v>
      </c>
      <c r="DA82" s="10" t="str">
        <f t="shared" si="300"/>
        <v xml:space="preserve"> </v>
      </c>
      <c r="DB82" s="10" t="str">
        <f t="shared" si="300"/>
        <v xml:space="preserve"> </v>
      </c>
      <c r="DC82" s="10" t="str">
        <f t="shared" si="300"/>
        <v xml:space="preserve"> </v>
      </c>
      <c r="DD82" s="10" t="str">
        <f t="shared" si="300"/>
        <v xml:space="preserve"> </v>
      </c>
      <c r="DG82" s="10" t="str">
        <f t="shared" si="301"/>
        <v xml:space="preserve"> </v>
      </c>
      <c r="DH82" s="10" t="str">
        <f t="shared" si="301"/>
        <v xml:space="preserve"> </v>
      </c>
      <c r="DI82" s="10" t="str">
        <f t="shared" si="301"/>
        <v xml:space="preserve"> </v>
      </c>
      <c r="DJ82" s="10" t="str">
        <f t="shared" si="301"/>
        <v xml:space="preserve"> </v>
      </c>
      <c r="DK82" s="10" t="str">
        <f t="shared" si="301"/>
        <v xml:space="preserve"> </v>
      </c>
      <c r="DN82" s="10" t="str">
        <f t="shared" si="302"/>
        <v xml:space="preserve"> </v>
      </c>
      <c r="DO82" s="10" t="str">
        <f t="shared" si="302"/>
        <v xml:space="preserve"> </v>
      </c>
      <c r="DP82" s="10" t="str">
        <f t="shared" si="302"/>
        <v xml:space="preserve"> </v>
      </c>
      <c r="DQ82" s="10" t="str">
        <f t="shared" si="302"/>
        <v xml:space="preserve"> </v>
      </c>
      <c r="DR82" s="10" t="str">
        <f t="shared" si="302"/>
        <v xml:space="preserve"> </v>
      </c>
      <c r="DU82" s="10" t="str">
        <f t="shared" si="303"/>
        <v xml:space="preserve"> </v>
      </c>
      <c r="DV82" s="10" t="str">
        <f t="shared" si="303"/>
        <v xml:space="preserve"> </v>
      </c>
      <c r="DW82" s="10" t="str">
        <f t="shared" si="303"/>
        <v xml:space="preserve"> </v>
      </c>
      <c r="DX82" s="10" t="str">
        <f t="shared" si="303"/>
        <v xml:space="preserve"> </v>
      </c>
      <c r="DY82" s="10" t="str">
        <f t="shared" si="303"/>
        <v xml:space="preserve"> </v>
      </c>
      <c r="EB82" s="10" t="str">
        <f t="shared" si="304"/>
        <v xml:space="preserve"> </v>
      </c>
      <c r="EC82" s="10" t="str">
        <f t="shared" si="304"/>
        <v xml:space="preserve"> </v>
      </c>
      <c r="ED82" s="10" t="str">
        <f t="shared" si="304"/>
        <v xml:space="preserve"> </v>
      </c>
      <c r="EE82" s="10" t="str">
        <f t="shared" si="304"/>
        <v xml:space="preserve"> </v>
      </c>
      <c r="EF82" s="10" t="str">
        <f t="shared" si="304"/>
        <v xml:space="preserve"> </v>
      </c>
      <c r="EI82" s="10" t="str">
        <f t="shared" si="305"/>
        <v xml:space="preserve"> </v>
      </c>
      <c r="EJ82" s="10" t="str">
        <f t="shared" si="305"/>
        <v xml:space="preserve"> </v>
      </c>
      <c r="EK82" s="10" t="str">
        <f t="shared" si="305"/>
        <v xml:space="preserve"> </v>
      </c>
      <c r="EL82" s="10" t="str">
        <f t="shared" si="305"/>
        <v xml:space="preserve"> </v>
      </c>
      <c r="EM82" s="10" t="str">
        <f t="shared" si="305"/>
        <v xml:space="preserve"> </v>
      </c>
      <c r="EP82" s="10" t="str">
        <f t="shared" si="306"/>
        <v xml:space="preserve"> </v>
      </c>
      <c r="EQ82" s="10" t="str">
        <f t="shared" si="306"/>
        <v xml:space="preserve"> </v>
      </c>
      <c r="ER82" s="10" t="str">
        <f t="shared" si="306"/>
        <v xml:space="preserve"> </v>
      </c>
      <c r="ES82" s="10" t="str">
        <f t="shared" si="306"/>
        <v xml:space="preserve"> </v>
      </c>
      <c r="ET82" s="10" t="str">
        <f t="shared" si="306"/>
        <v xml:space="preserve"> </v>
      </c>
      <c r="EW82" s="10" t="str">
        <f t="shared" si="307"/>
        <v xml:space="preserve"> </v>
      </c>
      <c r="EX82" s="10" t="str">
        <f t="shared" si="307"/>
        <v xml:space="preserve"> </v>
      </c>
      <c r="EY82" s="10" t="str">
        <f t="shared" si="307"/>
        <v xml:space="preserve"> </v>
      </c>
      <c r="EZ82" s="10" t="str">
        <f t="shared" si="307"/>
        <v xml:space="preserve"> </v>
      </c>
      <c r="FA82" s="10" t="str">
        <f t="shared" si="307"/>
        <v xml:space="preserve"> </v>
      </c>
      <c r="FD82" s="10" t="str">
        <f t="shared" si="308"/>
        <v xml:space="preserve"> </v>
      </c>
      <c r="FE82" s="10" t="str">
        <f t="shared" si="308"/>
        <v xml:space="preserve"> </v>
      </c>
      <c r="FF82" s="10" t="str">
        <f t="shared" si="308"/>
        <v xml:space="preserve"> </v>
      </c>
      <c r="FG82" s="10" t="str">
        <f t="shared" si="308"/>
        <v xml:space="preserve"> </v>
      </c>
      <c r="FH82" s="10" t="str">
        <f t="shared" si="308"/>
        <v xml:space="preserve"> </v>
      </c>
      <c r="FK82" s="10" t="str">
        <f t="shared" si="309"/>
        <v xml:space="preserve"> </v>
      </c>
      <c r="FL82" s="10" t="str">
        <f t="shared" si="309"/>
        <v xml:space="preserve"> </v>
      </c>
      <c r="FM82" s="10" t="str">
        <f t="shared" si="309"/>
        <v xml:space="preserve"> </v>
      </c>
      <c r="FN82" s="10" t="str">
        <f t="shared" si="309"/>
        <v xml:space="preserve"> </v>
      </c>
      <c r="FO82" s="10" t="str">
        <f t="shared" si="309"/>
        <v xml:space="preserve"> </v>
      </c>
      <c r="FR82" s="10" t="str">
        <f t="shared" si="310"/>
        <v xml:space="preserve"> </v>
      </c>
      <c r="FS82" s="10" t="str">
        <f t="shared" si="310"/>
        <v xml:space="preserve"> </v>
      </c>
      <c r="FT82" s="10" t="str">
        <f t="shared" si="310"/>
        <v xml:space="preserve"> </v>
      </c>
      <c r="FU82" s="10" t="str">
        <f t="shared" si="310"/>
        <v xml:space="preserve"> </v>
      </c>
      <c r="FV82" s="10" t="str">
        <f t="shared" si="310"/>
        <v xml:space="preserve"> </v>
      </c>
      <c r="FY82" s="10" t="str">
        <f t="shared" si="311"/>
        <v xml:space="preserve"> </v>
      </c>
      <c r="FZ82" s="10" t="str">
        <f t="shared" si="311"/>
        <v xml:space="preserve"> </v>
      </c>
      <c r="GA82" s="10" t="str">
        <f t="shared" si="311"/>
        <v xml:space="preserve"> </v>
      </c>
      <c r="GB82" s="10" t="str">
        <f t="shared" si="311"/>
        <v xml:space="preserve"> </v>
      </c>
      <c r="GC82" s="10" t="str">
        <f t="shared" si="311"/>
        <v xml:space="preserve"> </v>
      </c>
      <c r="GF82" s="10" t="str">
        <f t="shared" si="312"/>
        <v xml:space="preserve"> </v>
      </c>
      <c r="GG82" s="10" t="str">
        <f t="shared" si="312"/>
        <v xml:space="preserve"> </v>
      </c>
      <c r="GH82" s="10" t="str">
        <f t="shared" si="312"/>
        <v xml:space="preserve"> </v>
      </c>
      <c r="GI82" s="10" t="str">
        <f t="shared" si="312"/>
        <v xml:space="preserve"> </v>
      </c>
      <c r="GJ82" s="10" t="str">
        <f t="shared" si="312"/>
        <v xml:space="preserve"> </v>
      </c>
      <c r="GM82" s="10" t="str">
        <f t="shared" si="313"/>
        <v xml:space="preserve"> </v>
      </c>
      <c r="GN82" s="10" t="str">
        <f t="shared" si="313"/>
        <v xml:space="preserve"> </v>
      </c>
      <c r="GO82" s="10" t="str">
        <f t="shared" si="313"/>
        <v xml:space="preserve"> </v>
      </c>
      <c r="GP82" s="10" t="str">
        <f t="shared" si="313"/>
        <v xml:space="preserve"> </v>
      </c>
      <c r="GQ82" s="10" t="str">
        <f t="shared" si="313"/>
        <v xml:space="preserve"> </v>
      </c>
      <c r="GT82" s="10" t="str">
        <f t="shared" si="314"/>
        <v xml:space="preserve"> </v>
      </c>
      <c r="GU82" s="10" t="str">
        <f t="shared" si="314"/>
        <v xml:space="preserve"> </v>
      </c>
      <c r="GV82" s="10" t="str">
        <f t="shared" si="314"/>
        <v xml:space="preserve"> </v>
      </c>
      <c r="GW82" s="10" t="str">
        <f t="shared" si="314"/>
        <v xml:space="preserve"> </v>
      </c>
      <c r="GX82" s="10" t="str">
        <f t="shared" si="314"/>
        <v xml:space="preserve"> </v>
      </c>
      <c r="HA82" s="10" t="str">
        <f t="shared" si="315"/>
        <v xml:space="preserve"> </v>
      </c>
      <c r="HB82" s="10" t="str">
        <f t="shared" si="315"/>
        <v xml:space="preserve"> </v>
      </c>
      <c r="HC82" s="10" t="str">
        <f t="shared" si="315"/>
        <v xml:space="preserve"> </v>
      </c>
      <c r="HD82" s="10" t="str">
        <f t="shared" si="315"/>
        <v xml:space="preserve"> </v>
      </c>
      <c r="HE82" s="10" t="str">
        <f t="shared" si="315"/>
        <v xml:space="preserve"> </v>
      </c>
      <c r="HH82" s="10" t="str">
        <f t="shared" si="316"/>
        <v xml:space="preserve"> </v>
      </c>
      <c r="HI82" s="10" t="str">
        <f t="shared" si="316"/>
        <v xml:space="preserve"> </v>
      </c>
      <c r="HJ82" s="10" t="str">
        <f t="shared" si="316"/>
        <v xml:space="preserve"> </v>
      </c>
      <c r="HK82" s="10" t="str">
        <f t="shared" si="316"/>
        <v xml:space="preserve"> </v>
      </c>
      <c r="HL82" s="10" t="str">
        <f t="shared" si="316"/>
        <v xml:space="preserve"> </v>
      </c>
      <c r="HO82" s="10" t="str">
        <f t="shared" si="317"/>
        <v xml:space="preserve"> </v>
      </c>
      <c r="HP82" s="10" t="str">
        <f t="shared" si="317"/>
        <v xml:space="preserve"> </v>
      </c>
      <c r="HQ82" s="10" t="str">
        <f t="shared" si="317"/>
        <v xml:space="preserve"> </v>
      </c>
      <c r="HR82" s="10" t="str">
        <f t="shared" si="317"/>
        <v xml:space="preserve"> </v>
      </c>
      <c r="HS82" s="10" t="str">
        <f t="shared" si="317"/>
        <v xml:space="preserve"> </v>
      </c>
      <c r="HV82" s="10" t="str">
        <f t="shared" si="318"/>
        <v xml:space="preserve"> </v>
      </c>
      <c r="HW82" s="10" t="str">
        <f t="shared" si="318"/>
        <v xml:space="preserve"> </v>
      </c>
      <c r="HX82" s="10" t="str">
        <f t="shared" si="318"/>
        <v xml:space="preserve"> </v>
      </c>
      <c r="HY82" s="10" t="str">
        <f t="shared" si="318"/>
        <v xml:space="preserve"> </v>
      </c>
      <c r="HZ82" s="10" t="str">
        <f t="shared" si="318"/>
        <v xml:space="preserve"> </v>
      </c>
      <c r="IC82" s="10" t="str">
        <f t="shared" si="319"/>
        <v xml:space="preserve"> </v>
      </c>
      <c r="ID82" s="10" t="str">
        <f t="shared" si="319"/>
        <v xml:space="preserve"> </v>
      </c>
      <c r="IE82" s="10" t="str">
        <f t="shared" si="319"/>
        <v xml:space="preserve"> </v>
      </c>
      <c r="IF82" s="10" t="str">
        <f t="shared" si="319"/>
        <v xml:space="preserve"> </v>
      </c>
      <c r="IG82" s="10" t="str">
        <f t="shared" si="319"/>
        <v xml:space="preserve"> </v>
      </c>
      <c r="IJ82" s="10" t="str">
        <f t="shared" si="320"/>
        <v xml:space="preserve"> </v>
      </c>
      <c r="IK82" s="10" t="str">
        <f t="shared" si="320"/>
        <v xml:space="preserve"> </v>
      </c>
      <c r="IL82" s="10" t="str">
        <f t="shared" si="320"/>
        <v xml:space="preserve"> </v>
      </c>
      <c r="IM82" s="10" t="str">
        <f t="shared" si="320"/>
        <v xml:space="preserve"> </v>
      </c>
      <c r="IN82" s="10" t="str">
        <f t="shared" si="320"/>
        <v xml:space="preserve"> </v>
      </c>
      <c r="IQ82" s="10" t="str">
        <f t="shared" si="321"/>
        <v xml:space="preserve"> </v>
      </c>
      <c r="IR82" s="10" t="str">
        <f t="shared" si="321"/>
        <v xml:space="preserve"> </v>
      </c>
      <c r="IS82" s="10" t="str">
        <f t="shared" si="321"/>
        <v xml:space="preserve"> </v>
      </c>
      <c r="IT82" s="10" t="str">
        <f t="shared" si="321"/>
        <v xml:space="preserve"> </v>
      </c>
      <c r="IU82" s="10" t="str">
        <f t="shared" si="321"/>
        <v xml:space="preserve"> </v>
      </c>
      <c r="IX82" s="10" t="str">
        <f t="shared" si="322"/>
        <v xml:space="preserve"> </v>
      </c>
      <c r="IY82" s="10" t="str">
        <f t="shared" si="322"/>
        <v xml:space="preserve"> </v>
      </c>
      <c r="IZ82" s="10" t="str">
        <f t="shared" si="322"/>
        <v xml:space="preserve"> </v>
      </c>
      <c r="JA82" s="10" t="str">
        <f t="shared" si="322"/>
        <v xml:space="preserve"> </v>
      </c>
      <c r="JB82" s="10" t="str">
        <f t="shared" si="322"/>
        <v xml:space="preserve"> </v>
      </c>
      <c r="JE82" s="10" t="str">
        <f t="shared" si="323"/>
        <v xml:space="preserve"> </v>
      </c>
      <c r="JF82" s="10" t="str">
        <f t="shared" si="323"/>
        <v xml:space="preserve"> </v>
      </c>
      <c r="JG82" s="10" t="str">
        <f t="shared" si="323"/>
        <v xml:space="preserve"> </v>
      </c>
      <c r="JH82" s="10" t="str">
        <f t="shared" si="323"/>
        <v xml:space="preserve"> </v>
      </c>
      <c r="JI82" s="10" t="str">
        <f t="shared" si="323"/>
        <v xml:space="preserve"> </v>
      </c>
    </row>
    <row r="83" spans="13:269">
      <c r="M83" s="10" t="str">
        <f t="shared" ref="M83:Q133" si="324">IF(AND(M$6&gt;=$F83,M$6&lt;=$G83),"."," ")</f>
        <v xml:space="preserve"> </v>
      </c>
      <c r="N83" s="10" t="str">
        <f t="shared" si="324"/>
        <v xml:space="preserve"> </v>
      </c>
      <c r="O83" s="10" t="str">
        <f t="shared" si="324"/>
        <v xml:space="preserve"> </v>
      </c>
      <c r="P83" s="10" t="str">
        <f t="shared" si="324"/>
        <v xml:space="preserve"> </v>
      </c>
      <c r="Q83" s="10" t="str">
        <f t="shared" si="324"/>
        <v xml:space="preserve"> </v>
      </c>
      <c r="R83" s="14"/>
      <c r="S83" s="14"/>
      <c r="T83" s="10" t="str">
        <f t="shared" si="288"/>
        <v xml:space="preserve"> </v>
      </c>
      <c r="U83" s="10" t="str">
        <f t="shared" si="288"/>
        <v xml:space="preserve"> </v>
      </c>
      <c r="V83" s="10" t="str">
        <f t="shared" si="288"/>
        <v xml:space="preserve"> </v>
      </c>
      <c r="W83" s="10" t="str">
        <f t="shared" si="288"/>
        <v xml:space="preserve"> </v>
      </c>
      <c r="X83" s="10" t="str">
        <f t="shared" si="288"/>
        <v xml:space="preserve"> </v>
      </c>
      <c r="Y83" s="14"/>
      <c r="Z83" s="14"/>
      <c r="AA83" s="10" t="str">
        <f t="shared" si="289"/>
        <v xml:space="preserve"> </v>
      </c>
      <c r="AB83" s="10" t="str">
        <f t="shared" si="289"/>
        <v xml:space="preserve"> </v>
      </c>
      <c r="AC83" s="10" t="str">
        <f t="shared" si="289"/>
        <v xml:space="preserve"> </v>
      </c>
      <c r="AD83" s="10" t="str">
        <f t="shared" si="289"/>
        <v xml:space="preserve"> </v>
      </c>
      <c r="AE83" s="10" t="str">
        <f t="shared" si="289"/>
        <v xml:space="preserve"> </v>
      </c>
      <c r="AF83" s="14"/>
      <c r="AG83" s="14"/>
      <c r="AH83" s="10" t="str">
        <f t="shared" si="290"/>
        <v xml:space="preserve"> </v>
      </c>
      <c r="AI83" s="10" t="str">
        <f t="shared" si="290"/>
        <v xml:space="preserve"> </v>
      </c>
      <c r="AJ83" s="10" t="str">
        <f t="shared" si="290"/>
        <v xml:space="preserve"> </v>
      </c>
      <c r="AK83" s="10" t="str">
        <f t="shared" si="290"/>
        <v xml:space="preserve"> </v>
      </c>
      <c r="AL83" s="10" t="str">
        <f t="shared" si="290"/>
        <v xml:space="preserve"> </v>
      </c>
      <c r="AM83" s="14"/>
      <c r="AN83" s="14"/>
      <c r="AO83" s="10" t="str">
        <f t="shared" si="291"/>
        <v xml:space="preserve"> </v>
      </c>
      <c r="AP83" s="10" t="str">
        <f t="shared" si="291"/>
        <v xml:space="preserve"> </v>
      </c>
      <c r="AQ83" s="10" t="str">
        <f t="shared" si="291"/>
        <v xml:space="preserve"> </v>
      </c>
      <c r="AR83" s="10" t="str">
        <f t="shared" si="291"/>
        <v xml:space="preserve"> </v>
      </c>
      <c r="AS83" s="10" t="str">
        <f t="shared" si="291"/>
        <v xml:space="preserve"> </v>
      </c>
      <c r="AT83" s="14"/>
      <c r="AU83" s="14"/>
      <c r="AV83" s="10" t="str">
        <f t="shared" si="292"/>
        <v xml:space="preserve"> </v>
      </c>
      <c r="AW83" s="10" t="str">
        <f t="shared" si="292"/>
        <v xml:space="preserve"> </v>
      </c>
      <c r="AX83" s="10" t="str">
        <f t="shared" si="292"/>
        <v xml:space="preserve"> </v>
      </c>
      <c r="AY83" s="10" t="str">
        <f t="shared" si="292"/>
        <v xml:space="preserve"> </v>
      </c>
      <c r="AZ83" s="10" t="str">
        <f t="shared" si="292"/>
        <v xml:space="preserve"> </v>
      </c>
      <c r="BA83" s="14"/>
      <c r="BB83" s="14"/>
      <c r="BC83" s="10" t="str">
        <f t="shared" si="293"/>
        <v xml:space="preserve"> </v>
      </c>
      <c r="BD83" s="10" t="str">
        <f t="shared" si="293"/>
        <v xml:space="preserve"> </v>
      </c>
      <c r="BE83" s="10" t="str">
        <f t="shared" si="293"/>
        <v xml:space="preserve"> </v>
      </c>
      <c r="BF83" s="10" t="str">
        <f t="shared" si="293"/>
        <v xml:space="preserve"> </v>
      </c>
      <c r="BG83" s="10" t="str">
        <f t="shared" si="293"/>
        <v xml:space="preserve"> </v>
      </c>
      <c r="BH83" s="14"/>
      <c r="BI83" s="14"/>
      <c r="BJ83" s="10" t="str">
        <f t="shared" si="294"/>
        <v xml:space="preserve"> </v>
      </c>
      <c r="BK83" s="10" t="str">
        <f t="shared" si="294"/>
        <v xml:space="preserve"> </v>
      </c>
      <c r="BL83" s="10" t="str">
        <f t="shared" si="294"/>
        <v xml:space="preserve"> </v>
      </c>
      <c r="BM83" s="10" t="str">
        <f t="shared" si="294"/>
        <v xml:space="preserve"> </v>
      </c>
      <c r="BN83" s="10" t="str">
        <f t="shared" si="294"/>
        <v xml:space="preserve"> </v>
      </c>
      <c r="BO83" s="14"/>
      <c r="BP83" s="14"/>
      <c r="BQ83" s="10" t="str">
        <f t="shared" si="295"/>
        <v xml:space="preserve"> </v>
      </c>
      <c r="BR83" s="10" t="str">
        <f t="shared" si="295"/>
        <v xml:space="preserve"> </v>
      </c>
      <c r="BS83" s="10" t="str">
        <f t="shared" si="295"/>
        <v xml:space="preserve"> </v>
      </c>
      <c r="BT83" s="10" t="str">
        <f t="shared" si="295"/>
        <v xml:space="preserve"> </v>
      </c>
      <c r="BU83" s="10" t="str">
        <f t="shared" si="295"/>
        <v xml:space="preserve"> </v>
      </c>
      <c r="BV83" s="14"/>
      <c r="BW83" s="14"/>
      <c r="BX83" s="10" t="str">
        <f t="shared" si="296"/>
        <v xml:space="preserve"> </v>
      </c>
      <c r="BY83" s="10" t="str">
        <f t="shared" si="296"/>
        <v xml:space="preserve"> </v>
      </c>
      <c r="BZ83" s="10" t="str">
        <f t="shared" si="296"/>
        <v xml:space="preserve"> </v>
      </c>
      <c r="CA83" s="10" t="str">
        <f t="shared" si="296"/>
        <v xml:space="preserve"> </v>
      </c>
      <c r="CB83" s="10" t="str">
        <f t="shared" si="296"/>
        <v xml:space="preserve"> </v>
      </c>
      <c r="CC83" s="14"/>
      <c r="CD83" s="14"/>
      <c r="CE83" s="10" t="str">
        <f t="shared" si="297"/>
        <v xml:space="preserve"> </v>
      </c>
      <c r="CF83" s="10" t="str">
        <f t="shared" si="297"/>
        <v xml:space="preserve"> </v>
      </c>
      <c r="CG83" s="10" t="str">
        <f t="shared" si="297"/>
        <v xml:space="preserve"> </v>
      </c>
      <c r="CH83" s="10" t="str">
        <f t="shared" si="297"/>
        <v xml:space="preserve"> </v>
      </c>
      <c r="CI83" s="10" t="str">
        <f t="shared" si="297"/>
        <v xml:space="preserve"> </v>
      </c>
      <c r="CJ83" s="14"/>
      <c r="CK83" s="14"/>
      <c r="CL83" s="10" t="str">
        <f t="shared" si="298"/>
        <v xml:space="preserve"> </v>
      </c>
      <c r="CM83" s="10" t="str">
        <f t="shared" si="298"/>
        <v xml:space="preserve"> </v>
      </c>
      <c r="CN83" s="10" t="str">
        <f t="shared" si="298"/>
        <v xml:space="preserve"> </v>
      </c>
      <c r="CO83" s="10" t="str">
        <f t="shared" si="298"/>
        <v xml:space="preserve"> </v>
      </c>
      <c r="CP83" s="10" t="str">
        <f t="shared" si="298"/>
        <v xml:space="preserve"> </v>
      </c>
      <c r="CQ83" s="14"/>
      <c r="CR83" s="14"/>
      <c r="CS83" s="10" t="str">
        <f t="shared" si="299"/>
        <v xml:space="preserve"> </v>
      </c>
      <c r="CT83" s="10" t="str">
        <f t="shared" si="299"/>
        <v xml:space="preserve"> </v>
      </c>
      <c r="CU83" s="10" t="str">
        <f t="shared" si="299"/>
        <v xml:space="preserve"> </v>
      </c>
      <c r="CV83" s="10" t="str">
        <f t="shared" si="299"/>
        <v xml:space="preserve"> </v>
      </c>
      <c r="CW83" s="10" t="str">
        <f t="shared" si="299"/>
        <v xml:space="preserve"> </v>
      </c>
      <c r="CZ83" s="10" t="str">
        <f t="shared" si="300"/>
        <v xml:space="preserve"> </v>
      </c>
      <c r="DA83" s="10" t="str">
        <f t="shared" si="300"/>
        <v xml:space="preserve"> </v>
      </c>
      <c r="DB83" s="10" t="str">
        <f t="shared" si="300"/>
        <v xml:space="preserve"> </v>
      </c>
      <c r="DC83" s="10" t="str">
        <f t="shared" si="300"/>
        <v xml:space="preserve"> </v>
      </c>
      <c r="DD83" s="10" t="str">
        <f t="shared" si="300"/>
        <v xml:space="preserve"> </v>
      </c>
      <c r="DG83" s="10" t="str">
        <f t="shared" si="301"/>
        <v xml:space="preserve"> </v>
      </c>
      <c r="DH83" s="10" t="str">
        <f t="shared" si="301"/>
        <v xml:space="preserve"> </v>
      </c>
      <c r="DI83" s="10" t="str">
        <f t="shared" si="301"/>
        <v xml:space="preserve"> </v>
      </c>
      <c r="DJ83" s="10" t="str">
        <f t="shared" si="301"/>
        <v xml:space="preserve"> </v>
      </c>
      <c r="DK83" s="10" t="str">
        <f t="shared" si="301"/>
        <v xml:space="preserve"> </v>
      </c>
      <c r="DN83" s="10" t="str">
        <f t="shared" si="302"/>
        <v xml:space="preserve"> </v>
      </c>
      <c r="DO83" s="10" t="str">
        <f t="shared" si="302"/>
        <v xml:space="preserve"> </v>
      </c>
      <c r="DP83" s="10" t="str">
        <f t="shared" si="302"/>
        <v xml:space="preserve"> </v>
      </c>
      <c r="DQ83" s="10" t="str">
        <f t="shared" si="302"/>
        <v xml:space="preserve"> </v>
      </c>
      <c r="DR83" s="10" t="str">
        <f t="shared" si="302"/>
        <v xml:space="preserve"> </v>
      </c>
      <c r="DU83" s="10" t="str">
        <f t="shared" si="303"/>
        <v xml:space="preserve"> </v>
      </c>
      <c r="DV83" s="10" t="str">
        <f t="shared" si="303"/>
        <v xml:space="preserve"> </v>
      </c>
      <c r="DW83" s="10" t="str">
        <f t="shared" si="303"/>
        <v xml:space="preserve"> </v>
      </c>
      <c r="DX83" s="10" t="str">
        <f t="shared" si="303"/>
        <v xml:space="preserve"> </v>
      </c>
      <c r="DY83" s="10" t="str">
        <f t="shared" si="303"/>
        <v xml:space="preserve"> </v>
      </c>
      <c r="EB83" s="10" t="str">
        <f t="shared" si="304"/>
        <v xml:space="preserve"> </v>
      </c>
      <c r="EC83" s="10" t="str">
        <f t="shared" si="304"/>
        <v xml:space="preserve"> </v>
      </c>
      <c r="ED83" s="10" t="str">
        <f t="shared" si="304"/>
        <v xml:space="preserve"> </v>
      </c>
      <c r="EE83" s="10" t="str">
        <f t="shared" si="304"/>
        <v xml:space="preserve"> </v>
      </c>
      <c r="EF83" s="10" t="str">
        <f t="shared" si="304"/>
        <v xml:space="preserve"> </v>
      </c>
      <c r="EI83" s="10" t="str">
        <f t="shared" si="305"/>
        <v xml:space="preserve"> </v>
      </c>
      <c r="EJ83" s="10" t="str">
        <f t="shared" si="305"/>
        <v xml:space="preserve"> </v>
      </c>
      <c r="EK83" s="10" t="str">
        <f t="shared" si="305"/>
        <v xml:space="preserve"> </v>
      </c>
      <c r="EL83" s="10" t="str">
        <f t="shared" si="305"/>
        <v xml:space="preserve"> </v>
      </c>
      <c r="EM83" s="10" t="str">
        <f t="shared" si="305"/>
        <v xml:space="preserve"> </v>
      </c>
      <c r="EP83" s="10" t="str">
        <f t="shared" si="306"/>
        <v xml:space="preserve"> </v>
      </c>
      <c r="EQ83" s="10" t="str">
        <f t="shared" si="306"/>
        <v xml:space="preserve"> </v>
      </c>
      <c r="ER83" s="10" t="str">
        <f t="shared" si="306"/>
        <v xml:space="preserve"> </v>
      </c>
      <c r="ES83" s="10" t="str">
        <f t="shared" si="306"/>
        <v xml:space="preserve"> </v>
      </c>
      <c r="ET83" s="10" t="str">
        <f t="shared" si="306"/>
        <v xml:space="preserve"> </v>
      </c>
      <c r="EW83" s="10" t="str">
        <f t="shared" si="307"/>
        <v xml:space="preserve"> </v>
      </c>
      <c r="EX83" s="10" t="str">
        <f t="shared" si="307"/>
        <v xml:space="preserve"> </v>
      </c>
      <c r="EY83" s="10" t="str">
        <f t="shared" si="307"/>
        <v xml:space="preserve"> </v>
      </c>
      <c r="EZ83" s="10" t="str">
        <f t="shared" si="307"/>
        <v xml:space="preserve"> </v>
      </c>
      <c r="FA83" s="10" t="str">
        <f t="shared" si="307"/>
        <v xml:space="preserve"> </v>
      </c>
      <c r="FD83" s="10" t="str">
        <f t="shared" si="308"/>
        <v xml:space="preserve"> </v>
      </c>
      <c r="FE83" s="10" t="str">
        <f t="shared" si="308"/>
        <v xml:space="preserve"> </v>
      </c>
      <c r="FF83" s="10" t="str">
        <f t="shared" si="308"/>
        <v xml:space="preserve"> </v>
      </c>
      <c r="FG83" s="10" t="str">
        <f t="shared" si="308"/>
        <v xml:space="preserve"> </v>
      </c>
      <c r="FH83" s="10" t="str">
        <f t="shared" si="308"/>
        <v xml:space="preserve"> </v>
      </c>
      <c r="FK83" s="10" t="str">
        <f t="shared" si="309"/>
        <v xml:space="preserve"> </v>
      </c>
      <c r="FL83" s="10" t="str">
        <f t="shared" si="309"/>
        <v xml:space="preserve"> </v>
      </c>
      <c r="FM83" s="10" t="str">
        <f t="shared" si="309"/>
        <v xml:space="preserve"> </v>
      </c>
      <c r="FN83" s="10" t="str">
        <f t="shared" si="309"/>
        <v xml:space="preserve"> </v>
      </c>
      <c r="FO83" s="10" t="str">
        <f t="shared" si="309"/>
        <v xml:space="preserve"> </v>
      </c>
      <c r="FR83" s="10" t="str">
        <f t="shared" si="310"/>
        <v xml:space="preserve"> </v>
      </c>
      <c r="FS83" s="10" t="str">
        <f t="shared" si="310"/>
        <v xml:space="preserve"> </v>
      </c>
      <c r="FT83" s="10" t="str">
        <f t="shared" si="310"/>
        <v xml:space="preserve"> </v>
      </c>
      <c r="FU83" s="10" t="str">
        <f t="shared" si="310"/>
        <v xml:space="preserve"> </v>
      </c>
      <c r="FV83" s="10" t="str">
        <f t="shared" si="310"/>
        <v xml:space="preserve"> </v>
      </c>
      <c r="FY83" s="10" t="str">
        <f t="shared" si="311"/>
        <v xml:space="preserve"> </v>
      </c>
      <c r="FZ83" s="10" t="str">
        <f t="shared" si="311"/>
        <v xml:space="preserve"> </v>
      </c>
      <c r="GA83" s="10" t="str">
        <f t="shared" si="311"/>
        <v xml:space="preserve"> </v>
      </c>
      <c r="GB83" s="10" t="str">
        <f t="shared" si="311"/>
        <v xml:space="preserve"> </v>
      </c>
      <c r="GC83" s="10" t="str">
        <f t="shared" si="311"/>
        <v xml:space="preserve"> </v>
      </c>
      <c r="GF83" s="10" t="str">
        <f t="shared" si="312"/>
        <v xml:space="preserve"> </v>
      </c>
      <c r="GG83" s="10" t="str">
        <f t="shared" si="312"/>
        <v xml:space="preserve"> </v>
      </c>
      <c r="GH83" s="10" t="str">
        <f t="shared" si="312"/>
        <v xml:space="preserve"> </v>
      </c>
      <c r="GI83" s="10" t="str">
        <f t="shared" si="312"/>
        <v xml:space="preserve"> </v>
      </c>
      <c r="GJ83" s="10" t="str">
        <f t="shared" si="312"/>
        <v xml:space="preserve"> </v>
      </c>
      <c r="GM83" s="10" t="str">
        <f t="shared" si="313"/>
        <v xml:space="preserve"> </v>
      </c>
      <c r="GN83" s="10" t="str">
        <f t="shared" si="313"/>
        <v xml:space="preserve"> </v>
      </c>
      <c r="GO83" s="10" t="str">
        <f t="shared" si="313"/>
        <v xml:space="preserve"> </v>
      </c>
      <c r="GP83" s="10" t="str">
        <f t="shared" si="313"/>
        <v xml:space="preserve"> </v>
      </c>
      <c r="GQ83" s="10" t="str">
        <f t="shared" si="313"/>
        <v xml:space="preserve"> </v>
      </c>
      <c r="GT83" s="10" t="str">
        <f t="shared" si="314"/>
        <v xml:space="preserve"> </v>
      </c>
      <c r="GU83" s="10" t="str">
        <f t="shared" si="314"/>
        <v xml:space="preserve"> </v>
      </c>
      <c r="GV83" s="10" t="str">
        <f t="shared" si="314"/>
        <v xml:space="preserve"> </v>
      </c>
      <c r="GW83" s="10" t="str">
        <f t="shared" si="314"/>
        <v xml:space="preserve"> </v>
      </c>
      <c r="GX83" s="10" t="str">
        <f t="shared" si="314"/>
        <v xml:space="preserve"> </v>
      </c>
      <c r="HA83" s="10" t="str">
        <f t="shared" si="315"/>
        <v xml:space="preserve"> </v>
      </c>
      <c r="HB83" s="10" t="str">
        <f t="shared" si="315"/>
        <v xml:space="preserve"> </v>
      </c>
      <c r="HC83" s="10" t="str">
        <f t="shared" si="315"/>
        <v xml:space="preserve"> </v>
      </c>
      <c r="HD83" s="10" t="str">
        <f t="shared" si="315"/>
        <v xml:space="preserve"> </v>
      </c>
      <c r="HE83" s="10" t="str">
        <f t="shared" si="315"/>
        <v xml:space="preserve"> </v>
      </c>
      <c r="HH83" s="10" t="str">
        <f t="shared" si="316"/>
        <v xml:space="preserve"> </v>
      </c>
      <c r="HI83" s="10" t="str">
        <f t="shared" si="316"/>
        <v xml:space="preserve"> </v>
      </c>
      <c r="HJ83" s="10" t="str">
        <f t="shared" si="316"/>
        <v xml:space="preserve"> </v>
      </c>
      <c r="HK83" s="10" t="str">
        <f t="shared" si="316"/>
        <v xml:space="preserve"> </v>
      </c>
      <c r="HL83" s="10" t="str">
        <f t="shared" si="316"/>
        <v xml:space="preserve"> </v>
      </c>
      <c r="HO83" s="10" t="str">
        <f t="shared" si="317"/>
        <v xml:space="preserve"> </v>
      </c>
      <c r="HP83" s="10" t="str">
        <f t="shared" si="317"/>
        <v xml:space="preserve"> </v>
      </c>
      <c r="HQ83" s="10" t="str">
        <f t="shared" si="317"/>
        <v xml:space="preserve"> </v>
      </c>
      <c r="HR83" s="10" t="str">
        <f t="shared" si="317"/>
        <v xml:space="preserve"> </v>
      </c>
      <c r="HS83" s="10" t="str">
        <f t="shared" si="317"/>
        <v xml:space="preserve"> </v>
      </c>
      <c r="HV83" s="10" t="str">
        <f t="shared" si="318"/>
        <v xml:space="preserve"> </v>
      </c>
      <c r="HW83" s="10" t="str">
        <f t="shared" si="318"/>
        <v xml:space="preserve"> </v>
      </c>
      <c r="HX83" s="10" t="str">
        <f t="shared" si="318"/>
        <v xml:space="preserve"> </v>
      </c>
      <c r="HY83" s="10" t="str">
        <f t="shared" si="318"/>
        <v xml:space="preserve"> </v>
      </c>
      <c r="HZ83" s="10" t="str">
        <f t="shared" si="318"/>
        <v xml:space="preserve"> </v>
      </c>
      <c r="IC83" s="10" t="str">
        <f t="shared" si="319"/>
        <v xml:space="preserve"> </v>
      </c>
      <c r="ID83" s="10" t="str">
        <f t="shared" si="319"/>
        <v xml:space="preserve"> </v>
      </c>
      <c r="IE83" s="10" t="str">
        <f t="shared" si="319"/>
        <v xml:space="preserve"> </v>
      </c>
      <c r="IF83" s="10" t="str">
        <f t="shared" si="319"/>
        <v xml:space="preserve"> </v>
      </c>
      <c r="IG83" s="10" t="str">
        <f t="shared" si="319"/>
        <v xml:space="preserve"> </v>
      </c>
      <c r="IJ83" s="10" t="str">
        <f t="shared" si="320"/>
        <v xml:space="preserve"> </v>
      </c>
      <c r="IK83" s="10" t="str">
        <f t="shared" si="320"/>
        <v xml:space="preserve"> </v>
      </c>
      <c r="IL83" s="10" t="str">
        <f t="shared" si="320"/>
        <v xml:space="preserve"> </v>
      </c>
      <c r="IM83" s="10" t="str">
        <f t="shared" si="320"/>
        <v xml:space="preserve"> </v>
      </c>
      <c r="IN83" s="10" t="str">
        <f t="shared" si="320"/>
        <v xml:space="preserve"> </v>
      </c>
      <c r="IQ83" s="10" t="str">
        <f t="shared" si="321"/>
        <v xml:space="preserve"> </v>
      </c>
      <c r="IR83" s="10" t="str">
        <f t="shared" si="321"/>
        <v xml:space="preserve"> </v>
      </c>
      <c r="IS83" s="10" t="str">
        <f t="shared" si="321"/>
        <v xml:space="preserve"> </v>
      </c>
      <c r="IT83" s="10" t="str">
        <f t="shared" si="321"/>
        <v xml:space="preserve"> </v>
      </c>
      <c r="IU83" s="10" t="str">
        <f t="shared" si="321"/>
        <v xml:space="preserve"> </v>
      </c>
      <c r="IX83" s="10" t="str">
        <f t="shared" si="322"/>
        <v xml:space="preserve"> </v>
      </c>
      <c r="IY83" s="10" t="str">
        <f t="shared" si="322"/>
        <v xml:space="preserve"> </v>
      </c>
      <c r="IZ83" s="10" t="str">
        <f t="shared" si="322"/>
        <v xml:space="preserve"> </v>
      </c>
      <c r="JA83" s="10" t="str">
        <f t="shared" si="322"/>
        <v xml:space="preserve"> </v>
      </c>
      <c r="JB83" s="10" t="str">
        <f t="shared" si="322"/>
        <v xml:space="preserve"> </v>
      </c>
      <c r="JE83" s="10" t="str">
        <f t="shared" si="323"/>
        <v xml:space="preserve"> </v>
      </c>
      <c r="JF83" s="10" t="str">
        <f t="shared" si="323"/>
        <v xml:space="preserve"> </v>
      </c>
      <c r="JG83" s="10" t="str">
        <f t="shared" si="323"/>
        <v xml:space="preserve"> </v>
      </c>
      <c r="JH83" s="10" t="str">
        <f t="shared" si="323"/>
        <v xml:space="preserve"> </v>
      </c>
      <c r="JI83" s="10" t="str">
        <f t="shared" si="323"/>
        <v xml:space="preserve"> </v>
      </c>
    </row>
    <row r="84" spans="13:269">
      <c r="M84" s="10" t="str">
        <f t="shared" si="324"/>
        <v xml:space="preserve"> </v>
      </c>
      <c r="N84" s="10" t="str">
        <f t="shared" si="324"/>
        <v xml:space="preserve"> </v>
      </c>
      <c r="O84" s="10" t="str">
        <f t="shared" si="324"/>
        <v xml:space="preserve"> </v>
      </c>
      <c r="P84" s="10" t="str">
        <f t="shared" si="324"/>
        <v xml:space="preserve"> </v>
      </c>
      <c r="Q84" s="10" t="str">
        <f t="shared" si="324"/>
        <v xml:space="preserve"> </v>
      </c>
      <c r="R84" s="14"/>
      <c r="S84" s="14"/>
      <c r="T84" s="10" t="str">
        <f t="shared" si="288"/>
        <v xml:space="preserve"> </v>
      </c>
      <c r="U84" s="10" t="str">
        <f t="shared" si="288"/>
        <v xml:space="preserve"> </v>
      </c>
      <c r="V84" s="10" t="str">
        <f t="shared" si="288"/>
        <v xml:space="preserve"> </v>
      </c>
      <c r="W84" s="10" t="str">
        <f t="shared" si="288"/>
        <v xml:space="preserve"> </v>
      </c>
      <c r="X84" s="10" t="str">
        <f t="shared" si="288"/>
        <v xml:space="preserve"> </v>
      </c>
      <c r="Y84" s="14"/>
      <c r="Z84" s="14"/>
      <c r="AA84" s="10" t="str">
        <f t="shared" si="289"/>
        <v xml:space="preserve"> </v>
      </c>
      <c r="AB84" s="10" t="str">
        <f t="shared" si="289"/>
        <v xml:space="preserve"> </v>
      </c>
      <c r="AC84" s="10" t="str">
        <f t="shared" si="289"/>
        <v xml:space="preserve"> </v>
      </c>
      <c r="AD84" s="10" t="str">
        <f t="shared" si="289"/>
        <v xml:space="preserve"> </v>
      </c>
      <c r="AE84" s="10" t="str">
        <f t="shared" si="289"/>
        <v xml:space="preserve"> </v>
      </c>
      <c r="AF84" s="14"/>
      <c r="AG84" s="14"/>
      <c r="AH84" s="10" t="str">
        <f t="shared" si="290"/>
        <v xml:space="preserve"> </v>
      </c>
      <c r="AI84" s="10" t="str">
        <f t="shared" si="290"/>
        <v xml:space="preserve"> </v>
      </c>
      <c r="AJ84" s="10" t="str">
        <f t="shared" si="290"/>
        <v xml:space="preserve"> </v>
      </c>
      <c r="AK84" s="10" t="str">
        <f t="shared" si="290"/>
        <v xml:space="preserve"> </v>
      </c>
      <c r="AL84" s="10" t="str">
        <f t="shared" si="290"/>
        <v xml:space="preserve"> </v>
      </c>
      <c r="AM84" s="14"/>
      <c r="AN84" s="14"/>
      <c r="AO84" s="10" t="str">
        <f t="shared" si="291"/>
        <v xml:space="preserve"> </v>
      </c>
      <c r="AP84" s="10" t="str">
        <f t="shared" si="291"/>
        <v xml:space="preserve"> </v>
      </c>
      <c r="AQ84" s="10" t="str">
        <f t="shared" si="291"/>
        <v xml:space="preserve"> </v>
      </c>
      <c r="AR84" s="10" t="str">
        <f t="shared" si="291"/>
        <v xml:space="preserve"> </v>
      </c>
      <c r="AS84" s="10" t="str">
        <f t="shared" si="291"/>
        <v xml:space="preserve"> </v>
      </c>
      <c r="AT84" s="14"/>
      <c r="AU84" s="14"/>
      <c r="AV84" s="10" t="str">
        <f t="shared" si="292"/>
        <v xml:space="preserve"> </v>
      </c>
      <c r="AW84" s="10" t="str">
        <f t="shared" si="292"/>
        <v xml:space="preserve"> </v>
      </c>
      <c r="AX84" s="10" t="str">
        <f t="shared" si="292"/>
        <v xml:space="preserve"> </v>
      </c>
      <c r="AY84" s="10" t="str">
        <f t="shared" si="292"/>
        <v xml:space="preserve"> </v>
      </c>
      <c r="AZ84" s="10" t="str">
        <f t="shared" si="292"/>
        <v xml:space="preserve"> </v>
      </c>
      <c r="BA84" s="14"/>
      <c r="BB84" s="14"/>
      <c r="BC84" s="10" t="str">
        <f t="shared" si="293"/>
        <v xml:space="preserve"> </v>
      </c>
      <c r="BD84" s="10" t="str">
        <f t="shared" si="293"/>
        <v xml:space="preserve"> </v>
      </c>
      <c r="BE84" s="10" t="str">
        <f t="shared" si="293"/>
        <v xml:space="preserve"> </v>
      </c>
      <c r="BF84" s="10" t="str">
        <f t="shared" si="293"/>
        <v xml:space="preserve"> </v>
      </c>
      <c r="BG84" s="10" t="str">
        <f t="shared" si="293"/>
        <v xml:space="preserve"> </v>
      </c>
      <c r="BH84" s="14"/>
      <c r="BI84" s="14"/>
      <c r="BJ84" s="10" t="str">
        <f t="shared" si="294"/>
        <v xml:space="preserve"> </v>
      </c>
      <c r="BK84" s="10" t="str">
        <f t="shared" si="294"/>
        <v xml:space="preserve"> </v>
      </c>
      <c r="BL84" s="10" t="str">
        <f t="shared" si="294"/>
        <v xml:space="preserve"> </v>
      </c>
      <c r="BM84" s="10" t="str">
        <f t="shared" si="294"/>
        <v xml:space="preserve"> </v>
      </c>
      <c r="BN84" s="10" t="str">
        <f t="shared" si="294"/>
        <v xml:space="preserve"> </v>
      </c>
      <c r="BO84" s="14"/>
      <c r="BP84" s="14"/>
      <c r="BQ84" s="10" t="str">
        <f t="shared" si="295"/>
        <v xml:space="preserve"> </v>
      </c>
      <c r="BR84" s="10" t="str">
        <f t="shared" si="295"/>
        <v xml:space="preserve"> </v>
      </c>
      <c r="BS84" s="10" t="str">
        <f t="shared" si="295"/>
        <v xml:space="preserve"> </v>
      </c>
      <c r="BT84" s="10" t="str">
        <f t="shared" si="295"/>
        <v xml:space="preserve"> </v>
      </c>
      <c r="BU84" s="10" t="str">
        <f t="shared" si="295"/>
        <v xml:space="preserve"> </v>
      </c>
      <c r="BV84" s="14"/>
      <c r="BW84" s="14"/>
      <c r="BX84" s="10" t="str">
        <f t="shared" si="296"/>
        <v xml:space="preserve"> </v>
      </c>
      <c r="BY84" s="10" t="str">
        <f t="shared" si="296"/>
        <v xml:space="preserve"> </v>
      </c>
      <c r="BZ84" s="10" t="str">
        <f t="shared" si="296"/>
        <v xml:space="preserve"> </v>
      </c>
      <c r="CA84" s="10" t="str">
        <f t="shared" si="296"/>
        <v xml:space="preserve"> </v>
      </c>
      <c r="CB84" s="10" t="str">
        <f t="shared" si="296"/>
        <v xml:space="preserve"> </v>
      </c>
      <c r="CC84" s="14"/>
      <c r="CD84" s="14"/>
      <c r="CE84" s="10" t="str">
        <f t="shared" si="297"/>
        <v xml:space="preserve"> </v>
      </c>
      <c r="CF84" s="10" t="str">
        <f t="shared" si="297"/>
        <v xml:space="preserve"> </v>
      </c>
      <c r="CG84" s="10" t="str">
        <f t="shared" si="297"/>
        <v xml:space="preserve"> </v>
      </c>
      <c r="CH84" s="10" t="str">
        <f t="shared" si="297"/>
        <v xml:space="preserve"> </v>
      </c>
      <c r="CI84" s="10" t="str">
        <f t="shared" si="297"/>
        <v xml:space="preserve"> </v>
      </c>
      <c r="CJ84" s="14"/>
      <c r="CK84" s="14"/>
      <c r="CL84" s="10" t="str">
        <f t="shared" si="298"/>
        <v xml:space="preserve"> </v>
      </c>
      <c r="CM84" s="10" t="str">
        <f t="shared" si="298"/>
        <v xml:space="preserve"> </v>
      </c>
      <c r="CN84" s="10" t="str">
        <f t="shared" si="298"/>
        <v xml:space="preserve"> </v>
      </c>
      <c r="CO84" s="10" t="str">
        <f t="shared" si="298"/>
        <v xml:space="preserve"> </v>
      </c>
      <c r="CP84" s="10" t="str">
        <f t="shared" si="298"/>
        <v xml:space="preserve"> </v>
      </c>
      <c r="CQ84" s="14"/>
      <c r="CR84" s="14"/>
      <c r="CS84" s="10" t="str">
        <f t="shared" si="299"/>
        <v xml:space="preserve"> </v>
      </c>
      <c r="CT84" s="10" t="str">
        <f t="shared" si="299"/>
        <v xml:space="preserve"> </v>
      </c>
      <c r="CU84" s="10" t="str">
        <f t="shared" si="299"/>
        <v xml:space="preserve"> </v>
      </c>
      <c r="CV84" s="10" t="str">
        <f t="shared" si="299"/>
        <v xml:space="preserve"> </v>
      </c>
      <c r="CW84" s="10" t="str">
        <f t="shared" si="299"/>
        <v xml:space="preserve"> </v>
      </c>
      <c r="CZ84" s="10" t="str">
        <f t="shared" si="300"/>
        <v xml:space="preserve"> </v>
      </c>
      <c r="DA84" s="10" t="str">
        <f t="shared" si="300"/>
        <v xml:space="preserve"> </v>
      </c>
      <c r="DB84" s="10" t="str">
        <f t="shared" si="300"/>
        <v xml:space="preserve"> </v>
      </c>
      <c r="DC84" s="10" t="str">
        <f t="shared" si="300"/>
        <v xml:space="preserve"> </v>
      </c>
      <c r="DD84" s="10" t="str">
        <f t="shared" si="300"/>
        <v xml:space="preserve"> </v>
      </c>
      <c r="DG84" s="10" t="str">
        <f t="shared" si="301"/>
        <v xml:space="preserve"> </v>
      </c>
      <c r="DH84" s="10" t="str">
        <f t="shared" si="301"/>
        <v xml:space="preserve"> </v>
      </c>
      <c r="DI84" s="10" t="str">
        <f t="shared" si="301"/>
        <v xml:space="preserve"> </v>
      </c>
      <c r="DJ84" s="10" t="str">
        <f t="shared" si="301"/>
        <v xml:space="preserve"> </v>
      </c>
      <c r="DK84" s="10" t="str">
        <f t="shared" si="301"/>
        <v xml:space="preserve"> </v>
      </c>
      <c r="DN84" s="10" t="str">
        <f t="shared" si="302"/>
        <v xml:space="preserve"> </v>
      </c>
      <c r="DO84" s="10" t="str">
        <f t="shared" si="302"/>
        <v xml:space="preserve"> </v>
      </c>
      <c r="DP84" s="10" t="str">
        <f t="shared" si="302"/>
        <v xml:space="preserve"> </v>
      </c>
      <c r="DQ84" s="10" t="str">
        <f t="shared" si="302"/>
        <v xml:space="preserve"> </v>
      </c>
      <c r="DR84" s="10" t="str">
        <f t="shared" si="302"/>
        <v xml:space="preserve"> </v>
      </c>
      <c r="DU84" s="10" t="str">
        <f t="shared" si="303"/>
        <v xml:space="preserve"> </v>
      </c>
      <c r="DV84" s="10" t="str">
        <f t="shared" si="303"/>
        <v xml:space="preserve"> </v>
      </c>
      <c r="DW84" s="10" t="str">
        <f t="shared" si="303"/>
        <v xml:space="preserve"> </v>
      </c>
      <c r="DX84" s="10" t="str">
        <f t="shared" si="303"/>
        <v xml:space="preserve"> </v>
      </c>
      <c r="DY84" s="10" t="str">
        <f t="shared" si="303"/>
        <v xml:space="preserve"> </v>
      </c>
      <c r="EB84" s="10" t="str">
        <f t="shared" si="304"/>
        <v xml:space="preserve"> </v>
      </c>
      <c r="EC84" s="10" t="str">
        <f t="shared" si="304"/>
        <v xml:space="preserve"> </v>
      </c>
      <c r="ED84" s="10" t="str">
        <f t="shared" si="304"/>
        <v xml:space="preserve"> </v>
      </c>
      <c r="EE84" s="10" t="str">
        <f t="shared" si="304"/>
        <v xml:space="preserve"> </v>
      </c>
      <c r="EF84" s="10" t="str">
        <f t="shared" si="304"/>
        <v xml:space="preserve"> </v>
      </c>
      <c r="EI84" s="10" t="str">
        <f t="shared" si="305"/>
        <v xml:space="preserve"> </v>
      </c>
      <c r="EJ84" s="10" t="str">
        <f t="shared" si="305"/>
        <v xml:space="preserve"> </v>
      </c>
      <c r="EK84" s="10" t="str">
        <f t="shared" si="305"/>
        <v xml:space="preserve"> </v>
      </c>
      <c r="EL84" s="10" t="str">
        <f t="shared" si="305"/>
        <v xml:space="preserve"> </v>
      </c>
      <c r="EM84" s="10" t="str">
        <f t="shared" si="305"/>
        <v xml:space="preserve"> </v>
      </c>
      <c r="EP84" s="10" t="str">
        <f t="shared" si="306"/>
        <v xml:space="preserve"> </v>
      </c>
      <c r="EQ84" s="10" t="str">
        <f t="shared" si="306"/>
        <v xml:space="preserve"> </v>
      </c>
      <c r="ER84" s="10" t="str">
        <f t="shared" si="306"/>
        <v xml:space="preserve"> </v>
      </c>
      <c r="ES84" s="10" t="str">
        <f t="shared" si="306"/>
        <v xml:space="preserve"> </v>
      </c>
      <c r="ET84" s="10" t="str">
        <f t="shared" si="306"/>
        <v xml:space="preserve"> </v>
      </c>
      <c r="EW84" s="10" t="str">
        <f t="shared" si="307"/>
        <v xml:space="preserve"> </v>
      </c>
      <c r="EX84" s="10" t="str">
        <f t="shared" si="307"/>
        <v xml:space="preserve"> </v>
      </c>
      <c r="EY84" s="10" t="str">
        <f t="shared" si="307"/>
        <v xml:space="preserve"> </v>
      </c>
      <c r="EZ84" s="10" t="str">
        <f t="shared" si="307"/>
        <v xml:space="preserve"> </v>
      </c>
      <c r="FA84" s="10" t="str">
        <f t="shared" si="307"/>
        <v xml:space="preserve"> </v>
      </c>
      <c r="FD84" s="10" t="str">
        <f t="shared" si="308"/>
        <v xml:space="preserve"> </v>
      </c>
      <c r="FE84" s="10" t="str">
        <f t="shared" si="308"/>
        <v xml:space="preserve"> </v>
      </c>
      <c r="FF84" s="10" t="str">
        <f t="shared" si="308"/>
        <v xml:space="preserve"> </v>
      </c>
      <c r="FG84" s="10" t="str">
        <f t="shared" si="308"/>
        <v xml:space="preserve"> </v>
      </c>
      <c r="FH84" s="10" t="str">
        <f t="shared" si="308"/>
        <v xml:space="preserve"> </v>
      </c>
      <c r="FK84" s="10" t="str">
        <f t="shared" si="309"/>
        <v xml:space="preserve"> </v>
      </c>
      <c r="FL84" s="10" t="str">
        <f t="shared" si="309"/>
        <v xml:space="preserve"> </v>
      </c>
      <c r="FM84" s="10" t="str">
        <f t="shared" si="309"/>
        <v xml:space="preserve"> </v>
      </c>
      <c r="FN84" s="10" t="str">
        <f t="shared" si="309"/>
        <v xml:space="preserve"> </v>
      </c>
      <c r="FO84" s="10" t="str">
        <f t="shared" si="309"/>
        <v xml:space="preserve"> </v>
      </c>
      <c r="FR84" s="10" t="str">
        <f t="shared" si="310"/>
        <v xml:space="preserve"> </v>
      </c>
      <c r="FS84" s="10" t="str">
        <f t="shared" si="310"/>
        <v xml:space="preserve"> </v>
      </c>
      <c r="FT84" s="10" t="str">
        <f t="shared" si="310"/>
        <v xml:space="preserve"> </v>
      </c>
      <c r="FU84" s="10" t="str">
        <f t="shared" si="310"/>
        <v xml:space="preserve"> </v>
      </c>
      <c r="FV84" s="10" t="str">
        <f t="shared" si="310"/>
        <v xml:space="preserve"> </v>
      </c>
      <c r="FY84" s="10" t="str">
        <f t="shared" si="311"/>
        <v xml:space="preserve"> </v>
      </c>
      <c r="FZ84" s="10" t="str">
        <f t="shared" si="311"/>
        <v xml:space="preserve"> </v>
      </c>
      <c r="GA84" s="10" t="str">
        <f t="shared" si="311"/>
        <v xml:space="preserve"> </v>
      </c>
      <c r="GB84" s="10" t="str">
        <f t="shared" si="311"/>
        <v xml:space="preserve"> </v>
      </c>
      <c r="GC84" s="10" t="str">
        <f t="shared" si="311"/>
        <v xml:space="preserve"> </v>
      </c>
      <c r="GF84" s="10" t="str">
        <f t="shared" si="312"/>
        <v xml:space="preserve"> </v>
      </c>
      <c r="GG84" s="10" t="str">
        <f t="shared" si="312"/>
        <v xml:space="preserve"> </v>
      </c>
      <c r="GH84" s="10" t="str">
        <f t="shared" si="312"/>
        <v xml:space="preserve"> </v>
      </c>
      <c r="GI84" s="10" t="str">
        <f t="shared" si="312"/>
        <v xml:space="preserve"> </v>
      </c>
      <c r="GJ84" s="10" t="str">
        <f t="shared" si="312"/>
        <v xml:space="preserve"> </v>
      </c>
      <c r="GM84" s="10" t="str">
        <f t="shared" si="313"/>
        <v xml:space="preserve"> </v>
      </c>
      <c r="GN84" s="10" t="str">
        <f t="shared" si="313"/>
        <v xml:space="preserve"> </v>
      </c>
      <c r="GO84" s="10" t="str">
        <f t="shared" si="313"/>
        <v xml:space="preserve"> </v>
      </c>
      <c r="GP84" s="10" t="str">
        <f t="shared" si="313"/>
        <v xml:space="preserve"> </v>
      </c>
      <c r="GQ84" s="10" t="str">
        <f t="shared" si="313"/>
        <v xml:space="preserve"> </v>
      </c>
      <c r="GT84" s="10" t="str">
        <f t="shared" si="314"/>
        <v xml:space="preserve"> </v>
      </c>
      <c r="GU84" s="10" t="str">
        <f t="shared" si="314"/>
        <v xml:space="preserve"> </v>
      </c>
      <c r="GV84" s="10" t="str">
        <f t="shared" si="314"/>
        <v xml:space="preserve"> </v>
      </c>
      <c r="GW84" s="10" t="str">
        <f t="shared" si="314"/>
        <v xml:space="preserve"> </v>
      </c>
      <c r="GX84" s="10" t="str">
        <f t="shared" si="314"/>
        <v xml:space="preserve"> </v>
      </c>
      <c r="HA84" s="10" t="str">
        <f t="shared" si="315"/>
        <v xml:space="preserve"> </v>
      </c>
      <c r="HB84" s="10" t="str">
        <f t="shared" si="315"/>
        <v xml:space="preserve"> </v>
      </c>
      <c r="HC84" s="10" t="str">
        <f t="shared" si="315"/>
        <v xml:space="preserve"> </v>
      </c>
      <c r="HD84" s="10" t="str">
        <f t="shared" si="315"/>
        <v xml:space="preserve"> </v>
      </c>
      <c r="HE84" s="10" t="str">
        <f t="shared" si="315"/>
        <v xml:space="preserve"> </v>
      </c>
      <c r="HH84" s="10" t="str">
        <f t="shared" si="316"/>
        <v xml:space="preserve"> </v>
      </c>
      <c r="HI84" s="10" t="str">
        <f t="shared" si="316"/>
        <v xml:space="preserve"> </v>
      </c>
      <c r="HJ84" s="10" t="str">
        <f t="shared" si="316"/>
        <v xml:space="preserve"> </v>
      </c>
      <c r="HK84" s="10" t="str">
        <f t="shared" si="316"/>
        <v xml:space="preserve"> </v>
      </c>
      <c r="HL84" s="10" t="str">
        <f t="shared" si="316"/>
        <v xml:space="preserve"> </v>
      </c>
      <c r="HO84" s="10" t="str">
        <f t="shared" si="317"/>
        <v xml:space="preserve"> </v>
      </c>
      <c r="HP84" s="10" t="str">
        <f t="shared" si="317"/>
        <v xml:space="preserve"> </v>
      </c>
      <c r="HQ84" s="10" t="str">
        <f t="shared" si="317"/>
        <v xml:space="preserve"> </v>
      </c>
      <c r="HR84" s="10" t="str">
        <f t="shared" si="317"/>
        <v xml:space="preserve"> </v>
      </c>
      <c r="HS84" s="10" t="str">
        <f t="shared" si="317"/>
        <v xml:space="preserve"> </v>
      </c>
      <c r="HV84" s="10" t="str">
        <f t="shared" si="318"/>
        <v xml:space="preserve"> </v>
      </c>
      <c r="HW84" s="10" t="str">
        <f t="shared" si="318"/>
        <v xml:space="preserve"> </v>
      </c>
      <c r="HX84" s="10" t="str">
        <f t="shared" si="318"/>
        <v xml:space="preserve"> </v>
      </c>
      <c r="HY84" s="10" t="str">
        <f t="shared" si="318"/>
        <v xml:space="preserve"> </v>
      </c>
      <c r="HZ84" s="10" t="str">
        <f t="shared" si="318"/>
        <v xml:space="preserve"> </v>
      </c>
      <c r="IC84" s="10" t="str">
        <f t="shared" si="319"/>
        <v xml:space="preserve"> </v>
      </c>
      <c r="ID84" s="10" t="str">
        <f t="shared" si="319"/>
        <v xml:space="preserve"> </v>
      </c>
      <c r="IE84" s="10" t="str">
        <f t="shared" si="319"/>
        <v xml:space="preserve"> </v>
      </c>
      <c r="IF84" s="10" t="str">
        <f t="shared" si="319"/>
        <v xml:space="preserve"> </v>
      </c>
      <c r="IG84" s="10" t="str">
        <f t="shared" si="319"/>
        <v xml:space="preserve"> </v>
      </c>
      <c r="IJ84" s="10" t="str">
        <f t="shared" si="320"/>
        <v xml:space="preserve"> </v>
      </c>
      <c r="IK84" s="10" t="str">
        <f t="shared" si="320"/>
        <v xml:space="preserve"> </v>
      </c>
      <c r="IL84" s="10" t="str">
        <f t="shared" si="320"/>
        <v xml:space="preserve"> </v>
      </c>
      <c r="IM84" s="10" t="str">
        <f t="shared" si="320"/>
        <v xml:space="preserve"> </v>
      </c>
      <c r="IN84" s="10" t="str">
        <f t="shared" si="320"/>
        <v xml:space="preserve"> </v>
      </c>
      <c r="IQ84" s="10" t="str">
        <f t="shared" si="321"/>
        <v xml:space="preserve"> </v>
      </c>
      <c r="IR84" s="10" t="str">
        <f t="shared" si="321"/>
        <v xml:space="preserve"> </v>
      </c>
      <c r="IS84" s="10" t="str">
        <f t="shared" si="321"/>
        <v xml:space="preserve"> </v>
      </c>
      <c r="IT84" s="10" t="str">
        <f t="shared" si="321"/>
        <v xml:space="preserve"> </v>
      </c>
      <c r="IU84" s="10" t="str">
        <f t="shared" si="321"/>
        <v xml:space="preserve"> </v>
      </c>
      <c r="IX84" s="10" t="str">
        <f t="shared" si="322"/>
        <v xml:space="preserve"> </v>
      </c>
      <c r="IY84" s="10" t="str">
        <f t="shared" si="322"/>
        <v xml:space="preserve"> </v>
      </c>
      <c r="IZ84" s="10" t="str">
        <f t="shared" si="322"/>
        <v xml:space="preserve"> </v>
      </c>
      <c r="JA84" s="10" t="str">
        <f t="shared" si="322"/>
        <v xml:space="preserve"> </v>
      </c>
      <c r="JB84" s="10" t="str">
        <f t="shared" si="322"/>
        <v xml:space="preserve"> </v>
      </c>
      <c r="JE84" s="10" t="str">
        <f t="shared" si="323"/>
        <v xml:space="preserve"> </v>
      </c>
      <c r="JF84" s="10" t="str">
        <f t="shared" si="323"/>
        <v xml:space="preserve"> </v>
      </c>
      <c r="JG84" s="10" t="str">
        <f t="shared" si="323"/>
        <v xml:space="preserve"> </v>
      </c>
      <c r="JH84" s="10" t="str">
        <f t="shared" si="323"/>
        <v xml:space="preserve"> </v>
      </c>
      <c r="JI84" s="10" t="str">
        <f t="shared" si="323"/>
        <v xml:space="preserve"> </v>
      </c>
    </row>
    <row r="85" spans="13:269">
      <c r="M85" s="10" t="str">
        <f t="shared" si="324"/>
        <v xml:space="preserve"> </v>
      </c>
      <c r="N85" s="10" t="str">
        <f t="shared" si="324"/>
        <v xml:space="preserve"> </v>
      </c>
      <c r="O85" s="10" t="str">
        <f t="shared" si="324"/>
        <v xml:space="preserve"> </v>
      </c>
      <c r="P85" s="10" t="str">
        <f t="shared" si="324"/>
        <v xml:space="preserve"> </v>
      </c>
      <c r="Q85" s="10" t="str">
        <f t="shared" si="324"/>
        <v xml:space="preserve"> </v>
      </c>
      <c r="R85" s="14"/>
      <c r="S85" s="14"/>
      <c r="T85" s="10" t="str">
        <f t="shared" si="288"/>
        <v xml:space="preserve"> </v>
      </c>
      <c r="U85" s="10" t="str">
        <f t="shared" si="288"/>
        <v xml:space="preserve"> </v>
      </c>
      <c r="V85" s="10" t="str">
        <f t="shared" si="288"/>
        <v xml:space="preserve"> </v>
      </c>
      <c r="W85" s="10" t="str">
        <f t="shared" si="288"/>
        <v xml:space="preserve"> </v>
      </c>
      <c r="X85" s="10" t="str">
        <f t="shared" si="288"/>
        <v xml:space="preserve"> </v>
      </c>
      <c r="Y85" s="14"/>
      <c r="Z85" s="14"/>
      <c r="AA85" s="10" t="str">
        <f t="shared" si="289"/>
        <v xml:space="preserve"> </v>
      </c>
      <c r="AB85" s="10" t="str">
        <f t="shared" si="289"/>
        <v xml:space="preserve"> </v>
      </c>
      <c r="AC85" s="10" t="str">
        <f t="shared" si="289"/>
        <v xml:space="preserve"> </v>
      </c>
      <c r="AD85" s="10" t="str">
        <f t="shared" si="289"/>
        <v xml:space="preserve"> </v>
      </c>
      <c r="AE85" s="10" t="str">
        <f t="shared" si="289"/>
        <v xml:space="preserve"> </v>
      </c>
      <c r="AF85" s="14"/>
      <c r="AG85" s="14"/>
      <c r="AH85" s="10" t="str">
        <f t="shared" si="290"/>
        <v xml:space="preserve"> </v>
      </c>
      <c r="AI85" s="10" t="str">
        <f t="shared" si="290"/>
        <v xml:space="preserve"> </v>
      </c>
      <c r="AJ85" s="10" t="str">
        <f t="shared" si="290"/>
        <v xml:space="preserve"> </v>
      </c>
      <c r="AK85" s="10" t="str">
        <f t="shared" si="290"/>
        <v xml:space="preserve"> </v>
      </c>
      <c r="AL85" s="10" t="str">
        <f t="shared" si="290"/>
        <v xml:space="preserve"> </v>
      </c>
      <c r="AM85" s="14"/>
      <c r="AN85" s="14"/>
      <c r="AO85" s="10" t="str">
        <f t="shared" si="291"/>
        <v xml:space="preserve"> </v>
      </c>
      <c r="AP85" s="10" t="str">
        <f t="shared" si="291"/>
        <v xml:space="preserve"> </v>
      </c>
      <c r="AQ85" s="10" t="str">
        <f t="shared" si="291"/>
        <v xml:space="preserve"> </v>
      </c>
      <c r="AR85" s="10" t="str">
        <f t="shared" si="291"/>
        <v xml:space="preserve"> </v>
      </c>
      <c r="AS85" s="10" t="str">
        <f t="shared" si="291"/>
        <v xml:space="preserve"> </v>
      </c>
      <c r="AT85" s="14"/>
      <c r="AU85" s="14"/>
      <c r="AV85" s="10" t="str">
        <f t="shared" si="292"/>
        <v xml:space="preserve"> </v>
      </c>
      <c r="AW85" s="10" t="str">
        <f t="shared" si="292"/>
        <v xml:space="preserve"> </v>
      </c>
      <c r="AX85" s="10" t="str">
        <f t="shared" si="292"/>
        <v xml:space="preserve"> </v>
      </c>
      <c r="AY85" s="10" t="str">
        <f t="shared" si="292"/>
        <v xml:space="preserve"> </v>
      </c>
      <c r="AZ85" s="10" t="str">
        <f t="shared" si="292"/>
        <v xml:space="preserve"> </v>
      </c>
      <c r="BA85" s="14"/>
      <c r="BB85" s="14"/>
      <c r="BC85" s="10" t="str">
        <f t="shared" si="293"/>
        <v xml:space="preserve"> </v>
      </c>
      <c r="BD85" s="10" t="str">
        <f t="shared" si="293"/>
        <v xml:space="preserve"> </v>
      </c>
      <c r="BE85" s="10" t="str">
        <f t="shared" si="293"/>
        <v xml:space="preserve"> </v>
      </c>
      <c r="BF85" s="10" t="str">
        <f t="shared" si="293"/>
        <v xml:space="preserve"> </v>
      </c>
      <c r="BG85" s="10" t="str">
        <f t="shared" si="293"/>
        <v xml:space="preserve"> </v>
      </c>
      <c r="BH85" s="14"/>
      <c r="BI85" s="14"/>
      <c r="BJ85" s="10" t="str">
        <f t="shared" si="294"/>
        <v xml:space="preserve"> </v>
      </c>
      <c r="BK85" s="10" t="str">
        <f t="shared" si="294"/>
        <v xml:space="preserve"> </v>
      </c>
      <c r="BL85" s="10" t="str">
        <f t="shared" si="294"/>
        <v xml:space="preserve"> </v>
      </c>
      <c r="BM85" s="10" t="str">
        <f t="shared" si="294"/>
        <v xml:space="preserve"> </v>
      </c>
      <c r="BN85" s="10" t="str">
        <f t="shared" si="294"/>
        <v xml:space="preserve"> </v>
      </c>
      <c r="BO85" s="14"/>
      <c r="BP85" s="14"/>
      <c r="BQ85" s="10" t="str">
        <f t="shared" si="295"/>
        <v xml:space="preserve"> </v>
      </c>
      <c r="BR85" s="10" t="str">
        <f t="shared" si="295"/>
        <v xml:space="preserve"> </v>
      </c>
      <c r="BS85" s="10" t="str">
        <f t="shared" si="295"/>
        <v xml:space="preserve"> </v>
      </c>
      <c r="BT85" s="10" t="str">
        <f t="shared" si="295"/>
        <v xml:space="preserve"> </v>
      </c>
      <c r="BU85" s="10" t="str">
        <f t="shared" si="295"/>
        <v xml:space="preserve"> </v>
      </c>
      <c r="BV85" s="14"/>
      <c r="BW85" s="14"/>
      <c r="BX85" s="10" t="str">
        <f t="shared" si="296"/>
        <v xml:space="preserve"> </v>
      </c>
      <c r="BY85" s="10" t="str">
        <f t="shared" si="296"/>
        <v xml:space="preserve"> </v>
      </c>
      <c r="BZ85" s="10" t="str">
        <f t="shared" si="296"/>
        <v xml:space="preserve"> </v>
      </c>
      <c r="CA85" s="10" t="str">
        <f t="shared" si="296"/>
        <v xml:space="preserve"> </v>
      </c>
      <c r="CB85" s="10" t="str">
        <f t="shared" si="296"/>
        <v xml:space="preserve"> </v>
      </c>
      <c r="CC85" s="14"/>
      <c r="CD85" s="14"/>
      <c r="CE85" s="10" t="str">
        <f t="shared" si="297"/>
        <v xml:space="preserve"> </v>
      </c>
      <c r="CF85" s="10" t="str">
        <f t="shared" si="297"/>
        <v xml:space="preserve"> </v>
      </c>
      <c r="CG85" s="10" t="str">
        <f t="shared" si="297"/>
        <v xml:space="preserve"> </v>
      </c>
      <c r="CH85" s="10" t="str">
        <f t="shared" si="297"/>
        <v xml:space="preserve"> </v>
      </c>
      <c r="CI85" s="10" t="str">
        <f t="shared" si="297"/>
        <v xml:space="preserve"> </v>
      </c>
      <c r="CJ85" s="14"/>
      <c r="CK85" s="14"/>
      <c r="CL85" s="10" t="str">
        <f t="shared" si="298"/>
        <v xml:space="preserve"> </v>
      </c>
      <c r="CM85" s="10" t="str">
        <f t="shared" si="298"/>
        <v xml:space="preserve"> </v>
      </c>
      <c r="CN85" s="10" t="str">
        <f t="shared" si="298"/>
        <v xml:space="preserve"> </v>
      </c>
      <c r="CO85" s="10" t="str">
        <f t="shared" si="298"/>
        <v xml:space="preserve"> </v>
      </c>
      <c r="CP85" s="10" t="str">
        <f t="shared" si="298"/>
        <v xml:space="preserve"> </v>
      </c>
      <c r="CQ85" s="14"/>
      <c r="CR85" s="14"/>
      <c r="CS85" s="10" t="str">
        <f t="shared" si="299"/>
        <v xml:space="preserve"> </v>
      </c>
      <c r="CT85" s="10" t="str">
        <f t="shared" si="299"/>
        <v xml:space="preserve"> </v>
      </c>
      <c r="CU85" s="10" t="str">
        <f t="shared" si="299"/>
        <v xml:space="preserve"> </v>
      </c>
      <c r="CV85" s="10" t="str">
        <f t="shared" si="299"/>
        <v xml:space="preserve"> </v>
      </c>
      <c r="CW85" s="10" t="str">
        <f t="shared" si="299"/>
        <v xml:space="preserve"> </v>
      </c>
      <c r="CZ85" s="10" t="str">
        <f t="shared" si="300"/>
        <v xml:space="preserve"> </v>
      </c>
      <c r="DA85" s="10" t="str">
        <f t="shared" si="300"/>
        <v xml:space="preserve"> </v>
      </c>
      <c r="DB85" s="10" t="str">
        <f t="shared" si="300"/>
        <v xml:space="preserve"> </v>
      </c>
      <c r="DC85" s="10" t="str">
        <f t="shared" si="300"/>
        <v xml:space="preserve"> </v>
      </c>
      <c r="DD85" s="10" t="str">
        <f t="shared" si="300"/>
        <v xml:space="preserve"> </v>
      </c>
      <c r="DG85" s="10" t="str">
        <f t="shared" si="301"/>
        <v xml:space="preserve"> </v>
      </c>
      <c r="DH85" s="10" t="str">
        <f t="shared" si="301"/>
        <v xml:space="preserve"> </v>
      </c>
      <c r="DI85" s="10" t="str">
        <f t="shared" si="301"/>
        <v xml:space="preserve"> </v>
      </c>
      <c r="DJ85" s="10" t="str">
        <f t="shared" si="301"/>
        <v xml:space="preserve"> </v>
      </c>
      <c r="DK85" s="10" t="str">
        <f t="shared" si="301"/>
        <v xml:space="preserve"> </v>
      </c>
      <c r="DN85" s="10" t="str">
        <f t="shared" si="302"/>
        <v xml:space="preserve"> </v>
      </c>
      <c r="DO85" s="10" t="str">
        <f t="shared" si="302"/>
        <v xml:space="preserve"> </v>
      </c>
      <c r="DP85" s="10" t="str">
        <f t="shared" si="302"/>
        <v xml:space="preserve"> </v>
      </c>
      <c r="DQ85" s="10" t="str">
        <f t="shared" si="302"/>
        <v xml:space="preserve"> </v>
      </c>
      <c r="DR85" s="10" t="str">
        <f t="shared" si="302"/>
        <v xml:space="preserve"> </v>
      </c>
      <c r="DU85" s="10" t="str">
        <f t="shared" si="303"/>
        <v xml:space="preserve"> </v>
      </c>
      <c r="DV85" s="10" t="str">
        <f t="shared" si="303"/>
        <v xml:space="preserve"> </v>
      </c>
      <c r="DW85" s="10" t="str">
        <f t="shared" si="303"/>
        <v xml:space="preserve"> </v>
      </c>
      <c r="DX85" s="10" t="str">
        <f t="shared" si="303"/>
        <v xml:space="preserve"> </v>
      </c>
      <c r="DY85" s="10" t="str">
        <f t="shared" si="303"/>
        <v xml:space="preserve"> </v>
      </c>
      <c r="EB85" s="10" t="str">
        <f t="shared" si="304"/>
        <v xml:space="preserve"> </v>
      </c>
      <c r="EC85" s="10" t="str">
        <f t="shared" si="304"/>
        <v xml:space="preserve"> </v>
      </c>
      <c r="ED85" s="10" t="str">
        <f t="shared" si="304"/>
        <v xml:space="preserve"> </v>
      </c>
      <c r="EE85" s="10" t="str">
        <f t="shared" si="304"/>
        <v xml:space="preserve"> </v>
      </c>
      <c r="EF85" s="10" t="str">
        <f t="shared" si="304"/>
        <v xml:space="preserve"> </v>
      </c>
      <c r="EI85" s="10" t="str">
        <f t="shared" si="305"/>
        <v xml:space="preserve"> </v>
      </c>
      <c r="EJ85" s="10" t="str">
        <f t="shared" si="305"/>
        <v xml:space="preserve"> </v>
      </c>
      <c r="EK85" s="10" t="str">
        <f t="shared" si="305"/>
        <v xml:space="preserve"> </v>
      </c>
      <c r="EL85" s="10" t="str">
        <f t="shared" si="305"/>
        <v xml:space="preserve"> </v>
      </c>
      <c r="EM85" s="10" t="str">
        <f t="shared" si="305"/>
        <v xml:space="preserve"> </v>
      </c>
      <c r="EP85" s="10" t="str">
        <f t="shared" si="306"/>
        <v xml:space="preserve"> </v>
      </c>
      <c r="EQ85" s="10" t="str">
        <f t="shared" si="306"/>
        <v xml:space="preserve"> </v>
      </c>
      <c r="ER85" s="10" t="str">
        <f t="shared" si="306"/>
        <v xml:space="preserve"> </v>
      </c>
      <c r="ES85" s="10" t="str">
        <f t="shared" si="306"/>
        <v xml:space="preserve"> </v>
      </c>
      <c r="ET85" s="10" t="str">
        <f t="shared" si="306"/>
        <v xml:space="preserve"> </v>
      </c>
      <c r="EW85" s="10" t="str">
        <f t="shared" si="307"/>
        <v xml:space="preserve"> </v>
      </c>
      <c r="EX85" s="10" t="str">
        <f t="shared" si="307"/>
        <v xml:space="preserve"> </v>
      </c>
      <c r="EY85" s="10" t="str">
        <f t="shared" si="307"/>
        <v xml:space="preserve"> </v>
      </c>
      <c r="EZ85" s="10" t="str">
        <f t="shared" si="307"/>
        <v xml:space="preserve"> </v>
      </c>
      <c r="FA85" s="10" t="str">
        <f t="shared" si="307"/>
        <v xml:space="preserve"> </v>
      </c>
      <c r="FD85" s="10" t="str">
        <f t="shared" si="308"/>
        <v xml:space="preserve"> </v>
      </c>
      <c r="FE85" s="10" t="str">
        <f t="shared" si="308"/>
        <v xml:space="preserve"> </v>
      </c>
      <c r="FF85" s="10" t="str">
        <f t="shared" si="308"/>
        <v xml:space="preserve"> </v>
      </c>
      <c r="FG85" s="10" t="str">
        <f t="shared" si="308"/>
        <v xml:space="preserve"> </v>
      </c>
      <c r="FH85" s="10" t="str">
        <f t="shared" si="308"/>
        <v xml:space="preserve"> </v>
      </c>
      <c r="FK85" s="10" t="str">
        <f t="shared" si="309"/>
        <v xml:space="preserve"> </v>
      </c>
      <c r="FL85" s="10" t="str">
        <f t="shared" si="309"/>
        <v xml:space="preserve"> </v>
      </c>
      <c r="FM85" s="10" t="str">
        <f t="shared" si="309"/>
        <v xml:space="preserve"> </v>
      </c>
      <c r="FN85" s="10" t="str">
        <f t="shared" si="309"/>
        <v xml:space="preserve"> </v>
      </c>
      <c r="FO85" s="10" t="str">
        <f t="shared" si="309"/>
        <v xml:space="preserve"> </v>
      </c>
      <c r="FR85" s="10" t="str">
        <f t="shared" si="310"/>
        <v xml:space="preserve"> </v>
      </c>
      <c r="FS85" s="10" t="str">
        <f t="shared" si="310"/>
        <v xml:space="preserve"> </v>
      </c>
      <c r="FT85" s="10" t="str">
        <f t="shared" si="310"/>
        <v xml:space="preserve"> </v>
      </c>
      <c r="FU85" s="10" t="str">
        <f t="shared" si="310"/>
        <v xml:space="preserve"> </v>
      </c>
      <c r="FV85" s="10" t="str">
        <f t="shared" si="310"/>
        <v xml:space="preserve"> </v>
      </c>
      <c r="FY85" s="10" t="str">
        <f t="shared" si="311"/>
        <v xml:space="preserve"> </v>
      </c>
      <c r="FZ85" s="10" t="str">
        <f t="shared" si="311"/>
        <v xml:space="preserve"> </v>
      </c>
      <c r="GA85" s="10" t="str">
        <f t="shared" si="311"/>
        <v xml:space="preserve"> </v>
      </c>
      <c r="GB85" s="10" t="str">
        <f t="shared" si="311"/>
        <v xml:space="preserve"> </v>
      </c>
      <c r="GC85" s="10" t="str">
        <f t="shared" si="311"/>
        <v xml:space="preserve"> </v>
      </c>
      <c r="GF85" s="10" t="str">
        <f t="shared" si="312"/>
        <v xml:space="preserve"> </v>
      </c>
      <c r="GG85" s="10" t="str">
        <f t="shared" si="312"/>
        <v xml:space="preserve"> </v>
      </c>
      <c r="GH85" s="10" t="str">
        <f t="shared" si="312"/>
        <v xml:space="preserve"> </v>
      </c>
      <c r="GI85" s="10" t="str">
        <f t="shared" si="312"/>
        <v xml:space="preserve"> </v>
      </c>
      <c r="GJ85" s="10" t="str">
        <f t="shared" si="312"/>
        <v xml:space="preserve"> </v>
      </c>
      <c r="GM85" s="10" t="str">
        <f t="shared" si="313"/>
        <v xml:space="preserve"> </v>
      </c>
      <c r="GN85" s="10" t="str">
        <f t="shared" si="313"/>
        <v xml:space="preserve"> </v>
      </c>
      <c r="GO85" s="10" t="str">
        <f t="shared" si="313"/>
        <v xml:space="preserve"> </v>
      </c>
      <c r="GP85" s="10" t="str">
        <f t="shared" si="313"/>
        <v xml:space="preserve"> </v>
      </c>
      <c r="GQ85" s="10" t="str">
        <f t="shared" si="313"/>
        <v xml:space="preserve"> </v>
      </c>
      <c r="GT85" s="10" t="str">
        <f t="shared" si="314"/>
        <v xml:space="preserve"> </v>
      </c>
      <c r="GU85" s="10" t="str">
        <f t="shared" si="314"/>
        <v xml:space="preserve"> </v>
      </c>
      <c r="GV85" s="10" t="str">
        <f t="shared" si="314"/>
        <v xml:space="preserve"> </v>
      </c>
      <c r="GW85" s="10" t="str">
        <f t="shared" si="314"/>
        <v xml:space="preserve"> </v>
      </c>
      <c r="GX85" s="10" t="str">
        <f t="shared" si="314"/>
        <v xml:space="preserve"> </v>
      </c>
      <c r="HA85" s="10" t="str">
        <f t="shared" si="315"/>
        <v xml:space="preserve"> </v>
      </c>
      <c r="HB85" s="10" t="str">
        <f t="shared" si="315"/>
        <v xml:space="preserve"> </v>
      </c>
      <c r="HC85" s="10" t="str">
        <f t="shared" si="315"/>
        <v xml:space="preserve"> </v>
      </c>
      <c r="HD85" s="10" t="str">
        <f t="shared" si="315"/>
        <v xml:space="preserve"> </v>
      </c>
      <c r="HE85" s="10" t="str">
        <f t="shared" si="315"/>
        <v xml:space="preserve"> </v>
      </c>
      <c r="HH85" s="10" t="str">
        <f t="shared" si="316"/>
        <v xml:space="preserve"> </v>
      </c>
      <c r="HI85" s="10" t="str">
        <f t="shared" si="316"/>
        <v xml:space="preserve"> </v>
      </c>
      <c r="HJ85" s="10" t="str">
        <f t="shared" si="316"/>
        <v xml:space="preserve"> </v>
      </c>
      <c r="HK85" s="10" t="str">
        <f t="shared" si="316"/>
        <v xml:space="preserve"> </v>
      </c>
      <c r="HL85" s="10" t="str">
        <f t="shared" si="316"/>
        <v xml:space="preserve"> </v>
      </c>
      <c r="HO85" s="10" t="str">
        <f t="shared" si="317"/>
        <v xml:space="preserve"> </v>
      </c>
      <c r="HP85" s="10" t="str">
        <f t="shared" si="317"/>
        <v xml:space="preserve"> </v>
      </c>
      <c r="HQ85" s="10" t="str">
        <f t="shared" si="317"/>
        <v xml:space="preserve"> </v>
      </c>
      <c r="HR85" s="10" t="str">
        <f t="shared" si="317"/>
        <v xml:space="preserve"> </v>
      </c>
      <c r="HS85" s="10" t="str">
        <f t="shared" si="317"/>
        <v xml:space="preserve"> </v>
      </c>
      <c r="HV85" s="10" t="str">
        <f t="shared" si="318"/>
        <v xml:space="preserve"> </v>
      </c>
      <c r="HW85" s="10" t="str">
        <f t="shared" si="318"/>
        <v xml:space="preserve"> </v>
      </c>
      <c r="HX85" s="10" t="str">
        <f t="shared" si="318"/>
        <v xml:space="preserve"> </v>
      </c>
      <c r="HY85" s="10" t="str">
        <f t="shared" si="318"/>
        <v xml:space="preserve"> </v>
      </c>
      <c r="HZ85" s="10" t="str">
        <f t="shared" si="318"/>
        <v xml:space="preserve"> </v>
      </c>
      <c r="IC85" s="10" t="str">
        <f t="shared" si="319"/>
        <v xml:space="preserve"> </v>
      </c>
      <c r="ID85" s="10" t="str">
        <f t="shared" si="319"/>
        <v xml:space="preserve"> </v>
      </c>
      <c r="IE85" s="10" t="str">
        <f t="shared" si="319"/>
        <v xml:space="preserve"> </v>
      </c>
      <c r="IF85" s="10" t="str">
        <f t="shared" si="319"/>
        <v xml:space="preserve"> </v>
      </c>
      <c r="IG85" s="10" t="str">
        <f t="shared" si="319"/>
        <v xml:space="preserve"> </v>
      </c>
      <c r="IJ85" s="10" t="str">
        <f t="shared" si="320"/>
        <v xml:space="preserve"> </v>
      </c>
      <c r="IK85" s="10" t="str">
        <f t="shared" si="320"/>
        <v xml:space="preserve"> </v>
      </c>
      <c r="IL85" s="10" t="str">
        <f t="shared" si="320"/>
        <v xml:space="preserve"> </v>
      </c>
      <c r="IM85" s="10" t="str">
        <f t="shared" si="320"/>
        <v xml:space="preserve"> </v>
      </c>
      <c r="IN85" s="10" t="str">
        <f t="shared" si="320"/>
        <v xml:space="preserve"> </v>
      </c>
      <c r="IQ85" s="10" t="str">
        <f t="shared" si="321"/>
        <v xml:space="preserve"> </v>
      </c>
      <c r="IR85" s="10" t="str">
        <f t="shared" si="321"/>
        <v xml:space="preserve"> </v>
      </c>
      <c r="IS85" s="10" t="str">
        <f t="shared" si="321"/>
        <v xml:space="preserve"> </v>
      </c>
      <c r="IT85" s="10" t="str">
        <f t="shared" si="321"/>
        <v xml:space="preserve"> </v>
      </c>
      <c r="IU85" s="10" t="str">
        <f t="shared" si="321"/>
        <v xml:space="preserve"> </v>
      </c>
      <c r="IX85" s="10" t="str">
        <f t="shared" si="322"/>
        <v xml:space="preserve"> </v>
      </c>
      <c r="IY85" s="10" t="str">
        <f t="shared" si="322"/>
        <v xml:space="preserve"> </v>
      </c>
      <c r="IZ85" s="10" t="str">
        <f t="shared" si="322"/>
        <v xml:space="preserve"> </v>
      </c>
      <c r="JA85" s="10" t="str">
        <f t="shared" si="322"/>
        <v xml:space="preserve"> </v>
      </c>
      <c r="JB85" s="10" t="str">
        <f t="shared" si="322"/>
        <v xml:space="preserve"> </v>
      </c>
      <c r="JE85" s="10" t="str">
        <f t="shared" si="323"/>
        <v xml:space="preserve"> </v>
      </c>
      <c r="JF85" s="10" t="str">
        <f t="shared" si="323"/>
        <v xml:space="preserve"> </v>
      </c>
      <c r="JG85" s="10" t="str">
        <f t="shared" si="323"/>
        <v xml:space="preserve"> </v>
      </c>
      <c r="JH85" s="10" t="str">
        <f t="shared" si="323"/>
        <v xml:space="preserve"> </v>
      </c>
      <c r="JI85" s="10" t="str">
        <f t="shared" si="323"/>
        <v xml:space="preserve"> </v>
      </c>
    </row>
    <row r="86" spans="13:269">
      <c r="M86" s="10" t="str">
        <f t="shared" si="324"/>
        <v xml:space="preserve"> </v>
      </c>
      <c r="N86" s="10" t="str">
        <f t="shared" si="324"/>
        <v xml:space="preserve"> </v>
      </c>
      <c r="O86" s="10" t="str">
        <f t="shared" si="324"/>
        <v xml:space="preserve"> </v>
      </c>
      <c r="P86" s="10" t="str">
        <f t="shared" si="324"/>
        <v xml:space="preserve"> </v>
      </c>
      <c r="Q86" s="10" t="str">
        <f t="shared" si="324"/>
        <v xml:space="preserve"> </v>
      </c>
      <c r="R86" s="14"/>
      <c r="S86" s="14"/>
      <c r="T86" s="10" t="str">
        <f t="shared" si="288"/>
        <v xml:space="preserve"> </v>
      </c>
      <c r="U86" s="10" t="str">
        <f t="shared" si="288"/>
        <v xml:space="preserve"> </v>
      </c>
      <c r="V86" s="10" t="str">
        <f t="shared" si="288"/>
        <v xml:space="preserve"> </v>
      </c>
      <c r="W86" s="10" t="str">
        <f t="shared" si="288"/>
        <v xml:space="preserve"> </v>
      </c>
      <c r="X86" s="10" t="str">
        <f t="shared" si="288"/>
        <v xml:space="preserve"> </v>
      </c>
      <c r="Y86" s="14"/>
      <c r="Z86" s="14"/>
      <c r="AA86" s="10" t="str">
        <f t="shared" si="289"/>
        <v xml:space="preserve"> </v>
      </c>
      <c r="AB86" s="10" t="str">
        <f t="shared" si="289"/>
        <v xml:space="preserve"> </v>
      </c>
      <c r="AC86" s="10" t="str">
        <f t="shared" si="289"/>
        <v xml:space="preserve"> </v>
      </c>
      <c r="AD86" s="10" t="str">
        <f t="shared" si="289"/>
        <v xml:space="preserve"> </v>
      </c>
      <c r="AE86" s="10" t="str">
        <f t="shared" si="289"/>
        <v xml:space="preserve"> </v>
      </c>
      <c r="AF86" s="14"/>
      <c r="AG86" s="14"/>
      <c r="AH86" s="10" t="str">
        <f t="shared" si="290"/>
        <v xml:space="preserve"> </v>
      </c>
      <c r="AI86" s="10" t="str">
        <f t="shared" si="290"/>
        <v xml:space="preserve"> </v>
      </c>
      <c r="AJ86" s="10" t="str">
        <f t="shared" si="290"/>
        <v xml:space="preserve"> </v>
      </c>
      <c r="AK86" s="10" t="str">
        <f t="shared" si="290"/>
        <v xml:space="preserve"> </v>
      </c>
      <c r="AL86" s="10" t="str">
        <f t="shared" si="290"/>
        <v xml:space="preserve"> </v>
      </c>
      <c r="AM86" s="14"/>
      <c r="AN86" s="14"/>
      <c r="AO86" s="10" t="str">
        <f t="shared" si="291"/>
        <v xml:space="preserve"> </v>
      </c>
      <c r="AP86" s="10" t="str">
        <f t="shared" si="291"/>
        <v xml:space="preserve"> </v>
      </c>
      <c r="AQ86" s="10" t="str">
        <f t="shared" si="291"/>
        <v xml:space="preserve"> </v>
      </c>
      <c r="AR86" s="10" t="str">
        <f t="shared" si="291"/>
        <v xml:space="preserve"> </v>
      </c>
      <c r="AS86" s="10" t="str">
        <f t="shared" si="291"/>
        <v xml:space="preserve"> </v>
      </c>
      <c r="AT86" s="14"/>
      <c r="AU86" s="14"/>
      <c r="AV86" s="10" t="str">
        <f t="shared" si="292"/>
        <v xml:space="preserve"> </v>
      </c>
      <c r="AW86" s="10" t="str">
        <f t="shared" si="292"/>
        <v xml:space="preserve"> </v>
      </c>
      <c r="AX86" s="10" t="str">
        <f t="shared" si="292"/>
        <v xml:space="preserve"> </v>
      </c>
      <c r="AY86" s="10" t="str">
        <f t="shared" si="292"/>
        <v xml:space="preserve"> </v>
      </c>
      <c r="AZ86" s="10" t="str">
        <f t="shared" si="292"/>
        <v xml:space="preserve"> </v>
      </c>
      <c r="BA86" s="14"/>
      <c r="BB86" s="14"/>
      <c r="BC86" s="10" t="str">
        <f t="shared" si="293"/>
        <v xml:space="preserve"> </v>
      </c>
      <c r="BD86" s="10" t="str">
        <f t="shared" si="293"/>
        <v xml:space="preserve"> </v>
      </c>
      <c r="BE86" s="10" t="str">
        <f t="shared" si="293"/>
        <v xml:space="preserve"> </v>
      </c>
      <c r="BF86" s="10" t="str">
        <f t="shared" si="293"/>
        <v xml:space="preserve"> </v>
      </c>
      <c r="BG86" s="10" t="str">
        <f t="shared" si="293"/>
        <v xml:space="preserve"> </v>
      </c>
      <c r="BH86" s="14"/>
      <c r="BI86" s="14"/>
      <c r="BJ86" s="10" t="str">
        <f t="shared" si="294"/>
        <v xml:space="preserve"> </v>
      </c>
      <c r="BK86" s="10" t="str">
        <f t="shared" si="294"/>
        <v xml:space="preserve"> </v>
      </c>
      <c r="BL86" s="10" t="str">
        <f t="shared" si="294"/>
        <v xml:space="preserve"> </v>
      </c>
      <c r="BM86" s="10" t="str">
        <f t="shared" si="294"/>
        <v xml:space="preserve"> </v>
      </c>
      <c r="BN86" s="10" t="str">
        <f t="shared" si="294"/>
        <v xml:space="preserve"> </v>
      </c>
      <c r="BO86" s="14"/>
      <c r="BP86" s="14"/>
      <c r="BQ86" s="10" t="str">
        <f t="shared" si="295"/>
        <v xml:space="preserve"> </v>
      </c>
      <c r="BR86" s="10" t="str">
        <f t="shared" si="295"/>
        <v xml:space="preserve"> </v>
      </c>
      <c r="BS86" s="10" t="str">
        <f t="shared" si="295"/>
        <v xml:space="preserve"> </v>
      </c>
      <c r="BT86" s="10" t="str">
        <f t="shared" si="295"/>
        <v xml:space="preserve"> </v>
      </c>
      <c r="BU86" s="10" t="str">
        <f t="shared" si="295"/>
        <v xml:space="preserve"> </v>
      </c>
      <c r="BV86" s="14"/>
      <c r="BW86" s="14"/>
      <c r="BX86" s="10" t="str">
        <f t="shared" si="296"/>
        <v xml:space="preserve"> </v>
      </c>
      <c r="BY86" s="10" t="str">
        <f t="shared" si="296"/>
        <v xml:space="preserve"> </v>
      </c>
      <c r="BZ86" s="10" t="str">
        <f t="shared" si="296"/>
        <v xml:space="preserve"> </v>
      </c>
      <c r="CA86" s="10" t="str">
        <f t="shared" si="296"/>
        <v xml:space="preserve"> </v>
      </c>
      <c r="CB86" s="10" t="str">
        <f t="shared" si="296"/>
        <v xml:space="preserve"> </v>
      </c>
      <c r="CC86" s="14"/>
      <c r="CD86" s="14"/>
      <c r="CE86" s="10" t="str">
        <f t="shared" si="297"/>
        <v xml:space="preserve"> </v>
      </c>
      <c r="CF86" s="10" t="str">
        <f t="shared" si="297"/>
        <v xml:space="preserve"> </v>
      </c>
      <c r="CG86" s="10" t="str">
        <f t="shared" si="297"/>
        <v xml:space="preserve"> </v>
      </c>
      <c r="CH86" s="10" t="str">
        <f t="shared" si="297"/>
        <v xml:space="preserve"> </v>
      </c>
      <c r="CI86" s="10" t="str">
        <f t="shared" si="297"/>
        <v xml:space="preserve"> </v>
      </c>
      <c r="CJ86" s="14"/>
      <c r="CK86" s="14"/>
      <c r="CL86" s="10" t="str">
        <f t="shared" si="298"/>
        <v xml:space="preserve"> </v>
      </c>
      <c r="CM86" s="10" t="str">
        <f t="shared" si="298"/>
        <v xml:space="preserve"> </v>
      </c>
      <c r="CN86" s="10" t="str">
        <f t="shared" si="298"/>
        <v xml:space="preserve"> </v>
      </c>
      <c r="CO86" s="10" t="str">
        <f t="shared" si="298"/>
        <v xml:space="preserve"> </v>
      </c>
      <c r="CP86" s="10" t="str">
        <f t="shared" si="298"/>
        <v xml:space="preserve"> </v>
      </c>
      <c r="CQ86" s="14"/>
      <c r="CR86" s="14"/>
      <c r="CS86" s="10" t="str">
        <f t="shared" si="299"/>
        <v xml:space="preserve"> </v>
      </c>
      <c r="CT86" s="10" t="str">
        <f t="shared" si="299"/>
        <v xml:space="preserve"> </v>
      </c>
      <c r="CU86" s="10" t="str">
        <f t="shared" si="299"/>
        <v xml:space="preserve"> </v>
      </c>
      <c r="CV86" s="10" t="str">
        <f t="shared" si="299"/>
        <v xml:space="preserve"> </v>
      </c>
      <c r="CW86" s="10" t="str">
        <f t="shared" si="299"/>
        <v xml:space="preserve"> </v>
      </c>
      <c r="CZ86" s="10" t="str">
        <f t="shared" si="300"/>
        <v xml:space="preserve"> </v>
      </c>
      <c r="DA86" s="10" t="str">
        <f t="shared" si="300"/>
        <v xml:space="preserve"> </v>
      </c>
      <c r="DB86" s="10" t="str">
        <f t="shared" si="300"/>
        <v xml:space="preserve"> </v>
      </c>
      <c r="DC86" s="10" t="str">
        <f t="shared" si="300"/>
        <v xml:space="preserve"> </v>
      </c>
      <c r="DD86" s="10" t="str">
        <f t="shared" si="300"/>
        <v xml:space="preserve"> </v>
      </c>
      <c r="DG86" s="10" t="str">
        <f t="shared" si="301"/>
        <v xml:space="preserve"> </v>
      </c>
      <c r="DH86" s="10" t="str">
        <f t="shared" si="301"/>
        <v xml:space="preserve"> </v>
      </c>
      <c r="DI86" s="10" t="str">
        <f t="shared" si="301"/>
        <v xml:space="preserve"> </v>
      </c>
      <c r="DJ86" s="10" t="str">
        <f t="shared" si="301"/>
        <v xml:space="preserve"> </v>
      </c>
      <c r="DK86" s="10" t="str">
        <f t="shared" si="301"/>
        <v xml:space="preserve"> </v>
      </c>
      <c r="DN86" s="10" t="str">
        <f t="shared" si="302"/>
        <v xml:space="preserve"> </v>
      </c>
      <c r="DO86" s="10" t="str">
        <f t="shared" si="302"/>
        <v xml:space="preserve"> </v>
      </c>
      <c r="DP86" s="10" t="str">
        <f t="shared" si="302"/>
        <v xml:space="preserve"> </v>
      </c>
      <c r="DQ86" s="10" t="str">
        <f t="shared" si="302"/>
        <v xml:space="preserve"> </v>
      </c>
      <c r="DR86" s="10" t="str">
        <f t="shared" si="302"/>
        <v xml:space="preserve"> </v>
      </c>
      <c r="DU86" s="10" t="str">
        <f t="shared" si="303"/>
        <v xml:space="preserve"> </v>
      </c>
      <c r="DV86" s="10" t="str">
        <f t="shared" si="303"/>
        <v xml:space="preserve"> </v>
      </c>
      <c r="DW86" s="10" t="str">
        <f t="shared" si="303"/>
        <v xml:space="preserve"> </v>
      </c>
      <c r="DX86" s="10" t="str">
        <f t="shared" si="303"/>
        <v xml:space="preserve"> </v>
      </c>
      <c r="DY86" s="10" t="str">
        <f t="shared" si="303"/>
        <v xml:space="preserve"> </v>
      </c>
      <c r="EB86" s="10" t="str">
        <f t="shared" si="304"/>
        <v xml:space="preserve"> </v>
      </c>
      <c r="EC86" s="10" t="str">
        <f t="shared" si="304"/>
        <v xml:space="preserve"> </v>
      </c>
      <c r="ED86" s="10" t="str">
        <f t="shared" si="304"/>
        <v xml:space="preserve"> </v>
      </c>
      <c r="EE86" s="10" t="str">
        <f t="shared" si="304"/>
        <v xml:space="preserve"> </v>
      </c>
      <c r="EF86" s="10" t="str">
        <f t="shared" si="304"/>
        <v xml:space="preserve"> </v>
      </c>
      <c r="EI86" s="10" t="str">
        <f t="shared" si="305"/>
        <v xml:space="preserve"> </v>
      </c>
      <c r="EJ86" s="10" t="str">
        <f t="shared" si="305"/>
        <v xml:space="preserve"> </v>
      </c>
      <c r="EK86" s="10" t="str">
        <f t="shared" si="305"/>
        <v xml:space="preserve"> </v>
      </c>
      <c r="EL86" s="10" t="str">
        <f t="shared" si="305"/>
        <v xml:space="preserve"> </v>
      </c>
      <c r="EM86" s="10" t="str">
        <f t="shared" si="305"/>
        <v xml:space="preserve"> </v>
      </c>
      <c r="EP86" s="10" t="str">
        <f t="shared" si="306"/>
        <v xml:space="preserve"> </v>
      </c>
      <c r="EQ86" s="10" t="str">
        <f t="shared" si="306"/>
        <v xml:space="preserve"> </v>
      </c>
      <c r="ER86" s="10" t="str">
        <f t="shared" si="306"/>
        <v xml:space="preserve"> </v>
      </c>
      <c r="ES86" s="10" t="str">
        <f t="shared" si="306"/>
        <v xml:space="preserve"> </v>
      </c>
      <c r="ET86" s="10" t="str">
        <f t="shared" si="306"/>
        <v xml:space="preserve"> </v>
      </c>
      <c r="EW86" s="10" t="str">
        <f t="shared" si="307"/>
        <v xml:space="preserve"> </v>
      </c>
      <c r="EX86" s="10" t="str">
        <f t="shared" si="307"/>
        <v xml:space="preserve"> </v>
      </c>
      <c r="EY86" s="10" t="str">
        <f t="shared" si="307"/>
        <v xml:space="preserve"> </v>
      </c>
      <c r="EZ86" s="10" t="str">
        <f t="shared" si="307"/>
        <v xml:space="preserve"> </v>
      </c>
      <c r="FA86" s="10" t="str">
        <f t="shared" si="307"/>
        <v xml:space="preserve"> </v>
      </c>
      <c r="FD86" s="10" t="str">
        <f t="shared" si="308"/>
        <v xml:space="preserve"> </v>
      </c>
      <c r="FE86" s="10" t="str">
        <f t="shared" si="308"/>
        <v xml:space="preserve"> </v>
      </c>
      <c r="FF86" s="10" t="str">
        <f t="shared" si="308"/>
        <v xml:space="preserve"> </v>
      </c>
      <c r="FG86" s="10" t="str">
        <f t="shared" si="308"/>
        <v xml:space="preserve"> </v>
      </c>
      <c r="FH86" s="10" t="str">
        <f t="shared" si="308"/>
        <v xml:space="preserve"> </v>
      </c>
      <c r="FK86" s="10" t="str">
        <f t="shared" si="309"/>
        <v xml:space="preserve"> </v>
      </c>
      <c r="FL86" s="10" t="str">
        <f t="shared" si="309"/>
        <v xml:space="preserve"> </v>
      </c>
      <c r="FM86" s="10" t="str">
        <f t="shared" si="309"/>
        <v xml:space="preserve"> </v>
      </c>
      <c r="FN86" s="10" t="str">
        <f t="shared" si="309"/>
        <v xml:space="preserve"> </v>
      </c>
      <c r="FO86" s="10" t="str">
        <f t="shared" si="309"/>
        <v xml:space="preserve"> </v>
      </c>
      <c r="FR86" s="10" t="str">
        <f t="shared" si="310"/>
        <v xml:space="preserve"> </v>
      </c>
      <c r="FS86" s="10" t="str">
        <f t="shared" si="310"/>
        <v xml:space="preserve"> </v>
      </c>
      <c r="FT86" s="10" t="str">
        <f t="shared" si="310"/>
        <v xml:space="preserve"> </v>
      </c>
      <c r="FU86" s="10" t="str">
        <f t="shared" si="310"/>
        <v xml:space="preserve"> </v>
      </c>
      <c r="FV86" s="10" t="str">
        <f t="shared" si="310"/>
        <v xml:space="preserve"> </v>
      </c>
      <c r="FY86" s="10" t="str">
        <f t="shared" si="311"/>
        <v xml:space="preserve"> </v>
      </c>
      <c r="FZ86" s="10" t="str">
        <f t="shared" si="311"/>
        <v xml:space="preserve"> </v>
      </c>
      <c r="GA86" s="10" t="str">
        <f t="shared" si="311"/>
        <v xml:space="preserve"> </v>
      </c>
      <c r="GB86" s="10" t="str">
        <f t="shared" si="311"/>
        <v xml:space="preserve"> </v>
      </c>
      <c r="GC86" s="10" t="str">
        <f t="shared" si="311"/>
        <v xml:space="preserve"> </v>
      </c>
      <c r="GF86" s="10" t="str">
        <f t="shared" si="312"/>
        <v xml:space="preserve"> </v>
      </c>
      <c r="GG86" s="10" t="str">
        <f t="shared" si="312"/>
        <v xml:space="preserve"> </v>
      </c>
      <c r="GH86" s="10" t="str">
        <f t="shared" si="312"/>
        <v xml:space="preserve"> </v>
      </c>
      <c r="GI86" s="10" t="str">
        <f t="shared" si="312"/>
        <v xml:space="preserve"> </v>
      </c>
      <c r="GJ86" s="10" t="str">
        <f t="shared" si="312"/>
        <v xml:space="preserve"> </v>
      </c>
      <c r="GM86" s="10" t="str">
        <f t="shared" si="313"/>
        <v xml:space="preserve"> </v>
      </c>
      <c r="GN86" s="10" t="str">
        <f t="shared" si="313"/>
        <v xml:space="preserve"> </v>
      </c>
      <c r="GO86" s="10" t="str">
        <f t="shared" si="313"/>
        <v xml:space="preserve"> </v>
      </c>
      <c r="GP86" s="10" t="str">
        <f t="shared" si="313"/>
        <v xml:space="preserve"> </v>
      </c>
      <c r="GQ86" s="10" t="str">
        <f t="shared" si="313"/>
        <v xml:space="preserve"> </v>
      </c>
      <c r="GT86" s="10" t="str">
        <f t="shared" si="314"/>
        <v xml:space="preserve"> </v>
      </c>
      <c r="GU86" s="10" t="str">
        <f t="shared" si="314"/>
        <v xml:space="preserve"> </v>
      </c>
      <c r="GV86" s="10" t="str">
        <f t="shared" si="314"/>
        <v xml:space="preserve"> </v>
      </c>
      <c r="GW86" s="10" t="str">
        <f t="shared" si="314"/>
        <v xml:space="preserve"> </v>
      </c>
      <c r="GX86" s="10" t="str">
        <f t="shared" si="314"/>
        <v xml:space="preserve"> </v>
      </c>
      <c r="HA86" s="10" t="str">
        <f t="shared" si="315"/>
        <v xml:space="preserve"> </v>
      </c>
      <c r="HB86" s="10" t="str">
        <f t="shared" si="315"/>
        <v xml:space="preserve"> </v>
      </c>
      <c r="HC86" s="10" t="str">
        <f t="shared" si="315"/>
        <v xml:space="preserve"> </v>
      </c>
      <c r="HD86" s="10" t="str">
        <f t="shared" si="315"/>
        <v xml:space="preserve"> </v>
      </c>
      <c r="HE86" s="10" t="str">
        <f t="shared" si="315"/>
        <v xml:space="preserve"> </v>
      </c>
      <c r="HH86" s="10" t="str">
        <f t="shared" si="316"/>
        <v xml:space="preserve"> </v>
      </c>
      <c r="HI86" s="10" t="str">
        <f t="shared" si="316"/>
        <v xml:space="preserve"> </v>
      </c>
      <c r="HJ86" s="10" t="str">
        <f t="shared" si="316"/>
        <v xml:space="preserve"> </v>
      </c>
      <c r="HK86" s="10" t="str">
        <f t="shared" si="316"/>
        <v xml:space="preserve"> </v>
      </c>
      <c r="HL86" s="10" t="str">
        <f t="shared" si="316"/>
        <v xml:space="preserve"> </v>
      </c>
      <c r="HO86" s="10" t="str">
        <f t="shared" si="317"/>
        <v xml:space="preserve"> </v>
      </c>
      <c r="HP86" s="10" t="str">
        <f t="shared" si="317"/>
        <v xml:space="preserve"> </v>
      </c>
      <c r="HQ86" s="10" t="str">
        <f t="shared" si="317"/>
        <v xml:space="preserve"> </v>
      </c>
      <c r="HR86" s="10" t="str">
        <f t="shared" si="317"/>
        <v xml:space="preserve"> </v>
      </c>
      <c r="HS86" s="10" t="str">
        <f t="shared" si="317"/>
        <v xml:space="preserve"> </v>
      </c>
      <c r="HV86" s="10" t="str">
        <f t="shared" si="318"/>
        <v xml:space="preserve"> </v>
      </c>
      <c r="HW86" s="10" t="str">
        <f t="shared" si="318"/>
        <v xml:space="preserve"> </v>
      </c>
      <c r="HX86" s="10" t="str">
        <f t="shared" si="318"/>
        <v xml:space="preserve"> </v>
      </c>
      <c r="HY86" s="10" t="str">
        <f t="shared" si="318"/>
        <v xml:space="preserve"> </v>
      </c>
      <c r="HZ86" s="10" t="str">
        <f t="shared" si="318"/>
        <v xml:space="preserve"> </v>
      </c>
      <c r="IC86" s="10" t="str">
        <f t="shared" si="319"/>
        <v xml:space="preserve"> </v>
      </c>
      <c r="ID86" s="10" t="str">
        <f t="shared" si="319"/>
        <v xml:space="preserve"> </v>
      </c>
      <c r="IE86" s="10" t="str">
        <f t="shared" si="319"/>
        <v xml:space="preserve"> </v>
      </c>
      <c r="IF86" s="10" t="str">
        <f t="shared" si="319"/>
        <v xml:space="preserve"> </v>
      </c>
      <c r="IG86" s="10" t="str">
        <f t="shared" si="319"/>
        <v xml:space="preserve"> </v>
      </c>
      <c r="IJ86" s="10" t="str">
        <f t="shared" si="320"/>
        <v xml:space="preserve"> </v>
      </c>
      <c r="IK86" s="10" t="str">
        <f t="shared" si="320"/>
        <v xml:space="preserve"> </v>
      </c>
      <c r="IL86" s="10" t="str">
        <f t="shared" si="320"/>
        <v xml:space="preserve"> </v>
      </c>
      <c r="IM86" s="10" t="str">
        <f t="shared" si="320"/>
        <v xml:space="preserve"> </v>
      </c>
      <c r="IN86" s="10" t="str">
        <f t="shared" si="320"/>
        <v xml:space="preserve"> </v>
      </c>
      <c r="IQ86" s="10" t="str">
        <f t="shared" si="321"/>
        <v xml:space="preserve"> </v>
      </c>
      <c r="IR86" s="10" t="str">
        <f t="shared" si="321"/>
        <v xml:space="preserve"> </v>
      </c>
      <c r="IS86" s="10" t="str">
        <f t="shared" si="321"/>
        <v xml:space="preserve"> </v>
      </c>
      <c r="IT86" s="10" t="str">
        <f t="shared" si="321"/>
        <v xml:space="preserve"> </v>
      </c>
      <c r="IU86" s="10" t="str">
        <f t="shared" si="321"/>
        <v xml:space="preserve"> </v>
      </c>
      <c r="IX86" s="10" t="str">
        <f t="shared" si="322"/>
        <v xml:space="preserve"> </v>
      </c>
      <c r="IY86" s="10" t="str">
        <f t="shared" si="322"/>
        <v xml:space="preserve"> </v>
      </c>
      <c r="IZ86" s="10" t="str">
        <f t="shared" si="322"/>
        <v xml:space="preserve"> </v>
      </c>
      <c r="JA86" s="10" t="str">
        <f t="shared" si="322"/>
        <v xml:space="preserve"> </v>
      </c>
      <c r="JB86" s="10" t="str">
        <f t="shared" si="322"/>
        <v xml:space="preserve"> </v>
      </c>
      <c r="JE86" s="10" t="str">
        <f t="shared" si="323"/>
        <v xml:space="preserve"> </v>
      </c>
      <c r="JF86" s="10" t="str">
        <f t="shared" si="323"/>
        <v xml:space="preserve"> </v>
      </c>
      <c r="JG86" s="10" t="str">
        <f t="shared" si="323"/>
        <v xml:space="preserve"> </v>
      </c>
      <c r="JH86" s="10" t="str">
        <f t="shared" si="323"/>
        <v xml:space="preserve"> </v>
      </c>
      <c r="JI86" s="10" t="str">
        <f t="shared" si="323"/>
        <v xml:space="preserve"> </v>
      </c>
    </row>
    <row r="87" spans="13:269">
      <c r="M87" s="10" t="str">
        <f t="shared" si="324"/>
        <v xml:space="preserve"> </v>
      </c>
      <c r="N87" s="10" t="str">
        <f t="shared" si="324"/>
        <v xml:space="preserve"> </v>
      </c>
      <c r="O87" s="10" t="str">
        <f t="shared" si="324"/>
        <v xml:space="preserve"> </v>
      </c>
      <c r="P87" s="10" t="str">
        <f t="shared" si="324"/>
        <v xml:space="preserve"> </v>
      </c>
      <c r="Q87" s="10" t="str">
        <f t="shared" si="324"/>
        <v xml:space="preserve"> </v>
      </c>
      <c r="R87" s="14"/>
      <c r="S87" s="14"/>
      <c r="T87" s="10" t="str">
        <f t="shared" si="288"/>
        <v xml:space="preserve"> </v>
      </c>
      <c r="U87" s="10" t="str">
        <f t="shared" si="288"/>
        <v xml:space="preserve"> </v>
      </c>
      <c r="V87" s="10" t="str">
        <f t="shared" si="288"/>
        <v xml:space="preserve"> </v>
      </c>
      <c r="W87" s="10" t="str">
        <f t="shared" si="288"/>
        <v xml:space="preserve"> </v>
      </c>
      <c r="X87" s="10" t="str">
        <f t="shared" si="288"/>
        <v xml:space="preserve"> </v>
      </c>
      <c r="Y87" s="14"/>
      <c r="Z87" s="14"/>
      <c r="AA87" s="10" t="str">
        <f t="shared" si="289"/>
        <v xml:space="preserve"> </v>
      </c>
      <c r="AB87" s="10" t="str">
        <f t="shared" si="289"/>
        <v xml:space="preserve"> </v>
      </c>
      <c r="AC87" s="10" t="str">
        <f t="shared" si="289"/>
        <v xml:space="preserve"> </v>
      </c>
      <c r="AD87" s="10" t="str">
        <f t="shared" si="289"/>
        <v xml:space="preserve"> </v>
      </c>
      <c r="AE87" s="10" t="str">
        <f t="shared" si="289"/>
        <v xml:space="preserve"> </v>
      </c>
      <c r="AF87" s="14"/>
      <c r="AG87" s="14"/>
      <c r="AH87" s="10" t="str">
        <f t="shared" si="290"/>
        <v xml:space="preserve"> </v>
      </c>
      <c r="AI87" s="10" t="str">
        <f t="shared" si="290"/>
        <v xml:space="preserve"> </v>
      </c>
      <c r="AJ87" s="10" t="str">
        <f t="shared" si="290"/>
        <v xml:space="preserve"> </v>
      </c>
      <c r="AK87" s="10" t="str">
        <f t="shared" si="290"/>
        <v xml:space="preserve"> </v>
      </c>
      <c r="AL87" s="10" t="str">
        <f t="shared" si="290"/>
        <v xml:space="preserve"> </v>
      </c>
      <c r="AM87" s="14"/>
      <c r="AN87" s="14"/>
      <c r="AO87" s="10" t="str">
        <f t="shared" si="291"/>
        <v xml:space="preserve"> </v>
      </c>
      <c r="AP87" s="10" t="str">
        <f t="shared" si="291"/>
        <v xml:space="preserve"> </v>
      </c>
      <c r="AQ87" s="10" t="str">
        <f t="shared" si="291"/>
        <v xml:space="preserve"> </v>
      </c>
      <c r="AR87" s="10" t="str">
        <f t="shared" si="291"/>
        <v xml:space="preserve"> </v>
      </c>
      <c r="AS87" s="10" t="str">
        <f t="shared" si="291"/>
        <v xml:space="preserve"> </v>
      </c>
      <c r="AT87" s="14"/>
      <c r="AU87" s="14"/>
      <c r="AV87" s="10" t="str">
        <f t="shared" si="292"/>
        <v xml:space="preserve"> </v>
      </c>
      <c r="AW87" s="10" t="str">
        <f t="shared" si="292"/>
        <v xml:space="preserve"> </v>
      </c>
      <c r="AX87" s="10" t="str">
        <f t="shared" si="292"/>
        <v xml:space="preserve"> </v>
      </c>
      <c r="AY87" s="10" t="str">
        <f t="shared" si="292"/>
        <v xml:space="preserve"> </v>
      </c>
      <c r="AZ87" s="10" t="str">
        <f t="shared" si="292"/>
        <v xml:space="preserve"> </v>
      </c>
      <c r="BA87" s="14"/>
      <c r="BB87" s="14"/>
      <c r="BC87" s="10" t="str">
        <f t="shared" si="293"/>
        <v xml:space="preserve"> </v>
      </c>
      <c r="BD87" s="10" t="str">
        <f t="shared" si="293"/>
        <v xml:space="preserve"> </v>
      </c>
      <c r="BE87" s="10" t="str">
        <f t="shared" si="293"/>
        <v xml:space="preserve"> </v>
      </c>
      <c r="BF87" s="10" t="str">
        <f t="shared" si="293"/>
        <v xml:space="preserve"> </v>
      </c>
      <c r="BG87" s="10" t="str">
        <f t="shared" si="293"/>
        <v xml:space="preserve"> </v>
      </c>
      <c r="BH87" s="14"/>
      <c r="BI87" s="14"/>
      <c r="BJ87" s="10" t="str">
        <f t="shared" si="294"/>
        <v xml:space="preserve"> </v>
      </c>
      <c r="BK87" s="10" t="str">
        <f t="shared" si="294"/>
        <v xml:space="preserve"> </v>
      </c>
      <c r="BL87" s="10" t="str">
        <f t="shared" si="294"/>
        <v xml:space="preserve"> </v>
      </c>
      <c r="BM87" s="10" t="str">
        <f t="shared" si="294"/>
        <v xml:space="preserve"> </v>
      </c>
      <c r="BN87" s="10" t="str">
        <f t="shared" si="294"/>
        <v xml:space="preserve"> </v>
      </c>
      <c r="BO87" s="14"/>
      <c r="BP87" s="14"/>
      <c r="BQ87" s="10" t="str">
        <f t="shared" si="295"/>
        <v xml:space="preserve"> </v>
      </c>
      <c r="BR87" s="10" t="str">
        <f t="shared" si="295"/>
        <v xml:space="preserve"> </v>
      </c>
      <c r="BS87" s="10" t="str">
        <f t="shared" si="295"/>
        <v xml:space="preserve"> </v>
      </c>
      <c r="BT87" s="10" t="str">
        <f t="shared" si="295"/>
        <v xml:space="preserve"> </v>
      </c>
      <c r="BU87" s="10" t="str">
        <f t="shared" si="295"/>
        <v xml:space="preserve"> </v>
      </c>
      <c r="BV87" s="14"/>
      <c r="BW87" s="14"/>
      <c r="BX87" s="10" t="str">
        <f t="shared" si="296"/>
        <v xml:space="preserve"> </v>
      </c>
      <c r="BY87" s="10" t="str">
        <f t="shared" si="296"/>
        <v xml:space="preserve"> </v>
      </c>
      <c r="BZ87" s="10" t="str">
        <f t="shared" si="296"/>
        <v xml:space="preserve"> </v>
      </c>
      <c r="CA87" s="10" t="str">
        <f t="shared" si="296"/>
        <v xml:space="preserve"> </v>
      </c>
      <c r="CB87" s="10" t="str">
        <f t="shared" si="296"/>
        <v xml:space="preserve"> </v>
      </c>
      <c r="CC87" s="14"/>
      <c r="CD87" s="14"/>
      <c r="CE87" s="10" t="str">
        <f t="shared" si="297"/>
        <v xml:space="preserve"> </v>
      </c>
      <c r="CF87" s="10" t="str">
        <f t="shared" si="297"/>
        <v xml:space="preserve"> </v>
      </c>
      <c r="CG87" s="10" t="str">
        <f t="shared" si="297"/>
        <v xml:space="preserve"> </v>
      </c>
      <c r="CH87" s="10" t="str">
        <f t="shared" si="297"/>
        <v xml:space="preserve"> </v>
      </c>
      <c r="CI87" s="10" t="str">
        <f t="shared" si="297"/>
        <v xml:space="preserve"> </v>
      </c>
      <c r="CJ87" s="14"/>
      <c r="CK87" s="14"/>
      <c r="CL87" s="10" t="str">
        <f t="shared" si="298"/>
        <v xml:space="preserve"> </v>
      </c>
      <c r="CM87" s="10" t="str">
        <f t="shared" si="298"/>
        <v xml:space="preserve"> </v>
      </c>
      <c r="CN87" s="10" t="str">
        <f t="shared" si="298"/>
        <v xml:space="preserve"> </v>
      </c>
      <c r="CO87" s="10" t="str">
        <f t="shared" si="298"/>
        <v xml:space="preserve"> </v>
      </c>
      <c r="CP87" s="10" t="str">
        <f t="shared" si="298"/>
        <v xml:space="preserve"> </v>
      </c>
      <c r="CQ87" s="14"/>
      <c r="CR87" s="14"/>
      <c r="CS87" s="10" t="str">
        <f t="shared" si="299"/>
        <v xml:space="preserve"> </v>
      </c>
      <c r="CT87" s="10" t="str">
        <f t="shared" si="299"/>
        <v xml:space="preserve"> </v>
      </c>
      <c r="CU87" s="10" t="str">
        <f t="shared" si="299"/>
        <v xml:space="preserve"> </v>
      </c>
      <c r="CV87" s="10" t="str">
        <f t="shared" si="299"/>
        <v xml:space="preserve"> </v>
      </c>
      <c r="CW87" s="10" t="str">
        <f t="shared" si="299"/>
        <v xml:space="preserve"> </v>
      </c>
      <c r="CZ87" s="10" t="str">
        <f t="shared" si="300"/>
        <v xml:space="preserve"> </v>
      </c>
      <c r="DA87" s="10" t="str">
        <f t="shared" si="300"/>
        <v xml:space="preserve"> </v>
      </c>
      <c r="DB87" s="10" t="str">
        <f t="shared" si="300"/>
        <v xml:space="preserve"> </v>
      </c>
      <c r="DC87" s="10" t="str">
        <f t="shared" si="300"/>
        <v xml:space="preserve"> </v>
      </c>
      <c r="DD87" s="10" t="str">
        <f t="shared" si="300"/>
        <v xml:space="preserve"> </v>
      </c>
      <c r="DG87" s="10" t="str">
        <f t="shared" si="301"/>
        <v xml:space="preserve"> </v>
      </c>
      <c r="DH87" s="10" t="str">
        <f t="shared" si="301"/>
        <v xml:space="preserve"> </v>
      </c>
      <c r="DI87" s="10" t="str">
        <f t="shared" si="301"/>
        <v xml:space="preserve"> </v>
      </c>
      <c r="DJ87" s="10" t="str">
        <f t="shared" si="301"/>
        <v xml:space="preserve"> </v>
      </c>
      <c r="DK87" s="10" t="str">
        <f t="shared" si="301"/>
        <v xml:space="preserve"> </v>
      </c>
      <c r="DN87" s="10" t="str">
        <f t="shared" si="302"/>
        <v xml:space="preserve"> </v>
      </c>
      <c r="DO87" s="10" t="str">
        <f t="shared" si="302"/>
        <v xml:space="preserve"> </v>
      </c>
      <c r="DP87" s="10" t="str">
        <f t="shared" si="302"/>
        <v xml:space="preserve"> </v>
      </c>
      <c r="DQ87" s="10" t="str">
        <f t="shared" si="302"/>
        <v xml:space="preserve"> </v>
      </c>
      <c r="DR87" s="10" t="str">
        <f t="shared" si="302"/>
        <v xml:space="preserve"> </v>
      </c>
      <c r="DU87" s="10" t="str">
        <f t="shared" si="303"/>
        <v xml:space="preserve"> </v>
      </c>
      <c r="DV87" s="10" t="str">
        <f t="shared" si="303"/>
        <v xml:space="preserve"> </v>
      </c>
      <c r="DW87" s="10" t="str">
        <f t="shared" si="303"/>
        <v xml:space="preserve"> </v>
      </c>
      <c r="DX87" s="10" t="str">
        <f t="shared" si="303"/>
        <v xml:space="preserve"> </v>
      </c>
      <c r="DY87" s="10" t="str">
        <f t="shared" si="303"/>
        <v xml:space="preserve"> </v>
      </c>
      <c r="EB87" s="10" t="str">
        <f t="shared" si="304"/>
        <v xml:space="preserve"> </v>
      </c>
      <c r="EC87" s="10" t="str">
        <f t="shared" si="304"/>
        <v xml:space="preserve"> </v>
      </c>
      <c r="ED87" s="10" t="str">
        <f t="shared" si="304"/>
        <v xml:space="preserve"> </v>
      </c>
      <c r="EE87" s="10" t="str">
        <f t="shared" si="304"/>
        <v xml:space="preserve"> </v>
      </c>
      <c r="EF87" s="10" t="str">
        <f t="shared" si="304"/>
        <v xml:space="preserve"> </v>
      </c>
      <c r="EI87" s="10" t="str">
        <f t="shared" si="305"/>
        <v xml:space="preserve"> </v>
      </c>
      <c r="EJ87" s="10" t="str">
        <f t="shared" si="305"/>
        <v xml:space="preserve"> </v>
      </c>
      <c r="EK87" s="10" t="str">
        <f t="shared" si="305"/>
        <v xml:space="preserve"> </v>
      </c>
      <c r="EL87" s="10" t="str">
        <f t="shared" si="305"/>
        <v xml:space="preserve"> </v>
      </c>
      <c r="EM87" s="10" t="str">
        <f t="shared" si="305"/>
        <v xml:space="preserve"> </v>
      </c>
      <c r="EP87" s="10" t="str">
        <f t="shared" si="306"/>
        <v xml:space="preserve"> </v>
      </c>
      <c r="EQ87" s="10" t="str">
        <f t="shared" si="306"/>
        <v xml:space="preserve"> </v>
      </c>
      <c r="ER87" s="10" t="str">
        <f t="shared" si="306"/>
        <v xml:space="preserve"> </v>
      </c>
      <c r="ES87" s="10" t="str">
        <f t="shared" si="306"/>
        <v xml:space="preserve"> </v>
      </c>
      <c r="ET87" s="10" t="str">
        <f t="shared" si="306"/>
        <v xml:space="preserve"> </v>
      </c>
      <c r="EW87" s="10" t="str">
        <f t="shared" si="307"/>
        <v xml:space="preserve"> </v>
      </c>
      <c r="EX87" s="10" t="str">
        <f t="shared" si="307"/>
        <v xml:space="preserve"> </v>
      </c>
      <c r="EY87" s="10" t="str">
        <f t="shared" si="307"/>
        <v xml:space="preserve"> </v>
      </c>
      <c r="EZ87" s="10" t="str">
        <f t="shared" si="307"/>
        <v xml:space="preserve"> </v>
      </c>
      <c r="FA87" s="10" t="str">
        <f t="shared" si="307"/>
        <v xml:space="preserve"> </v>
      </c>
      <c r="FD87" s="10" t="str">
        <f t="shared" si="308"/>
        <v xml:space="preserve"> </v>
      </c>
      <c r="FE87" s="10" t="str">
        <f t="shared" si="308"/>
        <v xml:space="preserve"> </v>
      </c>
      <c r="FF87" s="10" t="str">
        <f t="shared" si="308"/>
        <v xml:space="preserve"> </v>
      </c>
      <c r="FG87" s="10" t="str">
        <f t="shared" si="308"/>
        <v xml:space="preserve"> </v>
      </c>
      <c r="FH87" s="10" t="str">
        <f t="shared" si="308"/>
        <v xml:space="preserve"> </v>
      </c>
      <c r="FK87" s="10" t="str">
        <f t="shared" si="309"/>
        <v xml:space="preserve"> </v>
      </c>
      <c r="FL87" s="10" t="str">
        <f t="shared" si="309"/>
        <v xml:space="preserve"> </v>
      </c>
      <c r="FM87" s="10" t="str">
        <f t="shared" si="309"/>
        <v xml:space="preserve"> </v>
      </c>
      <c r="FN87" s="10" t="str">
        <f t="shared" si="309"/>
        <v xml:space="preserve"> </v>
      </c>
      <c r="FO87" s="10" t="str">
        <f t="shared" si="309"/>
        <v xml:space="preserve"> </v>
      </c>
      <c r="FR87" s="10" t="str">
        <f t="shared" si="310"/>
        <v xml:space="preserve"> </v>
      </c>
      <c r="FS87" s="10" t="str">
        <f t="shared" si="310"/>
        <v xml:space="preserve"> </v>
      </c>
      <c r="FT87" s="10" t="str">
        <f t="shared" si="310"/>
        <v xml:space="preserve"> </v>
      </c>
      <c r="FU87" s="10" t="str">
        <f t="shared" si="310"/>
        <v xml:space="preserve"> </v>
      </c>
      <c r="FV87" s="10" t="str">
        <f t="shared" si="310"/>
        <v xml:space="preserve"> </v>
      </c>
      <c r="FY87" s="10" t="str">
        <f t="shared" si="311"/>
        <v xml:space="preserve"> </v>
      </c>
      <c r="FZ87" s="10" t="str">
        <f t="shared" si="311"/>
        <v xml:space="preserve"> </v>
      </c>
      <c r="GA87" s="10" t="str">
        <f t="shared" si="311"/>
        <v xml:space="preserve"> </v>
      </c>
      <c r="GB87" s="10" t="str">
        <f t="shared" si="311"/>
        <v xml:space="preserve"> </v>
      </c>
      <c r="GC87" s="10" t="str">
        <f t="shared" si="311"/>
        <v xml:space="preserve"> </v>
      </c>
      <c r="GF87" s="10" t="str">
        <f t="shared" si="312"/>
        <v xml:space="preserve"> </v>
      </c>
      <c r="GG87" s="10" t="str">
        <f t="shared" si="312"/>
        <v xml:space="preserve"> </v>
      </c>
      <c r="GH87" s="10" t="str">
        <f t="shared" si="312"/>
        <v xml:space="preserve"> </v>
      </c>
      <c r="GI87" s="10" t="str">
        <f t="shared" si="312"/>
        <v xml:space="preserve"> </v>
      </c>
      <c r="GJ87" s="10" t="str">
        <f t="shared" si="312"/>
        <v xml:space="preserve"> </v>
      </c>
      <c r="GM87" s="10" t="str">
        <f t="shared" si="313"/>
        <v xml:space="preserve"> </v>
      </c>
      <c r="GN87" s="10" t="str">
        <f t="shared" si="313"/>
        <v xml:space="preserve"> </v>
      </c>
      <c r="GO87" s="10" t="str">
        <f t="shared" si="313"/>
        <v xml:space="preserve"> </v>
      </c>
      <c r="GP87" s="10" t="str">
        <f t="shared" si="313"/>
        <v xml:space="preserve"> </v>
      </c>
      <c r="GQ87" s="10" t="str">
        <f t="shared" si="313"/>
        <v xml:space="preserve"> </v>
      </c>
      <c r="GT87" s="10" t="str">
        <f t="shared" si="314"/>
        <v xml:space="preserve"> </v>
      </c>
      <c r="GU87" s="10" t="str">
        <f t="shared" si="314"/>
        <v xml:space="preserve"> </v>
      </c>
      <c r="GV87" s="10" t="str">
        <f t="shared" si="314"/>
        <v xml:space="preserve"> </v>
      </c>
      <c r="GW87" s="10" t="str">
        <f t="shared" si="314"/>
        <v xml:space="preserve"> </v>
      </c>
      <c r="GX87" s="10" t="str">
        <f t="shared" si="314"/>
        <v xml:space="preserve"> </v>
      </c>
      <c r="HA87" s="10" t="str">
        <f t="shared" si="315"/>
        <v xml:space="preserve"> </v>
      </c>
      <c r="HB87" s="10" t="str">
        <f t="shared" si="315"/>
        <v xml:space="preserve"> </v>
      </c>
      <c r="HC87" s="10" t="str">
        <f t="shared" si="315"/>
        <v xml:space="preserve"> </v>
      </c>
      <c r="HD87" s="10" t="str">
        <f t="shared" si="315"/>
        <v xml:space="preserve"> </v>
      </c>
      <c r="HE87" s="10" t="str">
        <f t="shared" si="315"/>
        <v xml:space="preserve"> </v>
      </c>
      <c r="HH87" s="10" t="str">
        <f t="shared" si="316"/>
        <v xml:space="preserve"> </v>
      </c>
      <c r="HI87" s="10" t="str">
        <f t="shared" si="316"/>
        <v xml:space="preserve"> </v>
      </c>
      <c r="HJ87" s="10" t="str">
        <f t="shared" si="316"/>
        <v xml:space="preserve"> </v>
      </c>
      <c r="HK87" s="10" t="str">
        <f t="shared" si="316"/>
        <v xml:space="preserve"> </v>
      </c>
      <c r="HL87" s="10" t="str">
        <f t="shared" si="316"/>
        <v xml:space="preserve"> </v>
      </c>
      <c r="HO87" s="10" t="str">
        <f t="shared" si="317"/>
        <v xml:space="preserve"> </v>
      </c>
      <c r="HP87" s="10" t="str">
        <f t="shared" si="317"/>
        <v xml:space="preserve"> </v>
      </c>
      <c r="HQ87" s="10" t="str">
        <f t="shared" si="317"/>
        <v xml:space="preserve"> </v>
      </c>
      <c r="HR87" s="10" t="str">
        <f t="shared" si="317"/>
        <v xml:space="preserve"> </v>
      </c>
      <c r="HS87" s="10" t="str">
        <f t="shared" si="317"/>
        <v xml:space="preserve"> </v>
      </c>
      <c r="HV87" s="10" t="str">
        <f t="shared" si="318"/>
        <v xml:space="preserve"> </v>
      </c>
      <c r="HW87" s="10" t="str">
        <f t="shared" si="318"/>
        <v xml:space="preserve"> </v>
      </c>
      <c r="HX87" s="10" t="str">
        <f t="shared" si="318"/>
        <v xml:space="preserve"> </v>
      </c>
      <c r="HY87" s="10" t="str">
        <f t="shared" si="318"/>
        <v xml:space="preserve"> </v>
      </c>
      <c r="HZ87" s="10" t="str">
        <f t="shared" si="318"/>
        <v xml:space="preserve"> </v>
      </c>
      <c r="IC87" s="10" t="str">
        <f t="shared" si="319"/>
        <v xml:space="preserve"> </v>
      </c>
      <c r="ID87" s="10" t="str">
        <f t="shared" si="319"/>
        <v xml:space="preserve"> </v>
      </c>
      <c r="IE87" s="10" t="str">
        <f t="shared" si="319"/>
        <v xml:space="preserve"> </v>
      </c>
      <c r="IF87" s="10" t="str">
        <f t="shared" si="319"/>
        <v xml:space="preserve"> </v>
      </c>
      <c r="IG87" s="10" t="str">
        <f t="shared" si="319"/>
        <v xml:space="preserve"> </v>
      </c>
      <c r="IJ87" s="10" t="str">
        <f t="shared" si="320"/>
        <v xml:space="preserve"> </v>
      </c>
      <c r="IK87" s="10" t="str">
        <f t="shared" si="320"/>
        <v xml:space="preserve"> </v>
      </c>
      <c r="IL87" s="10" t="str">
        <f t="shared" si="320"/>
        <v xml:space="preserve"> </v>
      </c>
      <c r="IM87" s="10" t="str">
        <f t="shared" si="320"/>
        <v xml:space="preserve"> </v>
      </c>
      <c r="IN87" s="10" t="str">
        <f t="shared" si="320"/>
        <v xml:space="preserve"> </v>
      </c>
      <c r="IQ87" s="10" t="str">
        <f t="shared" si="321"/>
        <v xml:space="preserve"> </v>
      </c>
      <c r="IR87" s="10" t="str">
        <f t="shared" si="321"/>
        <v xml:space="preserve"> </v>
      </c>
      <c r="IS87" s="10" t="str">
        <f t="shared" si="321"/>
        <v xml:space="preserve"> </v>
      </c>
      <c r="IT87" s="10" t="str">
        <f t="shared" si="321"/>
        <v xml:space="preserve"> </v>
      </c>
      <c r="IU87" s="10" t="str">
        <f t="shared" si="321"/>
        <v xml:space="preserve"> </v>
      </c>
      <c r="IX87" s="10" t="str">
        <f t="shared" si="322"/>
        <v xml:space="preserve"> </v>
      </c>
      <c r="IY87" s="10" t="str">
        <f t="shared" si="322"/>
        <v xml:space="preserve"> </v>
      </c>
      <c r="IZ87" s="10" t="str">
        <f t="shared" si="322"/>
        <v xml:space="preserve"> </v>
      </c>
      <c r="JA87" s="10" t="str">
        <f t="shared" si="322"/>
        <v xml:space="preserve"> </v>
      </c>
      <c r="JB87" s="10" t="str">
        <f t="shared" si="322"/>
        <v xml:space="preserve"> </v>
      </c>
      <c r="JE87" s="10" t="str">
        <f t="shared" si="323"/>
        <v xml:space="preserve"> </v>
      </c>
      <c r="JF87" s="10" t="str">
        <f t="shared" si="323"/>
        <v xml:space="preserve"> </v>
      </c>
      <c r="JG87" s="10" t="str">
        <f t="shared" si="323"/>
        <v xml:space="preserve"> </v>
      </c>
      <c r="JH87" s="10" t="str">
        <f t="shared" si="323"/>
        <v xml:space="preserve"> </v>
      </c>
      <c r="JI87" s="10" t="str">
        <f t="shared" si="323"/>
        <v xml:space="preserve"> </v>
      </c>
    </row>
    <row r="88" spans="13:269">
      <c r="M88" s="10" t="str">
        <f t="shared" si="324"/>
        <v xml:space="preserve"> </v>
      </c>
      <c r="N88" s="10" t="str">
        <f t="shared" si="324"/>
        <v xml:space="preserve"> </v>
      </c>
      <c r="O88" s="10" t="str">
        <f t="shared" si="324"/>
        <v xml:space="preserve"> </v>
      </c>
      <c r="P88" s="10" t="str">
        <f t="shared" si="324"/>
        <v xml:space="preserve"> </v>
      </c>
      <c r="Q88" s="10" t="str">
        <f t="shared" si="324"/>
        <v xml:space="preserve"> </v>
      </c>
      <c r="R88" s="14"/>
      <c r="S88" s="14"/>
      <c r="T88" s="10" t="str">
        <f t="shared" si="288"/>
        <v xml:space="preserve"> </v>
      </c>
      <c r="U88" s="10" t="str">
        <f t="shared" si="288"/>
        <v xml:space="preserve"> </v>
      </c>
      <c r="V88" s="10" t="str">
        <f t="shared" si="288"/>
        <v xml:space="preserve"> </v>
      </c>
      <c r="W88" s="10" t="str">
        <f t="shared" si="288"/>
        <v xml:space="preserve"> </v>
      </c>
      <c r="X88" s="10" t="str">
        <f t="shared" si="288"/>
        <v xml:space="preserve"> </v>
      </c>
      <c r="Y88" s="14"/>
      <c r="Z88" s="14"/>
      <c r="AA88" s="10" t="str">
        <f t="shared" si="289"/>
        <v xml:space="preserve"> </v>
      </c>
      <c r="AB88" s="10" t="str">
        <f t="shared" si="289"/>
        <v xml:space="preserve"> </v>
      </c>
      <c r="AC88" s="10" t="str">
        <f t="shared" si="289"/>
        <v xml:space="preserve"> </v>
      </c>
      <c r="AD88" s="10" t="str">
        <f t="shared" si="289"/>
        <v xml:space="preserve"> </v>
      </c>
      <c r="AE88" s="10" t="str">
        <f t="shared" si="289"/>
        <v xml:space="preserve"> </v>
      </c>
      <c r="AF88" s="14"/>
      <c r="AG88" s="14"/>
      <c r="AH88" s="10" t="str">
        <f t="shared" si="290"/>
        <v xml:space="preserve"> </v>
      </c>
      <c r="AI88" s="10" t="str">
        <f t="shared" si="290"/>
        <v xml:space="preserve"> </v>
      </c>
      <c r="AJ88" s="10" t="str">
        <f t="shared" si="290"/>
        <v xml:space="preserve"> </v>
      </c>
      <c r="AK88" s="10" t="str">
        <f t="shared" si="290"/>
        <v xml:space="preserve"> </v>
      </c>
      <c r="AL88" s="10" t="str">
        <f t="shared" si="290"/>
        <v xml:space="preserve"> </v>
      </c>
      <c r="AM88" s="14"/>
      <c r="AN88" s="14"/>
      <c r="AO88" s="10" t="str">
        <f t="shared" si="291"/>
        <v xml:space="preserve"> </v>
      </c>
      <c r="AP88" s="10" t="str">
        <f t="shared" si="291"/>
        <v xml:space="preserve"> </v>
      </c>
      <c r="AQ88" s="10" t="str">
        <f t="shared" si="291"/>
        <v xml:space="preserve"> </v>
      </c>
      <c r="AR88" s="10" t="str">
        <f t="shared" si="291"/>
        <v xml:space="preserve"> </v>
      </c>
      <c r="AS88" s="10" t="str">
        <f t="shared" si="291"/>
        <v xml:space="preserve"> </v>
      </c>
      <c r="AT88" s="14"/>
      <c r="AU88" s="14"/>
      <c r="AV88" s="10" t="str">
        <f t="shared" si="292"/>
        <v xml:space="preserve"> </v>
      </c>
      <c r="AW88" s="10" t="str">
        <f t="shared" si="292"/>
        <v xml:space="preserve"> </v>
      </c>
      <c r="AX88" s="10" t="str">
        <f t="shared" si="292"/>
        <v xml:space="preserve"> </v>
      </c>
      <c r="AY88" s="10" t="str">
        <f t="shared" si="292"/>
        <v xml:space="preserve"> </v>
      </c>
      <c r="AZ88" s="10" t="str">
        <f t="shared" si="292"/>
        <v xml:space="preserve"> </v>
      </c>
      <c r="BA88" s="14"/>
      <c r="BB88" s="14"/>
      <c r="BC88" s="10" t="str">
        <f t="shared" si="293"/>
        <v xml:space="preserve"> </v>
      </c>
      <c r="BD88" s="10" t="str">
        <f t="shared" si="293"/>
        <v xml:space="preserve"> </v>
      </c>
      <c r="BE88" s="10" t="str">
        <f t="shared" si="293"/>
        <v xml:space="preserve"> </v>
      </c>
      <c r="BF88" s="10" t="str">
        <f t="shared" si="293"/>
        <v xml:space="preserve"> </v>
      </c>
      <c r="BG88" s="10" t="str">
        <f t="shared" si="293"/>
        <v xml:space="preserve"> </v>
      </c>
      <c r="BH88" s="14"/>
      <c r="BI88" s="14"/>
      <c r="BJ88" s="10" t="str">
        <f t="shared" si="294"/>
        <v xml:space="preserve"> </v>
      </c>
      <c r="BK88" s="10" t="str">
        <f t="shared" si="294"/>
        <v xml:space="preserve"> </v>
      </c>
      <c r="BL88" s="10" t="str">
        <f t="shared" si="294"/>
        <v xml:space="preserve"> </v>
      </c>
      <c r="BM88" s="10" t="str">
        <f t="shared" si="294"/>
        <v xml:space="preserve"> </v>
      </c>
      <c r="BN88" s="10" t="str">
        <f t="shared" si="294"/>
        <v xml:space="preserve"> </v>
      </c>
      <c r="BO88" s="14"/>
      <c r="BP88" s="14"/>
      <c r="BQ88" s="10" t="str">
        <f t="shared" si="295"/>
        <v xml:space="preserve"> </v>
      </c>
      <c r="BR88" s="10" t="str">
        <f t="shared" si="295"/>
        <v xml:space="preserve"> </v>
      </c>
      <c r="BS88" s="10" t="str">
        <f t="shared" si="295"/>
        <v xml:space="preserve"> </v>
      </c>
      <c r="BT88" s="10" t="str">
        <f t="shared" si="295"/>
        <v xml:space="preserve"> </v>
      </c>
      <c r="BU88" s="10" t="str">
        <f t="shared" si="295"/>
        <v xml:space="preserve"> </v>
      </c>
      <c r="BV88" s="14"/>
      <c r="BW88" s="14"/>
      <c r="BX88" s="10" t="str">
        <f t="shared" si="296"/>
        <v xml:space="preserve"> </v>
      </c>
      <c r="BY88" s="10" t="str">
        <f t="shared" si="296"/>
        <v xml:space="preserve"> </v>
      </c>
      <c r="BZ88" s="10" t="str">
        <f t="shared" si="296"/>
        <v xml:space="preserve"> </v>
      </c>
      <c r="CA88" s="10" t="str">
        <f t="shared" si="296"/>
        <v xml:space="preserve"> </v>
      </c>
      <c r="CB88" s="10" t="str">
        <f t="shared" si="296"/>
        <v xml:space="preserve"> </v>
      </c>
      <c r="CC88" s="14"/>
      <c r="CD88" s="14"/>
      <c r="CE88" s="10" t="str">
        <f t="shared" si="297"/>
        <v xml:space="preserve"> </v>
      </c>
      <c r="CF88" s="10" t="str">
        <f t="shared" si="297"/>
        <v xml:space="preserve"> </v>
      </c>
      <c r="CG88" s="10" t="str">
        <f t="shared" si="297"/>
        <v xml:space="preserve"> </v>
      </c>
      <c r="CH88" s="10" t="str">
        <f t="shared" si="297"/>
        <v xml:space="preserve"> </v>
      </c>
      <c r="CI88" s="10" t="str">
        <f t="shared" si="297"/>
        <v xml:space="preserve"> </v>
      </c>
      <c r="CJ88" s="14"/>
      <c r="CK88" s="14"/>
      <c r="CL88" s="10" t="str">
        <f t="shared" si="298"/>
        <v xml:space="preserve"> </v>
      </c>
      <c r="CM88" s="10" t="str">
        <f t="shared" si="298"/>
        <v xml:space="preserve"> </v>
      </c>
      <c r="CN88" s="10" t="str">
        <f t="shared" si="298"/>
        <v xml:space="preserve"> </v>
      </c>
      <c r="CO88" s="10" t="str">
        <f t="shared" si="298"/>
        <v xml:space="preserve"> </v>
      </c>
      <c r="CP88" s="10" t="str">
        <f t="shared" si="298"/>
        <v xml:space="preserve"> </v>
      </c>
      <c r="CQ88" s="14"/>
      <c r="CR88" s="14"/>
      <c r="CS88" s="10" t="str">
        <f t="shared" si="299"/>
        <v xml:space="preserve"> </v>
      </c>
      <c r="CT88" s="10" t="str">
        <f t="shared" si="299"/>
        <v xml:space="preserve"> </v>
      </c>
      <c r="CU88" s="10" t="str">
        <f t="shared" si="299"/>
        <v xml:space="preserve"> </v>
      </c>
      <c r="CV88" s="10" t="str">
        <f t="shared" si="299"/>
        <v xml:space="preserve"> </v>
      </c>
      <c r="CW88" s="10" t="str">
        <f t="shared" si="299"/>
        <v xml:space="preserve"> </v>
      </c>
      <c r="CZ88" s="10" t="str">
        <f t="shared" si="300"/>
        <v xml:space="preserve"> </v>
      </c>
      <c r="DA88" s="10" t="str">
        <f t="shared" si="300"/>
        <v xml:space="preserve"> </v>
      </c>
      <c r="DB88" s="10" t="str">
        <f t="shared" si="300"/>
        <v xml:space="preserve"> </v>
      </c>
      <c r="DC88" s="10" t="str">
        <f t="shared" si="300"/>
        <v xml:space="preserve"> </v>
      </c>
      <c r="DD88" s="10" t="str">
        <f t="shared" si="300"/>
        <v xml:space="preserve"> </v>
      </c>
      <c r="DG88" s="10" t="str">
        <f t="shared" si="301"/>
        <v xml:space="preserve"> </v>
      </c>
      <c r="DH88" s="10" t="str">
        <f t="shared" si="301"/>
        <v xml:space="preserve"> </v>
      </c>
      <c r="DI88" s="10" t="str">
        <f t="shared" si="301"/>
        <v xml:space="preserve"> </v>
      </c>
      <c r="DJ88" s="10" t="str">
        <f t="shared" si="301"/>
        <v xml:space="preserve"> </v>
      </c>
      <c r="DK88" s="10" t="str">
        <f t="shared" si="301"/>
        <v xml:space="preserve"> </v>
      </c>
      <c r="DN88" s="10" t="str">
        <f t="shared" si="302"/>
        <v xml:space="preserve"> </v>
      </c>
      <c r="DO88" s="10" t="str">
        <f t="shared" si="302"/>
        <v xml:space="preserve"> </v>
      </c>
      <c r="DP88" s="10" t="str">
        <f t="shared" si="302"/>
        <v xml:space="preserve"> </v>
      </c>
      <c r="DQ88" s="10" t="str">
        <f t="shared" si="302"/>
        <v xml:space="preserve"> </v>
      </c>
      <c r="DR88" s="10" t="str">
        <f t="shared" si="302"/>
        <v xml:space="preserve"> </v>
      </c>
      <c r="DU88" s="10" t="str">
        <f t="shared" si="303"/>
        <v xml:space="preserve"> </v>
      </c>
      <c r="DV88" s="10" t="str">
        <f t="shared" si="303"/>
        <v xml:space="preserve"> </v>
      </c>
      <c r="DW88" s="10" t="str">
        <f t="shared" si="303"/>
        <v xml:space="preserve"> </v>
      </c>
      <c r="DX88" s="10" t="str">
        <f t="shared" si="303"/>
        <v xml:space="preserve"> </v>
      </c>
      <c r="DY88" s="10" t="str">
        <f t="shared" si="303"/>
        <v xml:space="preserve"> </v>
      </c>
      <c r="EB88" s="10" t="str">
        <f t="shared" si="304"/>
        <v xml:space="preserve"> </v>
      </c>
      <c r="EC88" s="10" t="str">
        <f t="shared" si="304"/>
        <v xml:space="preserve"> </v>
      </c>
      <c r="ED88" s="10" t="str">
        <f t="shared" si="304"/>
        <v xml:space="preserve"> </v>
      </c>
      <c r="EE88" s="10" t="str">
        <f t="shared" si="304"/>
        <v xml:space="preserve"> </v>
      </c>
      <c r="EF88" s="10" t="str">
        <f t="shared" si="304"/>
        <v xml:space="preserve"> </v>
      </c>
      <c r="EI88" s="10" t="str">
        <f t="shared" si="305"/>
        <v xml:space="preserve"> </v>
      </c>
      <c r="EJ88" s="10" t="str">
        <f t="shared" si="305"/>
        <v xml:space="preserve"> </v>
      </c>
      <c r="EK88" s="10" t="str">
        <f t="shared" si="305"/>
        <v xml:space="preserve"> </v>
      </c>
      <c r="EL88" s="10" t="str">
        <f t="shared" si="305"/>
        <v xml:space="preserve"> </v>
      </c>
      <c r="EM88" s="10" t="str">
        <f t="shared" si="305"/>
        <v xml:space="preserve"> </v>
      </c>
      <c r="EP88" s="10" t="str">
        <f t="shared" si="306"/>
        <v xml:space="preserve"> </v>
      </c>
      <c r="EQ88" s="10" t="str">
        <f t="shared" si="306"/>
        <v xml:space="preserve"> </v>
      </c>
      <c r="ER88" s="10" t="str">
        <f t="shared" si="306"/>
        <v xml:space="preserve"> </v>
      </c>
      <c r="ES88" s="10" t="str">
        <f t="shared" si="306"/>
        <v xml:space="preserve"> </v>
      </c>
      <c r="ET88" s="10" t="str">
        <f t="shared" si="306"/>
        <v xml:space="preserve"> </v>
      </c>
      <c r="EW88" s="10" t="str">
        <f t="shared" si="307"/>
        <v xml:space="preserve"> </v>
      </c>
      <c r="EX88" s="10" t="str">
        <f t="shared" si="307"/>
        <v xml:space="preserve"> </v>
      </c>
      <c r="EY88" s="10" t="str">
        <f t="shared" si="307"/>
        <v xml:space="preserve"> </v>
      </c>
      <c r="EZ88" s="10" t="str">
        <f t="shared" si="307"/>
        <v xml:space="preserve"> </v>
      </c>
      <c r="FA88" s="10" t="str">
        <f t="shared" si="307"/>
        <v xml:space="preserve"> </v>
      </c>
      <c r="FD88" s="10" t="str">
        <f t="shared" si="308"/>
        <v xml:space="preserve"> </v>
      </c>
      <c r="FE88" s="10" t="str">
        <f t="shared" si="308"/>
        <v xml:space="preserve"> </v>
      </c>
      <c r="FF88" s="10" t="str">
        <f t="shared" si="308"/>
        <v xml:space="preserve"> </v>
      </c>
      <c r="FG88" s="10" t="str">
        <f t="shared" si="308"/>
        <v xml:space="preserve"> </v>
      </c>
      <c r="FH88" s="10" t="str">
        <f t="shared" si="308"/>
        <v xml:space="preserve"> </v>
      </c>
      <c r="FK88" s="10" t="str">
        <f t="shared" si="309"/>
        <v xml:space="preserve"> </v>
      </c>
      <c r="FL88" s="10" t="str">
        <f t="shared" si="309"/>
        <v xml:space="preserve"> </v>
      </c>
      <c r="FM88" s="10" t="str">
        <f t="shared" si="309"/>
        <v xml:space="preserve"> </v>
      </c>
      <c r="FN88" s="10" t="str">
        <f t="shared" si="309"/>
        <v xml:space="preserve"> </v>
      </c>
      <c r="FO88" s="10" t="str">
        <f t="shared" si="309"/>
        <v xml:space="preserve"> </v>
      </c>
      <c r="FR88" s="10" t="str">
        <f t="shared" si="310"/>
        <v xml:space="preserve"> </v>
      </c>
      <c r="FS88" s="10" t="str">
        <f t="shared" si="310"/>
        <v xml:space="preserve"> </v>
      </c>
      <c r="FT88" s="10" t="str">
        <f t="shared" si="310"/>
        <v xml:space="preserve"> </v>
      </c>
      <c r="FU88" s="10" t="str">
        <f t="shared" si="310"/>
        <v xml:space="preserve"> </v>
      </c>
      <c r="FV88" s="10" t="str">
        <f t="shared" si="310"/>
        <v xml:space="preserve"> </v>
      </c>
      <c r="FY88" s="10" t="str">
        <f t="shared" si="311"/>
        <v xml:space="preserve"> </v>
      </c>
      <c r="FZ88" s="10" t="str">
        <f t="shared" si="311"/>
        <v xml:space="preserve"> </v>
      </c>
      <c r="GA88" s="10" t="str">
        <f t="shared" si="311"/>
        <v xml:space="preserve"> </v>
      </c>
      <c r="GB88" s="10" t="str">
        <f t="shared" si="311"/>
        <v xml:space="preserve"> </v>
      </c>
      <c r="GC88" s="10" t="str">
        <f t="shared" si="311"/>
        <v xml:space="preserve"> </v>
      </c>
      <c r="GF88" s="10" t="str">
        <f t="shared" si="312"/>
        <v xml:space="preserve"> </v>
      </c>
      <c r="GG88" s="10" t="str">
        <f t="shared" si="312"/>
        <v xml:space="preserve"> </v>
      </c>
      <c r="GH88" s="10" t="str">
        <f t="shared" si="312"/>
        <v xml:space="preserve"> </v>
      </c>
      <c r="GI88" s="10" t="str">
        <f t="shared" si="312"/>
        <v xml:space="preserve"> </v>
      </c>
      <c r="GJ88" s="10" t="str">
        <f t="shared" si="312"/>
        <v xml:space="preserve"> </v>
      </c>
      <c r="GM88" s="10" t="str">
        <f t="shared" si="313"/>
        <v xml:space="preserve"> </v>
      </c>
      <c r="GN88" s="10" t="str">
        <f t="shared" si="313"/>
        <v xml:space="preserve"> </v>
      </c>
      <c r="GO88" s="10" t="str">
        <f t="shared" si="313"/>
        <v xml:space="preserve"> </v>
      </c>
      <c r="GP88" s="10" t="str">
        <f t="shared" si="313"/>
        <v xml:space="preserve"> </v>
      </c>
      <c r="GQ88" s="10" t="str">
        <f t="shared" si="313"/>
        <v xml:space="preserve"> </v>
      </c>
      <c r="GT88" s="10" t="str">
        <f t="shared" si="314"/>
        <v xml:space="preserve"> </v>
      </c>
      <c r="GU88" s="10" t="str">
        <f t="shared" si="314"/>
        <v xml:space="preserve"> </v>
      </c>
      <c r="GV88" s="10" t="str">
        <f t="shared" si="314"/>
        <v xml:space="preserve"> </v>
      </c>
      <c r="GW88" s="10" t="str">
        <f t="shared" si="314"/>
        <v xml:space="preserve"> </v>
      </c>
      <c r="GX88" s="10" t="str">
        <f t="shared" si="314"/>
        <v xml:space="preserve"> </v>
      </c>
      <c r="HA88" s="10" t="str">
        <f t="shared" si="315"/>
        <v xml:space="preserve"> </v>
      </c>
      <c r="HB88" s="10" t="str">
        <f t="shared" si="315"/>
        <v xml:space="preserve"> </v>
      </c>
      <c r="HC88" s="10" t="str">
        <f t="shared" si="315"/>
        <v xml:space="preserve"> </v>
      </c>
      <c r="HD88" s="10" t="str">
        <f t="shared" si="315"/>
        <v xml:space="preserve"> </v>
      </c>
      <c r="HE88" s="10" t="str">
        <f t="shared" si="315"/>
        <v xml:space="preserve"> </v>
      </c>
      <c r="HH88" s="10" t="str">
        <f t="shared" si="316"/>
        <v xml:space="preserve"> </v>
      </c>
      <c r="HI88" s="10" t="str">
        <f t="shared" si="316"/>
        <v xml:space="preserve"> </v>
      </c>
      <c r="HJ88" s="10" t="str">
        <f t="shared" si="316"/>
        <v xml:space="preserve"> </v>
      </c>
      <c r="HK88" s="10" t="str">
        <f t="shared" si="316"/>
        <v xml:space="preserve"> </v>
      </c>
      <c r="HL88" s="10" t="str">
        <f t="shared" si="316"/>
        <v xml:space="preserve"> </v>
      </c>
      <c r="HO88" s="10" t="str">
        <f t="shared" si="317"/>
        <v xml:space="preserve"> </v>
      </c>
      <c r="HP88" s="10" t="str">
        <f t="shared" si="317"/>
        <v xml:space="preserve"> </v>
      </c>
      <c r="HQ88" s="10" t="str">
        <f t="shared" si="317"/>
        <v xml:space="preserve"> </v>
      </c>
      <c r="HR88" s="10" t="str">
        <f t="shared" si="317"/>
        <v xml:space="preserve"> </v>
      </c>
      <c r="HS88" s="10" t="str">
        <f t="shared" si="317"/>
        <v xml:space="preserve"> </v>
      </c>
      <c r="HV88" s="10" t="str">
        <f t="shared" si="318"/>
        <v xml:space="preserve"> </v>
      </c>
      <c r="HW88" s="10" t="str">
        <f t="shared" si="318"/>
        <v xml:space="preserve"> </v>
      </c>
      <c r="HX88" s="10" t="str">
        <f t="shared" si="318"/>
        <v xml:space="preserve"> </v>
      </c>
      <c r="HY88" s="10" t="str">
        <f t="shared" si="318"/>
        <v xml:space="preserve"> </v>
      </c>
      <c r="HZ88" s="10" t="str">
        <f t="shared" si="318"/>
        <v xml:space="preserve"> </v>
      </c>
      <c r="IC88" s="10" t="str">
        <f t="shared" si="319"/>
        <v xml:space="preserve"> </v>
      </c>
      <c r="ID88" s="10" t="str">
        <f t="shared" si="319"/>
        <v xml:space="preserve"> </v>
      </c>
      <c r="IE88" s="10" t="str">
        <f t="shared" si="319"/>
        <v xml:space="preserve"> </v>
      </c>
      <c r="IF88" s="10" t="str">
        <f t="shared" si="319"/>
        <v xml:space="preserve"> </v>
      </c>
      <c r="IG88" s="10" t="str">
        <f t="shared" si="319"/>
        <v xml:space="preserve"> </v>
      </c>
      <c r="IJ88" s="10" t="str">
        <f t="shared" si="320"/>
        <v xml:space="preserve"> </v>
      </c>
      <c r="IK88" s="10" t="str">
        <f t="shared" si="320"/>
        <v xml:space="preserve"> </v>
      </c>
      <c r="IL88" s="10" t="str">
        <f t="shared" si="320"/>
        <v xml:space="preserve"> </v>
      </c>
      <c r="IM88" s="10" t="str">
        <f t="shared" si="320"/>
        <v xml:space="preserve"> </v>
      </c>
      <c r="IN88" s="10" t="str">
        <f t="shared" si="320"/>
        <v xml:space="preserve"> </v>
      </c>
      <c r="IQ88" s="10" t="str">
        <f t="shared" si="321"/>
        <v xml:space="preserve"> </v>
      </c>
      <c r="IR88" s="10" t="str">
        <f t="shared" si="321"/>
        <v xml:space="preserve"> </v>
      </c>
      <c r="IS88" s="10" t="str">
        <f t="shared" si="321"/>
        <v xml:space="preserve"> </v>
      </c>
      <c r="IT88" s="10" t="str">
        <f t="shared" si="321"/>
        <v xml:space="preserve"> </v>
      </c>
      <c r="IU88" s="10" t="str">
        <f t="shared" si="321"/>
        <v xml:space="preserve"> </v>
      </c>
      <c r="IX88" s="10" t="str">
        <f t="shared" si="322"/>
        <v xml:space="preserve"> </v>
      </c>
      <c r="IY88" s="10" t="str">
        <f t="shared" si="322"/>
        <v xml:space="preserve"> </v>
      </c>
      <c r="IZ88" s="10" t="str">
        <f t="shared" si="322"/>
        <v xml:space="preserve"> </v>
      </c>
      <c r="JA88" s="10" t="str">
        <f t="shared" si="322"/>
        <v xml:space="preserve"> </v>
      </c>
      <c r="JB88" s="10" t="str">
        <f t="shared" si="322"/>
        <v xml:space="preserve"> </v>
      </c>
      <c r="JE88" s="10" t="str">
        <f t="shared" si="323"/>
        <v xml:space="preserve"> </v>
      </c>
      <c r="JF88" s="10" t="str">
        <f t="shared" si="323"/>
        <v xml:space="preserve"> </v>
      </c>
      <c r="JG88" s="10" t="str">
        <f t="shared" si="323"/>
        <v xml:space="preserve"> </v>
      </c>
      <c r="JH88" s="10" t="str">
        <f t="shared" si="323"/>
        <v xml:space="preserve"> </v>
      </c>
      <c r="JI88" s="10" t="str">
        <f t="shared" si="323"/>
        <v xml:space="preserve"> </v>
      </c>
    </row>
    <row r="89" spans="13:269">
      <c r="M89" s="10" t="str">
        <f t="shared" si="324"/>
        <v xml:space="preserve"> </v>
      </c>
      <c r="N89" s="10" t="str">
        <f t="shared" si="324"/>
        <v xml:space="preserve"> </v>
      </c>
      <c r="O89" s="10" t="str">
        <f t="shared" si="324"/>
        <v xml:space="preserve"> </v>
      </c>
      <c r="P89" s="10" t="str">
        <f t="shared" si="324"/>
        <v xml:space="preserve"> </v>
      </c>
      <c r="Q89" s="10" t="str">
        <f t="shared" si="324"/>
        <v xml:space="preserve"> </v>
      </c>
      <c r="R89" s="14"/>
      <c r="S89" s="14"/>
      <c r="T89" s="10" t="str">
        <f t="shared" si="288"/>
        <v xml:space="preserve"> </v>
      </c>
      <c r="U89" s="10" t="str">
        <f t="shared" si="288"/>
        <v xml:space="preserve"> </v>
      </c>
      <c r="V89" s="10" t="str">
        <f t="shared" si="288"/>
        <v xml:space="preserve"> </v>
      </c>
      <c r="W89" s="10" t="str">
        <f t="shared" si="288"/>
        <v xml:space="preserve"> </v>
      </c>
      <c r="X89" s="10" t="str">
        <f t="shared" si="288"/>
        <v xml:space="preserve"> </v>
      </c>
      <c r="Y89" s="14"/>
      <c r="Z89" s="14"/>
      <c r="AA89" s="10" t="str">
        <f t="shared" si="289"/>
        <v xml:space="preserve"> </v>
      </c>
      <c r="AB89" s="10" t="str">
        <f t="shared" si="289"/>
        <v xml:space="preserve"> </v>
      </c>
      <c r="AC89" s="10" t="str">
        <f t="shared" si="289"/>
        <v xml:space="preserve"> </v>
      </c>
      <c r="AD89" s="10" t="str">
        <f t="shared" si="289"/>
        <v xml:space="preserve"> </v>
      </c>
      <c r="AE89" s="10" t="str">
        <f t="shared" si="289"/>
        <v xml:space="preserve"> </v>
      </c>
      <c r="AF89" s="14"/>
      <c r="AG89" s="14"/>
      <c r="AH89" s="10" t="str">
        <f t="shared" si="290"/>
        <v xml:space="preserve"> </v>
      </c>
      <c r="AI89" s="10" t="str">
        <f t="shared" si="290"/>
        <v xml:space="preserve"> </v>
      </c>
      <c r="AJ89" s="10" t="str">
        <f t="shared" si="290"/>
        <v xml:space="preserve"> </v>
      </c>
      <c r="AK89" s="10" t="str">
        <f t="shared" si="290"/>
        <v xml:space="preserve"> </v>
      </c>
      <c r="AL89" s="10" t="str">
        <f t="shared" si="290"/>
        <v xml:space="preserve"> </v>
      </c>
      <c r="AM89" s="14"/>
      <c r="AN89" s="14"/>
      <c r="AO89" s="10" t="str">
        <f t="shared" si="291"/>
        <v xml:space="preserve"> </v>
      </c>
      <c r="AP89" s="10" t="str">
        <f t="shared" si="291"/>
        <v xml:space="preserve"> </v>
      </c>
      <c r="AQ89" s="10" t="str">
        <f t="shared" si="291"/>
        <v xml:space="preserve"> </v>
      </c>
      <c r="AR89" s="10" t="str">
        <f t="shared" si="291"/>
        <v xml:space="preserve"> </v>
      </c>
      <c r="AS89" s="10" t="str">
        <f t="shared" si="291"/>
        <v xml:space="preserve"> </v>
      </c>
      <c r="AT89" s="14"/>
      <c r="AU89" s="14"/>
      <c r="AV89" s="10" t="str">
        <f t="shared" si="292"/>
        <v xml:space="preserve"> </v>
      </c>
      <c r="AW89" s="10" t="str">
        <f t="shared" si="292"/>
        <v xml:space="preserve"> </v>
      </c>
      <c r="AX89" s="10" t="str">
        <f t="shared" si="292"/>
        <v xml:space="preserve"> </v>
      </c>
      <c r="AY89" s="10" t="str">
        <f t="shared" si="292"/>
        <v xml:space="preserve"> </v>
      </c>
      <c r="AZ89" s="10" t="str">
        <f t="shared" si="292"/>
        <v xml:space="preserve"> </v>
      </c>
      <c r="BA89" s="14"/>
      <c r="BB89" s="14"/>
      <c r="BC89" s="10" t="str">
        <f t="shared" si="293"/>
        <v xml:space="preserve"> </v>
      </c>
      <c r="BD89" s="10" t="str">
        <f t="shared" si="293"/>
        <v xml:space="preserve"> </v>
      </c>
      <c r="BE89" s="10" t="str">
        <f t="shared" si="293"/>
        <v xml:space="preserve"> </v>
      </c>
      <c r="BF89" s="10" t="str">
        <f t="shared" si="293"/>
        <v xml:space="preserve"> </v>
      </c>
      <c r="BG89" s="10" t="str">
        <f t="shared" si="293"/>
        <v xml:space="preserve"> </v>
      </c>
      <c r="BH89" s="14"/>
      <c r="BI89" s="14"/>
      <c r="BJ89" s="10" t="str">
        <f t="shared" si="294"/>
        <v xml:space="preserve"> </v>
      </c>
      <c r="BK89" s="10" t="str">
        <f t="shared" si="294"/>
        <v xml:space="preserve"> </v>
      </c>
      <c r="BL89" s="10" t="str">
        <f t="shared" si="294"/>
        <v xml:space="preserve"> </v>
      </c>
      <c r="BM89" s="10" t="str">
        <f t="shared" si="294"/>
        <v xml:space="preserve"> </v>
      </c>
      <c r="BN89" s="10" t="str">
        <f t="shared" si="294"/>
        <v xml:space="preserve"> </v>
      </c>
      <c r="BO89" s="14"/>
      <c r="BP89" s="14"/>
      <c r="BQ89" s="10" t="str">
        <f t="shared" si="295"/>
        <v xml:space="preserve"> </v>
      </c>
      <c r="BR89" s="10" t="str">
        <f t="shared" si="295"/>
        <v xml:space="preserve"> </v>
      </c>
      <c r="BS89" s="10" t="str">
        <f t="shared" si="295"/>
        <v xml:space="preserve"> </v>
      </c>
      <c r="BT89" s="10" t="str">
        <f t="shared" si="295"/>
        <v xml:space="preserve"> </v>
      </c>
      <c r="BU89" s="10" t="str">
        <f t="shared" si="295"/>
        <v xml:space="preserve"> </v>
      </c>
      <c r="BV89" s="14"/>
      <c r="BW89" s="14"/>
      <c r="BX89" s="10" t="str">
        <f t="shared" si="296"/>
        <v xml:space="preserve"> </v>
      </c>
      <c r="BY89" s="10" t="str">
        <f t="shared" si="296"/>
        <v xml:space="preserve"> </v>
      </c>
      <c r="BZ89" s="10" t="str">
        <f t="shared" si="296"/>
        <v xml:space="preserve"> </v>
      </c>
      <c r="CA89" s="10" t="str">
        <f t="shared" si="296"/>
        <v xml:space="preserve"> </v>
      </c>
      <c r="CB89" s="10" t="str">
        <f t="shared" si="296"/>
        <v xml:space="preserve"> </v>
      </c>
      <c r="CC89" s="14"/>
      <c r="CD89" s="14"/>
      <c r="CE89" s="10" t="str">
        <f t="shared" si="297"/>
        <v xml:space="preserve"> </v>
      </c>
      <c r="CF89" s="10" t="str">
        <f t="shared" si="297"/>
        <v xml:space="preserve"> </v>
      </c>
      <c r="CG89" s="10" t="str">
        <f t="shared" si="297"/>
        <v xml:space="preserve"> </v>
      </c>
      <c r="CH89" s="10" t="str">
        <f t="shared" si="297"/>
        <v xml:space="preserve"> </v>
      </c>
      <c r="CI89" s="10" t="str">
        <f t="shared" si="297"/>
        <v xml:space="preserve"> </v>
      </c>
      <c r="CJ89" s="14"/>
      <c r="CK89" s="14"/>
      <c r="CL89" s="10" t="str">
        <f t="shared" si="298"/>
        <v xml:space="preserve"> </v>
      </c>
      <c r="CM89" s="10" t="str">
        <f t="shared" si="298"/>
        <v xml:space="preserve"> </v>
      </c>
      <c r="CN89" s="10" t="str">
        <f t="shared" si="298"/>
        <v xml:space="preserve"> </v>
      </c>
      <c r="CO89" s="10" t="str">
        <f t="shared" si="298"/>
        <v xml:space="preserve"> </v>
      </c>
      <c r="CP89" s="10" t="str">
        <f t="shared" si="298"/>
        <v xml:space="preserve"> </v>
      </c>
      <c r="CQ89" s="14"/>
      <c r="CR89" s="14"/>
      <c r="CS89" s="10" t="str">
        <f t="shared" si="299"/>
        <v xml:space="preserve"> </v>
      </c>
      <c r="CT89" s="10" t="str">
        <f t="shared" si="299"/>
        <v xml:space="preserve"> </v>
      </c>
      <c r="CU89" s="10" t="str">
        <f t="shared" si="299"/>
        <v xml:space="preserve"> </v>
      </c>
      <c r="CV89" s="10" t="str">
        <f t="shared" si="299"/>
        <v xml:space="preserve"> </v>
      </c>
      <c r="CW89" s="10" t="str">
        <f t="shared" si="299"/>
        <v xml:space="preserve"> </v>
      </c>
      <c r="CZ89" s="10" t="str">
        <f t="shared" si="300"/>
        <v xml:space="preserve"> </v>
      </c>
      <c r="DA89" s="10" t="str">
        <f t="shared" si="300"/>
        <v xml:space="preserve"> </v>
      </c>
      <c r="DB89" s="10" t="str">
        <f t="shared" si="300"/>
        <v xml:space="preserve"> </v>
      </c>
      <c r="DC89" s="10" t="str">
        <f t="shared" si="300"/>
        <v xml:space="preserve"> </v>
      </c>
      <c r="DD89" s="10" t="str">
        <f t="shared" si="300"/>
        <v xml:space="preserve"> </v>
      </c>
      <c r="DG89" s="10" t="str">
        <f t="shared" si="301"/>
        <v xml:space="preserve"> </v>
      </c>
      <c r="DH89" s="10" t="str">
        <f t="shared" si="301"/>
        <v xml:space="preserve"> </v>
      </c>
      <c r="DI89" s="10" t="str">
        <f t="shared" si="301"/>
        <v xml:space="preserve"> </v>
      </c>
      <c r="DJ89" s="10" t="str">
        <f t="shared" si="301"/>
        <v xml:space="preserve"> </v>
      </c>
      <c r="DK89" s="10" t="str">
        <f t="shared" si="301"/>
        <v xml:space="preserve"> </v>
      </c>
      <c r="DN89" s="10" t="str">
        <f t="shared" si="302"/>
        <v xml:space="preserve"> </v>
      </c>
      <c r="DO89" s="10" t="str">
        <f t="shared" si="302"/>
        <v xml:space="preserve"> </v>
      </c>
      <c r="DP89" s="10" t="str">
        <f t="shared" si="302"/>
        <v xml:space="preserve"> </v>
      </c>
      <c r="DQ89" s="10" t="str">
        <f t="shared" si="302"/>
        <v xml:space="preserve"> </v>
      </c>
      <c r="DR89" s="10" t="str">
        <f t="shared" si="302"/>
        <v xml:space="preserve"> </v>
      </c>
      <c r="DU89" s="10" t="str">
        <f t="shared" si="303"/>
        <v xml:space="preserve"> </v>
      </c>
      <c r="DV89" s="10" t="str">
        <f t="shared" si="303"/>
        <v xml:space="preserve"> </v>
      </c>
      <c r="DW89" s="10" t="str">
        <f t="shared" si="303"/>
        <v xml:space="preserve"> </v>
      </c>
      <c r="DX89" s="10" t="str">
        <f t="shared" si="303"/>
        <v xml:space="preserve"> </v>
      </c>
      <c r="DY89" s="10" t="str">
        <f t="shared" si="303"/>
        <v xml:space="preserve"> </v>
      </c>
      <c r="EB89" s="10" t="str">
        <f t="shared" si="304"/>
        <v xml:space="preserve"> </v>
      </c>
      <c r="EC89" s="10" t="str">
        <f t="shared" si="304"/>
        <v xml:space="preserve"> </v>
      </c>
      <c r="ED89" s="10" t="str">
        <f t="shared" si="304"/>
        <v xml:space="preserve"> </v>
      </c>
      <c r="EE89" s="10" t="str">
        <f t="shared" si="304"/>
        <v xml:space="preserve"> </v>
      </c>
      <c r="EF89" s="10" t="str">
        <f t="shared" si="304"/>
        <v xml:space="preserve"> </v>
      </c>
      <c r="EI89" s="10" t="str">
        <f t="shared" si="305"/>
        <v xml:space="preserve"> </v>
      </c>
      <c r="EJ89" s="10" t="str">
        <f t="shared" si="305"/>
        <v xml:space="preserve"> </v>
      </c>
      <c r="EK89" s="10" t="str">
        <f t="shared" si="305"/>
        <v xml:space="preserve"> </v>
      </c>
      <c r="EL89" s="10" t="str">
        <f t="shared" si="305"/>
        <v xml:space="preserve"> </v>
      </c>
      <c r="EM89" s="10" t="str">
        <f t="shared" si="305"/>
        <v xml:space="preserve"> </v>
      </c>
      <c r="EP89" s="10" t="str">
        <f t="shared" si="306"/>
        <v xml:space="preserve"> </v>
      </c>
      <c r="EQ89" s="10" t="str">
        <f t="shared" si="306"/>
        <v xml:space="preserve"> </v>
      </c>
      <c r="ER89" s="10" t="str">
        <f t="shared" si="306"/>
        <v xml:space="preserve"> </v>
      </c>
      <c r="ES89" s="10" t="str">
        <f t="shared" si="306"/>
        <v xml:space="preserve"> </v>
      </c>
      <c r="ET89" s="10" t="str">
        <f t="shared" si="306"/>
        <v xml:space="preserve"> </v>
      </c>
      <c r="EW89" s="10" t="str">
        <f t="shared" si="307"/>
        <v xml:space="preserve"> </v>
      </c>
      <c r="EX89" s="10" t="str">
        <f t="shared" si="307"/>
        <v xml:space="preserve"> </v>
      </c>
      <c r="EY89" s="10" t="str">
        <f t="shared" si="307"/>
        <v xml:space="preserve"> </v>
      </c>
      <c r="EZ89" s="10" t="str">
        <f t="shared" si="307"/>
        <v xml:space="preserve"> </v>
      </c>
      <c r="FA89" s="10" t="str">
        <f t="shared" si="307"/>
        <v xml:space="preserve"> </v>
      </c>
      <c r="FD89" s="10" t="str">
        <f t="shared" si="308"/>
        <v xml:space="preserve"> </v>
      </c>
      <c r="FE89" s="10" t="str">
        <f t="shared" si="308"/>
        <v xml:space="preserve"> </v>
      </c>
      <c r="FF89" s="10" t="str">
        <f t="shared" si="308"/>
        <v xml:space="preserve"> </v>
      </c>
      <c r="FG89" s="10" t="str">
        <f t="shared" si="308"/>
        <v xml:space="preserve"> </v>
      </c>
      <c r="FH89" s="10" t="str">
        <f t="shared" si="308"/>
        <v xml:space="preserve"> </v>
      </c>
      <c r="FK89" s="10" t="str">
        <f t="shared" si="309"/>
        <v xml:space="preserve"> </v>
      </c>
      <c r="FL89" s="10" t="str">
        <f t="shared" si="309"/>
        <v xml:space="preserve"> </v>
      </c>
      <c r="FM89" s="10" t="str">
        <f t="shared" si="309"/>
        <v xml:space="preserve"> </v>
      </c>
      <c r="FN89" s="10" t="str">
        <f t="shared" si="309"/>
        <v xml:space="preserve"> </v>
      </c>
      <c r="FO89" s="10" t="str">
        <f t="shared" si="309"/>
        <v xml:space="preserve"> </v>
      </c>
      <c r="FR89" s="10" t="str">
        <f t="shared" si="310"/>
        <v xml:space="preserve"> </v>
      </c>
      <c r="FS89" s="10" t="str">
        <f t="shared" si="310"/>
        <v xml:space="preserve"> </v>
      </c>
      <c r="FT89" s="10" t="str">
        <f t="shared" si="310"/>
        <v xml:space="preserve"> </v>
      </c>
      <c r="FU89" s="10" t="str">
        <f t="shared" si="310"/>
        <v xml:space="preserve"> </v>
      </c>
      <c r="FV89" s="10" t="str">
        <f t="shared" si="310"/>
        <v xml:space="preserve"> </v>
      </c>
      <c r="FY89" s="10" t="str">
        <f t="shared" si="311"/>
        <v xml:space="preserve"> </v>
      </c>
      <c r="FZ89" s="10" t="str">
        <f t="shared" si="311"/>
        <v xml:space="preserve"> </v>
      </c>
      <c r="GA89" s="10" t="str">
        <f t="shared" si="311"/>
        <v xml:space="preserve"> </v>
      </c>
      <c r="GB89" s="10" t="str">
        <f t="shared" si="311"/>
        <v xml:space="preserve"> </v>
      </c>
      <c r="GC89" s="10" t="str">
        <f t="shared" si="311"/>
        <v xml:space="preserve"> </v>
      </c>
      <c r="GF89" s="10" t="str">
        <f t="shared" si="312"/>
        <v xml:space="preserve"> </v>
      </c>
      <c r="GG89" s="10" t="str">
        <f t="shared" si="312"/>
        <v xml:space="preserve"> </v>
      </c>
      <c r="GH89" s="10" t="str">
        <f t="shared" si="312"/>
        <v xml:space="preserve"> </v>
      </c>
      <c r="GI89" s="10" t="str">
        <f t="shared" si="312"/>
        <v xml:space="preserve"> </v>
      </c>
      <c r="GJ89" s="10" t="str">
        <f t="shared" si="312"/>
        <v xml:space="preserve"> </v>
      </c>
      <c r="GM89" s="10" t="str">
        <f t="shared" si="313"/>
        <v xml:space="preserve"> </v>
      </c>
      <c r="GN89" s="10" t="str">
        <f t="shared" si="313"/>
        <v xml:space="preserve"> </v>
      </c>
      <c r="GO89" s="10" t="str">
        <f t="shared" si="313"/>
        <v xml:space="preserve"> </v>
      </c>
      <c r="GP89" s="10" t="str">
        <f t="shared" si="313"/>
        <v xml:space="preserve"> </v>
      </c>
      <c r="GQ89" s="10" t="str">
        <f t="shared" si="313"/>
        <v xml:space="preserve"> </v>
      </c>
      <c r="GT89" s="10" t="str">
        <f t="shared" si="314"/>
        <v xml:space="preserve"> </v>
      </c>
      <c r="GU89" s="10" t="str">
        <f t="shared" si="314"/>
        <v xml:space="preserve"> </v>
      </c>
      <c r="GV89" s="10" t="str">
        <f t="shared" si="314"/>
        <v xml:space="preserve"> </v>
      </c>
      <c r="GW89" s="10" t="str">
        <f t="shared" si="314"/>
        <v xml:space="preserve"> </v>
      </c>
      <c r="GX89" s="10" t="str">
        <f t="shared" si="314"/>
        <v xml:space="preserve"> </v>
      </c>
      <c r="HA89" s="10" t="str">
        <f t="shared" si="315"/>
        <v xml:space="preserve"> </v>
      </c>
      <c r="HB89" s="10" t="str">
        <f t="shared" si="315"/>
        <v xml:space="preserve"> </v>
      </c>
      <c r="HC89" s="10" t="str">
        <f t="shared" si="315"/>
        <v xml:space="preserve"> </v>
      </c>
      <c r="HD89" s="10" t="str">
        <f t="shared" si="315"/>
        <v xml:space="preserve"> </v>
      </c>
      <c r="HE89" s="10" t="str">
        <f t="shared" si="315"/>
        <v xml:space="preserve"> </v>
      </c>
      <c r="HH89" s="10" t="str">
        <f t="shared" si="316"/>
        <v xml:space="preserve"> </v>
      </c>
      <c r="HI89" s="10" t="str">
        <f t="shared" si="316"/>
        <v xml:space="preserve"> </v>
      </c>
      <c r="HJ89" s="10" t="str">
        <f t="shared" si="316"/>
        <v xml:space="preserve"> </v>
      </c>
      <c r="HK89" s="10" t="str">
        <f t="shared" si="316"/>
        <v xml:space="preserve"> </v>
      </c>
      <c r="HL89" s="10" t="str">
        <f t="shared" si="316"/>
        <v xml:space="preserve"> </v>
      </c>
      <c r="HO89" s="10" t="str">
        <f t="shared" si="317"/>
        <v xml:space="preserve"> </v>
      </c>
      <c r="HP89" s="10" t="str">
        <f t="shared" si="317"/>
        <v xml:space="preserve"> </v>
      </c>
      <c r="HQ89" s="10" t="str">
        <f t="shared" si="317"/>
        <v xml:space="preserve"> </v>
      </c>
      <c r="HR89" s="10" t="str">
        <f t="shared" si="317"/>
        <v xml:space="preserve"> </v>
      </c>
      <c r="HS89" s="10" t="str">
        <f t="shared" si="317"/>
        <v xml:space="preserve"> </v>
      </c>
      <c r="HV89" s="10" t="str">
        <f t="shared" si="318"/>
        <v xml:space="preserve"> </v>
      </c>
      <c r="HW89" s="10" t="str">
        <f t="shared" si="318"/>
        <v xml:space="preserve"> </v>
      </c>
      <c r="HX89" s="10" t="str">
        <f t="shared" si="318"/>
        <v xml:space="preserve"> </v>
      </c>
      <c r="HY89" s="10" t="str">
        <f t="shared" si="318"/>
        <v xml:space="preserve"> </v>
      </c>
      <c r="HZ89" s="10" t="str">
        <f t="shared" si="318"/>
        <v xml:space="preserve"> </v>
      </c>
      <c r="IC89" s="10" t="str">
        <f t="shared" si="319"/>
        <v xml:space="preserve"> </v>
      </c>
      <c r="ID89" s="10" t="str">
        <f t="shared" si="319"/>
        <v xml:space="preserve"> </v>
      </c>
      <c r="IE89" s="10" t="str">
        <f t="shared" si="319"/>
        <v xml:space="preserve"> </v>
      </c>
      <c r="IF89" s="10" t="str">
        <f t="shared" si="319"/>
        <v xml:space="preserve"> </v>
      </c>
      <c r="IG89" s="10" t="str">
        <f t="shared" si="319"/>
        <v xml:space="preserve"> </v>
      </c>
      <c r="IJ89" s="10" t="str">
        <f t="shared" si="320"/>
        <v xml:space="preserve"> </v>
      </c>
      <c r="IK89" s="10" t="str">
        <f t="shared" si="320"/>
        <v xml:space="preserve"> </v>
      </c>
      <c r="IL89" s="10" t="str">
        <f t="shared" si="320"/>
        <v xml:space="preserve"> </v>
      </c>
      <c r="IM89" s="10" t="str">
        <f t="shared" si="320"/>
        <v xml:space="preserve"> </v>
      </c>
      <c r="IN89" s="10" t="str">
        <f t="shared" si="320"/>
        <v xml:space="preserve"> </v>
      </c>
      <c r="IQ89" s="10" t="str">
        <f t="shared" si="321"/>
        <v xml:space="preserve"> </v>
      </c>
      <c r="IR89" s="10" t="str">
        <f t="shared" si="321"/>
        <v xml:space="preserve"> </v>
      </c>
      <c r="IS89" s="10" t="str">
        <f t="shared" si="321"/>
        <v xml:space="preserve"> </v>
      </c>
      <c r="IT89" s="10" t="str">
        <f t="shared" si="321"/>
        <v xml:space="preserve"> </v>
      </c>
      <c r="IU89" s="10" t="str">
        <f t="shared" si="321"/>
        <v xml:space="preserve"> </v>
      </c>
      <c r="IX89" s="10" t="str">
        <f t="shared" si="322"/>
        <v xml:space="preserve"> </v>
      </c>
      <c r="IY89" s="10" t="str">
        <f t="shared" si="322"/>
        <v xml:space="preserve"> </v>
      </c>
      <c r="IZ89" s="10" t="str">
        <f t="shared" si="322"/>
        <v xml:space="preserve"> </v>
      </c>
      <c r="JA89" s="10" t="str">
        <f t="shared" si="322"/>
        <v xml:space="preserve"> </v>
      </c>
      <c r="JB89" s="10" t="str">
        <f t="shared" si="322"/>
        <v xml:space="preserve"> </v>
      </c>
      <c r="JE89" s="10" t="str">
        <f t="shared" si="323"/>
        <v xml:space="preserve"> </v>
      </c>
      <c r="JF89" s="10" t="str">
        <f t="shared" si="323"/>
        <v xml:space="preserve"> </v>
      </c>
      <c r="JG89" s="10" t="str">
        <f t="shared" si="323"/>
        <v xml:space="preserve"> </v>
      </c>
      <c r="JH89" s="10" t="str">
        <f t="shared" si="323"/>
        <v xml:space="preserve"> </v>
      </c>
      <c r="JI89" s="10" t="str">
        <f t="shared" si="323"/>
        <v xml:space="preserve"> </v>
      </c>
    </row>
    <row r="90" spans="13:269">
      <c r="M90" s="10" t="str">
        <f t="shared" si="324"/>
        <v xml:space="preserve"> </v>
      </c>
      <c r="N90" s="10" t="str">
        <f t="shared" si="324"/>
        <v xml:space="preserve"> </v>
      </c>
      <c r="O90" s="10" t="str">
        <f t="shared" si="324"/>
        <v xml:space="preserve"> </v>
      </c>
      <c r="P90" s="10" t="str">
        <f t="shared" si="324"/>
        <v xml:space="preserve"> </v>
      </c>
      <c r="Q90" s="10" t="str">
        <f t="shared" si="324"/>
        <v xml:space="preserve"> </v>
      </c>
      <c r="R90" s="14"/>
      <c r="S90" s="14"/>
      <c r="T90" s="10" t="str">
        <f t="shared" si="288"/>
        <v xml:space="preserve"> </v>
      </c>
      <c r="U90" s="10" t="str">
        <f t="shared" si="288"/>
        <v xml:space="preserve"> </v>
      </c>
      <c r="V90" s="10" t="str">
        <f t="shared" si="288"/>
        <v xml:space="preserve"> </v>
      </c>
      <c r="W90" s="10" t="str">
        <f t="shared" si="288"/>
        <v xml:space="preserve"> </v>
      </c>
      <c r="X90" s="10" t="str">
        <f t="shared" si="288"/>
        <v xml:space="preserve"> </v>
      </c>
      <c r="Y90" s="14"/>
      <c r="Z90" s="14"/>
      <c r="AA90" s="10" t="str">
        <f t="shared" si="289"/>
        <v xml:space="preserve"> </v>
      </c>
      <c r="AB90" s="10" t="str">
        <f t="shared" si="289"/>
        <v xml:space="preserve"> </v>
      </c>
      <c r="AC90" s="10" t="str">
        <f t="shared" si="289"/>
        <v xml:space="preserve"> </v>
      </c>
      <c r="AD90" s="10" t="str">
        <f t="shared" si="289"/>
        <v xml:space="preserve"> </v>
      </c>
      <c r="AE90" s="10" t="str">
        <f t="shared" si="289"/>
        <v xml:space="preserve"> </v>
      </c>
      <c r="AF90" s="14"/>
      <c r="AG90" s="14"/>
      <c r="AH90" s="10" t="str">
        <f t="shared" si="290"/>
        <v xml:space="preserve"> </v>
      </c>
      <c r="AI90" s="10" t="str">
        <f t="shared" si="290"/>
        <v xml:space="preserve"> </v>
      </c>
      <c r="AJ90" s="10" t="str">
        <f t="shared" si="290"/>
        <v xml:space="preserve"> </v>
      </c>
      <c r="AK90" s="10" t="str">
        <f t="shared" si="290"/>
        <v xml:space="preserve"> </v>
      </c>
      <c r="AL90" s="10" t="str">
        <f t="shared" si="290"/>
        <v xml:space="preserve"> </v>
      </c>
      <c r="AM90" s="14"/>
      <c r="AN90" s="14"/>
      <c r="AO90" s="10" t="str">
        <f t="shared" si="291"/>
        <v xml:space="preserve"> </v>
      </c>
      <c r="AP90" s="10" t="str">
        <f t="shared" si="291"/>
        <v xml:space="preserve"> </v>
      </c>
      <c r="AQ90" s="10" t="str">
        <f t="shared" si="291"/>
        <v xml:space="preserve"> </v>
      </c>
      <c r="AR90" s="10" t="str">
        <f t="shared" si="291"/>
        <v xml:space="preserve"> </v>
      </c>
      <c r="AS90" s="10" t="str">
        <f t="shared" si="291"/>
        <v xml:space="preserve"> </v>
      </c>
      <c r="AT90" s="14"/>
      <c r="AU90" s="14"/>
      <c r="AV90" s="10" t="str">
        <f t="shared" si="292"/>
        <v xml:space="preserve"> </v>
      </c>
      <c r="AW90" s="10" t="str">
        <f t="shared" si="292"/>
        <v xml:space="preserve"> </v>
      </c>
      <c r="AX90" s="10" t="str">
        <f t="shared" si="292"/>
        <v xml:space="preserve"> </v>
      </c>
      <c r="AY90" s="10" t="str">
        <f t="shared" si="292"/>
        <v xml:space="preserve"> </v>
      </c>
      <c r="AZ90" s="10" t="str">
        <f t="shared" si="292"/>
        <v xml:space="preserve"> </v>
      </c>
      <c r="BA90" s="14"/>
      <c r="BB90" s="14"/>
      <c r="BC90" s="10" t="str">
        <f t="shared" si="293"/>
        <v xml:space="preserve"> </v>
      </c>
      <c r="BD90" s="10" t="str">
        <f t="shared" si="293"/>
        <v xml:space="preserve"> </v>
      </c>
      <c r="BE90" s="10" t="str">
        <f t="shared" si="293"/>
        <v xml:space="preserve"> </v>
      </c>
      <c r="BF90" s="10" t="str">
        <f t="shared" si="293"/>
        <v xml:space="preserve"> </v>
      </c>
      <c r="BG90" s="10" t="str">
        <f t="shared" si="293"/>
        <v xml:space="preserve"> </v>
      </c>
      <c r="BH90" s="14"/>
      <c r="BI90" s="14"/>
      <c r="BJ90" s="10" t="str">
        <f t="shared" si="294"/>
        <v xml:space="preserve"> </v>
      </c>
      <c r="BK90" s="10" t="str">
        <f t="shared" si="294"/>
        <v xml:space="preserve"> </v>
      </c>
      <c r="BL90" s="10" t="str">
        <f t="shared" si="294"/>
        <v xml:space="preserve"> </v>
      </c>
      <c r="BM90" s="10" t="str">
        <f t="shared" si="294"/>
        <v xml:space="preserve"> </v>
      </c>
      <c r="BN90" s="10" t="str">
        <f t="shared" si="294"/>
        <v xml:space="preserve"> </v>
      </c>
      <c r="BO90" s="14"/>
      <c r="BP90" s="14"/>
      <c r="BQ90" s="10" t="str">
        <f t="shared" si="295"/>
        <v xml:space="preserve"> </v>
      </c>
      <c r="BR90" s="10" t="str">
        <f t="shared" si="295"/>
        <v xml:space="preserve"> </v>
      </c>
      <c r="BS90" s="10" t="str">
        <f t="shared" si="295"/>
        <v xml:space="preserve"> </v>
      </c>
      <c r="BT90" s="10" t="str">
        <f t="shared" si="295"/>
        <v xml:space="preserve"> </v>
      </c>
      <c r="BU90" s="10" t="str">
        <f t="shared" si="295"/>
        <v xml:space="preserve"> </v>
      </c>
      <c r="BV90" s="14"/>
      <c r="BW90" s="14"/>
      <c r="BX90" s="10" t="str">
        <f t="shared" si="296"/>
        <v xml:space="preserve"> </v>
      </c>
      <c r="BY90" s="10" t="str">
        <f t="shared" si="296"/>
        <v xml:space="preserve"> </v>
      </c>
      <c r="BZ90" s="10" t="str">
        <f t="shared" si="296"/>
        <v xml:space="preserve"> </v>
      </c>
      <c r="CA90" s="10" t="str">
        <f t="shared" si="296"/>
        <v xml:space="preserve"> </v>
      </c>
      <c r="CB90" s="10" t="str">
        <f t="shared" si="296"/>
        <v xml:space="preserve"> </v>
      </c>
      <c r="CC90" s="14"/>
      <c r="CD90" s="14"/>
      <c r="CE90" s="10" t="str">
        <f t="shared" si="297"/>
        <v xml:space="preserve"> </v>
      </c>
      <c r="CF90" s="10" t="str">
        <f t="shared" si="297"/>
        <v xml:space="preserve"> </v>
      </c>
      <c r="CG90" s="10" t="str">
        <f t="shared" si="297"/>
        <v xml:space="preserve"> </v>
      </c>
      <c r="CH90" s="10" t="str">
        <f t="shared" si="297"/>
        <v xml:space="preserve"> </v>
      </c>
      <c r="CI90" s="10" t="str">
        <f t="shared" si="297"/>
        <v xml:space="preserve"> </v>
      </c>
      <c r="CJ90" s="14"/>
      <c r="CK90" s="14"/>
      <c r="CL90" s="10" t="str">
        <f t="shared" si="298"/>
        <v xml:space="preserve"> </v>
      </c>
      <c r="CM90" s="10" t="str">
        <f t="shared" si="298"/>
        <v xml:space="preserve"> </v>
      </c>
      <c r="CN90" s="10" t="str">
        <f t="shared" si="298"/>
        <v xml:space="preserve"> </v>
      </c>
      <c r="CO90" s="10" t="str">
        <f t="shared" si="298"/>
        <v xml:space="preserve"> </v>
      </c>
      <c r="CP90" s="10" t="str">
        <f t="shared" si="298"/>
        <v xml:space="preserve"> </v>
      </c>
      <c r="CQ90" s="14"/>
      <c r="CR90" s="14"/>
      <c r="CS90" s="10" t="str">
        <f t="shared" si="299"/>
        <v xml:space="preserve"> </v>
      </c>
      <c r="CT90" s="10" t="str">
        <f t="shared" si="299"/>
        <v xml:space="preserve"> </v>
      </c>
      <c r="CU90" s="10" t="str">
        <f t="shared" si="299"/>
        <v xml:space="preserve"> </v>
      </c>
      <c r="CV90" s="10" t="str">
        <f t="shared" si="299"/>
        <v xml:space="preserve"> </v>
      </c>
      <c r="CW90" s="10" t="str">
        <f t="shared" si="299"/>
        <v xml:space="preserve"> </v>
      </c>
      <c r="CZ90" s="10" t="str">
        <f t="shared" si="300"/>
        <v xml:space="preserve"> </v>
      </c>
      <c r="DA90" s="10" t="str">
        <f t="shared" si="300"/>
        <v xml:space="preserve"> </v>
      </c>
      <c r="DB90" s="10" t="str">
        <f t="shared" si="300"/>
        <v xml:space="preserve"> </v>
      </c>
      <c r="DC90" s="10" t="str">
        <f t="shared" si="300"/>
        <v xml:space="preserve"> </v>
      </c>
      <c r="DD90" s="10" t="str">
        <f t="shared" si="300"/>
        <v xml:space="preserve"> </v>
      </c>
      <c r="DG90" s="10" t="str">
        <f t="shared" si="301"/>
        <v xml:space="preserve"> </v>
      </c>
      <c r="DH90" s="10" t="str">
        <f t="shared" si="301"/>
        <v xml:space="preserve"> </v>
      </c>
      <c r="DI90" s="10" t="str">
        <f t="shared" si="301"/>
        <v xml:space="preserve"> </v>
      </c>
      <c r="DJ90" s="10" t="str">
        <f t="shared" si="301"/>
        <v xml:space="preserve"> </v>
      </c>
      <c r="DK90" s="10" t="str">
        <f t="shared" si="301"/>
        <v xml:space="preserve"> </v>
      </c>
      <c r="DN90" s="10" t="str">
        <f t="shared" si="302"/>
        <v xml:space="preserve"> </v>
      </c>
      <c r="DO90" s="10" t="str">
        <f t="shared" si="302"/>
        <v xml:space="preserve"> </v>
      </c>
      <c r="DP90" s="10" t="str">
        <f t="shared" si="302"/>
        <v xml:space="preserve"> </v>
      </c>
      <c r="DQ90" s="10" t="str">
        <f t="shared" si="302"/>
        <v xml:space="preserve"> </v>
      </c>
      <c r="DR90" s="10" t="str">
        <f t="shared" si="302"/>
        <v xml:space="preserve"> </v>
      </c>
      <c r="DU90" s="10" t="str">
        <f t="shared" si="303"/>
        <v xml:space="preserve"> </v>
      </c>
      <c r="DV90" s="10" t="str">
        <f t="shared" si="303"/>
        <v xml:space="preserve"> </v>
      </c>
      <c r="DW90" s="10" t="str">
        <f t="shared" si="303"/>
        <v xml:space="preserve"> </v>
      </c>
      <c r="DX90" s="10" t="str">
        <f t="shared" si="303"/>
        <v xml:space="preserve"> </v>
      </c>
      <c r="DY90" s="10" t="str">
        <f t="shared" si="303"/>
        <v xml:space="preserve"> </v>
      </c>
      <c r="EB90" s="10" t="str">
        <f t="shared" si="304"/>
        <v xml:space="preserve"> </v>
      </c>
      <c r="EC90" s="10" t="str">
        <f t="shared" si="304"/>
        <v xml:space="preserve"> </v>
      </c>
      <c r="ED90" s="10" t="str">
        <f t="shared" si="304"/>
        <v xml:space="preserve"> </v>
      </c>
      <c r="EE90" s="10" t="str">
        <f t="shared" si="304"/>
        <v xml:space="preserve"> </v>
      </c>
      <c r="EF90" s="10" t="str">
        <f t="shared" si="304"/>
        <v xml:space="preserve"> </v>
      </c>
      <c r="EI90" s="10" t="str">
        <f t="shared" si="305"/>
        <v xml:space="preserve"> </v>
      </c>
      <c r="EJ90" s="10" t="str">
        <f t="shared" si="305"/>
        <v xml:space="preserve"> </v>
      </c>
      <c r="EK90" s="10" t="str">
        <f t="shared" si="305"/>
        <v xml:space="preserve"> </v>
      </c>
      <c r="EL90" s="10" t="str">
        <f t="shared" si="305"/>
        <v xml:space="preserve"> </v>
      </c>
      <c r="EM90" s="10" t="str">
        <f t="shared" si="305"/>
        <v xml:space="preserve"> </v>
      </c>
      <c r="EP90" s="10" t="str">
        <f t="shared" si="306"/>
        <v xml:space="preserve"> </v>
      </c>
      <c r="EQ90" s="10" t="str">
        <f t="shared" si="306"/>
        <v xml:space="preserve"> </v>
      </c>
      <c r="ER90" s="10" t="str">
        <f t="shared" si="306"/>
        <v xml:space="preserve"> </v>
      </c>
      <c r="ES90" s="10" t="str">
        <f t="shared" si="306"/>
        <v xml:space="preserve"> </v>
      </c>
      <c r="ET90" s="10" t="str">
        <f t="shared" si="306"/>
        <v xml:space="preserve"> </v>
      </c>
      <c r="EW90" s="10" t="str">
        <f t="shared" si="307"/>
        <v xml:space="preserve"> </v>
      </c>
      <c r="EX90" s="10" t="str">
        <f t="shared" si="307"/>
        <v xml:space="preserve"> </v>
      </c>
      <c r="EY90" s="10" t="str">
        <f t="shared" si="307"/>
        <v xml:space="preserve"> </v>
      </c>
      <c r="EZ90" s="10" t="str">
        <f t="shared" si="307"/>
        <v xml:space="preserve"> </v>
      </c>
      <c r="FA90" s="10" t="str">
        <f t="shared" si="307"/>
        <v xml:space="preserve"> </v>
      </c>
      <c r="FD90" s="10" t="str">
        <f t="shared" si="308"/>
        <v xml:space="preserve"> </v>
      </c>
      <c r="FE90" s="10" t="str">
        <f t="shared" si="308"/>
        <v xml:space="preserve"> </v>
      </c>
      <c r="FF90" s="10" t="str">
        <f t="shared" si="308"/>
        <v xml:space="preserve"> </v>
      </c>
      <c r="FG90" s="10" t="str">
        <f t="shared" si="308"/>
        <v xml:space="preserve"> </v>
      </c>
      <c r="FH90" s="10" t="str">
        <f t="shared" si="308"/>
        <v xml:space="preserve"> </v>
      </c>
      <c r="FK90" s="10" t="str">
        <f t="shared" si="309"/>
        <v xml:space="preserve"> </v>
      </c>
      <c r="FL90" s="10" t="str">
        <f t="shared" si="309"/>
        <v xml:space="preserve"> </v>
      </c>
      <c r="FM90" s="10" t="str">
        <f t="shared" si="309"/>
        <v xml:space="preserve"> </v>
      </c>
      <c r="FN90" s="10" t="str">
        <f t="shared" si="309"/>
        <v xml:space="preserve"> </v>
      </c>
      <c r="FO90" s="10" t="str">
        <f t="shared" si="309"/>
        <v xml:space="preserve"> </v>
      </c>
      <c r="FR90" s="10" t="str">
        <f t="shared" si="310"/>
        <v xml:space="preserve"> </v>
      </c>
      <c r="FS90" s="10" t="str">
        <f t="shared" si="310"/>
        <v xml:space="preserve"> </v>
      </c>
      <c r="FT90" s="10" t="str">
        <f t="shared" si="310"/>
        <v xml:space="preserve"> </v>
      </c>
      <c r="FU90" s="10" t="str">
        <f t="shared" si="310"/>
        <v xml:space="preserve"> </v>
      </c>
      <c r="FV90" s="10" t="str">
        <f t="shared" si="310"/>
        <v xml:space="preserve"> </v>
      </c>
      <c r="FY90" s="10" t="str">
        <f t="shared" si="311"/>
        <v xml:space="preserve"> </v>
      </c>
      <c r="FZ90" s="10" t="str">
        <f t="shared" si="311"/>
        <v xml:space="preserve"> </v>
      </c>
      <c r="GA90" s="10" t="str">
        <f t="shared" si="311"/>
        <v xml:space="preserve"> </v>
      </c>
      <c r="GB90" s="10" t="str">
        <f t="shared" si="311"/>
        <v xml:space="preserve"> </v>
      </c>
      <c r="GC90" s="10" t="str">
        <f t="shared" si="311"/>
        <v xml:space="preserve"> </v>
      </c>
      <c r="GF90" s="10" t="str">
        <f t="shared" si="312"/>
        <v xml:space="preserve"> </v>
      </c>
      <c r="GG90" s="10" t="str">
        <f t="shared" si="312"/>
        <v xml:space="preserve"> </v>
      </c>
      <c r="GH90" s="10" t="str">
        <f t="shared" si="312"/>
        <v xml:space="preserve"> </v>
      </c>
      <c r="GI90" s="10" t="str">
        <f t="shared" si="312"/>
        <v xml:space="preserve"> </v>
      </c>
      <c r="GJ90" s="10" t="str">
        <f t="shared" si="312"/>
        <v xml:space="preserve"> </v>
      </c>
      <c r="GM90" s="10" t="str">
        <f t="shared" si="313"/>
        <v xml:space="preserve"> </v>
      </c>
      <c r="GN90" s="10" t="str">
        <f t="shared" si="313"/>
        <v xml:space="preserve"> </v>
      </c>
      <c r="GO90" s="10" t="str">
        <f t="shared" si="313"/>
        <v xml:space="preserve"> </v>
      </c>
      <c r="GP90" s="10" t="str">
        <f t="shared" si="313"/>
        <v xml:space="preserve"> </v>
      </c>
      <c r="GQ90" s="10" t="str">
        <f t="shared" si="313"/>
        <v xml:space="preserve"> </v>
      </c>
      <c r="GT90" s="10" t="str">
        <f t="shared" si="314"/>
        <v xml:space="preserve"> </v>
      </c>
      <c r="GU90" s="10" t="str">
        <f t="shared" si="314"/>
        <v xml:space="preserve"> </v>
      </c>
      <c r="GV90" s="10" t="str">
        <f t="shared" si="314"/>
        <v xml:space="preserve"> </v>
      </c>
      <c r="GW90" s="10" t="str">
        <f t="shared" si="314"/>
        <v xml:space="preserve"> </v>
      </c>
      <c r="GX90" s="10" t="str">
        <f t="shared" si="314"/>
        <v xml:space="preserve"> </v>
      </c>
      <c r="HA90" s="10" t="str">
        <f t="shared" si="315"/>
        <v xml:space="preserve"> </v>
      </c>
      <c r="HB90" s="10" t="str">
        <f t="shared" si="315"/>
        <v xml:space="preserve"> </v>
      </c>
      <c r="HC90" s="10" t="str">
        <f t="shared" si="315"/>
        <v xml:space="preserve"> </v>
      </c>
      <c r="HD90" s="10" t="str">
        <f t="shared" si="315"/>
        <v xml:space="preserve"> </v>
      </c>
      <c r="HE90" s="10" t="str">
        <f t="shared" si="315"/>
        <v xml:space="preserve"> </v>
      </c>
      <c r="HH90" s="10" t="str">
        <f t="shared" si="316"/>
        <v xml:space="preserve"> </v>
      </c>
      <c r="HI90" s="10" t="str">
        <f t="shared" si="316"/>
        <v xml:space="preserve"> </v>
      </c>
      <c r="HJ90" s="10" t="str">
        <f t="shared" si="316"/>
        <v xml:space="preserve"> </v>
      </c>
      <c r="HK90" s="10" t="str">
        <f t="shared" si="316"/>
        <v xml:space="preserve"> </v>
      </c>
      <c r="HL90" s="10" t="str">
        <f t="shared" si="316"/>
        <v xml:space="preserve"> </v>
      </c>
      <c r="HO90" s="10" t="str">
        <f t="shared" si="317"/>
        <v xml:space="preserve"> </v>
      </c>
      <c r="HP90" s="10" t="str">
        <f t="shared" si="317"/>
        <v xml:space="preserve"> </v>
      </c>
      <c r="HQ90" s="10" t="str">
        <f t="shared" si="317"/>
        <v xml:space="preserve"> </v>
      </c>
      <c r="HR90" s="10" t="str">
        <f t="shared" si="317"/>
        <v xml:space="preserve"> </v>
      </c>
      <c r="HS90" s="10" t="str">
        <f t="shared" si="317"/>
        <v xml:space="preserve"> </v>
      </c>
      <c r="HV90" s="10" t="str">
        <f t="shared" si="318"/>
        <v xml:space="preserve"> </v>
      </c>
      <c r="HW90" s="10" t="str">
        <f t="shared" si="318"/>
        <v xml:space="preserve"> </v>
      </c>
      <c r="HX90" s="10" t="str">
        <f t="shared" si="318"/>
        <v xml:space="preserve"> </v>
      </c>
      <c r="HY90" s="10" t="str">
        <f t="shared" si="318"/>
        <v xml:space="preserve"> </v>
      </c>
      <c r="HZ90" s="10" t="str">
        <f t="shared" si="318"/>
        <v xml:space="preserve"> </v>
      </c>
      <c r="IC90" s="10" t="str">
        <f t="shared" si="319"/>
        <v xml:space="preserve"> </v>
      </c>
      <c r="ID90" s="10" t="str">
        <f t="shared" si="319"/>
        <v xml:space="preserve"> </v>
      </c>
      <c r="IE90" s="10" t="str">
        <f t="shared" si="319"/>
        <v xml:space="preserve"> </v>
      </c>
      <c r="IF90" s="10" t="str">
        <f t="shared" si="319"/>
        <v xml:space="preserve"> </v>
      </c>
      <c r="IG90" s="10" t="str">
        <f t="shared" si="319"/>
        <v xml:space="preserve"> </v>
      </c>
      <c r="IJ90" s="10" t="str">
        <f t="shared" si="320"/>
        <v xml:space="preserve"> </v>
      </c>
      <c r="IK90" s="10" t="str">
        <f t="shared" si="320"/>
        <v xml:space="preserve"> </v>
      </c>
      <c r="IL90" s="10" t="str">
        <f t="shared" si="320"/>
        <v xml:space="preserve"> </v>
      </c>
      <c r="IM90" s="10" t="str">
        <f t="shared" si="320"/>
        <v xml:space="preserve"> </v>
      </c>
      <c r="IN90" s="10" t="str">
        <f t="shared" si="320"/>
        <v xml:space="preserve"> </v>
      </c>
      <c r="IQ90" s="10" t="str">
        <f t="shared" si="321"/>
        <v xml:space="preserve"> </v>
      </c>
      <c r="IR90" s="10" t="str">
        <f t="shared" si="321"/>
        <v xml:space="preserve"> </v>
      </c>
      <c r="IS90" s="10" t="str">
        <f t="shared" si="321"/>
        <v xml:space="preserve"> </v>
      </c>
      <c r="IT90" s="10" t="str">
        <f t="shared" si="321"/>
        <v xml:space="preserve"> </v>
      </c>
      <c r="IU90" s="10" t="str">
        <f t="shared" si="321"/>
        <v xml:space="preserve"> </v>
      </c>
      <c r="IX90" s="10" t="str">
        <f t="shared" si="322"/>
        <v xml:space="preserve"> </v>
      </c>
      <c r="IY90" s="10" t="str">
        <f t="shared" si="322"/>
        <v xml:space="preserve"> </v>
      </c>
      <c r="IZ90" s="10" t="str">
        <f t="shared" si="322"/>
        <v xml:space="preserve"> </v>
      </c>
      <c r="JA90" s="10" t="str">
        <f t="shared" si="322"/>
        <v xml:space="preserve"> </v>
      </c>
      <c r="JB90" s="10" t="str">
        <f t="shared" si="322"/>
        <v xml:space="preserve"> </v>
      </c>
      <c r="JE90" s="10" t="str">
        <f t="shared" si="323"/>
        <v xml:space="preserve"> </v>
      </c>
      <c r="JF90" s="10" t="str">
        <f t="shared" si="323"/>
        <v xml:space="preserve"> </v>
      </c>
      <c r="JG90" s="10" t="str">
        <f t="shared" si="323"/>
        <v xml:space="preserve"> </v>
      </c>
      <c r="JH90" s="10" t="str">
        <f t="shared" si="323"/>
        <v xml:space="preserve"> </v>
      </c>
      <c r="JI90" s="10" t="str">
        <f t="shared" si="323"/>
        <v xml:space="preserve"> </v>
      </c>
    </row>
    <row r="91" spans="13:269">
      <c r="M91" s="10" t="str">
        <f t="shared" si="324"/>
        <v xml:space="preserve"> </v>
      </c>
      <c r="N91" s="10" t="str">
        <f t="shared" si="324"/>
        <v xml:space="preserve"> </v>
      </c>
      <c r="O91" s="10" t="str">
        <f t="shared" si="324"/>
        <v xml:space="preserve"> </v>
      </c>
      <c r="P91" s="10" t="str">
        <f t="shared" si="324"/>
        <v xml:space="preserve"> </v>
      </c>
      <c r="Q91" s="10" t="str">
        <f t="shared" si="324"/>
        <v xml:space="preserve"> </v>
      </c>
      <c r="R91" s="14"/>
      <c r="S91" s="14"/>
      <c r="T91" s="10" t="str">
        <f t="shared" si="288"/>
        <v xml:space="preserve"> </v>
      </c>
      <c r="U91" s="10" t="str">
        <f t="shared" si="288"/>
        <v xml:space="preserve"> </v>
      </c>
      <c r="V91" s="10" t="str">
        <f t="shared" si="288"/>
        <v xml:space="preserve"> </v>
      </c>
      <c r="W91" s="10" t="str">
        <f t="shared" si="288"/>
        <v xml:space="preserve"> </v>
      </c>
      <c r="X91" s="10" t="str">
        <f t="shared" si="288"/>
        <v xml:space="preserve"> </v>
      </c>
      <c r="Y91" s="14"/>
      <c r="Z91" s="14"/>
      <c r="AA91" s="10" t="str">
        <f t="shared" si="289"/>
        <v xml:space="preserve"> </v>
      </c>
      <c r="AB91" s="10" t="str">
        <f t="shared" si="289"/>
        <v xml:space="preserve"> </v>
      </c>
      <c r="AC91" s="10" t="str">
        <f t="shared" si="289"/>
        <v xml:space="preserve"> </v>
      </c>
      <c r="AD91" s="10" t="str">
        <f t="shared" si="289"/>
        <v xml:space="preserve"> </v>
      </c>
      <c r="AE91" s="10" t="str">
        <f t="shared" si="289"/>
        <v xml:space="preserve"> </v>
      </c>
      <c r="AF91" s="14"/>
      <c r="AG91" s="14"/>
      <c r="AH91" s="10" t="str">
        <f t="shared" si="290"/>
        <v xml:space="preserve"> </v>
      </c>
      <c r="AI91" s="10" t="str">
        <f t="shared" si="290"/>
        <v xml:space="preserve"> </v>
      </c>
      <c r="AJ91" s="10" t="str">
        <f t="shared" si="290"/>
        <v xml:space="preserve"> </v>
      </c>
      <c r="AK91" s="10" t="str">
        <f t="shared" si="290"/>
        <v xml:space="preserve"> </v>
      </c>
      <c r="AL91" s="10" t="str">
        <f t="shared" si="290"/>
        <v xml:space="preserve"> </v>
      </c>
      <c r="AM91" s="14"/>
      <c r="AN91" s="14"/>
      <c r="AO91" s="10" t="str">
        <f t="shared" si="291"/>
        <v xml:space="preserve"> </v>
      </c>
      <c r="AP91" s="10" t="str">
        <f t="shared" si="291"/>
        <v xml:space="preserve"> </v>
      </c>
      <c r="AQ91" s="10" t="str">
        <f t="shared" si="291"/>
        <v xml:space="preserve"> </v>
      </c>
      <c r="AR91" s="10" t="str">
        <f t="shared" si="291"/>
        <v xml:space="preserve"> </v>
      </c>
      <c r="AS91" s="10" t="str">
        <f t="shared" si="291"/>
        <v xml:space="preserve"> </v>
      </c>
      <c r="AT91" s="14"/>
      <c r="AU91" s="14"/>
      <c r="AV91" s="10" t="str">
        <f t="shared" si="292"/>
        <v xml:space="preserve"> </v>
      </c>
      <c r="AW91" s="10" t="str">
        <f t="shared" si="292"/>
        <v xml:space="preserve"> </v>
      </c>
      <c r="AX91" s="10" t="str">
        <f t="shared" si="292"/>
        <v xml:space="preserve"> </v>
      </c>
      <c r="AY91" s="10" t="str">
        <f t="shared" si="292"/>
        <v xml:space="preserve"> </v>
      </c>
      <c r="AZ91" s="10" t="str">
        <f t="shared" si="292"/>
        <v xml:space="preserve"> </v>
      </c>
      <c r="BA91" s="14"/>
      <c r="BB91" s="14"/>
      <c r="BC91" s="10" t="str">
        <f t="shared" si="293"/>
        <v xml:space="preserve"> </v>
      </c>
      <c r="BD91" s="10" t="str">
        <f t="shared" si="293"/>
        <v xml:space="preserve"> </v>
      </c>
      <c r="BE91" s="10" t="str">
        <f t="shared" si="293"/>
        <v xml:space="preserve"> </v>
      </c>
      <c r="BF91" s="10" t="str">
        <f t="shared" si="293"/>
        <v xml:space="preserve"> </v>
      </c>
      <c r="BG91" s="10" t="str">
        <f t="shared" si="293"/>
        <v xml:space="preserve"> </v>
      </c>
      <c r="BH91" s="14"/>
      <c r="BI91" s="14"/>
      <c r="BJ91" s="10" t="str">
        <f t="shared" si="294"/>
        <v xml:space="preserve"> </v>
      </c>
      <c r="BK91" s="10" t="str">
        <f t="shared" si="294"/>
        <v xml:space="preserve"> </v>
      </c>
      <c r="BL91" s="10" t="str">
        <f t="shared" si="294"/>
        <v xml:space="preserve"> </v>
      </c>
      <c r="BM91" s="10" t="str">
        <f t="shared" si="294"/>
        <v xml:space="preserve"> </v>
      </c>
      <c r="BN91" s="10" t="str">
        <f t="shared" si="294"/>
        <v xml:space="preserve"> </v>
      </c>
      <c r="BO91" s="14"/>
      <c r="BP91" s="14"/>
      <c r="BQ91" s="10" t="str">
        <f t="shared" si="295"/>
        <v xml:space="preserve"> </v>
      </c>
      <c r="BR91" s="10" t="str">
        <f t="shared" si="295"/>
        <v xml:space="preserve"> </v>
      </c>
      <c r="BS91" s="10" t="str">
        <f t="shared" si="295"/>
        <v xml:space="preserve"> </v>
      </c>
      <c r="BT91" s="10" t="str">
        <f t="shared" si="295"/>
        <v xml:space="preserve"> </v>
      </c>
      <c r="BU91" s="10" t="str">
        <f t="shared" si="295"/>
        <v xml:space="preserve"> </v>
      </c>
      <c r="BV91" s="14"/>
      <c r="BW91" s="14"/>
      <c r="BX91" s="10" t="str">
        <f t="shared" si="296"/>
        <v xml:space="preserve"> </v>
      </c>
      <c r="BY91" s="10" t="str">
        <f t="shared" si="296"/>
        <v xml:space="preserve"> </v>
      </c>
      <c r="BZ91" s="10" t="str">
        <f t="shared" si="296"/>
        <v xml:space="preserve"> </v>
      </c>
      <c r="CA91" s="10" t="str">
        <f t="shared" si="296"/>
        <v xml:space="preserve"> </v>
      </c>
      <c r="CB91" s="10" t="str">
        <f t="shared" si="296"/>
        <v xml:space="preserve"> </v>
      </c>
      <c r="CC91" s="14"/>
      <c r="CD91" s="14"/>
      <c r="CE91" s="10" t="str">
        <f t="shared" si="297"/>
        <v xml:space="preserve"> </v>
      </c>
      <c r="CF91" s="10" t="str">
        <f t="shared" si="297"/>
        <v xml:space="preserve"> </v>
      </c>
      <c r="CG91" s="10" t="str">
        <f t="shared" si="297"/>
        <v xml:space="preserve"> </v>
      </c>
      <c r="CH91" s="10" t="str">
        <f t="shared" si="297"/>
        <v xml:space="preserve"> </v>
      </c>
      <c r="CI91" s="10" t="str">
        <f t="shared" si="297"/>
        <v xml:space="preserve"> </v>
      </c>
      <c r="CJ91" s="14"/>
      <c r="CK91" s="14"/>
      <c r="CL91" s="10" t="str">
        <f t="shared" si="298"/>
        <v xml:space="preserve"> </v>
      </c>
      <c r="CM91" s="10" t="str">
        <f t="shared" si="298"/>
        <v xml:space="preserve"> </v>
      </c>
      <c r="CN91" s="10" t="str">
        <f t="shared" si="298"/>
        <v xml:space="preserve"> </v>
      </c>
      <c r="CO91" s="10" t="str">
        <f t="shared" si="298"/>
        <v xml:space="preserve"> </v>
      </c>
      <c r="CP91" s="10" t="str">
        <f t="shared" si="298"/>
        <v xml:space="preserve"> </v>
      </c>
      <c r="CQ91" s="14"/>
      <c r="CR91" s="14"/>
      <c r="CS91" s="10" t="str">
        <f t="shared" si="299"/>
        <v xml:space="preserve"> </v>
      </c>
      <c r="CT91" s="10" t="str">
        <f t="shared" si="299"/>
        <v xml:space="preserve"> </v>
      </c>
      <c r="CU91" s="10" t="str">
        <f t="shared" si="299"/>
        <v xml:space="preserve"> </v>
      </c>
      <c r="CV91" s="10" t="str">
        <f t="shared" si="299"/>
        <v xml:space="preserve"> </v>
      </c>
      <c r="CW91" s="10" t="str">
        <f t="shared" si="299"/>
        <v xml:space="preserve"> </v>
      </c>
      <c r="CZ91" s="10" t="str">
        <f t="shared" si="300"/>
        <v xml:space="preserve"> </v>
      </c>
      <c r="DA91" s="10" t="str">
        <f t="shared" si="300"/>
        <v xml:space="preserve"> </v>
      </c>
      <c r="DB91" s="10" t="str">
        <f t="shared" si="300"/>
        <v xml:space="preserve"> </v>
      </c>
      <c r="DC91" s="10" t="str">
        <f t="shared" si="300"/>
        <v xml:space="preserve"> </v>
      </c>
      <c r="DD91" s="10" t="str">
        <f t="shared" si="300"/>
        <v xml:space="preserve"> </v>
      </c>
      <c r="DG91" s="10" t="str">
        <f t="shared" si="301"/>
        <v xml:space="preserve"> </v>
      </c>
      <c r="DH91" s="10" t="str">
        <f t="shared" si="301"/>
        <v xml:space="preserve"> </v>
      </c>
      <c r="DI91" s="10" t="str">
        <f t="shared" si="301"/>
        <v xml:space="preserve"> </v>
      </c>
      <c r="DJ91" s="10" t="str">
        <f t="shared" si="301"/>
        <v xml:space="preserve"> </v>
      </c>
      <c r="DK91" s="10" t="str">
        <f t="shared" si="301"/>
        <v xml:space="preserve"> </v>
      </c>
      <c r="DN91" s="10" t="str">
        <f t="shared" si="302"/>
        <v xml:space="preserve"> </v>
      </c>
      <c r="DO91" s="10" t="str">
        <f t="shared" si="302"/>
        <v xml:space="preserve"> </v>
      </c>
      <c r="DP91" s="10" t="str">
        <f t="shared" si="302"/>
        <v xml:space="preserve"> </v>
      </c>
      <c r="DQ91" s="10" t="str">
        <f t="shared" si="302"/>
        <v xml:space="preserve"> </v>
      </c>
      <c r="DR91" s="10" t="str">
        <f t="shared" si="302"/>
        <v xml:space="preserve"> </v>
      </c>
      <c r="DU91" s="10" t="str">
        <f t="shared" si="303"/>
        <v xml:space="preserve"> </v>
      </c>
      <c r="DV91" s="10" t="str">
        <f t="shared" si="303"/>
        <v xml:space="preserve"> </v>
      </c>
      <c r="DW91" s="10" t="str">
        <f t="shared" si="303"/>
        <v xml:space="preserve"> </v>
      </c>
      <c r="DX91" s="10" t="str">
        <f t="shared" si="303"/>
        <v xml:space="preserve"> </v>
      </c>
      <c r="DY91" s="10" t="str">
        <f t="shared" si="303"/>
        <v xml:space="preserve"> </v>
      </c>
      <c r="EB91" s="10" t="str">
        <f t="shared" si="304"/>
        <v xml:space="preserve"> </v>
      </c>
      <c r="EC91" s="10" t="str">
        <f t="shared" si="304"/>
        <v xml:space="preserve"> </v>
      </c>
      <c r="ED91" s="10" t="str">
        <f t="shared" si="304"/>
        <v xml:space="preserve"> </v>
      </c>
      <c r="EE91" s="10" t="str">
        <f t="shared" si="304"/>
        <v xml:space="preserve"> </v>
      </c>
      <c r="EF91" s="10" t="str">
        <f t="shared" si="304"/>
        <v xml:space="preserve"> </v>
      </c>
      <c r="EI91" s="10" t="str">
        <f t="shared" si="305"/>
        <v xml:space="preserve"> </v>
      </c>
      <c r="EJ91" s="10" t="str">
        <f t="shared" si="305"/>
        <v xml:space="preserve"> </v>
      </c>
      <c r="EK91" s="10" t="str">
        <f t="shared" si="305"/>
        <v xml:space="preserve"> </v>
      </c>
      <c r="EL91" s="10" t="str">
        <f t="shared" si="305"/>
        <v xml:space="preserve"> </v>
      </c>
      <c r="EM91" s="10" t="str">
        <f t="shared" si="305"/>
        <v xml:space="preserve"> </v>
      </c>
      <c r="EP91" s="10" t="str">
        <f t="shared" si="306"/>
        <v xml:space="preserve"> </v>
      </c>
      <c r="EQ91" s="10" t="str">
        <f t="shared" si="306"/>
        <v xml:space="preserve"> </v>
      </c>
      <c r="ER91" s="10" t="str">
        <f t="shared" si="306"/>
        <v xml:space="preserve"> </v>
      </c>
      <c r="ES91" s="10" t="str">
        <f t="shared" si="306"/>
        <v xml:space="preserve"> </v>
      </c>
      <c r="ET91" s="10" t="str">
        <f t="shared" si="306"/>
        <v xml:space="preserve"> </v>
      </c>
      <c r="EW91" s="10" t="str">
        <f t="shared" si="307"/>
        <v xml:space="preserve"> </v>
      </c>
      <c r="EX91" s="10" t="str">
        <f t="shared" si="307"/>
        <v xml:space="preserve"> </v>
      </c>
      <c r="EY91" s="10" t="str">
        <f t="shared" si="307"/>
        <v xml:space="preserve"> </v>
      </c>
      <c r="EZ91" s="10" t="str">
        <f t="shared" si="307"/>
        <v xml:space="preserve"> </v>
      </c>
      <c r="FA91" s="10" t="str">
        <f t="shared" si="307"/>
        <v xml:space="preserve"> </v>
      </c>
      <c r="FD91" s="10" t="str">
        <f t="shared" si="308"/>
        <v xml:space="preserve"> </v>
      </c>
      <c r="FE91" s="10" t="str">
        <f t="shared" si="308"/>
        <v xml:space="preserve"> </v>
      </c>
      <c r="FF91" s="10" t="str">
        <f t="shared" si="308"/>
        <v xml:space="preserve"> </v>
      </c>
      <c r="FG91" s="10" t="str">
        <f t="shared" si="308"/>
        <v xml:space="preserve"> </v>
      </c>
      <c r="FH91" s="10" t="str">
        <f t="shared" si="308"/>
        <v xml:space="preserve"> </v>
      </c>
      <c r="FK91" s="10" t="str">
        <f t="shared" si="309"/>
        <v xml:space="preserve"> </v>
      </c>
      <c r="FL91" s="10" t="str">
        <f t="shared" si="309"/>
        <v xml:space="preserve"> </v>
      </c>
      <c r="FM91" s="10" t="str">
        <f t="shared" si="309"/>
        <v xml:space="preserve"> </v>
      </c>
      <c r="FN91" s="10" t="str">
        <f t="shared" si="309"/>
        <v xml:space="preserve"> </v>
      </c>
      <c r="FO91" s="10" t="str">
        <f t="shared" si="309"/>
        <v xml:space="preserve"> </v>
      </c>
      <c r="FR91" s="10" t="str">
        <f t="shared" si="310"/>
        <v xml:space="preserve"> </v>
      </c>
      <c r="FS91" s="10" t="str">
        <f t="shared" si="310"/>
        <v xml:space="preserve"> </v>
      </c>
      <c r="FT91" s="10" t="str">
        <f t="shared" si="310"/>
        <v xml:space="preserve"> </v>
      </c>
      <c r="FU91" s="10" t="str">
        <f t="shared" si="310"/>
        <v xml:space="preserve"> </v>
      </c>
      <c r="FV91" s="10" t="str">
        <f t="shared" si="310"/>
        <v xml:space="preserve"> </v>
      </c>
      <c r="FY91" s="10" t="str">
        <f t="shared" si="311"/>
        <v xml:space="preserve"> </v>
      </c>
      <c r="FZ91" s="10" t="str">
        <f t="shared" si="311"/>
        <v xml:space="preserve"> </v>
      </c>
      <c r="GA91" s="10" t="str">
        <f t="shared" si="311"/>
        <v xml:space="preserve"> </v>
      </c>
      <c r="GB91" s="10" t="str">
        <f t="shared" si="311"/>
        <v xml:space="preserve"> </v>
      </c>
      <c r="GC91" s="10" t="str">
        <f t="shared" si="311"/>
        <v xml:space="preserve"> </v>
      </c>
      <c r="GF91" s="10" t="str">
        <f t="shared" si="312"/>
        <v xml:space="preserve"> </v>
      </c>
      <c r="GG91" s="10" t="str">
        <f t="shared" si="312"/>
        <v xml:space="preserve"> </v>
      </c>
      <c r="GH91" s="10" t="str">
        <f t="shared" si="312"/>
        <v xml:space="preserve"> </v>
      </c>
      <c r="GI91" s="10" t="str">
        <f t="shared" si="312"/>
        <v xml:space="preserve"> </v>
      </c>
      <c r="GJ91" s="10" t="str">
        <f t="shared" si="312"/>
        <v xml:space="preserve"> </v>
      </c>
      <c r="GM91" s="10" t="str">
        <f t="shared" si="313"/>
        <v xml:space="preserve"> </v>
      </c>
      <c r="GN91" s="10" t="str">
        <f t="shared" si="313"/>
        <v xml:space="preserve"> </v>
      </c>
      <c r="GO91" s="10" t="str">
        <f t="shared" si="313"/>
        <v xml:space="preserve"> </v>
      </c>
      <c r="GP91" s="10" t="str">
        <f t="shared" si="313"/>
        <v xml:space="preserve"> </v>
      </c>
      <c r="GQ91" s="10" t="str">
        <f t="shared" si="313"/>
        <v xml:space="preserve"> </v>
      </c>
      <c r="GT91" s="10" t="str">
        <f t="shared" si="314"/>
        <v xml:space="preserve"> </v>
      </c>
      <c r="GU91" s="10" t="str">
        <f t="shared" si="314"/>
        <v xml:space="preserve"> </v>
      </c>
      <c r="GV91" s="10" t="str">
        <f t="shared" si="314"/>
        <v xml:space="preserve"> </v>
      </c>
      <c r="GW91" s="10" t="str">
        <f t="shared" si="314"/>
        <v xml:space="preserve"> </v>
      </c>
      <c r="GX91" s="10" t="str">
        <f t="shared" si="314"/>
        <v xml:space="preserve"> </v>
      </c>
      <c r="HA91" s="10" t="str">
        <f t="shared" si="315"/>
        <v xml:space="preserve"> </v>
      </c>
      <c r="HB91" s="10" t="str">
        <f t="shared" si="315"/>
        <v xml:space="preserve"> </v>
      </c>
      <c r="HC91" s="10" t="str">
        <f t="shared" si="315"/>
        <v xml:space="preserve"> </v>
      </c>
      <c r="HD91" s="10" t="str">
        <f t="shared" si="315"/>
        <v xml:space="preserve"> </v>
      </c>
      <c r="HE91" s="10" t="str">
        <f t="shared" si="315"/>
        <v xml:space="preserve"> </v>
      </c>
      <c r="HH91" s="10" t="str">
        <f t="shared" si="316"/>
        <v xml:space="preserve"> </v>
      </c>
      <c r="HI91" s="10" t="str">
        <f t="shared" si="316"/>
        <v xml:space="preserve"> </v>
      </c>
      <c r="HJ91" s="10" t="str">
        <f t="shared" si="316"/>
        <v xml:space="preserve"> </v>
      </c>
      <c r="HK91" s="10" t="str">
        <f t="shared" si="316"/>
        <v xml:space="preserve"> </v>
      </c>
      <c r="HL91" s="10" t="str">
        <f t="shared" si="316"/>
        <v xml:space="preserve"> </v>
      </c>
      <c r="HO91" s="10" t="str">
        <f t="shared" si="317"/>
        <v xml:space="preserve"> </v>
      </c>
      <c r="HP91" s="10" t="str">
        <f t="shared" si="317"/>
        <v xml:space="preserve"> </v>
      </c>
      <c r="HQ91" s="10" t="str">
        <f t="shared" si="317"/>
        <v xml:space="preserve"> </v>
      </c>
      <c r="HR91" s="10" t="str">
        <f t="shared" si="317"/>
        <v xml:space="preserve"> </v>
      </c>
      <c r="HS91" s="10" t="str">
        <f t="shared" si="317"/>
        <v xml:space="preserve"> </v>
      </c>
      <c r="HV91" s="10" t="str">
        <f t="shared" si="318"/>
        <v xml:space="preserve"> </v>
      </c>
      <c r="HW91" s="10" t="str">
        <f t="shared" si="318"/>
        <v xml:space="preserve"> </v>
      </c>
      <c r="HX91" s="10" t="str">
        <f t="shared" si="318"/>
        <v xml:space="preserve"> </v>
      </c>
      <c r="HY91" s="10" t="str">
        <f t="shared" si="318"/>
        <v xml:space="preserve"> </v>
      </c>
      <c r="HZ91" s="10" t="str">
        <f t="shared" si="318"/>
        <v xml:space="preserve"> </v>
      </c>
      <c r="IC91" s="10" t="str">
        <f t="shared" si="319"/>
        <v xml:space="preserve"> </v>
      </c>
      <c r="ID91" s="10" t="str">
        <f t="shared" si="319"/>
        <v xml:space="preserve"> </v>
      </c>
      <c r="IE91" s="10" t="str">
        <f t="shared" si="319"/>
        <v xml:space="preserve"> </v>
      </c>
      <c r="IF91" s="10" t="str">
        <f t="shared" si="319"/>
        <v xml:space="preserve"> </v>
      </c>
      <c r="IG91" s="10" t="str">
        <f t="shared" si="319"/>
        <v xml:space="preserve"> </v>
      </c>
      <c r="IJ91" s="10" t="str">
        <f t="shared" si="320"/>
        <v xml:space="preserve"> </v>
      </c>
      <c r="IK91" s="10" t="str">
        <f t="shared" si="320"/>
        <v xml:space="preserve"> </v>
      </c>
      <c r="IL91" s="10" t="str">
        <f t="shared" si="320"/>
        <v xml:space="preserve"> </v>
      </c>
      <c r="IM91" s="10" t="str">
        <f t="shared" si="320"/>
        <v xml:space="preserve"> </v>
      </c>
      <c r="IN91" s="10" t="str">
        <f t="shared" si="320"/>
        <v xml:space="preserve"> </v>
      </c>
      <c r="IQ91" s="10" t="str">
        <f t="shared" si="321"/>
        <v xml:space="preserve"> </v>
      </c>
      <c r="IR91" s="10" t="str">
        <f t="shared" si="321"/>
        <v xml:space="preserve"> </v>
      </c>
      <c r="IS91" s="10" t="str">
        <f t="shared" si="321"/>
        <v xml:space="preserve"> </v>
      </c>
      <c r="IT91" s="10" t="str">
        <f t="shared" si="321"/>
        <v xml:space="preserve"> </v>
      </c>
      <c r="IU91" s="10" t="str">
        <f t="shared" si="321"/>
        <v xml:space="preserve"> </v>
      </c>
      <c r="IX91" s="10" t="str">
        <f t="shared" si="322"/>
        <v xml:space="preserve"> </v>
      </c>
      <c r="IY91" s="10" t="str">
        <f t="shared" si="322"/>
        <v xml:space="preserve"> </v>
      </c>
      <c r="IZ91" s="10" t="str">
        <f t="shared" si="322"/>
        <v xml:space="preserve"> </v>
      </c>
      <c r="JA91" s="10" t="str">
        <f t="shared" si="322"/>
        <v xml:space="preserve"> </v>
      </c>
      <c r="JB91" s="10" t="str">
        <f t="shared" si="322"/>
        <v xml:space="preserve"> </v>
      </c>
      <c r="JE91" s="10" t="str">
        <f t="shared" si="323"/>
        <v xml:space="preserve"> </v>
      </c>
      <c r="JF91" s="10" t="str">
        <f t="shared" si="323"/>
        <v xml:space="preserve"> </v>
      </c>
      <c r="JG91" s="10" t="str">
        <f t="shared" si="323"/>
        <v xml:space="preserve"> </v>
      </c>
      <c r="JH91" s="10" t="str">
        <f t="shared" si="323"/>
        <v xml:space="preserve"> </v>
      </c>
      <c r="JI91" s="10" t="str">
        <f t="shared" si="323"/>
        <v xml:space="preserve"> </v>
      </c>
    </row>
    <row r="92" spans="13:269">
      <c r="M92" s="10" t="str">
        <f t="shared" si="324"/>
        <v xml:space="preserve"> </v>
      </c>
      <c r="N92" s="10" t="str">
        <f t="shared" si="324"/>
        <v xml:space="preserve"> </v>
      </c>
      <c r="O92" s="10" t="str">
        <f t="shared" si="324"/>
        <v xml:space="preserve"> </v>
      </c>
      <c r="P92" s="10" t="str">
        <f t="shared" si="324"/>
        <v xml:space="preserve"> </v>
      </c>
      <c r="Q92" s="10" t="str">
        <f t="shared" si="324"/>
        <v xml:space="preserve"> </v>
      </c>
      <c r="R92" s="14"/>
      <c r="S92" s="14"/>
      <c r="T92" s="10" t="str">
        <f t="shared" si="288"/>
        <v xml:space="preserve"> </v>
      </c>
      <c r="U92" s="10" t="str">
        <f t="shared" si="288"/>
        <v xml:space="preserve"> </v>
      </c>
      <c r="V92" s="10" t="str">
        <f t="shared" si="288"/>
        <v xml:space="preserve"> </v>
      </c>
      <c r="W92" s="10" t="str">
        <f t="shared" si="288"/>
        <v xml:space="preserve"> </v>
      </c>
      <c r="X92" s="10" t="str">
        <f t="shared" si="288"/>
        <v xml:space="preserve"> </v>
      </c>
      <c r="Y92" s="14"/>
      <c r="Z92" s="14"/>
      <c r="AA92" s="10" t="str">
        <f t="shared" si="289"/>
        <v xml:space="preserve"> </v>
      </c>
      <c r="AB92" s="10" t="str">
        <f t="shared" si="289"/>
        <v xml:space="preserve"> </v>
      </c>
      <c r="AC92" s="10" t="str">
        <f t="shared" si="289"/>
        <v xml:space="preserve"> </v>
      </c>
      <c r="AD92" s="10" t="str">
        <f t="shared" si="289"/>
        <v xml:space="preserve"> </v>
      </c>
      <c r="AE92" s="10" t="str">
        <f t="shared" si="289"/>
        <v xml:space="preserve"> </v>
      </c>
      <c r="AF92" s="14"/>
      <c r="AG92" s="14"/>
      <c r="AH92" s="10" t="str">
        <f t="shared" si="290"/>
        <v xml:space="preserve"> </v>
      </c>
      <c r="AI92" s="10" t="str">
        <f t="shared" si="290"/>
        <v xml:space="preserve"> </v>
      </c>
      <c r="AJ92" s="10" t="str">
        <f t="shared" si="290"/>
        <v xml:space="preserve"> </v>
      </c>
      <c r="AK92" s="10" t="str">
        <f t="shared" si="290"/>
        <v xml:space="preserve"> </v>
      </c>
      <c r="AL92" s="10" t="str">
        <f t="shared" si="290"/>
        <v xml:space="preserve"> </v>
      </c>
      <c r="AM92" s="14"/>
      <c r="AN92" s="14"/>
      <c r="AO92" s="10" t="str">
        <f t="shared" si="291"/>
        <v xml:space="preserve"> </v>
      </c>
      <c r="AP92" s="10" t="str">
        <f t="shared" si="291"/>
        <v xml:space="preserve"> </v>
      </c>
      <c r="AQ92" s="10" t="str">
        <f t="shared" si="291"/>
        <v xml:space="preserve"> </v>
      </c>
      <c r="AR92" s="10" t="str">
        <f t="shared" si="291"/>
        <v xml:space="preserve"> </v>
      </c>
      <c r="AS92" s="10" t="str">
        <f t="shared" si="291"/>
        <v xml:space="preserve"> </v>
      </c>
      <c r="AT92" s="14"/>
      <c r="AU92" s="14"/>
      <c r="AV92" s="10" t="str">
        <f t="shared" si="292"/>
        <v xml:space="preserve"> </v>
      </c>
      <c r="AW92" s="10" t="str">
        <f t="shared" si="292"/>
        <v xml:space="preserve"> </v>
      </c>
      <c r="AX92" s="10" t="str">
        <f t="shared" si="292"/>
        <v xml:space="preserve"> </v>
      </c>
      <c r="AY92" s="10" t="str">
        <f t="shared" si="292"/>
        <v xml:space="preserve"> </v>
      </c>
      <c r="AZ92" s="10" t="str">
        <f t="shared" si="292"/>
        <v xml:space="preserve"> </v>
      </c>
      <c r="BA92" s="14"/>
      <c r="BB92" s="14"/>
      <c r="BC92" s="10" t="str">
        <f t="shared" si="293"/>
        <v xml:space="preserve"> </v>
      </c>
      <c r="BD92" s="10" t="str">
        <f t="shared" si="293"/>
        <v xml:space="preserve"> </v>
      </c>
      <c r="BE92" s="10" t="str">
        <f t="shared" si="293"/>
        <v xml:space="preserve"> </v>
      </c>
      <c r="BF92" s="10" t="str">
        <f t="shared" si="293"/>
        <v xml:space="preserve"> </v>
      </c>
      <c r="BG92" s="10" t="str">
        <f t="shared" si="293"/>
        <v xml:space="preserve"> </v>
      </c>
      <c r="BH92" s="14"/>
      <c r="BI92" s="14"/>
      <c r="BJ92" s="10" t="str">
        <f t="shared" si="294"/>
        <v xml:space="preserve"> </v>
      </c>
      <c r="BK92" s="10" t="str">
        <f t="shared" si="294"/>
        <v xml:space="preserve"> </v>
      </c>
      <c r="BL92" s="10" t="str">
        <f t="shared" si="294"/>
        <v xml:space="preserve"> </v>
      </c>
      <c r="BM92" s="10" t="str">
        <f t="shared" si="294"/>
        <v xml:space="preserve"> </v>
      </c>
      <c r="BN92" s="10" t="str">
        <f t="shared" si="294"/>
        <v xml:space="preserve"> </v>
      </c>
      <c r="BO92" s="14"/>
      <c r="BP92" s="14"/>
      <c r="BQ92" s="10" t="str">
        <f t="shared" si="295"/>
        <v xml:space="preserve"> </v>
      </c>
      <c r="BR92" s="10" t="str">
        <f t="shared" si="295"/>
        <v xml:space="preserve"> </v>
      </c>
      <c r="BS92" s="10" t="str">
        <f t="shared" si="295"/>
        <v xml:space="preserve"> </v>
      </c>
      <c r="BT92" s="10" t="str">
        <f t="shared" si="295"/>
        <v xml:space="preserve"> </v>
      </c>
      <c r="BU92" s="10" t="str">
        <f t="shared" si="295"/>
        <v xml:space="preserve"> </v>
      </c>
      <c r="BV92" s="14"/>
      <c r="BW92" s="14"/>
      <c r="BX92" s="10" t="str">
        <f t="shared" si="296"/>
        <v xml:space="preserve"> </v>
      </c>
      <c r="BY92" s="10" t="str">
        <f t="shared" si="296"/>
        <v xml:space="preserve"> </v>
      </c>
      <c r="BZ92" s="10" t="str">
        <f t="shared" si="296"/>
        <v xml:space="preserve"> </v>
      </c>
      <c r="CA92" s="10" t="str">
        <f t="shared" si="296"/>
        <v xml:space="preserve"> </v>
      </c>
      <c r="CB92" s="10" t="str">
        <f t="shared" si="296"/>
        <v xml:space="preserve"> </v>
      </c>
      <c r="CC92" s="14"/>
      <c r="CD92" s="14"/>
      <c r="CE92" s="10" t="str">
        <f t="shared" si="297"/>
        <v xml:space="preserve"> </v>
      </c>
      <c r="CF92" s="10" t="str">
        <f t="shared" si="297"/>
        <v xml:space="preserve"> </v>
      </c>
      <c r="CG92" s="10" t="str">
        <f t="shared" si="297"/>
        <v xml:space="preserve"> </v>
      </c>
      <c r="CH92" s="10" t="str">
        <f t="shared" si="297"/>
        <v xml:space="preserve"> </v>
      </c>
      <c r="CI92" s="10" t="str">
        <f t="shared" si="297"/>
        <v xml:space="preserve"> </v>
      </c>
      <c r="CJ92" s="14"/>
      <c r="CK92" s="14"/>
      <c r="CL92" s="10" t="str">
        <f t="shared" si="298"/>
        <v xml:space="preserve"> </v>
      </c>
      <c r="CM92" s="10" t="str">
        <f t="shared" si="298"/>
        <v xml:space="preserve"> </v>
      </c>
      <c r="CN92" s="10" t="str">
        <f t="shared" si="298"/>
        <v xml:space="preserve"> </v>
      </c>
      <c r="CO92" s="10" t="str">
        <f t="shared" si="298"/>
        <v xml:space="preserve"> </v>
      </c>
      <c r="CP92" s="10" t="str">
        <f t="shared" si="298"/>
        <v xml:space="preserve"> </v>
      </c>
      <c r="CQ92" s="14"/>
      <c r="CR92" s="14"/>
      <c r="CS92" s="10" t="str">
        <f t="shared" si="299"/>
        <v xml:space="preserve"> </v>
      </c>
      <c r="CT92" s="10" t="str">
        <f t="shared" si="299"/>
        <v xml:space="preserve"> </v>
      </c>
      <c r="CU92" s="10" t="str">
        <f t="shared" si="299"/>
        <v xml:space="preserve"> </v>
      </c>
      <c r="CV92" s="10" t="str">
        <f t="shared" si="299"/>
        <v xml:space="preserve"> </v>
      </c>
      <c r="CW92" s="10" t="str">
        <f t="shared" si="299"/>
        <v xml:space="preserve"> </v>
      </c>
      <c r="CZ92" s="10" t="str">
        <f t="shared" si="300"/>
        <v xml:space="preserve"> </v>
      </c>
      <c r="DA92" s="10" t="str">
        <f t="shared" si="300"/>
        <v xml:space="preserve"> </v>
      </c>
      <c r="DB92" s="10" t="str">
        <f t="shared" si="300"/>
        <v xml:space="preserve"> </v>
      </c>
      <c r="DC92" s="10" t="str">
        <f t="shared" si="300"/>
        <v xml:space="preserve"> </v>
      </c>
      <c r="DD92" s="10" t="str">
        <f t="shared" si="300"/>
        <v xml:space="preserve"> </v>
      </c>
      <c r="DG92" s="10" t="str">
        <f t="shared" si="301"/>
        <v xml:space="preserve"> </v>
      </c>
      <c r="DH92" s="10" t="str">
        <f t="shared" si="301"/>
        <v xml:space="preserve"> </v>
      </c>
      <c r="DI92" s="10" t="str">
        <f t="shared" si="301"/>
        <v xml:space="preserve"> </v>
      </c>
      <c r="DJ92" s="10" t="str">
        <f t="shared" si="301"/>
        <v xml:space="preserve"> </v>
      </c>
      <c r="DK92" s="10" t="str">
        <f t="shared" si="301"/>
        <v xml:space="preserve"> </v>
      </c>
      <c r="DN92" s="10" t="str">
        <f t="shared" si="302"/>
        <v xml:space="preserve"> </v>
      </c>
      <c r="DO92" s="10" t="str">
        <f t="shared" si="302"/>
        <v xml:space="preserve"> </v>
      </c>
      <c r="DP92" s="10" t="str">
        <f t="shared" si="302"/>
        <v xml:space="preserve"> </v>
      </c>
      <c r="DQ92" s="10" t="str">
        <f t="shared" si="302"/>
        <v xml:space="preserve"> </v>
      </c>
      <c r="DR92" s="10" t="str">
        <f t="shared" si="302"/>
        <v xml:space="preserve"> </v>
      </c>
      <c r="DU92" s="10" t="str">
        <f t="shared" si="303"/>
        <v xml:space="preserve"> </v>
      </c>
      <c r="DV92" s="10" t="str">
        <f t="shared" si="303"/>
        <v xml:space="preserve"> </v>
      </c>
      <c r="DW92" s="10" t="str">
        <f t="shared" si="303"/>
        <v xml:space="preserve"> </v>
      </c>
      <c r="DX92" s="10" t="str">
        <f t="shared" si="303"/>
        <v xml:space="preserve"> </v>
      </c>
      <c r="DY92" s="10" t="str">
        <f t="shared" si="303"/>
        <v xml:space="preserve"> </v>
      </c>
      <c r="EB92" s="10" t="str">
        <f t="shared" si="304"/>
        <v xml:space="preserve"> </v>
      </c>
      <c r="EC92" s="10" t="str">
        <f t="shared" si="304"/>
        <v xml:space="preserve"> </v>
      </c>
      <c r="ED92" s="10" t="str">
        <f t="shared" si="304"/>
        <v xml:space="preserve"> </v>
      </c>
      <c r="EE92" s="10" t="str">
        <f t="shared" si="304"/>
        <v xml:space="preserve"> </v>
      </c>
      <c r="EF92" s="10" t="str">
        <f t="shared" si="304"/>
        <v xml:space="preserve"> </v>
      </c>
      <c r="EI92" s="10" t="str">
        <f t="shared" si="305"/>
        <v xml:space="preserve"> </v>
      </c>
      <c r="EJ92" s="10" t="str">
        <f t="shared" si="305"/>
        <v xml:space="preserve"> </v>
      </c>
      <c r="EK92" s="10" t="str">
        <f t="shared" si="305"/>
        <v xml:space="preserve"> </v>
      </c>
      <c r="EL92" s="10" t="str">
        <f t="shared" si="305"/>
        <v xml:space="preserve"> </v>
      </c>
      <c r="EM92" s="10" t="str">
        <f t="shared" si="305"/>
        <v xml:space="preserve"> </v>
      </c>
      <c r="EP92" s="10" t="str">
        <f t="shared" si="306"/>
        <v xml:space="preserve"> </v>
      </c>
      <c r="EQ92" s="10" t="str">
        <f t="shared" si="306"/>
        <v xml:space="preserve"> </v>
      </c>
      <c r="ER92" s="10" t="str">
        <f t="shared" si="306"/>
        <v xml:space="preserve"> </v>
      </c>
      <c r="ES92" s="10" t="str">
        <f t="shared" si="306"/>
        <v xml:space="preserve"> </v>
      </c>
      <c r="ET92" s="10" t="str">
        <f t="shared" si="306"/>
        <v xml:space="preserve"> </v>
      </c>
      <c r="EW92" s="10" t="str">
        <f t="shared" si="307"/>
        <v xml:space="preserve"> </v>
      </c>
      <c r="EX92" s="10" t="str">
        <f t="shared" si="307"/>
        <v xml:space="preserve"> </v>
      </c>
      <c r="EY92" s="10" t="str">
        <f t="shared" si="307"/>
        <v xml:space="preserve"> </v>
      </c>
      <c r="EZ92" s="10" t="str">
        <f t="shared" si="307"/>
        <v xml:space="preserve"> </v>
      </c>
      <c r="FA92" s="10" t="str">
        <f t="shared" si="307"/>
        <v xml:space="preserve"> </v>
      </c>
      <c r="FD92" s="10" t="str">
        <f t="shared" si="308"/>
        <v xml:space="preserve"> </v>
      </c>
      <c r="FE92" s="10" t="str">
        <f t="shared" si="308"/>
        <v xml:space="preserve"> </v>
      </c>
      <c r="FF92" s="10" t="str">
        <f t="shared" si="308"/>
        <v xml:space="preserve"> </v>
      </c>
      <c r="FG92" s="10" t="str">
        <f t="shared" si="308"/>
        <v xml:space="preserve"> </v>
      </c>
      <c r="FH92" s="10" t="str">
        <f t="shared" si="308"/>
        <v xml:space="preserve"> </v>
      </c>
      <c r="FK92" s="10" t="str">
        <f t="shared" si="309"/>
        <v xml:space="preserve"> </v>
      </c>
      <c r="FL92" s="10" t="str">
        <f t="shared" si="309"/>
        <v xml:space="preserve"> </v>
      </c>
      <c r="FM92" s="10" t="str">
        <f t="shared" si="309"/>
        <v xml:space="preserve"> </v>
      </c>
      <c r="FN92" s="10" t="str">
        <f t="shared" si="309"/>
        <v xml:space="preserve"> </v>
      </c>
      <c r="FO92" s="10" t="str">
        <f t="shared" si="309"/>
        <v xml:space="preserve"> </v>
      </c>
      <c r="FR92" s="10" t="str">
        <f t="shared" si="310"/>
        <v xml:space="preserve"> </v>
      </c>
      <c r="FS92" s="10" t="str">
        <f t="shared" si="310"/>
        <v xml:space="preserve"> </v>
      </c>
      <c r="FT92" s="10" t="str">
        <f t="shared" si="310"/>
        <v xml:space="preserve"> </v>
      </c>
      <c r="FU92" s="10" t="str">
        <f t="shared" si="310"/>
        <v xml:space="preserve"> </v>
      </c>
      <c r="FV92" s="10" t="str">
        <f t="shared" si="310"/>
        <v xml:space="preserve"> </v>
      </c>
      <c r="FY92" s="10" t="str">
        <f t="shared" si="311"/>
        <v xml:space="preserve"> </v>
      </c>
      <c r="FZ92" s="10" t="str">
        <f t="shared" si="311"/>
        <v xml:space="preserve"> </v>
      </c>
      <c r="GA92" s="10" t="str">
        <f t="shared" si="311"/>
        <v xml:space="preserve"> </v>
      </c>
      <c r="GB92" s="10" t="str">
        <f t="shared" si="311"/>
        <v xml:space="preserve"> </v>
      </c>
      <c r="GC92" s="10" t="str">
        <f t="shared" si="311"/>
        <v xml:space="preserve"> </v>
      </c>
      <c r="GF92" s="10" t="str">
        <f t="shared" si="312"/>
        <v xml:space="preserve"> </v>
      </c>
      <c r="GG92" s="10" t="str">
        <f t="shared" si="312"/>
        <v xml:space="preserve"> </v>
      </c>
      <c r="GH92" s="10" t="str">
        <f t="shared" si="312"/>
        <v xml:space="preserve"> </v>
      </c>
      <c r="GI92" s="10" t="str">
        <f t="shared" si="312"/>
        <v xml:space="preserve"> </v>
      </c>
      <c r="GJ92" s="10" t="str">
        <f t="shared" si="312"/>
        <v xml:space="preserve"> </v>
      </c>
      <c r="GM92" s="10" t="str">
        <f t="shared" si="313"/>
        <v xml:space="preserve"> </v>
      </c>
      <c r="GN92" s="10" t="str">
        <f t="shared" si="313"/>
        <v xml:space="preserve"> </v>
      </c>
      <c r="GO92" s="10" t="str">
        <f t="shared" si="313"/>
        <v xml:space="preserve"> </v>
      </c>
      <c r="GP92" s="10" t="str">
        <f t="shared" si="313"/>
        <v xml:space="preserve"> </v>
      </c>
      <c r="GQ92" s="10" t="str">
        <f t="shared" si="313"/>
        <v xml:space="preserve"> </v>
      </c>
      <c r="GT92" s="10" t="str">
        <f t="shared" si="314"/>
        <v xml:space="preserve"> </v>
      </c>
      <c r="GU92" s="10" t="str">
        <f t="shared" si="314"/>
        <v xml:space="preserve"> </v>
      </c>
      <c r="GV92" s="10" t="str">
        <f t="shared" si="314"/>
        <v xml:space="preserve"> </v>
      </c>
      <c r="GW92" s="10" t="str">
        <f t="shared" si="314"/>
        <v xml:space="preserve"> </v>
      </c>
      <c r="GX92" s="10" t="str">
        <f t="shared" si="314"/>
        <v xml:space="preserve"> </v>
      </c>
      <c r="HA92" s="10" t="str">
        <f t="shared" si="315"/>
        <v xml:space="preserve"> </v>
      </c>
      <c r="HB92" s="10" t="str">
        <f t="shared" si="315"/>
        <v xml:space="preserve"> </v>
      </c>
      <c r="HC92" s="10" t="str">
        <f t="shared" si="315"/>
        <v xml:space="preserve"> </v>
      </c>
      <c r="HD92" s="10" t="str">
        <f t="shared" si="315"/>
        <v xml:space="preserve"> </v>
      </c>
      <c r="HE92" s="10" t="str">
        <f t="shared" si="315"/>
        <v xml:space="preserve"> </v>
      </c>
      <c r="HH92" s="10" t="str">
        <f t="shared" si="316"/>
        <v xml:space="preserve"> </v>
      </c>
      <c r="HI92" s="10" t="str">
        <f t="shared" si="316"/>
        <v xml:space="preserve"> </v>
      </c>
      <c r="HJ92" s="10" t="str">
        <f t="shared" si="316"/>
        <v xml:space="preserve"> </v>
      </c>
      <c r="HK92" s="10" t="str">
        <f t="shared" si="316"/>
        <v xml:space="preserve"> </v>
      </c>
      <c r="HL92" s="10" t="str">
        <f t="shared" si="316"/>
        <v xml:space="preserve"> </v>
      </c>
      <c r="HO92" s="10" t="str">
        <f t="shared" si="317"/>
        <v xml:space="preserve"> </v>
      </c>
      <c r="HP92" s="10" t="str">
        <f t="shared" si="317"/>
        <v xml:space="preserve"> </v>
      </c>
      <c r="HQ92" s="10" t="str">
        <f t="shared" si="317"/>
        <v xml:space="preserve"> </v>
      </c>
      <c r="HR92" s="10" t="str">
        <f t="shared" si="317"/>
        <v xml:space="preserve"> </v>
      </c>
      <c r="HS92" s="10" t="str">
        <f t="shared" si="317"/>
        <v xml:space="preserve"> </v>
      </c>
      <c r="HV92" s="10" t="str">
        <f t="shared" si="318"/>
        <v xml:space="preserve"> </v>
      </c>
      <c r="HW92" s="10" t="str">
        <f t="shared" si="318"/>
        <v xml:space="preserve"> </v>
      </c>
      <c r="HX92" s="10" t="str">
        <f t="shared" si="318"/>
        <v xml:space="preserve"> </v>
      </c>
      <c r="HY92" s="10" t="str">
        <f t="shared" si="318"/>
        <v xml:space="preserve"> </v>
      </c>
      <c r="HZ92" s="10" t="str">
        <f t="shared" si="318"/>
        <v xml:space="preserve"> </v>
      </c>
      <c r="IC92" s="10" t="str">
        <f t="shared" si="319"/>
        <v xml:space="preserve"> </v>
      </c>
      <c r="ID92" s="10" t="str">
        <f t="shared" si="319"/>
        <v xml:space="preserve"> </v>
      </c>
      <c r="IE92" s="10" t="str">
        <f t="shared" si="319"/>
        <v xml:space="preserve"> </v>
      </c>
      <c r="IF92" s="10" t="str">
        <f t="shared" si="319"/>
        <v xml:space="preserve"> </v>
      </c>
      <c r="IG92" s="10" t="str">
        <f t="shared" si="319"/>
        <v xml:space="preserve"> </v>
      </c>
      <c r="IJ92" s="10" t="str">
        <f t="shared" si="320"/>
        <v xml:space="preserve"> </v>
      </c>
      <c r="IK92" s="10" t="str">
        <f t="shared" si="320"/>
        <v xml:space="preserve"> </v>
      </c>
      <c r="IL92" s="10" t="str">
        <f t="shared" si="320"/>
        <v xml:space="preserve"> </v>
      </c>
      <c r="IM92" s="10" t="str">
        <f t="shared" si="320"/>
        <v xml:space="preserve"> </v>
      </c>
      <c r="IN92" s="10" t="str">
        <f t="shared" si="320"/>
        <v xml:space="preserve"> </v>
      </c>
      <c r="IQ92" s="10" t="str">
        <f t="shared" si="321"/>
        <v xml:space="preserve"> </v>
      </c>
      <c r="IR92" s="10" t="str">
        <f t="shared" si="321"/>
        <v xml:space="preserve"> </v>
      </c>
      <c r="IS92" s="10" t="str">
        <f t="shared" si="321"/>
        <v xml:space="preserve"> </v>
      </c>
      <c r="IT92" s="10" t="str">
        <f t="shared" si="321"/>
        <v xml:space="preserve"> </v>
      </c>
      <c r="IU92" s="10" t="str">
        <f t="shared" si="321"/>
        <v xml:space="preserve"> </v>
      </c>
      <c r="IX92" s="10" t="str">
        <f t="shared" si="322"/>
        <v xml:space="preserve"> </v>
      </c>
      <c r="IY92" s="10" t="str">
        <f t="shared" si="322"/>
        <v xml:space="preserve"> </v>
      </c>
      <c r="IZ92" s="10" t="str">
        <f t="shared" si="322"/>
        <v xml:space="preserve"> </v>
      </c>
      <c r="JA92" s="10" t="str">
        <f t="shared" si="322"/>
        <v xml:space="preserve"> </v>
      </c>
      <c r="JB92" s="10" t="str">
        <f t="shared" si="322"/>
        <v xml:space="preserve"> </v>
      </c>
      <c r="JE92" s="10" t="str">
        <f t="shared" si="323"/>
        <v xml:space="preserve"> </v>
      </c>
      <c r="JF92" s="10" t="str">
        <f t="shared" si="323"/>
        <v xml:space="preserve"> </v>
      </c>
      <c r="JG92" s="10" t="str">
        <f t="shared" si="323"/>
        <v xml:space="preserve"> </v>
      </c>
      <c r="JH92" s="10" t="str">
        <f t="shared" si="323"/>
        <v xml:space="preserve"> </v>
      </c>
      <c r="JI92" s="10" t="str">
        <f t="shared" si="323"/>
        <v xml:space="preserve"> </v>
      </c>
    </row>
    <row r="93" spans="13:269">
      <c r="M93" s="10" t="str">
        <f t="shared" si="324"/>
        <v xml:space="preserve"> </v>
      </c>
      <c r="N93" s="10" t="str">
        <f t="shared" si="324"/>
        <v xml:space="preserve"> </v>
      </c>
      <c r="O93" s="10" t="str">
        <f t="shared" si="324"/>
        <v xml:space="preserve"> </v>
      </c>
      <c r="P93" s="10" t="str">
        <f t="shared" si="324"/>
        <v xml:space="preserve"> </v>
      </c>
      <c r="Q93" s="10" t="str">
        <f t="shared" si="324"/>
        <v xml:space="preserve"> </v>
      </c>
      <c r="R93" s="14"/>
      <c r="S93" s="14"/>
      <c r="T93" s="10" t="str">
        <f t="shared" si="288"/>
        <v xml:space="preserve"> </v>
      </c>
      <c r="U93" s="10" t="str">
        <f t="shared" si="288"/>
        <v xml:space="preserve"> </v>
      </c>
      <c r="V93" s="10" t="str">
        <f t="shared" si="288"/>
        <v xml:space="preserve"> </v>
      </c>
      <c r="W93" s="10" t="str">
        <f t="shared" si="288"/>
        <v xml:space="preserve"> </v>
      </c>
      <c r="X93" s="10" t="str">
        <f t="shared" si="288"/>
        <v xml:space="preserve"> </v>
      </c>
      <c r="Y93" s="14"/>
      <c r="Z93" s="14"/>
      <c r="AA93" s="10" t="str">
        <f t="shared" si="289"/>
        <v xml:space="preserve"> </v>
      </c>
      <c r="AB93" s="10" t="str">
        <f t="shared" si="289"/>
        <v xml:space="preserve"> </v>
      </c>
      <c r="AC93" s="10" t="str">
        <f t="shared" si="289"/>
        <v xml:space="preserve"> </v>
      </c>
      <c r="AD93" s="10" t="str">
        <f t="shared" si="289"/>
        <v xml:space="preserve"> </v>
      </c>
      <c r="AE93" s="10" t="str">
        <f t="shared" si="289"/>
        <v xml:space="preserve"> </v>
      </c>
      <c r="AF93" s="14"/>
      <c r="AG93" s="14"/>
      <c r="AH93" s="10" t="str">
        <f t="shared" si="290"/>
        <v xml:space="preserve"> </v>
      </c>
      <c r="AI93" s="10" t="str">
        <f t="shared" si="290"/>
        <v xml:space="preserve"> </v>
      </c>
      <c r="AJ93" s="10" t="str">
        <f t="shared" si="290"/>
        <v xml:space="preserve"> </v>
      </c>
      <c r="AK93" s="10" t="str">
        <f t="shared" si="290"/>
        <v xml:space="preserve"> </v>
      </c>
      <c r="AL93" s="10" t="str">
        <f t="shared" si="290"/>
        <v xml:space="preserve"> </v>
      </c>
      <c r="AM93" s="14"/>
      <c r="AN93" s="14"/>
      <c r="AO93" s="10" t="str">
        <f t="shared" si="291"/>
        <v xml:space="preserve"> </v>
      </c>
      <c r="AP93" s="10" t="str">
        <f t="shared" si="291"/>
        <v xml:space="preserve"> </v>
      </c>
      <c r="AQ93" s="10" t="str">
        <f t="shared" si="291"/>
        <v xml:space="preserve"> </v>
      </c>
      <c r="AR93" s="10" t="str">
        <f t="shared" si="291"/>
        <v xml:space="preserve"> </v>
      </c>
      <c r="AS93" s="10" t="str">
        <f t="shared" si="291"/>
        <v xml:space="preserve"> </v>
      </c>
      <c r="AT93" s="14"/>
      <c r="AU93" s="14"/>
      <c r="AV93" s="10" t="str">
        <f t="shared" si="292"/>
        <v xml:space="preserve"> </v>
      </c>
      <c r="AW93" s="10" t="str">
        <f t="shared" si="292"/>
        <v xml:space="preserve"> </v>
      </c>
      <c r="AX93" s="10" t="str">
        <f t="shared" si="292"/>
        <v xml:space="preserve"> </v>
      </c>
      <c r="AY93" s="10" t="str">
        <f t="shared" si="292"/>
        <v xml:space="preserve"> </v>
      </c>
      <c r="AZ93" s="10" t="str">
        <f t="shared" si="292"/>
        <v xml:space="preserve"> </v>
      </c>
      <c r="BA93" s="14"/>
      <c r="BB93" s="14"/>
      <c r="BC93" s="10" t="str">
        <f t="shared" si="293"/>
        <v xml:space="preserve"> </v>
      </c>
      <c r="BD93" s="10" t="str">
        <f t="shared" si="293"/>
        <v xml:space="preserve"> </v>
      </c>
      <c r="BE93" s="10" t="str">
        <f t="shared" si="293"/>
        <v xml:space="preserve"> </v>
      </c>
      <c r="BF93" s="10" t="str">
        <f t="shared" si="293"/>
        <v xml:space="preserve"> </v>
      </c>
      <c r="BG93" s="10" t="str">
        <f t="shared" si="293"/>
        <v xml:space="preserve"> </v>
      </c>
      <c r="BH93" s="14"/>
      <c r="BI93" s="14"/>
      <c r="BJ93" s="10" t="str">
        <f t="shared" si="294"/>
        <v xml:space="preserve"> </v>
      </c>
      <c r="BK93" s="10" t="str">
        <f t="shared" si="294"/>
        <v xml:space="preserve"> </v>
      </c>
      <c r="BL93" s="10" t="str">
        <f t="shared" si="294"/>
        <v xml:space="preserve"> </v>
      </c>
      <c r="BM93" s="10" t="str">
        <f t="shared" si="294"/>
        <v xml:space="preserve"> </v>
      </c>
      <c r="BN93" s="10" t="str">
        <f t="shared" si="294"/>
        <v xml:space="preserve"> </v>
      </c>
      <c r="BO93" s="14"/>
      <c r="BP93" s="14"/>
      <c r="BQ93" s="10" t="str">
        <f t="shared" si="295"/>
        <v xml:space="preserve"> </v>
      </c>
      <c r="BR93" s="10" t="str">
        <f t="shared" si="295"/>
        <v xml:space="preserve"> </v>
      </c>
      <c r="BS93" s="10" t="str">
        <f t="shared" si="295"/>
        <v xml:space="preserve"> </v>
      </c>
      <c r="BT93" s="10" t="str">
        <f t="shared" si="295"/>
        <v xml:space="preserve"> </v>
      </c>
      <c r="BU93" s="10" t="str">
        <f t="shared" si="295"/>
        <v xml:space="preserve"> </v>
      </c>
      <c r="BV93" s="14"/>
      <c r="BW93" s="14"/>
      <c r="BX93" s="10" t="str">
        <f t="shared" si="296"/>
        <v xml:space="preserve"> </v>
      </c>
      <c r="BY93" s="10" t="str">
        <f t="shared" si="296"/>
        <v xml:space="preserve"> </v>
      </c>
      <c r="BZ93" s="10" t="str">
        <f t="shared" si="296"/>
        <v xml:space="preserve"> </v>
      </c>
      <c r="CA93" s="10" t="str">
        <f t="shared" si="296"/>
        <v xml:space="preserve"> </v>
      </c>
      <c r="CB93" s="10" t="str">
        <f t="shared" si="296"/>
        <v xml:space="preserve"> </v>
      </c>
      <c r="CC93" s="14"/>
      <c r="CD93" s="14"/>
      <c r="CE93" s="10" t="str">
        <f t="shared" si="297"/>
        <v xml:space="preserve"> </v>
      </c>
      <c r="CF93" s="10" t="str">
        <f t="shared" si="297"/>
        <v xml:space="preserve"> </v>
      </c>
      <c r="CG93" s="10" t="str">
        <f t="shared" si="297"/>
        <v xml:space="preserve"> </v>
      </c>
      <c r="CH93" s="10" t="str">
        <f t="shared" si="297"/>
        <v xml:space="preserve"> </v>
      </c>
      <c r="CI93" s="10" t="str">
        <f t="shared" si="297"/>
        <v xml:space="preserve"> </v>
      </c>
      <c r="CJ93" s="14"/>
      <c r="CK93" s="14"/>
      <c r="CL93" s="10" t="str">
        <f t="shared" si="298"/>
        <v xml:space="preserve"> </v>
      </c>
      <c r="CM93" s="10" t="str">
        <f t="shared" si="298"/>
        <v xml:space="preserve"> </v>
      </c>
      <c r="CN93" s="10" t="str">
        <f t="shared" si="298"/>
        <v xml:space="preserve"> </v>
      </c>
      <c r="CO93" s="10" t="str">
        <f t="shared" si="298"/>
        <v xml:space="preserve"> </v>
      </c>
      <c r="CP93" s="10" t="str">
        <f t="shared" si="298"/>
        <v xml:space="preserve"> </v>
      </c>
      <c r="CQ93" s="14"/>
      <c r="CR93" s="14"/>
      <c r="CS93" s="10" t="str">
        <f t="shared" si="299"/>
        <v xml:space="preserve"> </v>
      </c>
      <c r="CT93" s="10" t="str">
        <f t="shared" si="299"/>
        <v xml:space="preserve"> </v>
      </c>
      <c r="CU93" s="10" t="str">
        <f t="shared" si="299"/>
        <v xml:space="preserve"> </v>
      </c>
      <c r="CV93" s="10" t="str">
        <f t="shared" si="299"/>
        <v xml:space="preserve"> </v>
      </c>
      <c r="CW93" s="10" t="str">
        <f t="shared" si="299"/>
        <v xml:space="preserve"> </v>
      </c>
      <c r="CZ93" s="10" t="str">
        <f t="shared" si="300"/>
        <v xml:space="preserve"> </v>
      </c>
      <c r="DA93" s="10" t="str">
        <f t="shared" si="300"/>
        <v xml:space="preserve"> </v>
      </c>
      <c r="DB93" s="10" t="str">
        <f t="shared" si="300"/>
        <v xml:space="preserve"> </v>
      </c>
      <c r="DC93" s="10" t="str">
        <f t="shared" si="300"/>
        <v xml:space="preserve"> </v>
      </c>
      <c r="DD93" s="10" t="str">
        <f t="shared" si="300"/>
        <v xml:space="preserve"> </v>
      </c>
      <c r="DG93" s="10" t="str">
        <f t="shared" si="301"/>
        <v xml:space="preserve"> </v>
      </c>
      <c r="DH93" s="10" t="str">
        <f t="shared" si="301"/>
        <v xml:space="preserve"> </v>
      </c>
      <c r="DI93" s="10" t="str">
        <f t="shared" si="301"/>
        <v xml:space="preserve"> </v>
      </c>
      <c r="DJ93" s="10" t="str">
        <f t="shared" si="301"/>
        <v xml:space="preserve"> </v>
      </c>
      <c r="DK93" s="10" t="str">
        <f t="shared" si="301"/>
        <v xml:space="preserve"> </v>
      </c>
      <c r="DN93" s="10" t="str">
        <f t="shared" si="302"/>
        <v xml:space="preserve"> </v>
      </c>
      <c r="DO93" s="10" t="str">
        <f t="shared" si="302"/>
        <v xml:space="preserve"> </v>
      </c>
      <c r="DP93" s="10" t="str">
        <f t="shared" si="302"/>
        <v xml:space="preserve"> </v>
      </c>
      <c r="DQ93" s="10" t="str">
        <f t="shared" si="302"/>
        <v xml:space="preserve"> </v>
      </c>
      <c r="DR93" s="10" t="str">
        <f t="shared" si="302"/>
        <v xml:space="preserve"> </v>
      </c>
      <c r="DU93" s="10" t="str">
        <f t="shared" si="303"/>
        <v xml:space="preserve"> </v>
      </c>
      <c r="DV93" s="10" t="str">
        <f t="shared" si="303"/>
        <v xml:space="preserve"> </v>
      </c>
      <c r="DW93" s="10" t="str">
        <f t="shared" si="303"/>
        <v xml:space="preserve"> </v>
      </c>
      <c r="DX93" s="10" t="str">
        <f t="shared" si="303"/>
        <v xml:space="preserve"> </v>
      </c>
      <c r="DY93" s="10" t="str">
        <f t="shared" si="303"/>
        <v xml:space="preserve"> </v>
      </c>
      <c r="EB93" s="10" t="str">
        <f t="shared" si="304"/>
        <v xml:space="preserve"> </v>
      </c>
      <c r="EC93" s="10" t="str">
        <f t="shared" si="304"/>
        <v xml:space="preserve"> </v>
      </c>
      <c r="ED93" s="10" t="str">
        <f t="shared" si="304"/>
        <v xml:space="preserve"> </v>
      </c>
      <c r="EE93" s="10" t="str">
        <f t="shared" si="304"/>
        <v xml:space="preserve"> </v>
      </c>
      <c r="EF93" s="10" t="str">
        <f t="shared" si="304"/>
        <v xml:space="preserve"> </v>
      </c>
      <c r="EI93" s="10" t="str">
        <f t="shared" si="305"/>
        <v xml:space="preserve"> </v>
      </c>
      <c r="EJ93" s="10" t="str">
        <f t="shared" si="305"/>
        <v xml:space="preserve"> </v>
      </c>
      <c r="EK93" s="10" t="str">
        <f t="shared" si="305"/>
        <v xml:space="preserve"> </v>
      </c>
      <c r="EL93" s="10" t="str">
        <f t="shared" si="305"/>
        <v xml:space="preserve"> </v>
      </c>
      <c r="EM93" s="10" t="str">
        <f t="shared" si="305"/>
        <v xml:space="preserve"> </v>
      </c>
      <c r="EP93" s="10" t="str">
        <f t="shared" si="306"/>
        <v xml:space="preserve"> </v>
      </c>
      <c r="EQ93" s="10" t="str">
        <f t="shared" si="306"/>
        <v xml:space="preserve"> </v>
      </c>
      <c r="ER93" s="10" t="str">
        <f t="shared" si="306"/>
        <v xml:space="preserve"> </v>
      </c>
      <c r="ES93" s="10" t="str">
        <f t="shared" si="306"/>
        <v xml:space="preserve"> </v>
      </c>
      <c r="ET93" s="10" t="str">
        <f t="shared" si="306"/>
        <v xml:space="preserve"> </v>
      </c>
      <c r="EW93" s="10" t="str">
        <f t="shared" si="307"/>
        <v xml:space="preserve"> </v>
      </c>
      <c r="EX93" s="10" t="str">
        <f t="shared" si="307"/>
        <v xml:space="preserve"> </v>
      </c>
      <c r="EY93" s="10" t="str">
        <f t="shared" si="307"/>
        <v xml:space="preserve"> </v>
      </c>
      <c r="EZ93" s="10" t="str">
        <f t="shared" si="307"/>
        <v xml:space="preserve"> </v>
      </c>
      <c r="FA93" s="10" t="str">
        <f t="shared" si="307"/>
        <v xml:space="preserve"> </v>
      </c>
      <c r="FD93" s="10" t="str">
        <f t="shared" si="308"/>
        <v xml:space="preserve"> </v>
      </c>
      <c r="FE93" s="10" t="str">
        <f t="shared" si="308"/>
        <v xml:space="preserve"> </v>
      </c>
      <c r="FF93" s="10" t="str">
        <f t="shared" si="308"/>
        <v xml:space="preserve"> </v>
      </c>
      <c r="FG93" s="10" t="str">
        <f t="shared" si="308"/>
        <v xml:space="preserve"> </v>
      </c>
      <c r="FH93" s="10" t="str">
        <f t="shared" si="308"/>
        <v xml:space="preserve"> </v>
      </c>
      <c r="FK93" s="10" t="str">
        <f t="shared" si="309"/>
        <v xml:space="preserve"> </v>
      </c>
      <c r="FL93" s="10" t="str">
        <f t="shared" si="309"/>
        <v xml:space="preserve"> </v>
      </c>
      <c r="FM93" s="10" t="str">
        <f t="shared" si="309"/>
        <v xml:space="preserve"> </v>
      </c>
      <c r="FN93" s="10" t="str">
        <f t="shared" si="309"/>
        <v xml:space="preserve"> </v>
      </c>
      <c r="FO93" s="10" t="str">
        <f t="shared" si="309"/>
        <v xml:space="preserve"> </v>
      </c>
      <c r="FR93" s="10" t="str">
        <f t="shared" si="310"/>
        <v xml:space="preserve"> </v>
      </c>
      <c r="FS93" s="10" t="str">
        <f t="shared" si="310"/>
        <v xml:space="preserve"> </v>
      </c>
      <c r="FT93" s="10" t="str">
        <f t="shared" si="310"/>
        <v xml:space="preserve"> </v>
      </c>
      <c r="FU93" s="10" t="str">
        <f t="shared" si="310"/>
        <v xml:space="preserve"> </v>
      </c>
      <c r="FV93" s="10" t="str">
        <f t="shared" si="310"/>
        <v xml:space="preserve"> </v>
      </c>
      <c r="FY93" s="10" t="str">
        <f t="shared" si="311"/>
        <v xml:space="preserve"> </v>
      </c>
      <c r="FZ93" s="10" t="str">
        <f t="shared" si="311"/>
        <v xml:space="preserve"> </v>
      </c>
      <c r="GA93" s="10" t="str">
        <f t="shared" si="311"/>
        <v xml:space="preserve"> </v>
      </c>
      <c r="GB93" s="10" t="str">
        <f t="shared" si="311"/>
        <v xml:space="preserve"> </v>
      </c>
      <c r="GC93" s="10" t="str">
        <f t="shared" si="311"/>
        <v xml:space="preserve"> </v>
      </c>
      <c r="GF93" s="10" t="str">
        <f t="shared" si="312"/>
        <v xml:space="preserve"> </v>
      </c>
      <c r="GG93" s="10" t="str">
        <f t="shared" si="312"/>
        <v xml:space="preserve"> </v>
      </c>
      <c r="GH93" s="10" t="str">
        <f t="shared" si="312"/>
        <v xml:space="preserve"> </v>
      </c>
      <c r="GI93" s="10" t="str">
        <f t="shared" si="312"/>
        <v xml:space="preserve"> </v>
      </c>
      <c r="GJ93" s="10" t="str">
        <f t="shared" si="312"/>
        <v xml:space="preserve"> </v>
      </c>
      <c r="GM93" s="10" t="str">
        <f t="shared" si="313"/>
        <v xml:space="preserve"> </v>
      </c>
      <c r="GN93" s="10" t="str">
        <f t="shared" si="313"/>
        <v xml:space="preserve"> </v>
      </c>
      <c r="GO93" s="10" t="str">
        <f t="shared" si="313"/>
        <v xml:space="preserve"> </v>
      </c>
      <c r="GP93" s="10" t="str">
        <f t="shared" si="313"/>
        <v xml:space="preserve"> </v>
      </c>
      <c r="GQ93" s="10" t="str">
        <f t="shared" si="313"/>
        <v xml:space="preserve"> </v>
      </c>
      <c r="GT93" s="10" t="str">
        <f t="shared" si="314"/>
        <v xml:space="preserve"> </v>
      </c>
      <c r="GU93" s="10" t="str">
        <f t="shared" si="314"/>
        <v xml:space="preserve"> </v>
      </c>
      <c r="GV93" s="10" t="str">
        <f t="shared" si="314"/>
        <v xml:space="preserve"> </v>
      </c>
      <c r="GW93" s="10" t="str">
        <f t="shared" si="314"/>
        <v xml:space="preserve"> </v>
      </c>
      <c r="GX93" s="10" t="str">
        <f t="shared" si="314"/>
        <v xml:space="preserve"> </v>
      </c>
      <c r="HA93" s="10" t="str">
        <f t="shared" si="315"/>
        <v xml:space="preserve"> </v>
      </c>
      <c r="HB93" s="10" t="str">
        <f t="shared" si="315"/>
        <v xml:space="preserve"> </v>
      </c>
      <c r="HC93" s="10" t="str">
        <f t="shared" si="315"/>
        <v xml:space="preserve"> </v>
      </c>
      <c r="HD93" s="10" t="str">
        <f t="shared" si="315"/>
        <v xml:space="preserve"> </v>
      </c>
      <c r="HE93" s="10" t="str">
        <f t="shared" si="315"/>
        <v xml:space="preserve"> </v>
      </c>
      <c r="HH93" s="10" t="str">
        <f t="shared" si="316"/>
        <v xml:space="preserve"> </v>
      </c>
      <c r="HI93" s="10" t="str">
        <f t="shared" si="316"/>
        <v xml:space="preserve"> </v>
      </c>
      <c r="HJ93" s="10" t="str">
        <f t="shared" si="316"/>
        <v xml:space="preserve"> </v>
      </c>
      <c r="HK93" s="10" t="str">
        <f t="shared" si="316"/>
        <v xml:space="preserve"> </v>
      </c>
      <c r="HL93" s="10" t="str">
        <f t="shared" si="316"/>
        <v xml:space="preserve"> </v>
      </c>
      <c r="HO93" s="10" t="str">
        <f t="shared" si="317"/>
        <v xml:space="preserve"> </v>
      </c>
      <c r="HP93" s="10" t="str">
        <f t="shared" si="317"/>
        <v xml:space="preserve"> </v>
      </c>
      <c r="HQ93" s="10" t="str">
        <f t="shared" si="317"/>
        <v xml:space="preserve"> </v>
      </c>
      <c r="HR93" s="10" t="str">
        <f t="shared" si="317"/>
        <v xml:space="preserve"> </v>
      </c>
      <c r="HS93" s="10" t="str">
        <f t="shared" si="317"/>
        <v xml:space="preserve"> </v>
      </c>
      <c r="HV93" s="10" t="str">
        <f t="shared" si="318"/>
        <v xml:space="preserve"> </v>
      </c>
      <c r="HW93" s="10" t="str">
        <f t="shared" si="318"/>
        <v xml:space="preserve"> </v>
      </c>
      <c r="HX93" s="10" t="str">
        <f t="shared" si="318"/>
        <v xml:space="preserve"> </v>
      </c>
      <c r="HY93" s="10" t="str">
        <f t="shared" si="318"/>
        <v xml:space="preserve"> </v>
      </c>
      <c r="HZ93" s="10" t="str">
        <f t="shared" si="318"/>
        <v xml:space="preserve"> </v>
      </c>
      <c r="IC93" s="10" t="str">
        <f t="shared" si="319"/>
        <v xml:space="preserve"> </v>
      </c>
      <c r="ID93" s="10" t="str">
        <f t="shared" si="319"/>
        <v xml:space="preserve"> </v>
      </c>
      <c r="IE93" s="10" t="str">
        <f t="shared" si="319"/>
        <v xml:space="preserve"> </v>
      </c>
      <c r="IF93" s="10" t="str">
        <f t="shared" si="319"/>
        <v xml:space="preserve"> </v>
      </c>
      <c r="IG93" s="10" t="str">
        <f t="shared" si="319"/>
        <v xml:space="preserve"> </v>
      </c>
      <c r="IJ93" s="10" t="str">
        <f t="shared" si="320"/>
        <v xml:space="preserve"> </v>
      </c>
      <c r="IK93" s="10" t="str">
        <f t="shared" si="320"/>
        <v xml:space="preserve"> </v>
      </c>
      <c r="IL93" s="10" t="str">
        <f t="shared" si="320"/>
        <v xml:space="preserve"> </v>
      </c>
      <c r="IM93" s="10" t="str">
        <f t="shared" si="320"/>
        <v xml:space="preserve"> </v>
      </c>
      <c r="IN93" s="10" t="str">
        <f t="shared" si="320"/>
        <v xml:space="preserve"> </v>
      </c>
      <c r="IQ93" s="10" t="str">
        <f t="shared" si="321"/>
        <v xml:space="preserve"> </v>
      </c>
      <c r="IR93" s="10" t="str">
        <f t="shared" si="321"/>
        <v xml:space="preserve"> </v>
      </c>
      <c r="IS93" s="10" t="str">
        <f t="shared" si="321"/>
        <v xml:space="preserve"> </v>
      </c>
      <c r="IT93" s="10" t="str">
        <f t="shared" si="321"/>
        <v xml:space="preserve"> </v>
      </c>
      <c r="IU93" s="10" t="str">
        <f t="shared" si="321"/>
        <v xml:space="preserve"> </v>
      </c>
      <c r="IX93" s="10" t="str">
        <f t="shared" si="322"/>
        <v xml:space="preserve"> </v>
      </c>
      <c r="IY93" s="10" t="str">
        <f t="shared" si="322"/>
        <v xml:space="preserve"> </v>
      </c>
      <c r="IZ93" s="10" t="str">
        <f t="shared" si="322"/>
        <v xml:space="preserve"> </v>
      </c>
      <c r="JA93" s="10" t="str">
        <f t="shared" si="322"/>
        <v xml:space="preserve"> </v>
      </c>
      <c r="JB93" s="10" t="str">
        <f t="shared" si="322"/>
        <v xml:space="preserve"> </v>
      </c>
      <c r="JE93" s="10" t="str">
        <f t="shared" si="323"/>
        <v xml:space="preserve"> </v>
      </c>
      <c r="JF93" s="10" t="str">
        <f t="shared" si="323"/>
        <v xml:space="preserve"> </v>
      </c>
      <c r="JG93" s="10" t="str">
        <f t="shared" si="323"/>
        <v xml:space="preserve"> </v>
      </c>
      <c r="JH93" s="10" t="str">
        <f t="shared" si="323"/>
        <v xml:space="preserve"> </v>
      </c>
      <c r="JI93" s="10" t="str">
        <f t="shared" si="323"/>
        <v xml:space="preserve"> </v>
      </c>
    </row>
    <row r="94" spans="13:269">
      <c r="M94" s="10" t="str">
        <f t="shared" si="324"/>
        <v xml:space="preserve"> </v>
      </c>
      <c r="N94" s="10" t="str">
        <f t="shared" si="324"/>
        <v xml:space="preserve"> </v>
      </c>
      <c r="O94" s="10" t="str">
        <f t="shared" si="324"/>
        <v xml:space="preserve"> </v>
      </c>
      <c r="P94" s="10" t="str">
        <f t="shared" si="324"/>
        <v xml:space="preserve"> </v>
      </c>
      <c r="Q94" s="10" t="str">
        <f t="shared" si="324"/>
        <v xml:space="preserve"> </v>
      </c>
      <c r="R94" s="14"/>
      <c r="S94" s="14"/>
      <c r="T94" s="10" t="str">
        <f t="shared" si="288"/>
        <v xml:space="preserve"> </v>
      </c>
      <c r="U94" s="10" t="str">
        <f t="shared" si="288"/>
        <v xml:space="preserve"> </v>
      </c>
      <c r="V94" s="10" t="str">
        <f t="shared" si="288"/>
        <v xml:space="preserve"> </v>
      </c>
      <c r="W94" s="10" t="str">
        <f t="shared" si="288"/>
        <v xml:space="preserve"> </v>
      </c>
      <c r="X94" s="10" t="str">
        <f t="shared" si="288"/>
        <v xml:space="preserve"> </v>
      </c>
      <c r="Y94" s="14"/>
      <c r="Z94" s="14"/>
      <c r="AA94" s="10" t="str">
        <f t="shared" si="289"/>
        <v xml:space="preserve"> </v>
      </c>
      <c r="AB94" s="10" t="str">
        <f t="shared" si="289"/>
        <v xml:space="preserve"> </v>
      </c>
      <c r="AC94" s="10" t="str">
        <f t="shared" si="289"/>
        <v xml:space="preserve"> </v>
      </c>
      <c r="AD94" s="10" t="str">
        <f t="shared" si="289"/>
        <v xml:space="preserve"> </v>
      </c>
      <c r="AE94" s="10" t="str">
        <f t="shared" si="289"/>
        <v xml:space="preserve"> </v>
      </c>
      <c r="AF94" s="14"/>
      <c r="AG94" s="14"/>
      <c r="AH94" s="10" t="str">
        <f t="shared" si="290"/>
        <v xml:space="preserve"> </v>
      </c>
      <c r="AI94" s="10" t="str">
        <f t="shared" si="290"/>
        <v xml:space="preserve"> </v>
      </c>
      <c r="AJ94" s="10" t="str">
        <f t="shared" si="290"/>
        <v xml:space="preserve"> </v>
      </c>
      <c r="AK94" s="10" t="str">
        <f t="shared" si="290"/>
        <v xml:space="preserve"> </v>
      </c>
      <c r="AL94" s="10" t="str">
        <f t="shared" si="290"/>
        <v xml:space="preserve"> </v>
      </c>
      <c r="AM94" s="14"/>
      <c r="AN94" s="14"/>
      <c r="AO94" s="10" t="str">
        <f t="shared" si="291"/>
        <v xml:space="preserve"> </v>
      </c>
      <c r="AP94" s="10" t="str">
        <f t="shared" si="291"/>
        <v xml:space="preserve"> </v>
      </c>
      <c r="AQ94" s="10" t="str">
        <f t="shared" si="291"/>
        <v xml:space="preserve"> </v>
      </c>
      <c r="AR94" s="10" t="str">
        <f t="shared" si="291"/>
        <v xml:space="preserve"> </v>
      </c>
      <c r="AS94" s="10" t="str">
        <f t="shared" si="291"/>
        <v xml:space="preserve"> </v>
      </c>
      <c r="AT94" s="14"/>
      <c r="AU94" s="14"/>
      <c r="AV94" s="10" t="str">
        <f t="shared" si="292"/>
        <v xml:space="preserve"> </v>
      </c>
      <c r="AW94" s="10" t="str">
        <f t="shared" si="292"/>
        <v xml:space="preserve"> </v>
      </c>
      <c r="AX94" s="10" t="str">
        <f t="shared" si="292"/>
        <v xml:space="preserve"> </v>
      </c>
      <c r="AY94" s="10" t="str">
        <f t="shared" si="292"/>
        <v xml:space="preserve"> </v>
      </c>
      <c r="AZ94" s="10" t="str">
        <f t="shared" si="292"/>
        <v xml:space="preserve"> </v>
      </c>
      <c r="BA94" s="14"/>
      <c r="BB94" s="14"/>
      <c r="BC94" s="10" t="str">
        <f t="shared" si="293"/>
        <v xml:space="preserve"> </v>
      </c>
      <c r="BD94" s="10" t="str">
        <f t="shared" si="293"/>
        <v xml:space="preserve"> </v>
      </c>
      <c r="BE94" s="10" t="str">
        <f t="shared" si="293"/>
        <v xml:space="preserve"> </v>
      </c>
      <c r="BF94" s="10" t="str">
        <f t="shared" si="293"/>
        <v xml:space="preserve"> </v>
      </c>
      <c r="BG94" s="10" t="str">
        <f t="shared" si="293"/>
        <v xml:space="preserve"> </v>
      </c>
      <c r="BH94" s="14"/>
      <c r="BI94" s="14"/>
      <c r="BJ94" s="10" t="str">
        <f t="shared" si="294"/>
        <v xml:space="preserve"> </v>
      </c>
      <c r="BK94" s="10" t="str">
        <f t="shared" si="294"/>
        <v xml:space="preserve"> </v>
      </c>
      <c r="BL94" s="10" t="str">
        <f t="shared" si="294"/>
        <v xml:space="preserve"> </v>
      </c>
      <c r="BM94" s="10" t="str">
        <f t="shared" si="294"/>
        <v xml:space="preserve"> </v>
      </c>
      <c r="BN94" s="10" t="str">
        <f t="shared" si="294"/>
        <v xml:space="preserve"> </v>
      </c>
      <c r="BO94" s="14"/>
      <c r="BP94" s="14"/>
      <c r="BQ94" s="10" t="str">
        <f t="shared" si="295"/>
        <v xml:space="preserve"> </v>
      </c>
      <c r="BR94" s="10" t="str">
        <f t="shared" si="295"/>
        <v xml:space="preserve"> </v>
      </c>
      <c r="BS94" s="10" t="str">
        <f t="shared" si="295"/>
        <v xml:space="preserve"> </v>
      </c>
      <c r="BT94" s="10" t="str">
        <f t="shared" si="295"/>
        <v xml:space="preserve"> </v>
      </c>
      <c r="BU94" s="10" t="str">
        <f t="shared" si="295"/>
        <v xml:space="preserve"> </v>
      </c>
      <c r="BV94" s="14"/>
      <c r="BW94" s="14"/>
      <c r="BX94" s="10" t="str">
        <f t="shared" si="296"/>
        <v xml:space="preserve"> </v>
      </c>
      <c r="BY94" s="10" t="str">
        <f t="shared" si="296"/>
        <v xml:space="preserve"> </v>
      </c>
      <c r="BZ94" s="10" t="str">
        <f t="shared" si="296"/>
        <v xml:space="preserve"> </v>
      </c>
      <c r="CA94" s="10" t="str">
        <f t="shared" si="296"/>
        <v xml:space="preserve"> </v>
      </c>
      <c r="CB94" s="10" t="str">
        <f t="shared" si="296"/>
        <v xml:space="preserve"> </v>
      </c>
      <c r="CC94" s="14"/>
      <c r="CD94" s="14"/>
      <c r="CE94" s="10" t="str">
        <f t="shared" si="297"/>
        <v xml:space="preserve"> </v>
      </c>
      <c r="CF94" s="10" t="str">
        <f t="shared" si="297"/>
        <v xml:space="preserve"> </v>
      </c>
      <c r="CG94" s="10" t="str">
        <f t="shared" si="297"/>
        <v xml:space="preserve"> </v>
      </c>
      <c r="CH94" s="10" t="str">
        <f t="shared" si="297"/>
        <v xml:space="preserve"> </v>
      </c>
      <c r="CI94" s="10" t="str">
        <f t="shared" si="297"/>
        <v xml:space="preserve"> </v>
      </c>
      <c r="CJ94" s="14"/>
      <c r="CK94" s="14"/>
      <c r="CL94" s="10" t="str">
        <f t="shared" si="298"/>
        <v xml:space="preserve"> </v>
      </c>
      <c r="CM94" s="10" t="str">
        <f t="shared" si="298"/>
        <v xml:space="preserve"> </v>
      </c>
      <c r="CN94" s="10" t="str">
        <f t="shared" si="298"/>
        <v xml:space="preserve"> </v>
      </c>
      <c r="CO94" s="10" t="str">
        <f t="shared" si="298"/>
        <v xml:space="preserve"> </v>
      </c>
      <c r="CP94" s="10" t="str">
        <f t="shared" si="298"/>
        <v xml:space="preserve"> </v>
      </c>
      <c r="CQ94" s="14"/>
      <c r="CR94" s="14"/>
      <c r="CS94" s="10" t="str">
        <f t="shared" si="299"/>
        <v xml:space="preserve"> </v>
      </c>
      <c r="CT94" s="10" t="str">
        <f t="shared" si="299"/>
        <v xml:space="preserve"> </v>
      </c>
      <c r="CU94" s="10" t="str">
        <f t="shared" si="299"/>
        <v xml:space="preserve"> </v>
      </c>
      <c r="CV94" s="10" t="str">
        <f t="shared" si="299"/>
        <v xml:space="preserve"> </v>
      </c>
      <c r="CW94" s="10" t="str">
        <f t="shared" si="299"/>
        <v xml:space="preserve"> </v>
      </c>
      <c r="CZ94" s="10" t="str">
        <f t="shared" si="300"/>
        <v xml:space="preserve"> </v>
      </c>
      <c r="DA94" s="10" t="str">
        <f t="shared" si="300"/>
        <v xml:space="preserve"> </v>
      </c>
      <c r="DB94" s="10" t="str">
        <f t="shared" si="300"/>
        <v xml:space="preserve"> </v>
      </c>
      <c r="DC94" s="10" t="str">
        <f t="shared" si="300"/>
        <v xml:space="preserve"> </v>
      </c>
      <c r="DD94" s="10" t="str">
        <f t="shared" si="300"/>
        <v xml:space="preserve"> </v>
      </c>
      <c r="DG94" s="10" t="str">
        <f t="shared" si="301"/>
        <v xml:space="preserve"> </v>
      </c>
      <c r="DH94" s="10" t="str">
        <f t="shared" si="301"/>
        <v xml:space="preserve"> </v>
      </c>
      <c r="DI94" s="10" t="str">
        <f t="shared" si="301"/>
        <v xml:space="preserve"> </v>
      </c>
      <c r="DJ94" s="10" t="str">
        <f t="shared" si="301"/>
        <v xml:space="preserve"> </v>
      </c>
      <c r="DK94" s="10" t="str">
        <f t="shared" si="301"/>
        <v xml:space="preserve"> </v>
      </c>
      <c r="DN94" s="10" t="str">
        <f t="shared" si="302"/>
        <v xml:space="preserve"> </v>
      </c>
      <c r="DO94" s="10" t="str">
        <f t="shared" si="302"/>
        <v xml:space="preserve"> </v>
      </c>
      <c r="DP94" s="10" t="str">
        <f t="shared" si="302"/>
        <v xml:space="preserve"> </v>
      </c>
      <c r="DQ94" s="10" t="str">
        <f t="shared" si="302"/>
        <v xml:space="preserve"> </v>
      </c>
      <c r="DR94" s="10" t="str">
        <f t="shared" si="302"/>
        <v xml:space="preserve"> </v>
      </c>
      <c r="DU94" s="10" t="str">
        <f t="shared" si="303"/>
        <v xml:space="preserve"> </v>
      </c>
      <c r="DV94" s="10" t="str">
        <f t="shared" si="303"/>
        <v xml:space="preserve"> </v>
      </c>
      <c r="DW94" s="10" t="str">
        <f t="shared" si="303"/>
        <v xml:space="preserve"> </v>
      </c>
      <c r="DX94" s="10" t="str">
        <f t="shared" si="303"/>
        <v xml:space="preserve"> </v>
      </c>
      <c r="DY94" s="10" t="str">
        <f t="shared" si="303"/>
        <v xml:space="preserve"> </v>
      </c>
      <c r="EB94" s="10" t="str">
        <f t="shared" si="304"/>
        <v xml:space="preserve"> </v>
      </c>
      <c r="EC94" s="10" t="str">
        <f t="shared" si="304"/>
        <v xml:space="preserve"> </v>
      </c>
      <c r="ED94" s="10" t="str">
        <f t="shared" si="304"/>
        <v xml:space="preserve"> </v>
      </c>
      <c r="EE94" s="10" t="str">
        <f t="shared" si="304"/>
        <v xml:space="preserve"> </v>
      </c>
      <c r="EF94" s="10" t="str">
        <f t="shared" si="304"/>
        <v xml:space="preserve"> </v>
      </c>
      <c r="EI94" s="10" t="str">
        <f t="shared" si="305"/>
        <v xml:space="preserve"> </v>
      </c>
      <c r="EJ94" s="10" t="str">
        <f t="shared" si="305"/>
        <v xml:space="preserve"> </v>
      </c>
      <c r="EK94" s="10" t="str">
        <f t="shared" si="305"/>
        <v xml:space="preserve"> </v>
      </c>
      <c r="EL94" s="10" t="str">
        <f t="shared" si="305"/>
        <v xml:space="preserve"> </v>
      </c>
      <c r="EM94" s="10" t="str">
        <f t="shared" si="305"/>
        <v xml:space="preserve"> </v>
      </c>
      <c r="EP94" s="10" t="str">
        <f t="shared" si="306"/>
        <v xml:space="preserve"> </v>
      </c>
      <c r="EQ94" s="10" t="str">
        <f t="shared" si="306"/>
        <v xml:space="preserve"> </v>
      </c>
      <c r="ER94" s="10" t="str">
        <f t="shared" si="306"/>
        <v xml:space="preserve"> </v>
      </c>
      <c r="ES94" s="10" t="str">
        <f t="shared" si="306"/>
        <v xml:space="preserve"> </v>
      </c>
      <c r="ET94" s="10" t="str">
        <f t="shared" si="306"/>
        <v xml:space="preserve"> </v>
      </c>
      <c r="EW94" s="10" t="str">
        <f t="shared" si="307"/>
        <v xml:space="preserve"> </v>
      </c>
      <c r="EX94" s="10" t="str">
        <f t="shared" si="307"/>
        <v xml:space="preserve"> </v>
      </c>
      <c r="EY94" s="10" t="str">
        <f t="shared" si="307"/>
        <v xml:space="preserve"> </v>
      </c>
      <c r="EZ94" s="10" t="str">
        <f t="shared" si="307"/>
        <v xml:space="preserve"> </v>
      </c>
      <c r="FA94" s="10" t="str">
        <f t="shared" si="307"/>
        <v xml:space="preserve"> </v>
      </c>
      <c r="FD94" s="10" t="str">
        <f t="shared" si="308"/>
        <v xml:space="preserve"> </v>
      </c>
      <c r="FE94" s="10" t="str">
        <f t="shared" si="308"/>
        <v xml:space="preserve"> </v>
      </c>
      <c r="FF94" s="10" t="str">
        <f t="shared" si="308"/>
        <v xml:space="preserve"> </v>
      </c>
      <c r="FG94" s="10" t="str">
        <f t="shared" si="308"/>
        <v xml:space="preserve"> </v>
      </c>
      <c r="FH94" s="10" t="str">
        <f t="shared" si="308"/>
        <v xml:space="preserve"> </v>
      </c>
      <c r="FK94" s="10" t="str">
        <f t="shared" si="309"/>
        <v xml:space="preserve"> </v>
      </c>
      <c r="FL94" s="10" t="str">
        <f t="shared" si="309"/>
        <v xml:space="preserve"> </v>
      </c>
      <c r="FM94" s="10" t="str">
        <f t="shared" si="309"/>
        <v xml:space="preserve"> </v>
      </c>
      <c r="FN94" s="10" t="str">
        <f t="shared" si="309"/>
        <v xml:space="preserve"> </v>
      </c>
      <c r="FO94" s="10" t="str">
        <f t="shared" si="309"/>
        <v xml:space="preserve"> </v>
      </c>
      <c r="FR94" s="10" t="str">
        <f t="shared" si="310"/>
        <v xml:space="preserve"> </v>
      </c>
      <c r="FS94" s="10" t="str">
        <f t="shared" si="310"/>
        <v xml:space="preserve"> </v>
      </c>
      <c r="FT94" s="10" t="str">
        <f t="shared" si="310"/>
        <v xml:space="preserve"> </v>
      </c>
      <c r="FU94" s="10" t="str">
        <f t="shared" si="310"/>
        <v xml:space="preserve"> </v>
      </c>
      <c r="FV94" s="10" t="str">
        <f t="shared" si="310"/>
        <v xml:space="preserve"> </v>
      </c>
      <c r="FY94" s="10" t="str">
        <f t="shared" si="311"/>
        <v xml:space="preserve"> </v>
      </c>
      <c r="FZ94" s="10" t="str">
        <f t="shared" si="311"/>
        <v xml:space="preserve"> </v>
      </c>
      <c r="GA94" s="10" t="str">
        <f t="shared" si="311"/>
        <v xml:space="preserve"> </v>
      </c>
      <c r="GB94" s="10" t="str">
        <f t="shared" si="311"/>
        <v xml:space="preserve"> </v>
      </c>
      <c r="GC94" s="10" t="str">
        <f t="shared" si="311"/>
        <v xml:space="preserve"> </v>
      </c>
      <c r="GF94" s="10" t="str">
        <f t="shared" si="312"/>
        <v xml:space="preserve"> </v>
      </c>
      <c r="GG94" s="10" t="str">
        <f t="shared" si="312"/>
        <v xml:space="preserve"> </v>
      </c>
      <c r="GH94" s="10" t="str">
        <f t="shared" si="312"/>
        <v xml:space="preserve"> </v>
      </c>
      <c r="GI94" s="10" t="str">
        <f t="shared" si="312"/>
        <v xml:space="preserve"> </v>
      </c>
      <c r="GJ94" s="10" t="str">
        <f t="shared" si="312"/>
        <v xml:space="preserve"> </v>
      </c>
      <c r="GM94" s="10" t="str">
        <f t="shared" si="313"/>
        <v xml:space="preserve"> </v>
      </c>
      <c r="GN94" s="10" t="str">
        <f t="shared" si="313"/>
        <v xml:space="preserve"> </v>
      </c>
      <c r="GO94" s="10" t="str">
        <f t="shared" si="313"/>
        <v xml:space="preserve"> </v>
      </c>
      <c r="GP94" s="10" t="str">
        <f t="shared" si="313"/>
        <v xml:space="preserve"> </v>
      </c>
      <c r="GQ94" s="10" t="str">
        <f t="shared" si="313"/>
        <v xml:space="preserve"> </v>
      </c>
      <c r="GT94" s="10" t="str">
        <f t="shared" si="314"/>
        <v xml:space="preserve"> </v>
      </c>
      <c r="GU94" s="10" t="str">
        <f t="shared" si="314"/>
        <v xml:space="preserve"> </v>
      </c>
      <c r="GV94" s="10" t="str">
        <f t="shared" si="314"/>
        <v xml:space="preserve"> </v>
      </c>
      <c r="GW94" s="10" t="str">
        <f t="shared" si="314"/>
        <v xml:space="preserve"> </v>
      </c>
      <c r="GX94" s="10" t="str">
        <f t="shared" si="314"/>
        <v xml:space="preserve"> </v>
      </c>
      <c r="HA94" s="10" t="str">
        <f t="shared" si="315"/>
        <v xml:space="preserve"> </v>
      </c>
      <c r="HB94" s="10" t="str">
        <f t="shared" si="315"/>
        <v xml:space="preserve"> </v>
      </c>
      <c r="HC94" s="10" t="str">
        <f t="shared" si="315"/>
        <v xml:space="preserve"> </v>
      </c>
      <c r="HD94" s="10" t="str">
        <f t="shared" si="315"/>
        <v xml:space="preserve"> </v>
      </c>
      <c r="HE94" s="10" t="str">
        <f t="shared" si="315"/>
        <v xml:space="preserve"> </v>
      </c>
      <c r="HH94" s="10" t="str">
        <f t="shared" si="316"/>
        <v xml:space="preserve"> </v>
      </c>
      <c r="HI94" s="10" t="str">
        <f t="shared" si="316"/>
        <v xml:space="preserve"> </v>
      </c>
      <c r="HJ94" s="10" t="str">
        <f t="shared" si="316"/>
        <v xml:space="preserve"> </v>
      </c>
      <c r="HK94" s="10" t="str">
        <f t="shared" si="316"/>
        <v xml:space="preserve"> </v>
      </c>
      <c r="HL94" s="10" t="str">
        <f t="shared" si="316"/>
        <v xml:space="preserve"> </v>
      </c>
      <c r="HO94" s="10" t="str">
        <f t="shared" si="317"/>
        <v xml:space="preserve"> </v>
      </c>
      <c r="HP94" s="10" t="str">
        <f t="shared" si="317"/>
        <v xml:space="preserve"> </v>
      </c>
      <c r="HQ94" s="10" t="str">
        <f t="shared" si="317"/>
        <v xml:space="preserve"> </v>
      </c>
      <c r="HR94" s="10" t="str">
        <f t="shared" si="317"/>
        <v xml:space="preserve"> </v>
      </c>
      <c r="HS94" s="10" t="str">
        <f t="shared" si="317"/>
        <v xml:space="preserve"> </v>
      </c>
      <c r="HV94" s="10" t="str">
        <f t="shared" si="318"/>
        <v xml:space="preserve"> </v>
      </c>
      <c r="HW94" s="10" t="str">
        <f t="shared" si="318"/>
        <v xml:space="preserve"> </v>
      </c>
      <c r="HX94" s="10" t="str">
        <f t="shared" si="318"/>
        <v xml:space="preserve"> </v>
      </c>
      <c r="HY94" s="10" t="str">
        <f t="shared" si="318"/>
        <v xml:space="preserve"> </v>
      </c>
      <c r="HZ94" s="10" t="str">
        <f t="shared" si="318"/>
        <v xml:space="preserve"> </v>
      </c>
      <c r="IC94" s="10" t="str">
        <f t="shared" si="319"/>
        <v xml:space="preserve"> </v>
      </c>
      <c r="ID94" s="10" t="str">
        <f t="shared" si="319"/>
        <v xml:space="preserve"> </v>
      </c>
      <c r="IE94" s="10" t="str">
        <f t="shared" si="319"/>
        <v xml:space="preserve"> </v>
      </c>
      <c r="IF94" s="10" t="str">
        <f t="shared" si="319"/>
        <v xml:space="preserve"> </v>
      </c>
      <c r="IG94" s="10" t="str">
        <f t="shared" si="319"/>
        <v xml:space="preserve"> </v>
      </c>
      <c r="IJ94" s="10" t="str">
        <f t="shared" si="320"/>
        <v xml:space="preserve"> </v>
      </c>
      <c r="IK94" s="10" t="str">
        <f t="shared" si="320"/>
        <v xml:space="preserve"> </v>
      </c>
      <c r="IL94" s="10" t="str">
        <f t="shared" si="320"/>
        <v xml:space="preserve"> </v>
      </c>
      <c r="IM94" s="10" t="str">
        <f t="shared" si="320"/>
        <v xml:space="preserve"> </v>
      </c>
      <c r="IN94" s="10" t="str">
        <f t="shared" si="320"/>
        <v xml:space="preserve"> </v>
      </c>
      <c r="IQ94" s="10" t="str">
        <f t="shared" si="321"/>
        <v xml:space="preserve"> </v>
      </c>
      <c r="IR94" s="10" t="str">
        <f t="shared" si="321"/>
        <v xml:space="preserve"> </v>
      </c>
      <c r="IS94" s="10" t="str">
        <f t="shared" si="321"/>
        <v xml:space="preserve"> </v>
      </c>
      <c r="IT94" s="10" t="str">
        <f t="shared" si="321"/>
        <v xml:space="preserve"> </v>
      </c>
      <c r="IU94" s="10" t="str">
        <f t="shared" si="321"/>
        <v xml:space="preserve"> </v>
      </c>
      <c r="IX94" s="10" t="str">
        <f t="shared" si="322"/>
        <v xml:space="preserve"> </v>
      </c>
      <c r="IY94" s="10" t="str">
        <f t="shared" si="322"/>
        <v xml:space="preserve"> </v>
      </c>
      <c r="IZ94" s="10" t="str">
        <f t="shared" si="322"/>
        <v xml:space="preserve"> </v>
      </c>
      <c r="JA94" s="10" t="str">
        <f t="shared" si="322"/>
        <v xml:space="preserve"> </v>
      </c>
      <c r="JB94" s="10" t="str">
        <f t="shared" si="322"/>
        <v xml:space="preserve"> </v>
      </c>
      <c r="JE94" s="10" t="str">
        <f t="shared" si="323"/>
        <v xml:space="preserve"> </v>
      </c>
      <c r="JF94" s="10" t="str">
        <f t="shared" si="323"/>
        <v xml:space="preserve"> </v>
      </c>
      <c r="JG94" s="10" t="str">
        <f t="shared" si="323"/>
        <v xml:space="preserve"> </v>
      </c>
      <c r="JH94" s="10" t="str">
        <f t="shared" si="323"/>
        <v xml:space="preserve"> </v>
      </c>
      <c r="JI94" s="10" t="str">
        <f t="shared" si="323"/>
        <v xml:space="preserve"> </v>
      </c>
    </row>
    <row r="95" spans="13:269">
      <c r="M95" s="10" t="str">
        <f t="shared" si="324"/>
        <v xml:space="preserve"> </v>
      </c>
      <c r="N95" s="10" t="str">
        <f t="shared" si="324"/>
        <v xml:space="preserve"> </v>
      </c>
      <c r="O95" s="10" t="str">
        <f t="shared" si="324"/>
        <v xml:space="preserve"> </v>
      </c>
      <c r="P95" s="10" t="str">
        <f t="shared" si="324"/>
        <v xml:space="preserve"> </v>
      </c>
      <c r="Q95" s="10" t="str">
        <f t="shared" si="324"/>
        <v xml:space="preserve"> </v>
      </c>
      <c r="R95" s="14"/>
      <c r="S95" s="14"/>
      <c r="T95" s="10" t="str">
        <f t="shared" si="288"/>
        <v xml:space="preserve"> </v>
      </c>
      <c r="U95" s="10" t="str">
        <f t="shared" si="288"/>
        <v xml:space="preserve"> </v>
      </c>
      <c r="V95" s="10" t="str">
        <f t="shared" si="288"/>
        <v xml:space="preserve"> </v>
      </c>
      <c r="W95" s="10" t="str">
        <f t="shared" si="288"/>
        <v xml:space="preserve"> </v>
      </c>
      <c r="X95" s="10" t="str">
        <f t="shared" si="288"/>
        <v xml:space="preserve"> </v>
      </c>
      <c r="Y95" s="14"/>
      <c r="Z95" s="14"/>
      <c r="AA95" s="10" t="str">
        <f t="shared" si="289"/>
        <v xml:space="preserve"> </v>
      </c>
      <c r="AB95" s="10" t="str">
        <f t="shared" si="289"/>
        <v xml:space="preserve"> </v>
      </c>
      <c r="AC95" s="10" t="str">
        <f t="shared" si="289"/>
        <v xml:space="preserve"> </v>
      </c>
      <c r="AD95" s="10" t="str">
        <f t="shared" si="289"/>
        <v xml:space="preserve"> </v>
      </c>
      <c r="AE95" s="10" t="str">
        <f t="shared" si="289"/>
        <v xml:space="preserve"> </v>
      </c>
      <c r="AF95" s="14"/>
      <c r="AG95" s="14"/>
      <c r="AH95" s="10" t="str">
        <f t="shared" si="290"/>
        <v xml:space="preserve"> </v>
      </c>
      <c r="AI95" s="10" t="str">
        <f t="shared" si="290"/>
        <v xml:space="preserve"> </v>
      </c>
      <c r="AJ95" s="10" t="str">
        <f t="shared" si="290"/>
        <v xml:space="preserve"> </v>
      </c>
      <c r="AK95" s="10" t="str">
        <f t="shared" si="290"/>
        <v xml:space="preserve"> </v>
      </c>
      <c r="AL95" s="10" t="str">
        <f t="shared" si="290"/>
        <v xml:space="preserve"> </v>
      </c>
      <c r="AM95" s="14"/>
      <c r="AN95" s="14"/>
      <c r="AO95" s="10" t="str">
        <f t="shared" si="291"/>
        <v xml:space="preserve"> </v>
      </c>
      <c r="AP95" s="10" t="str">
        <f t="shared" si="291"/>
        <v xml:space="preserve"> </v>
      </c>
      <c r="AQ95" s="10" t="str">
        <f t="shared" si="291"/>
        <v xml:space="preserve"> </v>
      </c>
      <c r="AR95" s="10" t="str">
        <f t="shared" si="291"/>
        <v xml:space="preserve"> </v>
      </c>
      <c r="AS95" s="10" t="str">
        <f t="shared" si="291"/>
        <v xml:space="preserve"> </v>
      </c>
      <c r="AT95" s="14"/>
      <c r="AU95" s="14"/>
      <c r="AV95" s="10" t="str">
        <f t="shared" si="292"/>
        <v xml:space="preserve"> </v>
      </c>
      <c r="AW95" s="10" t="str">
        <f t="shared" si="292"/>
        <v xml:space="preserve"> </v>
      </c>
      <c r="AX95" s="10" t="str">
        <f t="shared" si="292"/>
        <v xml:space="preserve"> </v>
      </c>
      <c r="AY95" s="10" t="str">
        <f t="shared" si="292"/>
        <v xml:space="preserve"> </v>
      </c>
      <c r="AZ95" s="10" t="str">
        <f t="shared" si="292"/>
        <v xml:space="preserve"> </v>
      </c>
      <c r="BA95" s="14"/>
      <c r="BB95" s="14"/>
      <c r="BC95" s="10" t="str">
        <f t="shared" si="293"/>
        <v xml:space="preserve"> </v>
      </c>
      <c r="BD95" s="10" t="str">
        <f t="shared" si="293"/>
        <v xml:space="preserve"> </v>
      </c>
      <c r="BE95" s="10" t="str">
        <f t="shared" si="293"/>
        <v xml:space="preserve"> </v>
      </c>
      <c r="BF95" s="10" t="str">
        <f t="shared" si="293"/>
        <v xml:space="preserve"> </v>
      </c>
      <c r="BG95" s="10" t="str">
        <f t="shared" si="293"/>
        <v xml:space="preserve"> </v>
      </c>
      <c r="BH95" s="14"/>
      <c r="BI95" s="14"/>
      <c r="BJ95" s="10" t="str">
        <f t="shared" si="294"/>
        <v xml:space="preserve"> </v>
      </c>
      <c r="BK95" s="10" t="str">
        <f t="shared" si="294"/>
        <v xml:space="preserve"> </v>
      </c>
      <c r="BL95" s="10" t="str">
        <f t="shared" si="294"/>
        <v xml:space="preserve"> </v>
      </c>
      <c r="BM95" s="10" t="str">
        <f t="shared" si="294"/>
        <v xml:space="preserve"> </v>
      </c>
      <c r="BN95" s="10" t="str">
        <f t="shared" si="294"/>
        <v xml:space="preserve"> </v>
      </c>
      <c r="BO95" s="14"/>
      <c r="BP95" s="14"/>
      <c r="BQ95" s="10" t="str">
        <f t="shared" si="295"/>
        <v xml:space="preserve"> </v>
      </c>
      <c r="BR95" s="10" t="str">
        <f t="shared" si="295"/>
        <v xml:space="preserve"> </v>
      </c>
      <c r="BS95" s="10" t="str">
        <f t="shared" si="295"/>
        <v xml:space="preserve"> </v>
      </c>
      <c r="BT95" s="10" t="str">
        <f t="shared" si="295"/>
        <v xml:space="preserve"> </v>
      </c>
      <c r="BU95" s="10" t="str">
        <f t="shared" si="295"/>
        <v xml:space="preserve"> </v>
      </c>
      <c r="BV95" s="14"/>
      <c r="BW95" s="14"/>
      <c r="BX95" s="10" t="str">
        <f t="shared" si="296"/>
        <v xml:space="preserve"> </v>
      </c>
      <c r="BY95" s="10" t="str">
        <f t="shared" si="296"/>
        <v xml:space="preserve"> </v>
      </c>
      <c r="BZ95" s="10" t="str">
        <f t="shared" si="296"/>
        <v xml:space="preserve"> </v>
      </c>
      <c r="CA95" s="10" t="str">
        <f t="shared" si="296"/>
        <v xml:space="preserve"> </v>
      </c>
      <c r="CB95" s="10" t="str">
        <f t="shared" si="296"/>
        <v xml:space="preserve"> </v>
      </c>
      <c r="CC95" s="14"/>
      <c r="CD95" s="14"/>
      <c r="CE95" s="10" t="str">
        <f t="shared" si="297"/>
        <v xml:space="preserve"> </v>
      </c>
      <c r="CF95" s="10" t="str">
        <f t="shared" si="297"/>
        <v xml:space="preserve"> </v>
      </c>
      <c r="CG95" s="10" t="str">
        <f t="shared" si="297"/>
        <v xml:space="preserve"> </v>
      </c>
      <c r="CH95" s="10" t="str">
        <f t="shared" si="297"/>
        <v xml:space="preserve"> </v>
      </c>
      <c r="CI95" s="10" t="str">
        <f t="shared" si="297"/>
        <v xml:space="preserve"> </v>
      </c>
      <c r="CJ95" s="14"/>
      <c r="CK95" s="14"/>
      <c r="CL95" s="10" t="str">
        <f t="shared" si="298"/>
        <v xml:space="preserve"> </v>
      </c>
      <c r="CM95" s="10" t="str">
        <f t="shared" si="298"/>
        <v xml:space="preserve"> </v>
      </c>
      <c r="CN95" s="10" t="str">
        <f t="shared" si="298"/>
        <v xml:space="preserve"> </v>
      </c>
      <c r="CO95" s="10" t="str">
        <f t="shared" si="298"/>
        <v xml:space="preserve"> </v>
      </c>
      <c r="CP95" s="10" t="str">
        <f t="shared" si="298"/>
        <v xml:space="preserve"> </v>
      </c>
      <c r="CQ95" s="14"/>
      <c r="CR95" s="14"/>
      <c r="CS95" s="10" t="str">
        <f t="shared" si="299"/>
        <v xml:space="preserve"> </v>
      </c>
      <c r="CT95" s="10" t="str">
        <f t="shared" si="299"/>
        <v xml:space="preserve"> </v>
      </c>
      <c r="CU95" s="10" t="str">
        <f t="shared" si="299"/>
        <v xml:space="preserve"> </v>
      </c>
      <c r="CV95" s="10" t="str">
        <f t="shared" si="299"/>
        <v xml:space="preserve"> </v>
      </c>
      <c r="CW95" s="10" t="str">
        <f t="shared" si="299"/>
        <v xml:space="preserve"> </v>
      </c>
      <c r="CZ95" s="10" t="str">
        <f t="shared" si="300"/>
        <v xml:space="preserve"> </v>
      </c>
      <c r="DA95" s="10" t="str">
        <f t="shared" si="300"/>
        <v xml:space="preserve"> </v>
      </c>
      <c r="DB95" s="10" t="str">
        <f t="shared" si="300"/>
        <v xml:space="preserve"> </v>
      </c>
      <c r="DC95" s="10" t="str">
        <f t="shared" si="300"/>
        <v xml:space="preserve"> </v>
      </c>
      <c r="DD95" s="10" t="str">
        <f t="shared" si="300"/>
        <v xml:space="preserve"> </v>
      </c>
      <c r="DG95" s="10" t="str">
        <f t="shared" si="301"/>
        <v xml:space="preserve"> </v>
      </c>
      <c r="DH95" s="10" t="str">
        <f t="shared" si="301"/>
        <v xml:space="preserve"> </v>
      </c>
      <c r="DI95" s="10" t="str">
        <f t="shared" si="301"/>
        <v xml:space="preserve"> </v>
      </c>
      <c r="DJ95" s="10" t="str">
        <f t="shared" si="301"/>
        <v xml:space="preserve"> </v>
      </c>
      <c r="DK95" s="10" t="str">
        <f t="shared" si="301"/>
        <v xml:space="preserve"> </v>
      </c>
      <c r="DN95" s="10" t="str">
        <f t="shared" si="302"/>
        <v xml:space="preserve"> </v>
      </c>
      <c r="DO95" s="10" t="str">
        <f t="shared" si="302"/>
        <v xml:space="preserve"> </v>
      </c>
      <c r="DP95" s="10" t="str">
        <f t="shared" si="302"/>
        <v xml:space="preserve"> </v>
      </c>
      <c r="DQ95" s="10" t="str">
        <f t="shared" si="302"/>
        <v xml:space="preserve"> </v>
      </c>
      <c r="DR95" s="10" t="str">
        <f t="shared" si="302"/>
        <v xml:space="preserve"> </v>
      </c>
      <c r="DU95" s="10" t="str">
        <f t="shared" si="303"/>
        <v xml:space="preserve"> </v>
      </c>
      <c r="DV95" s="10" t="str">
        <f t="shared" si="303"/>
        <v xml:space="preserve"> </v>
      </c>
      <c r="DW95" s="10" t="str">
        <f t="shared" si="303"/>
        <v xml:space="preserve"> </v>
      </c>
      <c r="DX95" s="10" t="str">
        <f t="shared" si="303"/>
        <v xml:space="preserve"> </v>
      </c>
      <c r="DY95" s="10" t="str">
        <f t="shared" si="303"/>
        <v xml:space="preserve"> </v>
      </c>
      <c r="EB95" s="10" t="str">
        <f t="shared" si="304"/>
        <v xml:space="preserve"> </v>
      </c>
      <c r="EC95" s="10" t="str">
        <f t="shared" si="304"/>
        <v xml:space="preserve"> </v>
      </c>
      <c r="ED95" s="10" t="str">
        <f t="shared" si="304"/>
        <v xml:space="preserve"> </v>
      </c>
      <c r="EE95" s="10" t="str">
        <f t="shared" si="304"/>
        <v xml:space="preserve"> </v>
      </c>
      <c r="EF95" s="10" t="str">
        <f t="shared" si="304"/>
        <v xml:space="preserve"> </v>
      </c>
      <c r="EI95" s="10" t="str">
        <f t="shared" si="305"/>
        <v xml:space="preserve"> </v>
      </c>
      <c r="EJ95" s="10" t="str">
        <f t="shared" si="305"/>
        <v xml:space="preserve"> </v>
      </c>
      <c r="EK95" s="10" t="str">
        <f t="shared" si="305"/>
        <v xml:space="preserve"> </v>
      </c>
      <c r="EL95" s="10" t="str">
        <f t="shared" si="305"/>
        <v xml:space="preserve"> </v>
      </c>
      <c r="EM95" s="10" t="str">
        <f t="shared" si="305"/>
        <v xml:space="preserve"> </v>
      </c>
      <c r="EP95" s="10" t="str">
        <f t="shared" si="306"/>
        <v xml:space="preserve"> </v>
      </c>
      <c r="EQ95" s="10" t="str">
        <f t="shared" si="306"/>
        <v xml:space="preserve"> </v>
      </c>
      <c r="ER95" s="10" t="str">
        <f t="shared" si="306"/>
        <v xml:space="preserve"> </v>
      </c>
      <c r="ES95" s="10" t="str">
        <f t="shared" si="306"/>
        <v xml:space="preserve"> </v>
      </c>
      <c r="ET95" s="10" t="str">
        <f t="shared" si="306"/>
        <v xml:space="preserve"> </v>
      </c>
      <c r="EW95" s="10" t="str">
        <f t="shared" si="307"/>
        <v xml:space="preserve"> </v>
      </c>
      <c r="EX95" s="10" t="str">
        <f t="shared" si="307"/>
        <v xml:space="preserve"> </v>
      </c>
      <c r="EY95" s="10" t="str">
        <f t="shared" si="307"/>
        <v xml:space="preserve"> </v>
      </c>
      <c r="EZ95" s="10" t="str">
        <f t="shared" si="307"/>
        <v xml:space="preserve"> </v>
      </c>
      <c r="FA95" s="10" t="str">
        <f t="shared" si="307"/>
        <v xml:space="preserve"> </v>
      </c>
      <c r="FD95" s="10" t="str">
        <f t="shared" si="308"/>
        <v xml:space="preserve"> </v>
      </c>
      <c r="FE95" s="10" t="str">
        <f t="shared" si="308"/>
        <v xml:space="preserve"> </v>
      </c>
      <c r="FF95" s="10" t="str">
        <f t="shared" si="308"/>
        <v xml:space="preserve"> </v>
      </c>
      <c r="FG95" s="10" t="str">
        <f t="shared" si="308"/>
        <v xml:space="preserve"> </v>
      </c>
      <c r="FH95" s="10" t="str">
        <f t="shared" si="308"/>
        <v xml:space="preserve"> </v>
      </c>
      <c r="FK95" s="10" t="str">
        <f t="shared" si="309"/>
        <v xml:space="preserve"> </v>
      </c>
      <c r="FL95" s="10" t="str">
        <f t="shared" si="309"/>
        <v xml:space="preserve"> </v>
      </c>
      <c r="FM95" s="10" t="str">
        <f t="shared" si="309"/>
        <v xml:space="preserve"> </v>
      </c>
      <c r="FN95" s="10" t="str">
        <f t="shared" si="309"/>
        <v xml:space="preserve"> </v>
      </c>
      <c r="FO95" s="10" t="str">
        <f t="shared" si="309"/>
        <v xml:space="preserve"> </v>
      </c>
      <c r="FR95" s="10" t="str">
        <f t="shared" si="310"/>
        <v xml:space="preserve"> </v>
      </c>
      <c r="FS95" s="10" t="str">
        <f t="shared" si="310"/>
        <v xml:space="preserve"> </v>
      </c>
      <c r="FT95" s="10" t="str">
        <f t="shared" si="310"/>
        <v xml:space="preserve"> </v>
      </c>
      <c r="FU95" s="10" t="str">
        <f t="shared" si="310"/>
        <v xml:space="preserve"> </v>
      </c>
      <c r="FV95" s="10" t="str">
        <f t="shared" si="310"/>
        <v xml:space="preserve"> </v>
      </c>
      <c r="FY95" s="10" t="str">
        <f t="shared" si="311"/>
        <v xml:space="preserve"> </v>
      </c>
      <c r="FZ95" s="10" t="str">
        <f t="shared" si="311"/>
        <v xml:space="preserve"> </v>
      </c>
      <c r="GA95" s="10" t="str">
        <f t="shared" si="311"/>
        <v xml:space="preserve"> </v>
      </c>
      <c r="GB95" s="10" t="str">
        <f t="shared" si="311"/>
        <v xml:space="preserve"> </v>
      </c>
      <c r="GC95" s="10" t="str">
        <f t="shared" si="311"/>
        <v xml:space="preserve"> </v>
      </c>
      <c r="GF95" s="10" t="str">
        <f t="shared" si="312"/>
        <v xml:space="preserve"> </v>
      </c>
      <c r="GG95" s="10" t="str">
        <f t="shared" si="312"/>
        <v xml:space="preserve"> </v>
      </c>
      <c r="GH95" s="10" t="str">
        <f t="shared" si="312"/>
        <v xml:space="preserve"> </v>
      </c>
      <c r="GI95" s="10" t="str">
        <f t="shared" si="312"/>
        <v xml:space="preserve"> </v>
      </c>
      <c r="GJ95" s="10" t="str">
        <f t="shared" si="312"/>
        <v xml:space="preserve"> </v>
      </c>
      <c r="GM95" s="10" t="str">
        <f t="shared" si="313"/>
        <v xml:space="preserve"> </v>
      </c>
      <c r="GN95" s="10" t="str">
        <f t="shared" si="313"/>
        <v xml:space="preserve"> </v>
      </c>
      <c r="GO95" s="10" t="str">
        <f t="shared" si="313"/>
        <v xml:space="preserve"> </v>
      </c>
      <c r="GP95" s="10" t="str">
        <f t="shared" si="313"/>
        <v xml:space="preserve"> </v>
      </c>
      <c r="GQ95" s="10" t="str">
        <f t="shared" si="313"/>
        <v xml:space="preserve"> </v>
      </c>
      <c r="GT95" s="10" t="str">
        <f t="shared" si="314"/>
        <v xml:space="preserve"> </v>
      </c>
      <c r="GU95" s="10" t="str">
        <f t="shared" si="314"/>
        <v xml:space="preserve"> </v>
      </c>
      <c r="GV95" s="10" t="str">
        <f t="shared" si="314"/>
        <v xml:space="preserve"> </v>
      </c>
      <c r="GW95" s="10" t="str">
        <f t="shared" si="314"/>
        <v xml:space="preserve"> </v>
      </c>
      <c r="GX95" s="10" t="str">
        <f t="shared" si="314"/>
        <v xml:space="preserve"> </v>
      </c>
      <c r="HA95" s="10" t="str">
        <f t="shared" si="315"/>
        <v xml:space="preserve"> </v>
      </c>
      <c r="HB95" s="10" t="str">
        <f t="shared" si="315"/>
        <v xml:space="preserve"> </v>
      </c>
      <c r="HC95" s="10" t="str">
        <f t="shared" si="315"/>
        <v xml:space="preserve"> </v>
      </c>
      <c r="HD95" s="10" t="str">
        <f t="shared" si="315"/>
        <v xml:space="preserve"> </v>
      </c>
      <c r="HE95" s="10" t="str">
        <f t="shared" si="315"/>
        <v xml:space="preserve"> </v>
      </c>
      <c r="HH95" s="10" t="str">
        <f t="shared" si="316"/>
        <v xml:space="preserve"> </v>
      </c>
      <c r="HI95" s="10" t="str">
        <f t="shared" si="316"/>
        <v xml:space="preserve"> </v>
      </c>
      <c r="HJ95" s="10" t="str">
        <f t="shared" si="316"/>
        <v xml:space="preserve"> </v>
      </c>
      <c r="HK95" s="10" t="str">
        <f t="shared" si="316"/>
        <v xml:space="preserve"> </v>
      </c>
      <c r="HL95" s="10" t="str">
        <f t="shared" si="316"/>
        <v xml:space="preserve"> </v>
      </c>
      <c r="HO95" s="10" t="str">
        <f t="shared" si="317"/>
        <v xml:space="preserve"> </v>
      </c>
      <c r="HP95" s="10" t="str">
        <f t="shared" si="317"/>
        <v xml:space="preserve"> </v>
      </c>
      <c r="HQ95" s="10" t="str">
        <f t="shared" si="317"/>
        <v xml:space="preserve"> </v>
      </c>
      <c r="HR95" s="10" t="str">
        <f t="shared" si="317"/>
        <v xml:space="preserve"> </v>
      </c>
      <c r="HS95" s="10" t="str">
        <f t="shared" si="317"/>
        <v xml:space="preserve"> </v>
      </c>
      <c r="HV95" s="10" t="str">
        <f t="shared" si="318"/>
        <v xml:space="preserve"> </v>
      </c>
      <c r="HW95" s="10" t="str">
        <f t="shared" si="318"/>
        <v xml:space="preserve"> </v>
      </c>
      <c r="HX95" s="10" t="str">
        <f t="shared" si="318"/>
        <v xml:space="preserve"> </v>
      </c>
      <c r="HY95" s="10" t="str">
        <f t="shared" si="318"/>
        <v xml:space="preserve"> </v>
      </c>
      <c r="HZ95" s="10" t="str">
        <f t="shared" si="318"/>
        <v xml:space="preserve"> </v>
      </c>
      <c r="IC95" s="10" t="str">
        <f t="shared" si="319"/>
        <v xml:space="preserve"> </v>
      </c>
      <c r="ID95" s="10" t="str">
        <f t="shared" si="319"/>
        <v xml:space="preserve"> </v>
      </c>
      <c r="IE95" s="10" t="str">
        <f t="shared" si="319"/>
        <v xml:space="preserve"> </v>
      </c>
      <c r="IF95" s="10" t="str">
        <f t="shared" si="319"/>
        <v xml:space="preserve"> </v>
      </c>
      <c r="IG95" s="10" t="str">
        <f t="shared" si="319"/>
        <v xml:space="preserve"> </v>
      </c>
      <c r="IJ95" s="10" t="str">
        <f t="shared" si="320"/>
        <v xml:space="preserve"> </v>
      </c>
      <c r="IK95" s="10" t="str">
        <f t="shared" si="320"/>
        <v xml:space="preserve"> </v>
      </c>
      <c r="IL95" s="10" t="str">
        <f t="shared" si="320"/>
        <v xml:space="preserve"> </v>
      </c>
      <c r="IM95" s="10" t="str">
        <f t="shared" si="320"/>
        <v xml:space="preserve"> </v>
      </c>
      <c r="IN95" s="10" t="str">
        <f t="shared" si="320"/>
        <v xml:space="preserve"> </v>
      </c>
      <c r="IQ95" s="10" t="str">
        <f t="shared" si="321"/>
        <v xml:space="preserve"> </v>
      </c>
      <c r="IR95" s="10" t="str">
        <f t="shared" si="321"/>
        <v xml:space="preserve"> </v>
      </c>
      <c r="IS95" s="10" t="str">
        <f t="shared" si="321"/>
        <v xml:space="preserve"> </v>
      </c>
      <c r="IT95" s="10" t="str">
        <f t="shared" si="321"/>
        <v xml:space="preserve"> </v>
      </c>
      <c r="IU95" s="10" t="str">
        <f t="shared" si="321"/>
        <v xml:space="preserve"> </v>
      </c>
      <c r="IX95" s="10" t="str">
        <f t="shared" si="322"/>
        <v xml:space="preserve"> </v>
      </c>
      <c r="IY95" s="10" t="str">
        <f t="shared" si="322"/>
        <v xml:space="preserve"> </v>
      </c>
      <c r="IZ95" s="10" t="str">
        <f t="shared" si="322"/>
        <v xml:space="preserve"> </v>
      </c>
      <c r="JA95" s="10" t="str">
        <f t="shared" si="322"/>
        <v xml:space="preserve"> </v>
      </c>
      <c r="JB95" s="10" t="str">
        <f t="shared" si="322"/>
        <v xml:space="preserve"> </v>
      </c>
      <c r="JE95" s="10" t="str">
        <f t="shared" si="323"/>
        <v xml:space="preserve"> </v>
      </c>
      <c r="JF95" s="10" t="str">
        <f t="shared" si="323"/>
        <v xml:space="preserve"> </v>
      </c>
      <c r="JG95" s="10" t="str">
        <f t="shared" si="323"/>
        <v xml:space="preserve"> </v>
      </c>
      <c r="JH95" s="10" t="str">
        <f t="shared" si="323"/>
        <v xml:space="preserve"> </v>
      </c>
      <c r="JI95" s="10" t="str">
        <f t="shared" si="323"/>
        <v xml:space="preserve"> </v>
      </c>
    </row>
    <row r="96" spans="13:269">
      <c r="M96" s="10" t="str">
        <f t="shared" si="324"/>
        <v xml:space="preserve"> </v>
      </c>
      <c r="N96" s="10" t="str">
        <f t="shared" si="324"/>
        <v xml:space="preserve"> </v>
      </c>
      <c r="O96" s="10" t="str">
        <f t="shared" si="324"/>
        <v xml:space="preserve"> </v>
      </c>
      <c r="P96" s="10" t="str">
        <f t="shared" si="324"/>
        <v xml:space="preserve"> </v>
      </c>
      <c r="Q96" s="10" t="str">
        <f t="shared" si="324"/>
        <v xml:space="preserve"> </v>
      </c>
      <c r="R96" s="14"/>
      <c r="S96" s="14"/>
      <c r="T96" s="10" t="str">
        <f t="shared" si="288"/>
        <v xml:space="preserve"> </v>
      </c>
      <c r="U96" s="10" t="str">
        <f t="shared" si="288"/>
        <v xml:space="preserve"> </v>
      </c>
      <c r="V96" s="10" t="str">
        <f t="shared" si="288"/>
        <v xml:space="preserve"> </v>
      </c>
      <c r="W96" s="10" t="str">
        <f t="shared" si="288"/>
        <v xml:space="preserve"> </v>
      </c>
      <c r="X96" s="10" t="str">
        <f t="shared" si="288"/>
        <v xml:space="preserve"> </v>
      </c>
      <c r="Y96" s="14"/>
      <c r="Z96" s="14"/>
      <c r="AA96" s="10" t="str">
        <f t="shared" si="289"/>
        <v xml:space="preserve"> </v>
      </c>
      <c r="AB96" s="10" t="str">
        <f t="shared" si="289"/>
        <v xml:space="preserve"> </v>
      </c>
      <c r="AC96" s="10" t="str">
        <f t="shared" si="289"/>
        <v xml:space="preserve"> </v>
      </c>
      <c r="AD96" s="10" t="str">
        <f t="shared" si="289"/>
        <v xml:space="preserve"> </v>
      </c>
      <c r="AE96" s="10" t="str">
        <f t="shared" si="289"/>
        <v xml:space="preserve"> </v>
      </c>
      <c r="AF96" s="14"/>
      <c r="AG96" s="14"/>
      <c r="AH96" s="10" t="str">
        <f t="shared" si="290"/>
        <v xml:space="preserve"> </v>
      </c>
      <c r="AI96" s="10" t="str">
        <f t="shared" si="290"/>
        <v xml:space="preserve"> </v>
      </c>
      <c r="AJ96" s="10" t="str">
        <f t="shared" si="290"/>
        <v xml:space="preserve"> </v>
      </c>
      <c r="AK96" s="10" t="str">
        <f t="shared" si="290"/>
        <v xml:space="preserve"> </v>
      </c>
      <c r="AL96" s="10" t="str">
        <f t="shared" si="290"/>
        <v xml:space="preserve"> </v>
      </c>
      <c r="AM96" s="14"/>
      <c r="AN96" s="14"/>
      <c r="AO96" s="10" t="str">
        <f t="shared" si="291"/>
        <v xml:space="preserve"> </v>
      </c>
      <c r="AP96" s="10" t="str">
        <f t="shared" si="291"/>
        <v xml:space="preserve"> </v>
      </c>
      <c r="AQ96" s="10" t="str">
        <f t="shared" si="291"/>
        <v xml:space="preserve"> </v>
      </c>
      <c r="AR96" s="10" t="str">
        <f t="shared" si="291"/>
        <v xml:space="preserve"> </v>
      </c>
      <c r="AS96" s="10" t="str">
        <f t="shared" si="291"/>
        <v xml:space="preserve"> </v>
      </c>
      <c r="AT96" s="14"/>
      <c r="AU96" s="14"/>
      <c r="AV96" s="10" t="str">
        <f t="shared" si="292"/>
        <v xml:space="preserve"> </v>
      </c>
      <c r="AW96" s="10" t="str">
        <f t="shared" si="292"/>
        <v xml:space="preserve"> </v>
      </c>
      <c r="AX96" s="10" t="str">
        <f t="shared" si="292"/>
        <v xml:space="preserve"> </v>
      </c>
      <c r="AY96" s="10" t="str">
        <f t="shared" si="292"/>
        <v xml:space="preserve"> </v>
      </c>
      <c r="AZ96" s="10" t="str">
        <f t="shared" si="292"/>
        <v xml:space="preserve"> </v>
      </c>
      <c r="BA96" s="14"/>
      <c r="BB96" s="14"/>
      <c r="BC96" s="10" t="str">
        <f t="shared" si="293"/>
        <v xml:space="preserve"> </v>
      </c>
      <c r="BD96" s="10" t="str">
        <f t="shared" si="293"/>
        <v xml:space="preserve"> </v>
      </c>
      <c r="BE96" s="10" t="str">
        <f t="shared" si="293"/>
        <v xml:space="preserve"> </v>
      </c>
      <c r="BF96" s="10" t="str">
        <f t="shared" si="293"/>
        <v xml:space="preserve"> </v>
      </c>
      <c r="BG96" s="10" t="str">
        <f t="shared" si="293"/>
        <v xml:space="preserve"> </v>
      </c>
      <c r="BH96" s="14"/>
      <c r="BI96" s="14"/>
      <c r="BJ96" s="10" t="str">
        <f t="shared" si="294"/>
        <v xml:space="preserve"> </v>
      </c>
      <c r="BK96" s="10" t="str">
        <f t="shared" si="294"/>
        <v xml:space="preserve"> </v>
      </c>
      <c r="BL96" s="10" t="str">
        <f t="shared" si="294"/>
        <v xml:space="preserve"> </v>
      </c>
      <c r="BM96" s="10" t="str">
        <f t="shared" si="294"/>
        <v xml:space="preserve"> </v>
      </c>
      <c r="BN96" s="10" t="str">
        <f t="shared" si="294"/>
        <v xml:space="preserve"> </v>
      </c>
      <c r="BO96" s="14"/>
      <c r="BP96" s="14"/>
      <c r="BQ96" s="10" t="str">
        <f t="shared" si="295"/>
        <v xml:space="preserve"> </v>
      </c>
      <c r="BR96" s="10" t="str">
        <f t="shared" si="295"/>
        <v xml:space="preserve"> </v>
      </c>
      <c r="BS96" s="10" t="str">
        <f t="shared" si="295"/>
        <v xml:space="preserve"> </v>
      </c>
      <c r="BT96" s="10" t="str">
        <f t="shared" si="295"/>
        <v xml:space="preserve"> </v>
      </c>
      <c r="BU96" s="10" t="str">
        <f t="shared" si="295"/>
        <v xml:space="preserve"> </v>
      </c>
      <c r="BV96" s="14"/>
      <c r="BW96" s="14"/>
      <c r="BX96" s="10" t="str">
        <f t="shared" si="296"/>
        <v xml:space="preserve"> </v>
      </c>
      <c r="BY96" s="10" t="str">
        <f t="shared" si="296"/>
        <v xml:space="preserve"> </v>
      </c>
      <c r="BZ96" s="10" t="str">
        <f t="shared" si="296"/>
        <v xml:space="preserve"> </v>
      </c>
      <c r="CA96" s="10" t="str">
        <f t="shared" si="296"/>
        <v xml:space="preserve"> </v>
      </c>
      <c r="CB96" s="10" t="str">
        <f t="shared" si="296"/>
        <v xml:space="preserve"> </v>
      </c>
      <c r="CC96" s="14"/>
      <c r="CD96" s="14"/>
      <c r="CE96" s="10" t="str">
        <f t="shared" si="297"/>
        <v xml:space="preserve"> </v>
      </c>
      <c r="CF96" s="10" t="str">
        <f t="shared" si="297"/>
        <v xml:space="preserve"> </v>
      </c>
      <c r="CG96" s="10" t="str">
        <f t="shared" si="297"/>
        <v xml:space="preserve"> </v>
      </c>
      <c r="CH96" s="10" t="str">
        <f t="shared" si="297"/>
        <v xml:space="preserve"> </v>
      </c>
      <c r="CI96" s="10" t="str">
        <f t="shared" si="297"/>
        <v xml:space="preserve"> </v>
      </c>
      <c r="CJ96" s="14"/>
      <c r="CK96" s="14"/>
      <c r="CL96" s="10" t="str">
        <f t="shared" si="298"/>
        <v xml:space="preserve"> </v>
      </c>
      <c r="CM96" s="10" t="str">
        <f t="shared" si="298"/>
        <v xml:space="preserve"> </v>
      </c>
      <c r="CN96" s="10" t="str">
        <f t="shared" si="298"/>
        <v xml:space="preserve"> </v>
      </c>
      <c r="CO96" s="10" t="str">
        <f t="shared" si="298"/>
        <v xml:space="preserve"> </v>
      </c>
      <c r="CP96" s="10" t="str">
        <f t="shared" si="298"/>
        <v xml:space="preserve"> </v>
      </c>
      <c r="CQ96" s="14"/>
      <c r="CR96" s="14"/>
      <c r="CS96" s="10" t="str">
        <f t="shared" si="299"/>
        <v xml:space="preserve"> </v>
      </c>
      <c r="CT96" s="10" t="str">
        <f t="shared" si="299"/>
        <v xml:space="preserve"> </v>
      </c>
      <c r="CU96" s="10" t="str">
        <f t="shared" si="299"/>
        <v xml:space="preserve"> </v>
      </c>
      <c r="CV96" s="10" t="str">
        <f t="shared" si="299"/>
        <v xml:space="preserve"> </v>
      </c>
      <c r="CW96" s="10" t="str">
        <f t="shared" si="299"/>
        <v xml:space="preserve"> </v>
      </c>
      <c r="CZ96" s="10" t="str">
        <f t="shared" si="300"/>
        <v xml:space="preserve"> </v>
      </c>
      <c r="DA96" s="10" t="str">
        <f t="shared" si="300"/>
        <v xml:space="preserve"> </v>
      </c>
      <c r="DB96" s="10" t="str">
        <f t="shared" si="300"/>
        <v xml:space="preserve"> </v>
      </c>
      <c r="DC96" s="10" t="str">
        <f t="shared" si="300"/>
        <v xml:space="preserve"> </v>
      </c>
      <c r="DD96" s="10" t="str">
        <f t="shared" si="300"/>
        <v xml:space="preserve"> </v>
      </c>
      <c r="DG96" s="10" t="str">
        <f t="shared" si="301"/>
        <v xml:space="preserve"> </v>
      </c>
      <c r="DH96" s="10" t="str">
        <f t="shared" si="301"/>
        <v xml:space="preserve"> </v>
      </c>
      <c r="DI96" s="10" t="str">
        <f t="shared" si="301"/>
        <v xml:space="preserve"> </v>
      </c>
      <c r="DJ96" s="10" t="str">
        <f t="shared" si="301"/>
        <v xml:space="preserve"> </v>
      </c>
      <c r="DK96" s="10" t="str">
        <f t="shared" si="301"/>
        <v xml:space="preserve"> </v>
      </c>
      <c r="DN96" s="10" t="str">
        <f t="shared" si="302"/>
        <v xml:space="preserve"> </v>
      </c>
      <c r="DO96" s="10" t="str">
        <f t="shared" si="302"/>
        <v xml:space="preserve"> </v>
      </c>
      <c r="DP96" s="10" t="str">
        <f t="shared" si="302"/>
        <v xml:space="preserve"> </v>
      </c>
      <c r="DQ96" s="10" t="str">
        <f t="shared" si="302"/>
        <v xml:space="preserve"> </v>
      </c>
      <c r="DR96" s="10" t="str">
        <f t="shared" si="302"/>
        <v xml:space="preserve"> </v>
      </c>
      <c r="DU96" s="10" t="str">
        <f t="shared" si="303"/>
        <v xml:space="preserve"> </v>
      </c>
      <c r="DV96" s="10" t="str">
        <f t="shared" si="303"/>
        <v xml:space="preserve"> </v>
      </c>
      <c r="DW96" s="10" t="str">
        <f t="shared" si="303"/>
        <v xml:space="preserve"> </v>
      </c>
      <c r="DX96" s="10" t="str">
        <f t="shared" si="303"/>
        <v xml:space="preserve"> </v>
      </c>
      <c r="DY96" s="10" t="str">
        <f t="shared" si="303"/>
        <v xml:space="preserve"> </v>
      </c>
      <c r="EB96" s="10" t="str">
        <f t="shared" si="304"/>
        <v xml:space="preserve"> </v>
      </c>
      <c r="EC96" s="10" t="str">
        <f t="shared" si="304"/>
        <v xml:space="preserve"> </v>
      </c>
      <c r="ED96" s="10" t="str">
        <f t="shared" si="304"/>
        <v xml:space="preserve"> </v>
      </c>
      <c r="EE96" s="10" t="str">
        <f t="shared" si="304"/>
        <v xml:space="preserve"> </v>
      </c>
      <c r="EF96" s="10" t="str">
        <f t="shared" si="304"/>
        <v xml:space="preserve"> </v>
      </c>
      <c r="EI96" s="10" t="str">
        <f t="shared" si="305"/>
        <v xml:space="preserve"> </v>
      </c>
      <c r="EJ96" s="10" t="str">
        <f t="shared" si="305"/>
        <v xml:space="preserve"> </v>
      </c>
      <c r="EK96" s="10" t="str">
        <f t="shared" si="305"/>
        <v xml:space="preserve"> </v>
      </c>
      <c r="EL96" s="10" t="str">
        <f t="shared" si="305"/>
        <v xml:space="preserve"> </v>
      </c>
      <c r="EM96" s="10" t="str">
        <f t="shared" si="305"/>
        <v xml:space="preserve"> </v>
      </c>
      <c r="EP96" s="10" t="str">
        <f t="shared" si="306"/>
        <v xml:space="preserve"> </v>
      </c>
      <c r="EQ96" s="10" t="str">
        <f t="shared" si="306"/>
        <v xml:space="preserve"> </v>
      </c>
      <c r="ER96" s="10" t="str">
        <f t="shared" si="306"/>
        <v xml:space="preserve"> </v>
      </c>
      <c r="ES96" s="10" t="str">
        <f t="shared" si="306"/>
        <v xml:space="preserve"> </v>
      </c>
      <c r="ET96" s="10" t="str">
        <f t="shared" si="306"/>
        <v xml:space="preserve"> </v>
      </c>
      <c r="EW96" s="10" t="str">
        <f t="shared" si="307"/>
        <v xml:space="preserve"> </v>
      </c>
      <c r="EX96" s="10" t="str">
        <f t="shared" si="307"/>
        <v xml:space="preserve"> </v>
      </c>
      <c r="EY96" s="10" t="str">
        <f t="shared" si="307"/>
        <v xml:space="preserve"> </v>
      </c>
      <c r="EZ96" s="10" t="str">
        <f t="shared" si="307"/>
        <v xml:space="preserve"> </v>
      </c>
      <c r="FA96" s="10" t="str">
        <f t="shared" si="307"/>
        <v xml:space="preserve"> </v>
      </c>
      <c r="FD96" s="10" t="str">
        <f t="shared" si="308"/>
        <v xml:space="preserve"> </v>
      </c>
      <c r="FE96" s="10" t="str">
        <f t="shared" si="308"/>
        <v xml:space="preserve"> </v>
      </c>
      <c r="FF96" s="10" t="str">
        <f t="shared" si="308"/>
        <v xml:space="preserve"> </v>
      </c>
      <c r="FG96" s="10" t="str">
        <f t="shared" si="308"/>
        <v xml:space="preserve"> </v>
      </c>
      <c r="FH96" s="10" t="str">
        <f t="shared" si="308"/>
        <v xml:space="preserve"> </v>
      </c>
      <c r="FK96" s="10" t="str">
        <f t="shared" si="309"/>
        <v xml:space="preserve"> </v>
      </c>
      <c r="FL96" s="10" t="str">
        <f t="shared" si="309"/>
        <v xml:space="preserve"> </v>
      </c>
      <c r="FM96" s="10" t="str">
        <f t="shared" si="309"/>
        <v xml:space="preserve"> </v>
      </c>
      <c r="FN96" s="10" t="str">
        <f t="shared" si="309"/>
        <v xml:space="preserve"> </v>
      </c>
      <c r="FO96" s="10" t="str">
        <f t="shared" si="309"/>
        <v xml:space="preserve"> </v>
      </c>
      <c r="FR96" s="10" t="str">
        <f t="shared" si="310"/>
        <v xml:space="preserve"> </v>
      </c>
      <c r="FS96" s="10" t="str">
        <f t="shared" si="310"/>
        <v xml:space="preserve"> </v>
      </c>
      <c r="FT96" s="10" t="str">
        <f t="shared" si="310"/>
        <v xml:space="preserve"> </v>
      </c>
      <c r="FU96" s="10" t="str">
        <f t="shared" si="310"/>
        <v xml:space="preserve"> </v>
      </c>
      <c r="FV96" s="10" t="str">
        <f t="shared" si="310"/>
        <v xml:space="preserve"> </v>
      </c>
      <c r="FY96" s="10" t="str">
        <f t="shared" si="311"/>
        <v xml:space="preserve"> </v>
      </c>
      <c r="FZ96" s="10" t="str">
        <f t="shared" si="311"/>
        <v xml:space="preserve"> </v>
      </c>
      <c r="GA96" s="10" t="str">
        <f t="shared" si="311"/>
        <v xml:space="preserve"> </v>
      </c>
      <c r="GB96" s="10" t="str">
        <f t="shared" si="311"/>
        <v xml:space="preserve"> </v>
      </c>
      <c r="GC96" s="10" t="str">
        <f t="shared" si="311"/>
        <v xml:space="preserve"> </v>
      </c>
      <c r="GF96" s="10" t="str">
        <f t="shared" si="312"/>
        <v xml:space="preserve"> </v>
      </c>
      <c r="GG96" s="10" t="str">
        <f t="shared" si="312"/>
        <v xml:space="preserve"> </v>
      </c>
      <c r="GH96" s="10" t="str">
        <f t="shared" si="312"/>
        <v xml:space="preserve"> </v>
      </c>
      <c r="GI96" s="10" t="str">
        <f t="shared" si="312"/>
        <v xml:space="preserve"> </v>
      </c>
      <c r="GJ96" s="10" t="str">
        <f t="shared" si="312"/>
        <v xml:space="preserve"> </v>
      </c>
      <c r="GM96" s="10" t="str">
        <f t="shared" si="313"/>
        <v xml:space="preserve"> </v>
      </c>
      <c r="GN96" s="10" t="str">
        <f t="shared" si="313"/>
        <v xml:space="preserve"> </v>
      </c>
      <c r="GO96" s="10" t="str">
        <f t="shared" si="313"/>
        <v xml:space="preserve"> </v>
      </c>
      <c r="GP96" s="10" t="str">
        <f t="shared" si="313"/>
        <v xml:space="preserve"> </v>
      </c>
      <c r="GQ96" s="10" t="str">
        <f t="shared" si="313"/>
        <v xml:space="preserve"> </v>
      </c>
      <c r="GT96" s="10" t="str">
        <f t="shared" si="314"/>
        <v xml:space="preserve"> </v>
      </c>
      <c r="GU96" s="10" t="str">
        <f t="shared" si="314"/>
        <v xml:space="preserve"> </v>
      </c>
      <c r="GV96" s="10" t="str">
        <f t="shared" si="314"/>
        <v xml:space="preserve"> </v>
      </c>
      <c r="GW96" s="10" t="str">
        <f t="shared" si="314"/>
        <v xml:space="preserve"> </v>
      </c>
      <c r="GX96" s="10" t="str">
        <f t="shared" si="314"/>
        <v xml:space="preserve"> </v>
      </c>
      <c r="HA96" s="10" t="str">
        <f t="shared" si="315"/>
        <v xml:space="preserve"> </v>
      </c>
      <c r="HB96" s="10" t="str">
        <f t="shared" si="315"/>
        <v xml:space="preserve"> </v>
      </c>
      <c r="HC96" s="10" t="str">
        <f t="shared" si="315"/>
        <v xml:space="preserve"> </v>
      </c>
      <c r="HD96" s="10" t="str">
        <f t="shared" si="315"/>
        <v xml:space="preserve"> </v>
      </c>
      <c r="HE96" s="10" t="str">
        <f t="shared" si="315"/>
        <v xml:space="preserve"> </v>
      </c>
      <c r="HH96" s="10" t="str">
        <f t="shared" si="316"/>
        <v xml:space="preserve"> </v>
      </c>
      <c r="HI96" s="10" t="str">
        <f t="shared" si="316"/>
        <v xml:space="preserve"> </v>
      </c>
      <c r="HJ96" s="10" t="str">
        <f t="shared" si="316"/>
        <v xml:space="preserve"> </v>
      </c>
      <c r="HK96" s="10" t="str">
        <f t="shared" si="316"/>
        <v xml:space="preserve"> </v>
      </c>
      <c r="HL96" s="10" t="str">
        <f t="shared" si="316"/>
        <v xml:space="preserve"> </v>
      </c>
      <c r="HO96" s="10" t="str">
        <f t="shared" si="317"/>
        <v xml:space="preserve"> </v>
      </c>
      <c r="HP96" s="10" t="str">
        <f t="shared" si="317"/>
        <v xml:space="preserve"> </v>
      </c>
      <c r="HQ96" s="10" t="str">
        <f t="shared" si="317"/>
        <v xml:space="preserve"> </v>
      </c>
      <c r="HR96" s="10" t="str">
        <f t="shared" si="317"/>
        <v xml:space="preserve"> </v>
      </c>
      <c r="HS96" s="10" t="str">
        <f t="shared" si="317"/>
        <v xml:space="preserve"> </v>
      </c>
      <c r="HV96" s="10" t="str">
        <f t="shared" si="318"/>
        <v xml:space="preserve"> </v>
      </c>
      <c r="HW96" s="10" t="str">
        <f t="shared" si="318"/>
        <v xml:space="preserve"> </v>
      </c>
      <c r="HX96" s="10" t="str">
        <f t="shared" si="318"/>
        <v xml:space="preserve"> </v>
      </c>
      <c r="HY96" s="10" t="str">
        <f t="shared" si="318"/>
        <v xml:space="preserve"> </v>
      </c>
      <c r="HZ96" s="10" t="str">
        <f t="shared" si="318"/>
        <v xml:space="preserve"> </v>
      </c>
      <c r="IC96" s="10" t="str">
        <f t="shared" si="319"/>
        <v xml:space="preserve"> </v>
      </c>
      <c r="ID96" s="10" t="str">
        <f t="shared" si="319"/>
        <v xml:space="preserve"> </v>
      </c>
      <c r="IE96" s="10" t="str">
        <f t="shared" si="319"/>
        <v xml:space="preserve"> </v>
      </c>
      <c r="IF96" s="10" t="str">
        <f t="shared" si="319"/>
        <v xml:space="preserve"> </v>
      </c>
      <c r="IG96" s="10" t="str">
        <f t="shared" si="319"/>
        <v xml:space="preserve"> </v>
      </c>
      <c r="IJ96" s="10" t="str">
        <f t="shared" si="320"/>
        <v xml:space="preserve"> </v>
      </c>
      <c r="IK96" s="10" t="str">
        <f t="shared" si="320"/>
        <v xml:space="preserve"> </v>
      </c>
      <c r="IL96" s="10" t="str">
        <f t="shared" si="320"/>
        <v xml:space="preserve"> </v>
      </c>
      <c r="IM96" s="10" t="str">
        <f t="shared" si="320"/>
        <v xml:space="preserve"> </v>
      </c>
      <c r="IN96" s="10" t="str">
        <f t="shared" si="320"/>
        <v xml:space="preserve"> </v>
      </c>
      <c r="IQ96" s="10" t="str">
        <f t="shared" si="321"/>
        <v xml:space="preserve"> </v>
      </c>
      <c r="IR96" s="10" t="str">
        <f t="shared" si="321"/>
        <v xml:space="preserve"> </v>
      </c>
      <c r="IS96" s="10" t="str">
        <f t="shared" si="321"/>
        <v xml:space="preserve"> </v>
      </c>
      <c r="IT96" s="10" t="str">
        <f t="shared" si="321"/>
        <v xml:space="preserve"> </v>
      </c>
      <c r="IU96" s="10" t="str">
        <f t="shared" si="321"/>
        <v xml:space="preserve"> </v>
      </c>
      <c r="IX96" s="10" t="str">
        <f t="shared" si="322"/>
        <v xml:space="preserve"> </v>
      </c>
      <c r="IY96" s="10" t="str">
        <f t="shared" si="322"/>
        <v xml:space="preserve"> </v>
      </c>
      <c r="IZ96" s="10" t="str">
        <f t="shared" si="322"/>
        <v xml:space="preserve"> </v>
      </c>
      <c r="JA96" s="10" t="str">
        <f t="shared" si="322"/>
        <v xml:space="preserve"> </v>
      </c>
      <c r="JB96" s="10" t="str">
        <f t="shared" si="322"/>
        <v xml:space="preserve"> </v>
      </c>
      <c r="JE96" s="10" t="str">
        <f t="shared" si="323"/>
        <v xml:space="preserve"> </v>
      </c>
      <c r="JF96" s="10" t="str">
        <f t="shared" si="323"/>
        <v xml:space="preserve"> </v>
      </c>
      <c r="JG96" s="10" t="str">
        <f t="shared" si="323"/>
        <v xml:space="preserve"> </v>
      </c>
      <c r="JH96" s="10" t="str">
        <f t="shared" si="323"/>
        <v xml:space="preserve"> </v>
      </c>
      <c r="JI96" s="10" t="str">
        <f t="shared" si="323"/>
        <v xml:space="preserve"> </v>
      </c>
    </row>
    <row r="97" spans="13:269">
      <c r="M97" s="10" t="str">
        <f t="shared" si="324"/>
        <v xml:space="preserve"> </v>
      </c>
      <c r="N97" s="10" t="str">
        <f t="shared" si="324"/>
        <v xml:space="preserve"> </v>
      </c>
      <c r="O97" s="10" t="str">
        <f t="shared" si="324"/>
        <v xml:space="preserve"> </v>
      </c>
      <c r="P97" s="10" t="str">
        <f t="shared" si="324"/>
        <v xml:space="preserve"> </v>
      </c>
      <c r="Q97" s="10" t="str">
        <f t="shared" si="324"/>
        <v xml:space="preserve"> </v>
      </c>
      <c r="R97" s="14"/>
      <c r="S97" s="14"/>
      <c r="T97" s="10" t="str">
        <f t="shared" si="288"/>
        <v xml:space="preserve"> </v>
      </c>
      <c r="U97" s="10" t="str">
        <f t="shared" si="288"/>
        <v xml:space="preserve"> </v>
      </c>
      <c r="V97" s="10" t="str">
        <f t="shared" si="288"/>
        <v xml:space="preserve"> </v>
      </c>
      <c r="W97" s="10" t="str">
        <f t="shared" si="288"/>
        <v xml:space="preserve"> </v>
      </c>
      <c r="X97" s="10" t="str">
        <f t="shared" si="288"/>
        <v xml:space="preserve"> </v>
      </c>
      <c r="Y97" s="14"/>
      <c r="Z97" s="14"/>
      <c r="AA97" s="10" t="str">
        <f t="shared" si="289"/>
        <v xml:space="preserve"> </v>
      </c>
      <c r="AB97" s="10" t="str">
        <f t="shared" si="289"/>
        <v xml:space="preserve"> </v>
      </c>
      <c r="AC97" s="10" t="str">
        <f t="shared" si="289"/>
        <v xml:space="preserve"> </v>
      </c>
      <c r="AD97" s="10" t="str">
        <f t="shared" si="289"/>
        <v xml:space="preserve"> </v>
      </c>
      <c r="AE97" s="10" t="str">
        <f t="shared" si="289"/>
        <v xml:space="preserve"> </v>
      </c>
      <c r="AF97" s="14"/>
      <c r="AG97" s="14"/>
      <c r="AH97" s="10" t="str">
        <f t="shared" si="290"/>
        <v xml:space="preserve"> </v>
      </c>
      <c r="AI97" s="10" t="str">
        <f t="shared" si="290"/>
        <v xml:space="preserve"> </v>
      </c>
      <c r="AJ97" s="10" t="str">
        <f t="shared" si="290"/>
        <v xml:space="preserve"> </v>
      </c>
      <c r="AK97" s="10" t="str">
        <f t="shared" si="290"/>
        <v xml:space="preserve"> </v>
      </c>
      <c r="AL97" s="10" t="str">
        <f t="shared" si="290"/>
        <v xml:space="preserve"> </v>
      </c>
      <c r="AM97" s="14"/>
      <c r="AN97" s="14"/>
      <c r="AO97" s="10" t="str">
        <f t="shared" si="291"/>
        <v xml:space="preserve"> </v>
      </c>
      <c r="AP97" s="10" t="str">
        <f t="shared" si="291"/>
        <v xml:space="preserve"> </v>
      </c>
      <c r="AQ97" s="10" t="str">
        <f t="shared" si="291"/>
        <v xml:space="preserve"> </v>
      </c>
      <c r="AR97" s="10" t="str">
        <f t="shared" si="291"/>
        <v xml:space="preserve"> </v>
      </c>
      <c r="AS97" s="10" t="str">
        <f t="shared" si="291"/>
        <v xml:space="preserve"> </v>
      </c>
      <c r="AT97" s="14"/>
      <c r="AU97" s="14"/>
      <c r="AV97" s="10" t="str">
        <f t="shared" si="292"/>
        <v xml:space="preserve"> </v>
      </c>
      <c r="AW97" s="10" t="str">
        <f t="shared" si="292"/>
        <v xml:space="preserve"> </v>
      </c>
      <c r="AX97" s="10" t="str">
        <f t="shared" si="292"/>
        <v xml:space="preserve"> </v>
      </c>
      <c r="AY97" s="10" t="str">
        <f t="shared" si="292"/>
        <v xml:space="preserve"> </v>
      </c>
      <c r="AZ97" s="10" t="str">
        <f t="shared" si="292"/>
        <v xml:space="preserve"> </v>
      </c>
      <c r="BA97" s="14"/>
      <c r="BB97" s="14"/>
      <c r="BC97" s="10" t="str">
        <f t="shared" si="293"/>
        <v xml:space="preserve"> </v>
      </c>
      <c r="BD97" s="10" t="str">
        <f t="shared" si="293"/>
        <v xml:space="preserve"> </v>
      </c>
      <c r="BE97" s="10" t="str">
        <f t="shared" si="293"/>
        <v xml:space="preserve"> </v>
      </c>
      <c r="BF97" s="10" t="str">
        <f t="shared" si="293"/>
        <v xml:space="preserve"> </v>
      </c>
      <c r="BG97" s="10" t="str">
        <f t="shared" si="293"/>
        <v xml:space="preserve"> </v>
      </c>
      <c r="BH97" s="14"/>
      <c r="BI97" s="14"/>
      <c r="BJ97" s="10" t="str">
        <f t="shared" si="294"/>
        <v xml:space="preserve"> </v>
      </c>
      <c r="BK97" s="10" t="str">
        <f t="shared" si="294"/>
        <v xml:space="preserve"> </v>
      </c>
      <c r="BL97" s="10" t="str">
        <f t="shared" si="294"/>
        <v xml:space="preserve"> </v>
      </c>
      <c r="BM97" s="10" t="str">
        <f t="shared" si="294"/>
        <v xml:space="preserve"> </v>
      </c>
      <c r="BN97" s="10" t="str">
        <f t="shared" si="294"/>
        <v xml:space="preserve"> </v>
      </c>
      <c r="BO97" s="14"/>
      <c r="BP97" s="14"/>
      <c r="BQ97" s="10" t="str">
        <f t="shared" si="295"/>
        <v xml:space="preserve"> </v>
      </c>
      <c r="BR97" s="10" t="str">
        <f t="shared" si="295"/>
        <v xml:space="preserve"> </v>
      </c>
      <c r="BS97" s="10" t="str">
        <f t="shared" si="295"/>
        <v xml:space="preserve"> </v>
      </c>
      <c r="BT97" s="10" t="str">
        <f t="shared" si="295"/>
        <v xml:space="preserve"> </v>
      </c>
      <c r="BU97" s="10" t="str">
        <f t="shared" si="295"/>
        <v xml:space="preserve"> </v>
      </c>
      <c r="BV97" s="14"/>
      <c r="BW97" s="14"/>
      <c r="BX97" s="10" t="str">
        <f t="shared" si="296"/>
        <v xml:space="preserve"> </v>
      </c>
      <c r="BY97" s="10" t="str">
        <f t="shared" si="296"/>
        <v xml:space="preserve"> </v>
      </c>
      <c r="BZ97" s="10" t="str">
        <f t="shared" si="296"/>
        <v xml:space="preserve"> </v>
      </c>
      <c r="CA97" s="10" t="str">
        <f t="shared" si="296"/>
        <v xml:space="preserve"> </v>
      </c>
      <c r="CB97" s="10" t="str">
        <f t="shared" si="296"/>
        <v xml:space="preserve"> </v>
      </c>
      <c r="CC97" s="14"/>
      <c r="CD97" s="14"/>
      <c r="CE97" s="10" t="str">
        <f t="shared" si="297"/>
        <v xml:space="preserve"> </v>
      </c>
      <c r="CF97" s="10" t="str">
        <f t="shared" si="297"/>
        <v xml:space="preserve"> </v>
      </c>
      <c r="CG97" s="10" t="str">
        <f t="shared" si="297"/>
        <v xml:space="preserve"> </v>
      </c>
      <c r="CH97" s="10" t="str">
        <f t="shared" si="297"/>
        <v xml:space="preserve"> </v>
      </c>
      <c r="CI97" s="10" t="str">
        <f t="shared" si="297"/>
        <v xml:space="preserve"> </v>
      </c>
      <c r="CJ97" s="14"/>
      <c r="CK97" s="14"/>
      <c r="CL97" s="10" t="str">
        <f t="shared" si="298"/>
        <v xml:space="preserve"> </v>
      </c>
      <c r="CM97" s="10" t="str">
        <f t="shared" si="298"/>
        <v xml:space="preserve"> </v>
      </c>
      <c r="CN97" s="10" t="str">
        <f t="shared" si="298"/>
        <v xml:space="preserve"> </v>
      </c>
      <c r="CO97" s="10" t="str">
        <f t="shared" si="298"/>
        <v xml:space="preserve"> </v>
      </c>
      <c r="CP97" s="10" t="str">
        <f t="shared" si="298"/>
        <v xml:space="preserve"> </v>
      </c>
      <c r="CQ97" s="14"/>
      <c r="CR97" s="14"/>
      <c r="CS97" s="10" t="str">
        <f t="shared" si="299"/>
        <v xml:space="preserve"> </v>
      </c>
      <c r="CT97" s="10" t="str">
        <f t="shared" si="299"/>
        <v xml:space="preserve"> </v>
      </c>
      <c r="CU97" s="10" t="str">
        <f t="shared" si="299"/>
        <v xml:space="preserve"> </v>
      </c>
      <c r="CV97" s="10" t="str">
        <f t="shared" si="299"/>
        <v xml:space="preserve"> </v>
      </c>
      <c r="CW97" s="10" t="str">
        <f t="shared" si="299"/>
        <v xml:space="preserve"> </v>
      </c>
      <c r="CZ97" s="10" t="str">
        <f t="shared" si="300"/>
        <v xml:space="preserve"> </v>
      </c>
      <c r="DA97" s="10" t="str">
        <f t="shared" si="300"/>
        <v xml:space="preserve"> </v>
      </c>
      <c r="DB97" s="10" t="str">
        <f t="shared" si="300"/>
        <v xml:space="preserve"> </v>
      </c>
      <c r="DC97" s="10" t="str">
        <f t="shared" si="300"/>
        <v xml:space="preserve"> </v>
      </c>
      <c r="DD97" s="10" t="str">
        <f t="shared" si="300"/>
        <v xml:space="preserve"> </v>
      </c>
      <c r="DG97" s="10" t="str">
        <f t="shared" si="301"/>
        <v xml:space="preserve"> </v>
      </c>
      <c r="DH97" s="10" t="str">
        <f t="shared" si="301"/>
        <v xml:space="preserve"> </v>
      </c>
      <c r="DI97" s="10" t="str">
        <f t="shared" si="301"/>
        <v xml:space="preserve"> </v>
      </c>
      <c r="DJ97" s="10" t="str">
        <f t="shared" si="301"/>
        <v xml:space="preserve"> </v>
      </c>
      <c r="DK97" s="10" t="str">
        <f t="shared" si="301"/>
        <v xml:space="preserve"> </v>
      </c>
      <c r="DN97" s="10" t="str">
        <f t="shared" si="302"/>
        <v xml:space="preserve"> </v>
      </c>
      <c r="DO97" s="10" t="str">
        <f t="shared" si="302"/>
        <v xml:space="preserve"> </v>
      </c>
      <c r="DP97" s="10" t="str">
        <f t="shared" si="302"/>
        <v xml:space="preserve"> </v>
      </c>
      <c r="DQ97" s="10" t="str">
        <f t="shared" si="302"/>
        <v xml:space="preserve"> </v>
      </c>
      <c r="DR97" s="10" t="str">
        <f t="shared" si="302"/>
        <v xml:space="preserve"> </v>
      </c>
      <c r="DU97" s="10" t="str">
        <f t="shared" si="303"/>
        <v xml:space="preserve"> </v>
      </c>
      <c r="DV97" s="10" t="str">
        <f t="shared" si="303"/>
        <v xml:space="preserve"> </v>
      </c>
      <c r="DW97" s="10" t="str">
        <f t="shared" si="303"/>
        <v xml:space="preserve"> </v>
      </c>
      <c r="DX97" s="10" t="str">
        <f t="shared" si="303"/>
        <v xml:space="preserve"> </v>
      </c>
      <c r="DY97" s="10" t="str">
        <f t="shared" si="303"/>
        <v xml:space="preserve"> </v>
      </c>
      <c r="EB97" s="10" t="str">
        <f t="shared" si="304"/>
        <v xml:space="preserve"> </v>
      </c>
      <c r="EC97" s="10" t="str">
        <f t="shared" si="304"/>
        <v xml:space="preserve"> </v>
      </c>
      <c r="ED97" s="10" t="str">
        <f t="shared" si="304"/>
        <v xml:space="preserve"> </v>
      </c>
      <c r="EE97" s="10" t="str">
        <f t="shared" si="304"/>
        <v xml:space="preserve"> </v>
      </c>
      <c r="EF97" s="10" t="str">
        <f t="shared" si="304"/>
        <v xml:space="preserve"> </v>
      </c>
      <c r="EI97" s="10" t="str">
        <f t="shared" si="305"/>
        <v xml:space="preserve"> </v>
      </c>
      <c r="EJ97" s="10" t="str">
        <f t="shared" si="305"/>
        <v xml:space="preserve"> </v>
      </c>
      <c r="EK97" s="10" t="str">
        <f t="shared" si="305"/>
        <v xml:space="preserve"> </v>
      </c>
      <c r="EL97" s="10" t="str">
        <f t="shared" si="305"/>
        <v xml:space="preserve"> </v>
      </c>
      <c r="EM97" s="10" t="str">
        <f t="shared" si="305"/>
        <v xml:space="preserve"> </v>
      </c>
      <c r="EP97" s="10" t="str">
        <f t="shared" si="306"/>
        <v xml:space="preserve"> </v>
      </c>
      <c r="EQ97" s="10" t="str">
        <f t="shared" si="306"/>
        <v xml:space="preserve"> </v>
      </c>
      <c r="ER97" s="10" t="str">
        <f t="shared" si="306"/>
        <v xml:space="preserve"> </v>
      </c>
      <c r="ES97" s="10" t="str">
        <f t="shared" si="306"/>
        <v xml:space="preserve"> </v>
      </c>
      <c r="ET97" s="10" t="str">
        <f t="shared" si="306"/>
        <v xml:space="preserve"> </v>
      </c>
      <c r="EW97" s="10" t="str">
        <f t="shared" si="307"/>
        <v xml:space="preserve"> </v>
      </c>
      <c r="EX97" s="10" t="str">
        <f t="shared" si="307"/>
        <v xml:space="preserve"> </v>
      </c>
      <c r="EY97" s="10" t="str">
        <f t="shared" si="307"/>
        <v xml:space="preserve"> </v>
      </c>
      <c r="EZ97" s="10" t="str">
        <f t="shared" si="307"/>
        <v xml:space="preserve"> </v>
      </c>
      <c r="FA97" s="10" t="str">
        <f t="shared" si="307"/>
        <v xml:space="preserve"> </v>
      </c>
      <c r="FD97" s="10" t="str">
        <f t="shared" si="308"/>
        <v xml:space="preserve"> </v>
      </c>
      <c r="FE97" s="10" t="str">
        <f t="shared" si="308"/>
        <v xml:space="preserve"> </v>
      </c>
      <c r="FF97" s="10" t="str">
        <f t="shared" si="308"/>
        <v xml:space="preserve"> </v>
      </c>
      <c r="FG97" s="10" t="str">
        <f t="shared" si="308"/>
        <v xml:space="preserve"> </v>
      </c>
      <c r="FH97" s="10" t="str">
        <f t="shared" si="308"/>
        <v xml:space="preserve"> </v>
      </c>
      <c r="FK97" s="10" t="str">
        <f t="shared" si="309"/>
        <v xml:space="preserve"> </v>
      </c>
      <c r="FL97" s="10" t="str">
        <f t="shared" si="309"/>
        <v xml:space="preserve"> </v>
      </c>
      <c r="FM97" s="10" t="str">
        <f t="shared" si="309"/>
        <v xml:space="preserve"> </v>
      </c>
      <c r="FN97" s="10" t="str">
        <f t="shared" si="309"/>
        <v xml:space="preserve"> </v>
      </c>
      <c r="FO97" s="10" t="str">
        <f t="shared" si="309"/>
        <v xml:space="preserve"> </v>
      </c>
      <c r="FR97" s="10" t="str">
        <f t="shared" si="310"/>
        <v xml:space="preserve"> </v>
      </c>
      <c r="FS97" s="10" t="str">
        <f t="shared" si="310"/>
        <v xml:space="preserve"> </v>
      </c>
      <c r="FT97" s="10" t="str">
        <f t="shared" si="310"/>
        <v xml:space="preserve"> </v>
      </c>
      <c r="FU97" s="10" t="str">
        <f t="shared" si="310"/>
        <v xml:space="preserve"> </v>
      </c>
      <c r="FV97" s="10" t="str">
        <f t="shared" si="310"/>
        <v xml:space="preserve"> </v>
      </c>
      <c r="FY97" s="10" t="str">
        <f t="shared" si="311"/>
        <v xml:space="preserve"> </v>
      </c>
      <c r="FZ97" s="10" t="str">
        <f t="shared" si="311"/>
        <v xml:space="preserve"> </v>
      </c>
      <c r="GA97" s="10" t="str">
        <f t="shared" si="311"/>
        <v xml:space="preserve"> </v>
      </c>
      <c r="GB97" s="10" t="str">
        <f t="shared" si="311"/>
        <v xml:space="preserve"> </v>
      </c>
      <c r="GC97" s="10" t="str">
        <f t="shared" si="311"/>
        <v xml:space="preserve"> </v>
      </c>
      <c r="GF97" s="10" t="str">
        <f t="shared" si="312"/>
        <v xml:space="preserve"> </v>
      </c>
      <c r="GG97" s="10" t="str">
        <f t="shared" si="312"/>
        <v xml:space="preserve"> </v>
      </c>
      <c r="GH97" s="10" t="str">
        <f t="shared" si="312"/>
        <v xml:space="preserve"> </v>
      </c>
      <c r="GI97" s="10" t="str">
        <f t="shared" si="312"/>
        <v xml:space="preserve"> </v>
      </c>
      <c r="GJ97" s="10" t="str">
        <f t="shared" si="312"/>
        <v xml:space="preserve"> </v>
      </c>
      <c r="GM97" s="10" t="str">
        <f t="shared" si="313"/>
        <v xml:space="preserve"> </v>
      </c>
      <c r="GN97" s="10" t="str">
        <f t="shared" si="313"/>
        <v xml:space="preserve"> </v>
      </c>
      <c r="GO97" s="10" t="str">
        <f t="shared" si="313"/>
        <v xml:space="preserve"> </v>
      </c>
      <c r="GP97" s="10" t="str">
        <f t="shared" si="313"/>
        <v xml:space="preserve"> </v>
      </c>
      <c r="GQ97" s="10" t="str">
        <f t="shared" si="313"/>
        <v xml:space="preserve"> </v>
      </c>
      <c r="GT97" s="10" t="str">
        <f t="shared" si="314"/>
        <v xml:space="preserve"> </v>
      </c>
      <c r="GU97" s="10" t="str">
        <f t="shared" si="314"/>
        <v xml:space="preserve"> </v>
      </c>
      <c r="GV97" s="10" t="str">
        <f t="shared" si="314"/>
        <v xml:space="preserve"> </v>
      </c>
      <c r="GW97" s="10" t="str">
        <f t="shared" si="314"/>
        <v xml:space="preserve"> </v>
      </c>
      <c r="GX97" s="10" t="str">
        <f t="shared" si="314"/>
        <v xml:space="preserve"> </v>
      </c>
      <c r="HA97" s="10" t="str">
        <f t="shared" si="315"/>
        <v xml:space="preserve"> </v>
      </c>
      <c r="HB97" s="10" t="str">
        <f t="shared" si="315"/>
        <v xml:space="preserve"> </v>
      </c>
      <c r="HC97" s="10" t="str">
        <f t="shared" si="315"/>
        <v xml:space="preserve"> </v>
      </c>
      <c r="HD97" s="10" t="str">
        <f t="shared" si="315"/>
        <v xml:space="preserve"> </v>
      </c>
      <c r="HE97" s="10" t="str">
        <f t="shared" si="315"/>
        <v xml:space="preserve"> </v>
      </c>
      <c r="HH97" s="10" t="str">
        <f t="shared" si="316"/>
        <v xml:space="preserve"> </v>
      </c>
      <c r="HI97" s="10" t="str">
        <f t="shared" si="316"/>
        <v xml:space="preserve"> </v>
      </c>
      <c r="HJ97" s="10" t="str">
        <f t="shared" si="316"/>
        <v xml:space="preserve"> </v>
      </c>
      <c r="HK97" s="10" t="str">
        <f t="shared" si="316"/>
        <v xml:space="preserve"> </v>
      </c>
      <c r="HL97" s="10" t="str">
        <f t="shared" si="316"/>
        <v xml:space="preserve"> </v>
      </c>
      <c r="HO97" s="10" t="str">
        <f t="shared" si="317"/>
        <v xml:space="preserve"> </v>
      </c>
      <c r="HP97" s="10" t="str">
        <f t="shared" si="317"/>
        <v xml:space="preserve"> </v>
      </c>
      <c r="HQ97" s="10" t="str">
        <f t="shared" si="317"/>
        <v xml:space="preserve"> </v>
      </c>
      <c r="HR97" s="10" t="str">
        <f t="shared" si="317"/>
        <v xml:space="preserve"> </v>
      </c>
      <c r="HS97" s="10" t="str">
        <f t="shared" si="317"/>
        <v xml:space="preserve"> </v>
      </c>
      <c r="HV97" s="10" t="str">
        <f t="shared" si="318"/>
        <v xml:space="preserve"> </v>
      </c>
      <c r="HW97" s="10" t="str">
        <f t="shared" si="318"/>
        <v xml:space="preserve"> </v>
      </c>
      <c r="HX97" s="10" t="str">
        <f t="shared" si="318"/>
        <v xml:space="preserve"> </v>
      </c>
      <c r="HY97" s="10" t="str">
        <f t="shared" si="318"/>
        <v xml:space="preserve"> </v>
      </c>
      <c r="HZ97" s="10" t="str">
        <f t="shared" si="318"/>
        <v xml:space="preserve"> </v>
      </c>
      <c r="IC97" s="10" t="str">
        <f t="shared" si="319"/>
        <v xml:space="preserve"> </v>
      </c>
      <c r="ID97" s="10" t="str">
        <f t="shared" si="319"/>
        <v xml:space="preserve"> </v>
      </c>
      <c r="IE97" s="10" t="str">
        <f t="shared" si="319"/>
        <v xml:space="preserve"> </v>
      </c>
      <c r="IF97" s="10" t="str">
        <f t="shared" si="319"/>
        <v xml:space="preserve"> </v>
      </c>
      <c r="IG97" s="10" t="str">
        <f t="shared" si="319"/>
        <v xml:space="preserve"> </v>
      </c>
      <c r="IJ97" s="10" t="str">
        <f t="shared" si="320"/>
        <v xml:space="preserve"> </v>
      </c>
      <c r="IK97" s="10" t="str">
        <f t="shared" si="320"/>
        <v xml:space="preserve"> </v>
      </c>
      <c r="IL97" s="10" t="str">
        <f t="shared" si="320"/>
        <v xml:space="preserve"> </v>
      </c>
      <c r="IM97" s="10" t="str">
        <f t="shared" si="320"/>
        <v xml:space="preserve"> </v>
      </c>
      <c r="IN97" s="10" t="str">
        <f t="shared" si="320"/>
        <v xml:space="preserve"> </v>
      </c>
      <c r="IQ97" s="10" t="str">
        <f t="shared" si="321"/>
        <v xml:space="preserve"> </v>
      </c>
      <c r="IR97" s="10" t="str">
        <f t="shared" si="321"/>
        <v xml:space="preserve"> </v>
      </c>
      <c r="IS97" s="10" t="str">
        <f t="shared" si="321"/>
        <v xml:space="preserve"> </v>
      </c>
      <c r="IT97" s="10" t="str">
        <f t="shared" si="321"/>
        <v xml:space="preserve"> </v>
      </c>
      <c r="IU97" s="10" t="str">
        <f t="shared" si="321"/>
        <v xml:space="preserve"> </v>
      </c>
      <c r="IX97" s="10" t="str">
        <f t="shared" si="322"/>
        <v xml:space="preserve"> </v>
      </c>
      <c r="IY97" s="10" t="str">
        <f t="shared" si="322"/>
        <v xml:space="preserve"> </v>
      </c>
      <c r="IZ97" s="10" t="str">
        <f t="shared" si="322"/>
        <v xml:space="preserve"> </v>
      </c>
      <c r="JA97" s="10" t="str">
        <f t="shared" si="322"/>
        <v xml:space="preserve"> </v>
      </c>
      <c r="JB97" s="10" t="str">
        <f t="shared" si="322"/>
        <v xml:space="preserve"> </v>
      </c>
      <c r="JE97" s="10" t="str">
        <f t="shared" si="323"/>
        <v xml:space="preserve"> </v>
      </c>
      <c r="JF97" s="10" t="str">
        <f t="shared" si="323"/>
        <v xml:space="preserve"> </v>
      </c>
      <c r="JG97" s="10" t="str">
        <f t="shared" si="323"/>
        <v xml:space="preserve"> </v>
      </c>
      <c r="JH97" s="10" t="str">
        <f t="shared" si="323"/>
        <v xml:space="preserve"> </v>
      </c>
      <c r="JI97" s="10" t="str">
        <f t="shared" si="323"/>
        <v xml:space="preserve"> </v>
      </c>
    </row>
    <row r="98" spans="13:269">
      <c r="M98" s="10" t="str">
        <f t="shared" si="324"/>
        <v xml:space="preserve"> </v>
      </c>
      <c r="N98" s="10" t="str">
        <f t="shared" si="324"/>
        <v xml:space="preserve"> </v>
      </c>
      <c r="O98" s="10" t="str">
        <f t="shared" si="324"/>
        <v xml:space="preserve"> </v>
      </c>
      <c r="P98" s="10" t="str">
        <f t="shared" si="324"/>
        <v xml:space="preserve"> </v>
      </c>
      <c r="Q98" s="10" t="str">
        <f t="shared" si="324"/>
        <v xml:space="preserve"> </v>
      </c>
      <c r="R98" s="14"/>
      <c r="S98" s="14"/>
      <c r="T98" s="10" t="str">
        <f t="shared" si="288"/>
        <v xml:space="preserve"> </v>
      </c>
      <c r="U98" s="10" t="str">
        <f t="shared" si="288"/>
        <v xml:space="preserve"> </v>
      </c>
      <c r="V98" s="10" t="str">
        <f t="shared" si="288"/>
        <v xml:space="preserve"> </v>
      </c>
      <c r="W98" s="10" t="str">
        <f t="shared" si="288"/>
        <v xml:space="preserve"> </v>
      </c>
      <c r="X98" s="10" t="str">
        <f t="shared" si="288"/>
        <v xml:space="preserve"> </v>
      </c>
      <c r="Y98" s="14"/>
      <c r="Z98" s="14"/>
      <c r="AA98" s="10" t="str">
        <f t="shared" si="289"/>
        <v xml:space="preserve"> </v>
      </c>
      <c r="AB98" s="10" t="str">
        <f t="shared" si="289"/>
        <v xml:space="preserve"> </v>
      </c>
      <c r="AC98" s="10" t="str">
        <f t="shared" si="289"/>
        <v xml:space="preserve"> </v>
      </c>
      <c r="AD98" s="10" t="str">
        <f t="shared" si="289"/>
        <v xml:space="preserve"> </v>
      </c>
      <c r="AE98" s="10" t="str">
        <f t="shared" si="289"/>
        <v xml:space="preserve"> </v>
      </c>
      <c r="AF98" s="14"/>
      <c r="AG98" s="14"/>
      <c r="AH98" s="10" t="str">
        <f t="shared" si="290"/>
        <v xml:space="preserve"> </v>
      </c>
      <c r="AI98" s="10" t="str">
        <f t="shared" si="290"/>
        <v xml:space="preserve"> </v>
      </c>
      <c r="AJ98" s="10" t="str">
        <f t="shared" si="290"/>
        <v xml:space="preserve"> </v>
      </c>
      <c r="AK98" s="10" t="str">
        <f t="shared" si="290"/>
        <v xml:space="preserve"> </v>
      </c>
      <c r="AL98" s="10" t="str">
        <f t="shared" si="290"/>
        <v xml:space="preserve"> </v>
      </c>
      <c r="AM98" s="14"/>
      <c r="AN98" s="14"/>
      <c r="AO98" s="10" t="str">
        <f t="shared" si="291"/>
        <v xml:space="preserve"> </v>
      </c>
      <c r="AP98" s="10" t="str">
        <f t="shared" si="291"/>
        <v xml:space="preserve"> </v>
      </c>
      <c r="AQ98" s="10" t="str">
        <f t="shared" si="291"/>
        <v xml:space="preserve"> </v>
      </c>
      <c r="AR98" s="10" t="str">
        <f t="shared" si="291"/>
        <v xml:space="preserve"> </v>
      </c>
      <c r="AS98" s="10" t="str">
        <f t="shared" si="291"/>
        <v xml:space="preserve"> </v>
      </c>
      <c r="AT98" s="14"/>
      <c r="AU98" s="14"/>
      <c r="AV98" s="10" t="str">
        <f t="shared" si="292"/>
        <v xml:space="preserve"> </v>
      </c>
      <c r="AW98" s="10" t="str">
        <f t="shared" si="292"/>
        <v xml:space="preserve"> </v>
      </c>
      <c r="AX98" s="10" t="str">
        <f t="shared" si="292"/>
        <v xml:space="preserve"> </v>
      </c>
      <c r="AY98" s="10" t="str">
        <f t="shared" si="292"/>
        <v xml:space="preserve"> </v>
      </c>
      <c r="AZ98" s="10" t="str">
        <f t="shared" si="292"/>
        <v xml:space="preserve"> </v>
      </c>
      <c r="BA98" s="14"/>
      <c r="BB98" s="14"/>
      <c r="BC98" s="10" t="str">
        <f t="shared" si="293"/>
        <v xml:space="preserve"> </v>
      </c>
      <c r="BD98" s="10" t="str">
        <f t="shared" si="293"/>
        <v xml:space="preserve"> </v>
      </c>
      <c r="BE98" s="10" t="str">
        <f t="shared" si="293"/>
        <v xml:space="preserve"> </v>
      </c>
      <c r="BF98" s="10" t="str">
        <f t="shared" si="293"/>
        <v xml:space="preserve"> </v>
      </c>
      <c r="BG98" s="10" t="str">
        <f t="shared" si="293"/>
        <v xml:space="preserve"> </v>
      </c>
      <c r="BH98" s="14"/>
      <c r="BI98" s="14"/>
      <c r="BJ98" s="10" t="str">
        <f t="shared" si="294"/>
        <v xml:space="preserve"> </v>
      </c>
      <c r="BK98" s="10" t="str">
        <f t="shared" si="294"/>
        <v xml:space="preserve"> </v>
      </c>
      <c r="BL98" s="10" t="str">
        <f t="shared" si="294"/>
        <v xml:space="preserve"> </v>
      </c>
      <c r="BM98" s="10" t="str">
        <f t="shared" si="294"/>
        <v xml:space="preserve"> </v>
      </c>
      <c r="BN98" s="10" t="str">
        <f t="shared" si="294"/>
        <v xml:space="preserve"> </v>
      </c>
      <c r="BO98" s="14"/>
      <c r="BP98" s="14"/>
      <c r="BQ98" s="10" t="str">
        <f t="shared" si="295"/>
        <v xml:space="preserve"> </v>
      </c>
      <c r="BR98" s="10" t="str">
        <f t="shared" si="295"/>
        <v xml:space="preserve"> </v>
      </c>
      <c r="BS98" s="10" t="str">
        <f t="shared" si="295"/>
        <v xml:space="preserve"> </v>
      </c>
      <c r="BT98" s="10" t="str">
        <f t="shared" si="295"/>
        <v xml:space="preserve"> </v>
      </c>
      <c r="BU98" s="10" t="str">
        <f t="shared" si="295"/>
        <v xml:space="preserve"> </v>
      </c>
      <c r="BV98" s="14"/>
      <c r="BW98" s="14"/>
      <c r="BX98" s="10" t="str">
        <f t="shared" si="296"/>
        <v xml:space="preserve"> </v>
      </c>
      <c r="BY98" s="10" t="str">
        <f t="shared" si="296"/>
        <v xml:space="preserve"> </v>
      </c>
      <c r="BZ98" s="10" t="str">
        <f t="shared" si="296"/>
        <v xml:space="preserve"> </v>
      </c>
      <c r="CA98" s="10" t="str">
        <f t="shared" si="296"/>
        <v xml:space="preserve"> </v>
      </c>
      <c r="CB98" s="10" t="str">
        <f t="shared" si="296"/>
        <v xml:space="preserve"> </v>
      </c>
      <c r="CC98" s="14"/>
      <c r="CD98" s="14"/>
      <c r="CE98" s="10" t="str">
        <f t="shared" si="297"/>
        <v xml:space="preserve"> </v>
      </c>
      <c r="CF98" s="10" t="str">
        <f t="shared" si="297"/>
        <v xml:space="preserve"> </v>
      </c>
      <c r="CG98" s="10" t="str">
        <f t="shared" si="297"/>
        <v xml:space="preserve"> </v>
      </c>
      <c r="CH98" s="10" t="str">
        <f t="shared" si="297"/>
        <v xml:space="preserve"> </v>
      </c>
      <c r="CI98" s="10" t="str">
        <f t="shared" si="297"/>
        <v xml:space="preserve"> </v>
      </c>
      <c r="CJ98" s="14"/>
      <c r="CK98" s="14"/>
      <c r="CL98" s="10" t="str">
        <f t="shared" si="298"/>
        <v xml:space="preserve"> </v>
      </c>
      <c r="CM98" s="10" t="str">
        <f t="shared" si="298"/>
        <v xml:space="preserve"> </v>
      </c>
      <c r="CN98" s="10" t="str">
        <f t="shared" si="298"/>
        <v xml:space="preserve"> </v>
      </c>
      <c r="CO98" s="10" t="str">
        <f t="shared" si="298"/>
        <v xml:space="preserve"> </v>
      </c>
      <c r="CP98" s="10" t="str">
        <f t="shared" si="298"/>
        <v xml:space="preserve"> </v>
      </c>
      <c r="CQ98" s="14"/>
      <c r="CR98" s="14"/>
      <c r="CS98" s="10" t="str">
        <f t="shared" si="299"/>
        <v xml:space="preserve"> </v>
      </c>
      <c r="CT98" s="10" t="str">
        <f t="shared" si="299"/>
        <v xml:space="preserve"> </v>
      </c>
      <c r="CU98" s="10" t="str">
        <f t="shared" si="299"/>
        <v xml:space="preserve"> </v>
      </c>
      <c r="CV98" s="10" t="str">
        <f t="shared" si="299"/>
        <v xml:space="preserve"> </v>
      </c>
      <c r="CW98" s="10" t="str">
        <f t="shared" si="299"/>
        <v xml:space="preserve"> </v>
      </c>
      <c r="CZ98" s="10" t="str">
        <f t="shared" si="300"/>
        <v xml:space="preserve"> </v>
      </c>
      <c r="DA98" s="10" t="str">
        <f t="shared" si="300"/>
        <v xml:space="preserve"> </v>
      </c>
      <c r="DB98" s="10" t="str">
        <f t="shared" si="300"/>
        <v xml:space="preserve"> </v>
      </c>
      <c r="DC98" s="10" t="str">
        <f t="shared" si="300"/>
        <v xml:space="preserve"> </v>
      </c>
      <c r="DD98" s="10" t="str">
        <f t="shared" si="300"/>
        <v xml:space="preserve"> </v>
      </c>
      <c r="DG98" s="10" t="str">
        <f t="shared" si="301"/>
        <v xml:space="preserve"> </v>
      </c>
      <c r="DH98" s="10" t="str">
        <f t="shared" si="301"/>
        <v xml:space="preserve"> </v>
      </c>
      <c r="DI98" s="10" t="str">
        <f t="shared" si="301"/>
        <v xml:space="preserve"> </v>
      </c>
      <c r="DJ98" s="10" t="str">
        <f t="shared" si="301"/>
        <v xml:space="preserve"> </v>
      </c>
      <c r="DK98" s="10" t="str">
        <f t="shared" si="301"/>
        <v xml:space="preserve"> </v>
      </c>
      <c r="DN98" s="10" t="str">
        <f t="shared" si="302"/>
        <v xml:space="preserve"> </v>
      </c>
      <c r="DO98" s="10" t="str">
        <f t="shared" si="302"/>
        <v xml:space="preserve"> </v>
      </c>
      <c r="DP98" s="10" t="str">
        <f t="shared" si="302"/>
        <v xml:space="preserve"> </v>
      </c>
      <c r="DQ98" s="10" t="str">
        <f t="shared" si="302"/>
        <v xml:space="preserve"> </v>
      </c>
      <c r="DR98" s="10" t="str">
        <f t="shared" si="302"/>
        <v xml:space="preserve"> </v>
      </c>
      <c r="DU98" s="10" t="str">
        <f t="shared" si="303"/>
        <v xml:space="preserve"> </v>
      </c>
      <c r="DV98" s="10" t="str">
        <f t="shared" si="303"/>
        <v xml:space="preserve"> </v>
      </c>
      <c r="DW98" s="10" t="str">
        <f t="shared" si="303"/>
        <v xml:space="preserve"> </v>
      </c>
      <c r="DX98" s="10" t="str">
        <f t="shared" si="303"/>
        <v xml:space="preserve"> </v>
      </c>
      <c r="DY98" s="10" t="str">
        <f t="shared" si="303"/>
        <v xml:space="preserve"> </v>
      </c>
      <c r="EB98" s="10" t="str">
        <f t="shared" si="304"/>
        <v xml:space="preserve"> </v>
      </c>
      <c r="EC98" s="10" t="str">
        <f t="shared" si="304"/>
        <v xml:space="preserve"> </v>
      </c>
      <c r="ED98" s="10" t="str">
        <f t="shared" si="304"/>
        <v xml:space="preserve"> </v>
      </c>
      <c r="EE98" s="10" t="str">
        <f t="shared" si="304"/>
        <v xml:space="preserve"> </v>
      </c>
      <c r="EF98" s="10" t="str">
        <f t="shared" si="304"/>
        <v xml:space="preserve"> </v>
      </c>
      <c r="EI98" s="10" t="str">
        <f t="shared" si="305"/>
        <v xml:space="preserve"> </v>
      </c>
      <c r="EJ98" s="10" t="str">
        <f t="shared" si="305"/>
        <v xml:space="preserve"> </v>
      </c>
      <c r="EK98" s="10" t="str">
        <f t="shared" si="305"/>
        <v xml:space="preserve"> </v>
      </c>
      <c r="EL98" s="10" t="str">
        <f t="shared" si="305"/>
        <v xml:space="preserve"> </v>
      </c>
      <c r="EM98" s="10" t="str">
        <f t="shared" si="305"/>
        <v xml:space="preserve"> </v>
      </c>
      <c r="EP98" s="10" t="str">
        <f t="shared" si="306"/>
        <v xml:space="preserve"> </v>
      </c>
      <c r="EQ98" s="10" t="str">
        <f t="shared" si="306"/>
        <v xml:space="preserve"> </v>
      </c>
      <c r="ER98" s="10" t="str">
        <f t="shared" si="306"/>
        <v xml:space="preserve"> </v>
      </c>
      <c r="ES98" s="10" t="str">
        <f t="shared" si="306"/>
        <v xml:space="preserve"> </v>
      </c>
      <c r="ET98" s="10" t="str">
        <f t="shared" si="306"/>
        <v xml:space="preserve"> </v>
      </c>
      <c r="EW98" s="10" t="str">
        <f t="shared" si="307"/>
        <v xml:space="preserve"> </v>
      </c>
      <c r="EX98" s="10" t="str">
        <f t="shared" si="307"/>
        <v xml:space="preserve"> </v>
      </c>
      <c r="EY98" s="10" t="str">
        <f t="shared" si="307"/>
        <v xml:space="preserve"> </v>
      </c>
      <c r="EZ98" s="10" t="str">
        <f t="shared" si="307"/>
        <v xml:space="preserve"> </v>
      </c>
      <c r="FA98" s="10" t="str">
        <f t="shared" si="307"/>
        <v xml:space="preserve"> </v>
      </c>
      <c r="FD98" s="10" t="str">
        <f t="shared" si="308"/>
        <v xml:space="preserve"> </v>
      </c>
      <c r="FE98" s="10" t="str">
        <f t="shared" si="308"/>
        <v xml:space="preserve"> </v>
      </c>
      <c r="FF98" s="10" t="str">
        <f t="shared" si="308"/>
        <v xml:space="preserve"> </v>
      </c>
      <c r="FG98" s="10" t="str">
        <f t="shared" si="308"/>
        <v xml:space="preserve"> </v>
      </c>
      <c r="FH98" s="10" t="str">
        <f t="shared" si="308"/>
        <v xml:space="preserve"> </v>
      </c>
      <c r="FK98" s="10" t="str">
        <f t="shared" si="309"/>
        <v xml:space="preserve"> </v>
      </c>
      <c r="FL98" s="10" t="str">
        <f t="shared" si="309"/>
        <v xml:space="preserve"> </v>
      </c>
      <c r="FM98" s="10" t="str">
        <f t="shared" si="309"/>
        <v xml:space="preserve"> </v>
      </c>
      <c r="FN98" s="10" t="str">
        <f t="shared" si="309"/>
        <v xml:space="preserve"> </v>
      </c>
      <c r="FO98" s="10" t="str">
        <f t="shared" si="309"/>
        <v xml:space="preserve"> </v>
      </c>
      <c r="FR98" s="10" t="str">
        <f t="shared" si="310"/>
        <v xml:space="preserve"> </v>
      </c>
      <c r="FS98" s="10" t="str">
        <f t="shared" si="310"/>
        <v xml:space="preserve"> </v>
      </c>
      <c r="FT98" s="10" t="str">
        <f t="shared" si="310"/>
        <v xml:space="preserve"> </v>
      </c>
      <c r="FU98" s="10" t="str">
        <f t="shared" si="310"/>
        <v xml:space="preserve"> </v>
      </c>
      <c r="FV98" s="10" t="str">
        <f t="shared" si="310"/>
        <v xml:space="preserve"> </v>
      </c>
      <c r="FY98" s="10" t="str">
        <f t="shared" si="311"/>
        <v xml:space="preserve"> </v>
      </c>
      <c r="FZ98" s="10" t="str">
        <f t="shared" si="311"/>
        <v xml:space="preserve"> </v>
      </c>
      <c r="GA98" s="10" t="str">
        <f t="shared" si="311"/>
        <v xml:space="preserve"> </v>
      </c>
      <c r="GB98" s="10" t="str">
        <f t="shared" si="311"/>
        <v xml:space="preserve"> </v>
      </c>
      <c r="GC98" s="10" t="str">
        <f t="shared" si="311"/>
        <v xml:space="preserve"> </v>
      </c>
      <c r="GF98" s="10" t="str">
        <f t="shared" si="312"/>
        <v xml:space="preserve"> </v>
      </c>
      <c r="GG98" s="10" t="str">
        <f t="shared" si="312"/>
        <v xml:space="preserve"> </v>
      </c>
      <c r="GH98" s="10" t="str">
        <f t="shared" si="312"/>
        <v xml:space="preserve"> </v>
      </c>
      <c r="GI98" s="10" t="str">
        <f t="shared" si="312"/>
        <v xml:space="preserve"> </v>
      </c>
      <c r="GJ98" s="10" t="str">
        <f t="shared" si="312"/>
        <v xml:space="preserve"> </v>
      </c>
      <c r="GM98" s="10" t="str">
        <f t="shared" si="313"/>
        <v xml:space="preserve"> </v>
      </c>
      <c r="GN98" s="10" t="str">
        <f t="shared" si="313"/>
        <v xml:space="preserve"> </v>
      </c>
      <c r="GO98" s="10" t="str">
        <f t="shared" si="313"/>
        <v xml:space="preserve"> </v>
      </c>
      <c r="GP98" s="10" t="str">
        <f t="shared" si="313"/>
        <v xml:space="preserve"> </v>
      </c>
      <c r="GQ98" s="10" t="str">
        <f t="shared" si="313"/>
        <v xml:space="preserve"> </v>
      </c>
      <c r="GT98" s="10" t="str">
        <f t="shared" si="314"/>
        <v xml:space="preserve"> </v>
      </c>
      <c r="GU98" s="10" t="str">
        <f t="shared" si="314"/>
        <v xml:space="preserve"> </v>
      </c>
      <c r="GV98" s="10" t="str">
        <f t="shared" si="314"/>
        <v xml:space="preserve"> </v>
      </c>
      <c r="GW98" s="10" t="str">
        <f t="shared" si="314"/>
        <v xml:space="preserve"> </v>
      </c>
      <c r="GX98" s="10" t="str">
        <f t="shared" si="314"/>
        <v xml:space="preserve"> </v>
      </c>
      <c r="HA98" s="10" t="str">
        <f t="shared" si="315"/>
        <v xml:space="preserve"> </v>
      </c>
      <c r="HB98" s="10" t="str">
        <f t="shared" si="315"/>
        <v xml:space="preserve"> </v>
      </c>
      <c r="HC98" s="10" t="str">
        <f t="shared" si="315"/>
        <v xml:space="preserve"> </v>
      </c>
      <c r="HD98" s="10" t="str">
        <f t="shared" si="315"/>
        <v xml:space="preserve"> </v>
      </c>
      <c r="HE98" s="10" t="str">
        <f t="shared" si="315"/>
        <v xml:space="preserve"> </v>
      </c>
      <c r="HH98" s="10" t="str">
        <f t="shared" si="316"/>
        <v xml:space="preserve"> </v>
      </c>
      <c r="HI98" s="10" t="str">
        <f t="shared" si="316"/>
        <v xml:space="preserve"> </v>
      </c>
      <c r="HJ98" s="10" t="str">
        <f t="shared" si="316"/>
        <v xml:space="preserve"> </v>
      </c>
      <c r="HK98" s="10" t="str">
        <f t="shared" si="316"/>
        <v xml:space="preserve"> </v>
      </c>
      <c r="HL98" s="10" t="str">
        <f t="shared" si="316"/>
        <v xml:space="preserve"> </v>
      </c>
      <c r="HO98" s="10" t="str">
        <f t="shared" si="317"/>
        <v xml:space="preserve"> </v>
      </c>
      <c r="HP98" s="10" t="str">
        <f t="shared" si="317"/>
        <v xml:space="preserve"> </v>
      </c>
      <c r="HQ98" s="10" t="str">
        <f t="shared" si="317"/>
        <v xml:space="preserve"> </v>
      </c>
      <c r="HR98" s="10" t="str">
        <f t="shared" si="317"/>
        <v xml:space="preserve"> </v>
      </c>
      <c r="HS98" s="10" t="str">
        <f t="shared" si="317"/>
        <v xml:space="preserve"> </v>
      </c>
      <c r="HV98" s="10" t="str">
        <f t="shared" si="318"/>
        <v xml:space="preserve"> </v>
      </c>
      <c r="HW98" s="10" t="str">
        <f t="shared" si="318"/>
        <v xml:space="preserve"> </v>
      </c>
      <c r="HX98" s="10" t="str">
        <f t="shared" si="318"/>
        <v xml:space="preserve"> </v>
      </c>
      <c r="HY98" s="10" t="str">
        <f t="shared" si="318"/>
        <v xml:space="preserve"> </v>
      </c>
      <c r="HZ98" s="10" t="str">
        <f t="shared" si="318"/>
        <v xml:space="preserve"> </v>
      </c>
      <c r="IC98" s="10" t="str">
        <f t="shared" si="319"/>
        <v xml:space="preserve"> </v>
      </c>
      <c r="ID98" s="10" t="str">
        <f t="shared" si="319"/>
        <v xml:space="preserve"> </v>
      </c>
      <c r="IE98" s="10" t="str">
        <f t="shared" si="319"/>
        <v xml:space="preserve"> </v>
      </c>
      <c r="IF98" s="10" t="str">
        <f t="shared" si="319"/>
        <v xml:space="preserve"> </v>
      </c>
      <c r="IG98" s="10" t="str">
        <f t="shared" si="319"/>
        <v xml:space="preserve"> </v>
      </c>
      <c r="IJ98" s="10" t="str">
        <f t="shared" si="320"/>
        <v xml:space="preserve"> </v>
      </c>
      <c r="IK98" s="10" t="str">
        <f t="shared" si="320"/>
        <v xml:space="preserve"> </v>
      </c>
      <c r="IL98" s="10" t="str">
        <f t="shared" si="320"/>
        <v xml:space="preserve"> </v>
      </c>
      <c r="IM98" s="10" t="str">
        <f t="shared" si="320"/>
        <v xml:space="preserve"> </v>
      </c>
      <c r="IN98" s="10" t="str">
        <f t="shared" si="320"/>
        <v xml:space="preserve"> </v>
      </c>
      <c r="IQ98" s="10" t="str">
        <f t="shared" si="321"/>
        <v xml:space="preserve"> </v>
      </c>
      <c r="IR98" s="10" t="str">
        <f t="shared" si="321"/>
        <v xml:space="preserve"> </v>
      </c>
      <c r="IS98" s="10" t="str">
        <f t="shared" si="321"/>
        <v xml:space="preserve"> </v>
      </c>
      <c r="IT98" s="10" t="str">
        <f t="shared" si="321"/>
        <v xml:space="preserve"> </v>
      </c>
      <c r="IU98" s="10" t="str">
        <f t="shared" si="321"/>
        <v xml:space="preserve"> </v>
      </c>
      <c r="IX98" s="10" t="str">
        <f t="shared" si="322"/>
        <v xml:space="preserve"> </v>
      </c>
      <c r="IY98" s="10" t="str">
        <f t="shared" si="322"/>
        <v xml:space="preserve"> </v>
      </c>
      <c r="IZ98" s="10" t="str">
        <f t="shared" si="322"/>
        <v xml:space="preserve"> </v>
      </c>
      <c r="JA98" s="10" t="str">
        <f t="shared" si="322"/>
        <v xml:space="preserve"> </v>
      </c>
      <c r="JB98" s="10" t="str">
        <f t="shared" si="322"/>
        <v xml:space="preserve"> </v>
      </c>
      <c r="JE98" s="10" t="str">
        <f t="shared" si="323"/>
        <v xml:space="preserve"> </v>
      </c>
      <c r="JF98" s="10" t="str">
        <f t="shared" si="323"/>
        <v xml:space="preserve"> </v>
      </c>
      <c r="JG98" s="10" t="str">
        <f t="shared" si="323"/>
        <v xml:space="preserve"> </v>
      </c>
      <c r="JH98" s="10" t="str">
        <f t="shared" si="323"/>
        <v xml:space="preserve"> </v>
      </c>
      <c r="JI98" s="10" t="str">
        <f t="shared" si="323"/>
        <v xml:space="preserve"> </v>
      </c>
    </row>
    <row r="99" spans="13:269">
      <c r="M99" s="10" t="str">
        <f t="shared" si="324"/>
        <v xml:space="preserve"> </v>
      </c>
      <c r="N99" s="10" t="str">
        <f t="shared" si="324"/>
        <v xml:space="preserve"> </v>
      </c>
      <c r="O99" s="10" t="str">
        <f t="shared" si="324"/>
        <v xml:space="preserve"> </v>
      </c>
      <c r="P99" s="10" t="str">
        <f t="shared" si="324"/>
        <v xml:space="preserve"> </v>
      </c>
      <c r="Q99" s="10" t="str">
        <f t="shared" si="324"/>
        <v xml:space="preserve"> </v>
      </c>
      <c r="R99" s="14"/>
      <c r="S99" s="14"/>
      <c r="T99" s="10" t="str">
        <f t="shared" si="288"/>
        <v xml:space="preserve"> </v>
      </c>
      <c r="U99" s="10" t="str">
        <f t="shared" si="288"/>
        <v xml:space="preserve"> </v>
      </c>
      <c r="V99" s="10" t="str">
        <f t="shared" si="288"/>
        <v xml:space="preserve"> </v>
      </c>
      <c r="W99" s="10" t="str">
        <f t="shared" si="288"/>
        <v xml:space="preserve"> </v>
      </c>
      <c r="X99" s="10" t="str">
        <f t="shared" si="288"/>
        <v xml:space="preserve"> </v>
      </c>
      <c r="Y99" s="14"/>
      <c r="Z99" s="14"/>
      <c r="AA99" s="10" t="str">
        <f t="shared" si="289"/>
        <v xml:space="preserve"> </v>
      </c>
      <c r="AB99" s="10" t="str">
        <f t="shared" si="289"/>
        <v xml:space="preserve"> </v>
      </c>
      <c r="AC99" s="10" t="str">
        <f t="shared" si="289"/>
        <v xml:space="preserve"> </v>
      </c>
      <c r="AD99" s="10" t="str">
        <f t="shared" si="289"/>
        <v xml:space="preserve"> </v>
      </c>
      <c r="AE99" s="10" t="str">
        <f t="shared" si="289"/>
        <v xml:space="preserve"> </v>
      </c>
      <c r="AF99" s="14"/>
      <c r="AG99" s="14"/>
      <c r="AH99" s="10" t="str">
        <f t="shared" si="290"/>
        <v xml:space="preserve"> </v>
      </c>
      <c r="AI99" s="10" t="str">
        <f t="shared" si="290"/>
        <v xml:space="preserve"> </v>
      </c>
      <c r="AJ99" s="10" t="str">
        <f t="shared" si="290"/>
        <v xml:space="preserve"> </v>
      </c>
      <c r="AK99" s="10" t="str">
        <f t="shared" si="290"/>
        <v xml:space="preserve"> </v>
      </c>
      <c r="AL99" s="10" t="str">
        <f t="shared" si="290"/>
        <v xml:space="preserve"> </v>
      </c>
      <c r="AM99" s="14"/>
      <c r="AN99" s="14"/>
      <c r="AO99" s="10" t="str">
        <f t="shared" si="291"/>
        <v xml:space="preserve"> </v>
      </c>
      <c r="AP99" s="10" t="str">
        <f t="shared" si="291"/>
        <v xml:space="preserve"> </v>
      </c>
      <c r="AQ99" s="10" t="str">
        <f t="shared" si="291"/>
        <v xml:space="preserve"> </v>
      </c>
      <c r="AR99" s="10" t="str">
        <f t="shared" si="291"/>
        <v xml:space="preserve"> </v>
      </c>
      <c r="AS99" s="10" t="str">
        <f t="shared" si="291"/>
        <v xml:space="preserve"> </v>
      </c>
      <c r="AT99" s="14"/>
      <c r="AU99" s="14"/>
      <c r="AV99" s="10" t="str">
        <f t="shared" si="292"/>
        <v xml:space="preserve"> </v>
      </c>
      <c r="AW99" s="10" t="str">
        <f t="shared" si="292"/>
        <v xml:space="preserve"> </v>
      </c>
      <c r="AX99" s="10" t="str">
        <f t="shared" si="292"/>
        <v xml:space="preserve"> </v>
      </c>
      <c r="AY99" s="10" t="str">
        <f t="shared" si="292"/>
        <v xml:space="preserve"> </v>
      </c>
      <c r="AZ99" s="10" t="str">
        <f t="shared" si="292"/>
        <v xml:space="preserve"> </v>
      </c>
      <c r="BA99" s="14"/>
      <c r="BB99" s="14"/>
      <c r="BC99" s="10" t="str">
        <f t="shared" si="293"/>
        <v xml:space="preserve"> </v>
      </c>
      <c r="BD99" s="10" t="str">
        <f t="shared" si="293"/>
        <v xml:space="preserve"> </v>
      </c>
      <c r="BE99" s="10" t="str">
        <f t="shared" si="293"/>
        <v xml:space="preserve"> </v>
      </c>
      <c r="BF99" s="10" t="str">
        <f t="shared" si="293"/>
        <v xml:space="preserve"> </v>
      </c>
      <c r="BG99" s="10" t="str">
        <f t="shared" si="293"/>
        <v xml:space="preserve"> </v>
      </c>
      <c r="BH99" s="14"/>
      <c r="BI99" s="14"/>
      <c r="BJ99" s="10" t="str">
        <f t="shared" si="294"/>
        <v xml:space="preserve"> </v>
      </c>
      <c r="BK99" s="10" t="str">
        <f t="shared" si="294"/>
        <v xml:space="preserve"> </v>
      </c>
      <c r="BL99" s="10" t="str">
        <f t="shared" si="294"/>
        <v xml:space="preserve"> </v>
      </c>
      <c r="BM99" s="10" t="str">
        <f t="shared" si="294"/>
        <v xml:space="preserve"> </v>
      </c>
      <c r="BN99" s="10" t="str">
        <f t="shared" si="294"/>
        <v xml:space="preserve"> </v>
      </c>
      <c r="BO99" s="14"/>
      <c r="BP99" s="14"/>
      <c r="BQ99" s="10" t="str">
        <f t="shared" si="295"/>
        <v xml:space="preserve"> </v>
      </c>
      <c r="BR99" s="10" t="str">
        <f t="shared" si="295"/>
        <v xml:space="preserve"> </v>
      </c>
      <c r="BS99" s="10" t="str">
        <f t="shared" si="295"/>
        <v xml:space="preserve"> </v>
      </c>
      <c r="BT99" s="10" t="str">
        <f t="shared" si="295"/>
        <v xml:space="preserve"> </v>
      </c>
      <c r="BU99" s="10" t="str">
        <f t="shared" si="295"/>
        <v xml:space="preserve"> </v>
      </c>
      <c r="BV99" s="14"/>
      <c r="BW99" s="14"/>
      <c r="BX99" s="10" t="str">
        <f t="shared" si="296"/>
        <v xml:space="preserve"> </v>
      </c>
      <c r="BY99" s="10" t="str">
        <f t="shared" si="296"/>
        <v xml:space="preserve"> </v>
      </c>
      <c r="BZ99" s="10" t="str">
        <f t="shared" si="296"/>
        <v xml:space="preserve"> </v>
      </c>
      <c r="CA99" s="10" t="str">
        <f t="shared" si="296"/>
        <v xml:space="preserve"> </v>
      </c>
      <c r="CB99" s="10" t="str">
        <f t="shared" si="296"/>
        <v xml:space="preserve"> </v>
      </c>
      <c r="CC99" s="14"/>
      <c r="CD99" s="14"/>
      <c r="CE99" s="10" t="str">
        <f t="shared" si="297"/>
        <v xml:space="preserve"> </v>
      </c>
      <c r="CF99" s="10" t="str">
        <f t="shared" si="297"/>
        <v xml:space="preserve"> </v>
      </c>
      <c r="CG99" s="10" t="str">
        <f t="shared" si="297"/>
        <v xml:space="preserve"> </v>
      </c>
      <c r="CH99" s="10" t="str">
        <f t="shared" si="297"/>
        <v xml:space="preserve"> </v>
      </c>
      <c r="CI99" s="10" t="str">
        <f t="shared" si="297"/>
        <v xml:space="preserve"> </v>
      </c>
      <c r="CJ99" s="14"/>
      <c r="CK99" s="14"/>
      <c r="CL99" s="10" t="str">
        <f t="shared" si="298"/>
        <v xml:space="preserve"> </v>
      </c>
      <c r="CM99" s="10" t="str">
        <f t="shared" si="298"/>
        <v xml:space="preserve"> </v>
      </c>
      <c r="CN99" s="10" t="str">
        <f t="shared" si="298"/>
        <v xml:space="preserve"> </v>
      </c>
      <c r="CO99" s="10" t="str">
        <f t="shared" si="298"/>
        <v xml:space="preserve"> </v>
      </c>
      <c r="CP99" s="10" t="str">
        <f t="shared" si="298"/>
        <v xml:space="preserve"> </v>
      </c>
      <c r="CQ99" s="14"/>
      <c r="CR99" s="14"/>
      <c r="CS99" s="10" t="str">
        <f t="shared" si="299"/>
        <v xml:space="preserve"> </v>
      </c>
      <c r="CT99" s="10" t="str">
        <f t="shared" si="299"/>
        <v xml:space="preserve"> </v>
      </c>
      <c r="CU99" s="10" t="str">
        <f t="shared" si="299"/>
        <v xml:space="preserve"> </v>
      </c>
      <c r="CV99" s="10" t="str">
        <f t="shared" si="299"/>
        <v xml:space="preserve"> </v>
      </c>
      <c r="CW99" s="10" t="str">
        <f t="shared" si="299"/>
        <v xml:space="preserve"> </v>
      </c>
      <c r="CZ99" s="10" t="str">
        <f t="shared" si="300"/>
        <v xml:space="preserve"> </v>
      </c>
      <c r="DA99" s="10" t="str">
        <f t="shared" si="300"/>
        <v xml:space="preserve"> </v>
      </c>
      <c r="DB99" s="10" t="str">
        <f t="shared" si="300"/>
        <v xml:space="preserve"> </v>
      </c>
      <c r="DC99" s="10" t="str">
        <f t="shared" si="300"/>
        <v xml:space="preserve"> </v>
      </c>
      <c r="DD99" s="10" t="str">
        <f t="shared" si="300"/>
        <v xml:space="preserve"> </v>
      </c>
      <c r="DG99" s="10" t="str">
        <f t="shared" si="301"/>
        <v xml:space="preserve"> </v>
      </c>
      <c r="DH99" s="10" t="str">
        <f t="shared" si="301"/>
        <v xml:space="preserve"> </v>
      </c>
      <c r="DI99" s="10" t="str">
        <f t="shared" si="301"/>
        <v xml:space="preserve"> </v>
      </c>
      <c r="DJ99" s="10" t="str">
        <f t="shared" si="301"/>
        <v xml:space="preserve"> </v>
      </c>
      <c r="DK99" s="10" t="str">
        <f t="shared" si="301"/>
        <v xml:space="preserve"> </v>
      </c>
      <c r="DN99" s="10" t="str">
        <f t="shared" si="302"/>
        <v xml:space="preserve"> </v>
      </c>
      <c r="DO99" s="10" t="str">
        <f t="shared" si="302"/>
        <v xml:space="preserve"> </v>
      </c>
      <c r="DP99" s="10" t="str">
        <f t="shared" si="302"/>
        <v xml:space="preserve"> </v>
      </c>
      <c r="DQ99" s="10" t="str">
        <f t="shared" si="302"/>
        <v xml:space="preserve"> </v>
      </c>
      <c r="DR99" s="10" t="str">
        <f t="shared" si="302"/>
        <v xml:space="preserve"> </v>
      </c>
      <c r="DU99" s="10" t="str">
        <f t="shared" si="303"/>
        <v xml:space="preserve"> </v>
      </c>
      <c r="DV99" s="10" t="str">
        <f t="shared" si="303"/>
        <v xml:space="preserve"> </v>
      </c>
      <c r="DW99" s="10" t="str">
        <f t="shared" si="303"/>
        <v xml:space="preserve"> </v>
      </c>
      <c r="DX99" s="10" t="str">
        <f t="shared" si="303"/>
        <v xml:space="preserve"> </v>
      </c>
      <c r="DY99" s="10" t="str">
        <f t="shared" si="303"/>
        <v xml:space="preserve"> </v>
      </c>
      <c r="EB99" s="10" t="str">
        <f t="shared" si="304"/>
        <v xml:space="preserve"> </v>
      </c>
      <c r="EC99" s="10" t="str">
        <f t="shared" si="304"/>
        <v xml:space="preserve"> </v>
      </c>
      <c r="ED99" s="10" t="str">
        <f t="shared" si="304"/>
        <v xml:space="preserve"> </v>
      </c>
      <c r="EE99" s="10" t="str">
        <f t="shared" si="304"/>
        <v xml:space="preserve"> </v>
      </c>
      <c r="EF99" s="10" t="str">
        <f t="shared" si="304"/>
        <v xml:space="preserve"> </v>
      </c>
      <c r="EI99" s="10" t="str">
        <f t="shared" si="305"/>
        <v xml:space="preserve"> </v>
      </c>
      <c r="EJ99" s="10" t="str">
        <f t="shared" si="305"/>
        <v xml:space="preserve"> </v>
      </c>
      <c r="EK99" s="10" t="str">
        <f t="shared" si="305"/>
        <v xml:space="preserve"> </v>
      </c>
      <c r="EL99" s="10" t="str">
        <f t="shared" si="305"/>
        <v xml:space="preserve"> </v>
      </c>
      <c r="EM99" s="10" t="str">
        <f t="shared" si="305"/>
        <v xml:space="preserve"> </v>
      </c>
      <c r="EP99" s="10" t="str">
        <f t="shared" si="306"/>
        <v xml:space="preserve"> </v>
      </c>
      <c r="EQ99" s="10" t="str">
        <f t="shared" si="306"/>
        <v xml:space="preserve"> </v>
      </c>
      <c r="ER99" s="10" t="str">
        <f t="shared" si="306"/>
        <v xml:space="preserve"> </v>
      </c>
      <c r="ES99" s="10" t="str">
        <f t="shared" si="306"/>
        <v xml:space="preserve"> </v>
      </c>
      <c r="ET99" s="10" t="str">
        <f t="shared" si="306"/>
        <v xml:space="preserve"> </v>
      </c>
      <c r="EW99" s="10" t="str">
        <f t="shared" si="307"/>
        <v xml:space="preserve"> </v>
      </c>
      <c r="EX99" s="10" t="str">
        <f t="shared" si="307"/>
        <v xml:space="preserve"> </v>
      </c>
      <c r="EY99" s="10" t="str">
        <f t="shared" si="307"/>
        <v xml:space="preserve"> </v>
      </c>
      <c r="EZ99" s="10" t="str">
        <f t="shared" si="307"/>
        <v xml:space="preserve"> </v>
      </c>
      <c r="FA99" s="10" t="str">
        <f t="shared" si="307"/>
        <v xml:space="preserve"> </v>
      </c>
      <c r="FD99" s="10" t="str">
        <f t="shared" si="308"/>
        <v xml:space="preserve"> </v>
      </c>
      <c r="FE99" s="10" t="str">
        <f t="shared" si="308"/>
        <v xml:space="preserve"> </v>
      </c>
      <c r="FF99" s="10" t="str">
        <f t="shared" si="308"/>
        <v xml:space="preserve"> </v>
      </c>
      <c r="FG99" s="10" t="str">
        <f t="shared" si="308"/>
        <v xml:space="preserve"> </v>
      </c>
      <c r="FH99" s="10" t="str">
        <f t="shared" si="308"/>
        <v xml:space="preserve"> </v>
      </c>
      <c r="FK99" s="10" t="str">
        <f t="shared" si="309"/>
        <v xml:space="preserve"> </v>
      </c>
      <c r="FL99" s="10" t="str">
        <f t="shared" si="309"/>
        <v xml:space="preserve"> </v>
      </c>
      <c r="FM99" s="10" t="str">
        <f t="shared" si="309"/>
        <v xml:space="preserve"> </v>
      </c>
      <c r="FN99" s="10" t="str">
        <f t="shared" si="309"/>
        <v xml:space="preserve"> </v>
      </c>
      <c r="FO99" s="10" t="str">
        <f t="shared" si="309"/>
        <v xml:space="preserve"> </v>
      </c>
      <c r="FR99" s="10" t="str">
        <f t="shared" si="310"/>
        <v xml:space="preserve"> </v>
      </c>
      <c r="FS99" s="10" t="str">
        <f t="shared" si="310"/>
        <v xml:space="preserve"> </v>
      </c>
      <c r="FT99" s="10" t="str">
        <f t="shared" si="310"/>
        <v xml:space="preserve"> </v>
      </c>
      <c r="FU99" s="10" t="str">
        <f t="shared" si="310"/>
        <v xml:space="preserve"> </v>
      </c>
      <c r="FV99" s="10" t="str">
        <f t="shared" si="310"/>
        <v xml:space="preserve"> </v>
      </c>
      <c r="FY99" s="10" t="str">
        <f t="shared" si="311"/>
        <v xml:space="preserve"> </v>
      </c>
      <c r="FZ99" s="10" t="str">
        <f t="shared" si="311"/>
        <v xml:space="preserve"> </v>
      </c>
      <c r="GA99" s="10" t="str">
        <f t="shared" si="311"/>
        <v xml:space="preserve"> </v>
      </c>
      <c r="GB99" s="10" t="str">
        <f t="shared" si="311"/>
        <v xml:space="preserve"> </v>
      </c>
      <c r="GC99" s="10" t="str">
        <f t="shared" si="311"/>
        <v xml:space="preserve"> </v>
      </c>
      <c r="GF99" s="10" t="str">
        <f t="shared" si="312"/>
        <v xml:space="preserve"> </v>
      </c>
      <c r="GG99" s="10" t="str">
        <f t="shared" si="312"/>
        <v xml:space="preserve"> </v>
      </c>
      <c r="GH99" s="10" t="str">
        <f t="shared" si="312"/>
        <v xml:space="preserve"> </v>
      </c>
      <c r="GI99" s="10" t="str">
        <f t="shared" si="312"/>
        <v xml:space="preserve"> </v>
      </c>
      <c r="GJ99" s="10" t="str">
        <f t="shared" si="312"/>
        <v xml:space="preserve"> </v>
      </c>
      <c r="GM99" s="10" t="str">
        <f t="shared" si="313"/>
        <v xml:space="preserve"> </v>
      </c>
      <c r="GN99" s="10" t="str">
        <f t="shared" si="313"/>
        <v xml:space="preserve"> </v>
      </c>
      <c r="GO99" s="10" t="str">
        <f t="shared" si="313"/>
        <v xml:space="preserve"> </v>
      </c>
      <c r="GP99" s="10" t="str">
        <f t="shared" si="313"/>
        <v xml:space="preserve"> </v>
      </c>
      <c r="GQ99" s="10" t="str">
        <f t="shared" si="313"/>
        <v xml:space="preserve"> </v>
      </c>
      <c r="GT99" s="10" t="str">
        <f t="shared" si="314"/>
        <v xml:space="preserve"> </v>
      </c>
      <c r="GU99" s="10" t="str">
        <f t="shared" si="314"/>
        <v xml:space="preserve"> </v>
      </c>
      <c r="GV99" s="10" t="str">
        <f t="shared" si="314"/>
        <v xml:space="preserve"> </v>
      </c>
      <c r="GW99" s="10" t="str">
        <f t="shared" si="314"/>
        <v xml:space="preserve"> </v>
      </c>
      <c r="GX99" s="10" t="str">
        <f t="shared" si="314"/>
        <v xml:space="preserve"> </v>
      </c>
      <c r="HA99" s="10" t="str">
        <f t="shared" si="315"/>
        <v xml:space="preserve"> </v>
      </c>
      <c r="HB99" s="10" t="str">
        <f t="shared" si="315"/>
        <v xml:space="preserve"> </v>
      </c>
      <c r="HC99" s="10" t="str">
        <f t="shared" si="315"/>
        <v xml:space="preserve"> </v>
      </c>
      <c r="HD99" s="10" t="str">
        <f t="shared" si="315"/>
        <v xml:space="preserve"> </v>
      </c>
      <c r="HE99" s="10" t="str">
        <f t="shared" si="315"/>
        <v xml:space="preserve"> </v>
      </c>
      <c r="HH99" s="10" t="str">
        <f t="shared" si="316"/>
        <v xml:space="preserve"> </v>
      </c>
      <c r="HI99" s="10" t="str">
        <f t="shared" si="316"/>
        <v xml:space="preserve"> </v>
      </c>
      <c r="HJ99" s="10" t="str">
        <f t="shared" si="316"/>
        <v xml:space="preserve"> </v>
      </c>
      <c r="HK99" s="10" t="str">
        <f t="shared" si="316"/>
        <v xml:space="preserve"> </v>
      </c>
      <c r="HL99" s="10" t="str">
        <f t="shared" si="316"/>
        <v xml:space="preserve"> </v>
      </c>
      <c r="HO99" s="10" t="str">
        <f t="shared" si="317"/>
        <v xml:space="preserve"> </v>
      </c>
      <c r="HP99" s="10" t="str">
        <f t="shared" si="317"/>
        <v xml:space="preserve"> </v>
      </c>
      <c r="HQ99" s="10" t="str">
        <f t="shared" si="317"/>
        <v xml:space="preserve"> </v>
      </c>
      <c r="HR99" s="10" t="str">
        <f t="shared" si="317"/>
        <v xml:space="preserve"> </v>
      </c>
      <c r="HS99" s="10" t="str">
        <f t="shared" si="317"/>
        <v xml:space="preserve"> </v>
      </c>
      <c r="HV99" s="10" t="str">
        <f t="shared" si="318"/>
        <v xml:space="preserve"> </v>
      </c>
      <c r="HW99" s="10" t="str">
        <f t="shared" si="318"/>
        <v xml:space="preserve"> </v>
      </c>
      <c r="HX99" s="10" t="str">
        <f t="shared" si="318"/>
        <v xml:space="preserve"> </v>
      </c>
      <c r="HY99" s="10" t="str">
        <f t="shared" si="318"/>
        <v xml:space="preserve"> </v>
      </c>
      <c r="HZ99" s="10" t="str">
        <f t="shared" si="318"/>
        <v xml:space="preserve"> </v>
      </c>
      <c r="IC99" s="10" t="str">
        <f t="shared" si="319"/>
        <v xml:space="preserve"> </v>
      </c>
      <c r="ID99" s="10" t="str">
        <f t="shared" si="319"/>
        <v xml:space="preserve"> </v>
      </c>
      <c r="IE99" s="10" t="str">
        <f t="shared" si="319"/>
        <v xml:space="preserve"> </v>
      </c>
      <c r="IF99" s="10" t="str">
        <f t="shared" si="319"/>
        <v xml:space="preserve"> </v>
      </c>
      <c r="IG99" s="10" t="str">
        <f t="shared" si="319"/>
        <v xml:space="preserve"> </v>
      </c>
      <c r="IJ99" s="10" t="str">
        <f t="shared" si="320"/>
        <v xml:space="preserve"> </v>
      </c>
      <c r="IK99" s="10" t="str">
        <f t="shared" si="320"/>
        <v xml:space="preserve"> </v>
      </c>
      <c r="IL99" s="10" t="str">
        <f t="shared" si="320"/>
        <v xml:space="preserve"> </v>
      </c>
      <c r="IM99" s="10" t="str">
        <f t="shared" si="320"/>
        <v xml:space="preserve"> </v>
      </c>
      <c r="IN99" s="10" t="str">
        <f t="shared" si="320"/>
        <v xml:space="preserve"> </v>
      </c>
      <c r="IQ99" s="10" t="str">
        <f t="shared" si="321"/>
        <v xml:space="preserve"> </v>
      </c>
      <c r="IR99" s="10" t="str">
        <f t="shared" si="321"/>
        <v xml:space="preserve"> </v>
      </c>
      <c r="IS99" s="10" t="str">
        <f t="shared" si="321"/>
        <v xml:space="preserve"> </v>
      </c>
      <c r="IT99" s="10" t="str">
        <f t="shared" si="321"/>
        <v xml:space="preserve"> </v>
      </c>
      <c r="IU99" s="10" t="str">
        <f t="shared" si="321"/>
        <v xml:space="preserve"> </v>
      </c>
      <c r="IX99" s="10" t="str">
        <f t="shared" si="322"/>
        <v xml:space="preserve"> </v>
      </c>
      <c r="IY99" s="10" t="str">
        <f t="shared" si="322"/>
        <v xml:space="preserve"> </v>
      </c>
      <c r="IZ99" s="10" t="str">
        <f t="shared" si="322"/>
        <v xml:space="preserve"> </v>
      </c>
      <c r="JA99" s="10" t="str">
        <f t="shared" si="322"/>
        <v xml:space="preserve"> </v>
      </c>
      <c r="JB99" s="10" t="str">
        <f t="shared" si="322"/>
        <v xml:space="preserve"> </v>
      </c>
      <c r="JE99" s="10" t="str">
        <f t="shared" si="323"/>
        <v xml:space="preserve"> </v>
      </c>
      <c r="JF99" s="10" t="str">
        <f t="shared" si="323"/>
        <v xml:space="preserve"> </v>
      </c>
      <c r="JG99" s="10" t="str">
        <f t="shared" si="323"/>
        <v xml:space="preserve"> </v>
      </c>
      <c r="JH99" s="10" t="str">
        <f t="shared" si="323"/>
        <v xml:space="preserve"> </v>
      </c>
      <c r="JI99" s="10" t="str">
        <f t="shared" si="323"/>
        <v xml:space="preserve"> </v>
      </c>
    </row>
    <row r="100" spans="13:269">
      <c r="M100" s="10" t="str">
        <f t="shared" si="324"/>
        <v xml:space="preserve"> </v>
      </c>
      <c r="N100" s="10" t="str">
        <f t="shared" si="324"/>
        <v xml:space="preserve"> </v>
      </c>
      <c r="O100" s="10" t="str">
        <f t="shared" si="324"/>
        <v xml:space="preserve"> </v>
      </c>
      <c r="P100" s="10" t="str">
        <f t="shared" si="324"/>
        <v xml:space="preserve"> </v>
      </c>
      <c r="Q100" s="10" t="str">
        <f t="shared" si="324"/>
        <v xml:space="preserve"> </v>
      </c>
      <c r="R100" s="14"/>
      <c r="S100" s="14"/>
      <c r="T100" s="10" t="str">
        <f t="shared" si="288"/>
        <v xml:space="preserve"> </v>
      </c>
      <c r="U100" s="10" t="str">
        <f t="shared" si="288"/>
        <v xml:space="preserve"> </v>
      </c>
      <c r="V100" s="10" t="str">
        <f t="shared" si="288"/>
        <v xml:space="preserve"> </v>
      </c>
      <c r="W100" s="10" t="str">
        <f t="shared" si="288"/>
        <v xml:space="preserve"> </v>
      </c>
      <c r="X100" s="10" t="str">
        <f t="shared" si="288"/>
        <v xml:space="preserve"> </v>
      </c>
      <c r="Y100" s="14"/>
      <c r="Z100" s="14"/>
      <c r="AA100" s="10" t="str">
        <f t="shared" si="289"/>
        <v xml:space="preserve"> </v>
      </c>
      <c r="AB100" s="10" t="str">
        <f t="shared" si="289"/>
        <v xml:space="preserve"> </v>
      </c>
      <c r="AC100" s="10" t="str">
        <f t="shared" si="289"/>
        <v xml:space="preserve"> </v>
      </c>
      <c r="AD100" s="10" t="str">
        <f t="shared" si="289"/>
        <v xml:space="preserve"> </v>
      </c>
      <c r="AE100" s="10" t="str">
        <f t="shared" si="289"/>
        <v xml:space="preserve"> </v>
      </c>
      <c r="AF100" s="14"/>
      <c r="AG100" s="14"/>
      <c r="AH100" s="10" t="str">
        <f t="shared" si="290"/>
        <v xml:space="preserve"> </v>
      </c>
      <c r="AI100" s="10" t="str">
        <f t="shared" si="290"/>
        <v xml:space="preserve"> </v>
      </c>
      <c r="AJ100" s="10" t="str">
        <f t="shared" si="290"/>
        <v xml:space="preserve"> </v>
      </c>
      <c r="AK100" s="10" t="str">
        <f t="shared" si="290"/>
        <v xml:space="preserve"> </v>
      </c>
      <c r="AL100" s="10" t="str">
        <f t="shared" si="290"/>
        <v xml:space="preserve"> </v>
      </c>
      <c r="AM100" s="14"/>
      <c r="AN100" s="14"/>
      <c r="AO100" s="10" t="str">
        <f t="shared" si="291"/>
        <v xml:space="preserve"> </v>
      </c>
      <c r="AP100" s="10" t="str">
        <f t="shared" si="291"/>
        <v xml:space="preserve"> </v>
      </c>
      <c r="AQ100" s="10" t="str">
        <f t="shared" si="291"/>
        <v xml:space="preserve"> </v>
      </c>
      <c r="AR100" s="10" t="str">
        <f t="shared" si="291"/>
        <v xml:space="preserve"> </v>
      </c>
      <c r="AS100" s="10" t="str">
        <f t="shared" si="291"/>
        <v xml:space="preserve"> </v>
      </c>
      <c r="AT100" s="14"/>
      <c r="AU100" s="14"/>
      <c r="AV100" s="10" t="str">
        <f t="shared" si="292"/>
        <v xml:space="preserve"> </v>
      </c>
      <c r="AW100" s="10" t="str">
        <f t="shared" si="292"/>
        <v xml:space="preserve"> </v>
      </c>
      <c r="AX100" s="10" t="str">
        <f t="shared" si="292"/>
        <v xml:space="preserve"> </v>
      </c>
      <c r="AY100" s="10" t="str">
        <f t="shared" si="292"/>
        <v xml:space="preserve"> </v>
      </c>
      <c r="AZ100" s="10" t="str">
        <f t="shared" si="292"/>
        <v xml:space="preserve"> </v>
      </c>
      <c r="BA100" s="14"/>
      <c r="BB100" s="14"/>
      <c r="BC100" s="10" t="str">
        <f t="shared" si="293"/>
        <v xml:space="preserve"> </v>
      </c>
      <c r="BD100" s="10" t="str">
        <f t="shared" si="293"/>
        <v xml:space="preserve"> </v>
      </c>
      <c r="BE100" s="10" t="str">
        <f t="shared" si="293"/>
        <v xml:space="preserve"> </v>
      </c>
      <c r="BF100" s="10" t="str">
        <f t="shared" si="293"/>
        <v xml:space="preserve"> </v>
      </c>
      <c r="BG100" s="10" t="str">
        <f t="shared" si="293"/>
        <v xml:space="preserve"> </v>
      </c>
      <c r="BH100" s="14"/>
      <c r="BI100" s="14"/>
      <c r="BJ100" s="10" t="str">
        <f t="shared" si="294"/>
        <v xml:space="preserve"> </v>
      </c>
      <c r="BK100" s="10" t="str">
        <f t="shared" si="294"/>
        <v xml:space="preserve"> </v>
      </c>
      <c r="BL100" s="10" t="str">
        <f t="shared" si="294"/>
        <v xml:space="preserve"> </v>
      </c>
      <c r="BM100" s="10" t="str">
        <f t="shared" si="294"/>
        <v xml:space="preserve"> </v>
      </c>
      <c r="BN100" s="10" t="str">
        <f t="shared" si="294"/>
        <v xml:space="preserve"> </v>
      </c>
      <c r="BO100" s="14"/>
      <c r="BP100" s="14"/>
      <c r="BQ100" s="10" t="str">
        <f t="shared" si="295"/>
        <v xml:space="preserve"> </v>
      </c>
      <c r="BR100" s="10" t="str">
        <f t="shared" si="295"/>
        <v xml:space="preserve"> </v>
      </c>
      <c r="BS100" s="10" t="str">
        <f t="shared" si="295"/>
        <v xml:space="preserve"> </v>
      </c>
      <c r="BT100" s="10" t="str">
        <f t="shared" si="295"/>
        <v xml:space="preserve"> </v>
      </c>
      <c r="BU100" s="10" t="str">
        <f t="shared" si="295"/>
        <v xml:space="preserve"> </v>
      </c>
      <c r="BV100" s="14"/>
      <c r="BW100" s="14"/>
      <c r="BX100" s="10" t="str">
        <f t="shared" si="296"/>
        <v xml:space="preserve"> </v>
      </c>
      <c r="BY100" s="10" t="str">
        <f t="shared" si="296"/>
        <v xml:space="preserve"> </v>
      </c>
      <c r="BZ100" s="10" t="str">
        <f t="shared" si="296"/>
        <v xml:space="preserve"> </v>
      </c>
      <c r="CA100" s="10" t="str">
        <f t="shared" si="296"/>
        <v xml:space="preserve"> </v>
      </c>
      <c r="CB100" s="10" t="str">
        <f t="shared" si="296"/>
        <v xml:space="preserve"> </v>
      </c>
      <c r="CC100" s="14"/>
      <c r="CD100" s="14"/>
      <c r="CE100" s="10" t="str">
        <f t="shared" si="297"/>
        <v xml:space="preserve"> </v>
      </c>
      <c r="CF100" s="10" t="str">
        <f t="shared" si="297"/>
        <v xml:space="preserve"> </v>
      </c>
      <c r="CG100" s="10" t="str">
        <f t="shared" si="297"/>
        <v xml:space="preserve"> </v>
      </c>
      <c r="CH100" s="10" t="str">
        <f t="shared" si="297"/>
        <v xml:space="preserve"> </v>
      </c>
      <c r="CI100" s="10" t="str">
        <f t="shared" si="297"/>
        <v xml:space="preserve"> </v>
      </c>
      <c r="CJ100" s="14"/>
      <c r="CK100" s="14"/>
      <c r="CL100" s="10" t="str">
        <f t="shared" si="298"/>
        <v xml:space="preserve"> </v>
      </c>
      <c r="CM100" s="10" t="str">
        <f t="shared" si="298"/>
        <v xml:space="preserve"> </v>
      </c>
      <c r="CN100" s="10" t="str">
        <f t="shared" si="298"/>
        <v xml:space="preserve"> </v>
      </c>
      <c r="CO100" s="10" t="str">
        <f t="shared" si="298"/>
        <v xml:space="preserve"> </v>
      </c>
      <c r="CP100" s="10" t="str">
        <f t="shared" si="298"/>
        <v xml:space="preserve"> </v>
      </c>
      <c r="CQ100" s="14"/>
      <c r="CR100" s="14"/>
      <c r="CS100" s="10" t="str">
        <f t="shared" si="299"/>
        <v xml:space="preserve"> </v>
      </c>
      <c r="CT100" s="10" t="str">
        <f t="shared" si="299"/>
        <v xml:space="preserve"> </v>
      </c>
      <c r="CU100" s="10" t="str">
        <f t="shared" si="299"/>
        <v xml:space="preserve"> </v>
      </c>
      <c r="CV100" s="10" t="str">
        <f t="shared" si="299"/>
        <v xml:space="preserve"> </v>
      </c>
      <c r="CW100" s="10" t="str">
        <f t="shared" si="299"/>
        <v xml:space="preserve"> </v>
      </c>
      <c r="CZ100" s="10" t="str">
        <f t="shared" si="300"/>
        <v xml:space="preserve"> </v>
      </c>
      <c r="DA100" s="10" t="str">
        <f t="shared" si="300"/>
        <v xml:space="preserve"> </v>
      </c>
      <c r="DB100" s="10" t="str">
        <f t="shared" si="300"/>
        <v xml:space="preserve"> </v>
      </c>
      <c r="DC100" s="10" t="str">
        <f t="shared" si="300"/>
        <v xml:space="preserve"> </v>
      </c>
      <c r="DD100" s="10" t="str">
        <f t="shared" si="300"/>
        <v xml:space="preserve"> </v>
      </c>
      <c r="DG100" s="10" t="str">
        <f t="shared" si="301"/>
        <v xml:space="preserve"> </v>
      </c>
      <c r="DH100" s="10" t="str">
        <f t="shared" si="301"/>
        <v xml:space="preserve"> </v>
      </c>
      <c r="DI100" s="10" t="str">
        <f t="shared" si="301"/>
        <v xml:space="preserve"> </v>
      </c>
      <c r="DJ100" s="10" t="str">
        <f t="shared" si="301"/>
        <v xml:space="preserve"> </v>
      </c>
      <c r="DK100" s="10" t="str">
        <f t="shared" si="301"/>
        <v xml:space="preserve"> </v>
      </c>
      <c r="DN100" s="10" t="str">
        <f t="shared" si="302"/>
        <v xml:space="preserve"> </v>
      </c>
      <c r="DO100" s="10" t="str">
        <f t="shared" si="302"/>
        <v xml:space="preserve"> </v>
      </c>
      <c r="DP100" s="10" t="str">
        <f t="shared" si="302"/>
        <v xml:space="preserve"> </v>
      </c>
      <c r="DQ100" s="10" t="str">
        <f t="shared" si="302"/>
        <v xml:space="preserve"> </v>
      </c>
      <c r="DR100" s="10" t="str">
        <f t="shared" si="302"/>
        <v xml:space="preserve"> </v>
      </c>
      <c r="DU100" s="10" t="str">
        <f t="shared" si="303"/>
        <v xml:space="preserve"> </v>
      </c>
      <c r="DV100" s="10" t="str">
        <f t="shared" si="303"/>
        <v xml:space="preserve"> </v>
      </c>
      <c r="DW100" s="10" t="str">
        <f t="shared" si="303"/>
        <v xml:space="preserve"> </v>
      </c>
      <c r="DX100" s="10" t="str">
        <f t="shared" si="303"/>
        <v xml:space="preserve"> </v>
      </c>
      <c r="DY100" s="10" t="str">
        <f t="shared" si="303"/>
        <v xml:space="preserve"> </v>
      </c>
      <c r="EB100" s="10" t="str">
        <f t="shared" si="304"/>
        <v xml:space="preserve"> </v>
      </c>
      <c r="EC100" s="10" t="str">
        <f t="shared" si="304"/>
        <v xml:space="preserve"> </v>
      </c>
      <c r="ED100" s="10" t="str">
        <f t="shared" si="304"/>
        <v xml:space="preserve"> </v>
      </c>
      <c r="EE100" s="10" t="str">
        <f t="shared" si="304"/>
        <v xml:space="preserve"> </v>
      </c>
      <c r="EF100" s="10" t="str">
        <f t="shared" si="304"/>
        <v xml:space="preserve"> </v>
      </c>
      <c r="EI100" s="10" t="str">
        <f t="shared" si="305"/>
        <v xml:space="preserve"> </v>
      </c>
      <c r="EJ100" s="10" t="str">
        <f t="shared" si="305"/>
        <v xml:space="preserve"> </v>
      </c>
      <c r="EK100" s="10" t="str">
        <f t="shared" si="305"/>
        <v xml:space="preserve"> </v>
      </c>
      <c r="EL100" s="10" t="str">
        <f t="shared" si="305"/>
        <v xml:space="preserve"> </v>
      </c>
      <c r="EM100" s="10" t="str">
        <f t="shared" si="305"/>
        <v xml:space="preserve"> </v>
      </c>
      <c r="EP100" s="10" t="str">
        <f t="shared" si="306"/>
        <v xml:space="preserve"> </v>
      </c>
      <c r="EQ100" s="10" t="str">
        <f t="shared" si="306"/>
        <v xml:space="preserve"> </v>
      </c>
      <c r="ER100" s="10" t="str">
        <f t="shared" si="306"/>
        <v xml:space="preserve"> </v>
      </c>
      <c r="ES100" s="10" t="str">
        <f t="shared" si="306"/>
        <v xml:space="preserve"> </v>
      </c>
      <c r="ET100" s="10" t="str">
        <f t="shared" si="306"/>
        <v xml:space="preserve"> </v>
      </c>
      <c r="EW100" s="10" t="str">
        <f t="shared" si="307"/>
        <v xml:space="preserve"> </v>
      </c>
      <c r="EX100" s="10" t="str">
        <f t="shared" si="307"/>
        <v xml:space="preserve"> </v>
      </c>
      <c r="EY100" s="10" t="str">
        <f t="shared" si="307"/>
        <v xml:space="preserve"> </v>
      </c>
      <c r="EZ100" s="10" t="str">
        <f t="shared" si="307"/>
        <v xml:space="preserve"> </v>
      </c>
      <c r="FA100" s="10" t="str">
        <f t="shared" si="307"/>
        <v xml:space="preserve"> </v>
      </c>
      <c r="FD100" s="10" t="str">
        <f t="shared" si="308"/>
        <v xml:space="preserve"> </v>
      </c>
      <c r="FE100" s="10" t="str">
        <f t="shared" si="308"/>
        <v xml:space="preserve"> </v>
      </c>
      <c r="FF100" s="10" t="str">
        <f t="shared" si="308"/>
        <v xml:space="preserve"> </v>
      </c>
      <c r="FG100" s="10" t="str">
        <f t="shared" si="308"/>
        <v xml:space="preserve"> </v>
      </c>
      <c r="FH100" s="10" t="str">
        <f t="shared" si="308"/>
        <v xml:space="preserve"> </v>
      </c>
      <c r="FK100" s="10" t="str">
        <f t="shared" si="309"/>
        <v xml:space="preserve"> </v>
      </c>
      <c r="FL100" s="10" t="str">
        <f t="shared" si="309"/>
        <v xml:space="preserve"> </v>
      </c>
      <c r="FM100" s="10" t="str">
        <f t="shared" si="309"/>
        <v xml:space="preserve"> </v>
      </c>
      <c r="FN100" s="10" t="str">
        <f t="shared" si="309"/>
        <v xml:space="preserve"> </v>
      </c>
      <c r="FO100" s="10" t="str">
        <f t="shared" si="309"/>
        <v xml:space="preserve"> </v>
      </c>
      <c r="FR100" s="10" t="str">
        <f t="shared" si="310"/>
        <v xml:space="preserve"> </v>
      </c>
      <c r="FS100" s="10" t="str">
        <f t="shared" si="310"/>
        <v xml:space="preserve"> </v>
      </c>
      <c r="FT100" s="10" t="str">
        <f t="shared" si="310"/>
        <v xml:space="preserve"> </v>
      </c>
      <c r="FU100" s="10" t="str">
        <f t="shared" si="310"/>
        <v xml:space="preserve"> </v>
      </c>
      <c r="FV100" s="10" t="str">
        <f t="shared" si="310"/>
        <v xml:space="preserve"> </v>
      </c>
      <c r="FY100" s="10" t="str">
        <f t="shared" si="311"/>
        <v xml:space="preserve"> </v>
      </c>
      <c r="FZ100" s="10" t="str">
        <f t="shared" si="311"/>
        <v xml:space="preserve"> </v>
      </c>
      <c r="GA100" s="10" t="str">
        <f t="shared" si="311"/>
        <v xml:space="preserve"> </v>
      </c>
      <c r="GB100" s="10" t="str">
        <f t="shared" si="311"/>
        <v xml:space="preserve"> </v>
      </c>
      <c r="GC100" s="10" t="str">
        <f t="shared" si="311"/>
        <v xml:space="preserve"> </v>
      </c>
      <c r="GF100" s="10" t="str">
        <f t="shared" si="312"/>
        <v xml:space="preserve"> </v>
      </c>
      <c r="GG100" s="10" t="str">
        <f t="shared" si="312"/>
        <v xml:space="preserve"> </v>
      </c>
      <c r="GH100" s="10" t="str">
        <f t="shared" si="312"/>
        <v xml:space="preserve"> </v>
      </c>
      <c r="GI100" s="10" t="str">
        <f t="shared" si="312"/>
        <v xml:space="preserve"> </v>
      </c>
      <c r="GJ100" s="10" t="str">
        <f t="shared" si="312"/>
        <v xml:space="preserve"> </v>
      </c>
      <c r="GM100" s="10" t="str">
        <f t="shared" si="313"/>
        <v xml:space="preserve"> </v>
      </c>
      <c r="GN100" s="10" t="str">
        <f t="shared" si="313"/>
        <v xml:space="preserve"> </v>
      </c>
      <c r="GO100" s="10" t="str">
        <f t="shared" si="313"/>
        <v xml:space="preserve"> </v>
      </c>
      <c r="GP100" s="10" t="str">
        <f t="shared" si="313"/>
        <v xml:space="preserve"> </v>
      </c>
      <c r="GQ100" s="10" t="str">
        <f t="shared" si="313"/>
        <v xml:space="preserve"> </v>
      </c>
      <c r="GT100" s="10" t="str">
        <f t="shared" si="314"/>
        <v xml:space="preserve"> </v>
      </c>
      <c r="GU100" s="10" t="str">
        <f t="shared" si="314"/>
        <v xml:space="preserve"> </v>
      </c>
      <c r="GV100" s="10" t="str">
        <f t="shared" si="314"/>
        <v xml:space="preserve"> </v>
      </c>
      <c r="GW100" s="10" t="str">
        <f t="shared" si="314"/>
        <v xml:space="preserve"> </v>
      </c>
      <c r="GX100" s="10" t="str">
        <f t="shared" si="314"/>
        <v xml:space="preserve"> </v>
      </c>
      <c r="HA100" s="10" t="str">
        <f t="shared" si="315"/>
        <v xml:space="preserve"> </v>
      </c>
      <c r="HB100" s="10" t="str">
        <f t="shared" si="315"/>
        <v xml:space="preserve"> </v>
      </c>
      <c r="HC100" s="10" t="str">
        <f t="shared" si="315"/>
        <v xml:space="preserve"> </v>
      </c>
      <c r="HD100" s="10" t="str">
        <f t="shared" si="315"/>
        <v xml:space="preserve"> </v>
      </c>
      <c r="HE100" s="10" t="str">
        <f t="shared" si="315"/>
        <v xml:space="preserve"> </v>
      </c>
      <c r="HH100" s="10" t="str">
        <f t="shared" si="316"/>
        <v xml:space="preserve"> </v>
      </c>
      <c r="HI100" s="10" t="str">
        <f t="shared" si="316"/>
        <v xml:space="preserve"> </v>
      </c>
      <c r="HJ100" s="10" t="str">
        <f t="shared" si="316"/>
        <v xml:space="preserve"> </v>
      </c>
      <c r="HK100" s="10" t="str">
        <f t="shared" si="316"/>
        <v xml:space="preserve"> </v>
      </c>
      <c r="HL100" s="10" t="str">
        <f t="shared" si="316"/>
        <v xml:space="preserve"> </v>
      </c>
      <c r="HO100" s="10" t="str">
        <f t="shared" si="317"/>
        <v xml:space="preserve"> </v>
      </c>
      <c r="HP100" s="10" t="str">
        <f t="shared" si="317"/>
        <v xml:space="preserve"> </v>
      </c>
      <c r="HQ100" s="10" t="str">
        <f t="shared" si="317"/>
        <v xml:space="preserve"> </v>
      </c>
      <c r="HR100" s="10" t="str">
        <f t="shared" si="317"/>
        <v xml:space="preserve"> </v>
      </c>
      <c r="HS100" s="10" t="str">
        <f t="shared" si="317"/>
        <v xml:space="preserve"> </v>
      </c>
      <c r="HV100" s="10" t="str">
        <f t="shared" si="318"/>
        <v xml:space="preserve"> </v>
      </c>
      <c r="HW100" s="10" t="str">
        <f t="shared" si="318"/>
        <v xml:space="preserve"> </v>
      </c>
      <c r="HX100" s="10" t="str">
        <f t="shared" si="318"/>
        <v xml:space="preserve"> </v>
      </c>
      <c r="HY100" s="10" t="str">
        <f t="shared" si="318"/>
        <v xml:space="preserve"> </v>
      </c>
      <c r="HZ100" s="10" t="str">
        <f t="shared" si="318"/>
        <v xml:space="preserve"> </v>
      </c>
      <c r="IC100" s="10" t="str">
        <f t="shared" si="319"/>
        <v xml:space="preserve"> </v>
      </c>
      <c r="ID100" s="10" t="str">
        <f t="shared" si="319"/>
        <v xml:space="preserve"> </v>
      </c>
      <c r="IE100" s="10" t="str">
        <f t="shared" si="319"/>
        <v xml:space="preserve"> </v>
      </c>
      <c r="IF100" s="10" t="str">
        <f t="shared" si="319"/>
        <v xml:space="preserve"> </v>
      </c>
      <c r="IG100" s="10" t="str">
        <f t="shared" si="319"/>
        <v xml:space="preserve"> </v>
      </c>
      <c r="IJ100" s="10" t="str">
        <f t="shared" si="320"/>
        <v xml:space="preserve"> </v>
      </c>
      <c r="IK100" s="10" t="str">
        <f t="shared" si="320"/>
        <v xml:space="preserve"> </v>
      </c>
      <c r="IL100" s="10" t="str">
        <f t="shared" si="320"/>
        <v xml:space="preserve"> </v>
      </c>
      <c r="IM100" s="10" t="str">
        <f t="shared" si="320"/>
        <v xml:space="preserve"> </v>
      </c>
      <c r="IN100" s="10" t="str">
        <f t="shared" si="320"/>
        <v xml:space="preserve"> </v>
      </c>
      <c r="IQ100" s="10" t="str">
        <f t="shared" si="321"/>
        <v xml:space="preserve"> </v>
      </c>
      <c r="IR100" s="10" t="str">
        <f t="shared" si="321"/>
        <v xml:space="preserve"> </v>
      </c>
      <c r="IS100" s="10" t="str">
        <f t="shared" si="321"/>
        <v xml:space="preserve"> </v>
      </c>
      <c r="IT100" s="10" t="str">
        <f t="shared" si="321"/>
        <v xml:space="preserve"> </v>
      </c>
      <c r="IU100" s="10" t="str">
        <f t="shared" si="321"/>
        <v xml:space="preserve"> </v>
      </c>
      <c r="IX100" s="10" t="str">
        <f t="shared" si="322"/>
        <v xml:space="preserve"> </v>
      </c>
      <c r="IY100" s="10" t="str">
        <f t="shared" si="322"/>
        <v xml:space="preserve"> </v>
      </c>
      <c r="IZ100" s="10" t="str">
        <f t="shared" si="322"/>
        <v xml:space="preserve"> </v>
      </c>
      <c r="JA100" s="10" t="str">
        <f t="shared" si="322"/>
        <v xml:space="preserve"> </v>
      </c>
      <c r="JB100" s="10" t="str">
        <f t="shared" si="322"/>
        <v xml:space="preserve"> </v>
      </c>
      <c r="JE100" s="10" t="str">
        <f t="shared" si="323"/>
        <v xml:space="preserve"> </v>
      </c>
      <c r="JF100" s="10" t="str">
        <f t="shared" si="323"/>
        <v xml:space="preserve"> </v>
      </c>
      <c r="JG100" s="10" t="str">
        <f t="shared" si="323"/>
        <v xml:space="preserve"> </v>
      </c>
      <c r="JH100" s="10" t="str">
        <f t="shared" si="323"/>
        <v xml:space="preserve"> </v>
      </c>
      <c r="JI100" s="10" t="str">
        <f t="shared" si="323"/>
        <v xml:space="preserve"> </v>
      </c>
    </row>
    <row r="101" spans="13:269">
      <c r="M101" s="10" t="str">
        <f t="shared" si="324"/>
        <v xml:space="preserve"> </v>
      </c>
      <c r="N101" s="10" t="str">
        <f t="shared" si="324"/>
        <v xml:space="preserve"> </v>
      </c>
      <c r="O101" s="10" t="str">
        <f t="shared" si="324"/>
        <v xml:space="preserve"> </v>
      </c>
      <c r="P101" s="10" t="str">
        <f t="shared" si="324"/>
        <v xml:space="preserve"> </v>
      </c>
      <c r="Q101" s="10" t="str">
        <f t="shared" si="324"/>
        <v xml:space="preserve"> </v>
      </c>
      <c r="R101" s="14"/>
      <c r="S101" s="14"/>
      <c r="T101" s="10" t="str">
        <f t="shared" si="288"/>
        <v xml:space="preserve"> </v>
      </c>
      <c r="U101" s="10" t="str">
        <f t="shared" si="288"/>
        <v xml:space="preserve"> </v>
      </c>
      <c r="V101" s="10" t="str">
        <f t="shared" si="288"/>
        <v xml:space="preserve"> </v>
      </c>
      <c r="W101" s="10" t="str">
        <f t="shared" si="288"/>
        <v xml:space="preserve"> </v>
      </c>
      <c r="X101" s="10" t="str">
        <f t="shared" si="288"/>
        <v xml:space="preserve"> </v>
      </c>
      <c r="Y101" s="14"/>
      <c r="Z101" s="14"/>
      <c r="AA101" s="10" t="str">
        <f t="shared" si="289"/>
        <v xml:space="preserve"> </v>
      </c>
      <c r="AB101" s="10" t="str">
        <f t="shared" si="289"/>
        <v xml:space="preserve"> </v>
      </c>
      <c r="AC101" s="10" t="str">
        <f t="shared" si="289"/>
        <v xml:space="preserve"> </v>
      </c>
      <c r="AD101" s="10" t="str">
        <f t="shared" si="289"/>
        <v xml:space="preserve"> </v>
      </c>
      <c r="AE101" s="10" t="str">
        <f t="shared" si="289"/>
        <v xml:space="preserve"> </v>
      </c>
      <c r="AF101" s="14"/>
      <c r="AG101" s="14"/>
      <c r="AH101" s="10" t="str">
        <f t="shared" si="290"/>
        <v xml:space="preserve"> </v>
      </c>
      <c r="AI101" s="10" t="str">
        <f t="shared" si="290"/>
        <v xml:space="preserve"> </v>
      </c>
      <c r="AJ101" s="10" t="str">
        <f t="shared" si="290"/>
        <v xml:space="preserve"> </v>
      </c>
      <c r="AK101" s="10" t="str">
        <f t="shared" si="290"/>
        <v xml:space="preserve"> </v>
      </c>
      <c r="AL101" s="10" t="str">
        <f t="shared" si="290"/>
        <v xml:space="preserve"> </v>
      </c>
      <c r="AM101" s="14"/>
      <c r="AN101" s="14"/>
      <c r="AO101" s="10" t="str">
        <f t="shared" si="291"/>
        <v xml:space="preserve"> </v>
      </c>
      <c r="AP101" s="10" t="str">
        <f t="shared" si="291"/>
        <v xml:space="preserve"> </v>
      </c>
      <c r="AQ101" s="10" t="str">
        <f t="shared" si="291"/>
        <v xml:space="preserve"> </v>
      </c>
      <c r="AR101" s="10" t="str">
        <f t="shared" si="291"/>
        <v xml:space="preserve"> </v>
      </c>
      <c r="AS101" s="10" t="str">
        <f t="shared" si="291"/>
        <v xml:space="preserve"> </v>
      </c>
      <c r="AT101" s="14"/>
      <c r="AU101" s="14"/>
      <c r="AV101" s="10" t="str">
        <f t="shared" si="292"/>
        <v xml:space="preserve"> </v>
      </c>
      <c r="AW101" s="10" t="str">
        <f t="shared" si="292"/>
        <v xml:space="preserve"> </v>
      </c>
      <c r="AX101" s="10" t="str">
        <f t="shared" si="292"/>
        <v xml:space="preserve"> </v>
      </c>
      <c r="AY101" s="10" t="str">
        <f t="shared" si="292"/>
        <v xml:space="preserve"> </v>
      </c>
      <c r="AZ101" s="10" t="str">
        <f t="shared" si="292"/>
        <v xml:space="preserve"> </v>
      </c>
      <c r="BA101" s="14"/>
      <c r="BB101" s="14"/>
      <c r="BC101" s="10" t="str">
        <f t="shared" si="293"/>
        <v xml:space="preserve"> </v>
      </c>
      <c r="BD101" s="10" t="str">
        <f t="shared" si="293"/>
        <v xml:space="preserve"> </v>
      </c>
      <c r="BE101" s="10" t="str">
        <f t="shared" si="293"/>
        <v xml:space="preserve"> </v>
      </c>
      <c r="BF101" s="10" t="str">
        <f t="shared" si="293"/>
        <v xml:space="preserve"> </v>
      </c>
      <c r="BG101" s="10" t="str">
        <f t="shared" si="293"/>
        <v xml:space="preserve"> </v>
      </c>
      <c r="BH101" s="14"/>
      <c r="BI101" s="14"/>
      <c r="BJ101" s="10" t="str">
        <f t="shared" si="294"/>
        <v xml:space="preserve"> </v>
      </c>
      <c r="BK101" s="10" t="str">
        <f t="shared" si="294"/>
        <v xml:space="preserve"> </v>
      </c>
      <c r="BL101" s="10" t="str">
        <f t="shared" si="294"/>
        <v xml:space="preserve"> </v>
      </c>
      <c r="BM101" s="10" t="str">
        <f t="shared" si="294"/>
        <v xml:space="preserve"> </v>
      </c>
      <c r="BN101" s="10" t="str">
        <f t="shared" si="294"/>
        <v xml:space="preserve"> </v>
      </c>
      <c r="BO101" s="14"/>
      <c r="BP101" s="14"/>
      <c r="BQ101" s="10" t="str">
        <f t="shared" si="295"/>
        <v xml:space="preserve"> </v>
      </c>
      <c r="BR101" s="10" t="str">
        <f t="shared" si="295"/>
        <v xml:space="preserve"> </v>
      </c>
      <c r="BS101" s="10" t="str">
        <f t="shared" si="295"/>
        <v xml:space="preserve"> </v>
      </c>
      <c r="BT101" s="10" t="str">
        <f t="shared" si="295"/>
        <v xml:space="preserve"> </v>
      </c>
      <c r="BU101" s="10" t="str">
        <f t="shared" si="295"/>
        <v xml:space="preserve"> </v>
      </c>
      <c r="BV101" s="14"/>
      <c r="BW101" s="14"/>
      <c r="BX101" s="10" t="str">
        <f t="shared" si="296"/>
        <v xml:space="preserve"> </v>
      </c>
      <c r="BY101" s="10" t="str">
        <f t="shared" si="296"/>
        <v xml:space="preserve"> </v>
      </c>
      <c r="BZ101" s="10" t="str">
        <f t="shared" si="296"/>
        <v xml:space="preserve"> </v>
      </c>
      <c r="CA101" s="10" t="str">
        <f t="shared" si="296"/>
        <v xml:space="preserve"> </v>
      </c>
      <c r="CB101" s="10" t="str">
        <f t="shared" si="296"/>
        <v xml:space="preserve"> </v>
      </c>
      <c r="CC101" s="14"/>
      <c r="CD101" s="14"/>
      <c r="CE101" s="10" t="str">
        <f t="shared" si="297"/>
        <v xml:space="preserve"> </v>
      </c>
      <c r="CF101" s="10" t="str">
        <f t="shared" si="297"/>
        <v xml:space="preserve"> </v>
      </c>
      <c r="CG101" s="10" t="str">
        <f t="shared" si="297"/>
        <v xml:space="preserve"> </v>
      </c>
      <c r="CH101" s="10" t="str">
        <f t="shared" si="297"/>
        <v xml:space="preserve"> </v>
      </c>
      <c r="CI101" s="10" t="str">
        <f t="shared" si="297"/>
        <v xml:space="preserve"> </v>
      </c>
      <c r="CJ101" s="14"/>
      <c r="CK101" s="14"/>
      <c r="CL101" s="10" t="str">
        <f t="shared" si="298"/>
        <v xml:space="preserve"> </v>
      </c>
      <c r="CM101" s="10" t="str">
        <f t="shared" si="298"/>
        <v xml:space="preserve"> </v>
      </c>
      <c r="CN101" s="10" t="str">
        <f t="shared" si="298"/>
        <v xml:space="preserve"> </v>
      </c>
      <c r="CO101" s="10" t="str">
        <f t="shared" si="298"/>
        <v xml:space="preserve"> </v>
      </c>
      <c r="CP101" s="10" t="str">
        <f t="shared" si="298"/>
        <v xml:space="preserve"> </v>
      </c>
      <c r="CQ101" s="14"/>
      <c r="CR101" s="14"/>
      <c r="CS101" s="10" t="str">
        <f t="shared" si="299"/>
        <v xml:space="preserve"> </v>
      </c>
      <c r="CT101" s="10" t="str">
        <f t="shared" si="299"/>
        <v xml:space="preserve"> </v>
      </c>
      <c r="CU101" s="10" t="str">
        <f t="shared" si="299"/>
        <v xml:space="preserve"> </v>
      </c>
      <c r="CV101" s="10" t="str">
        <f t="shared" si="299"/>
        <v xml:space="preserve"> </v>
      </c>
      <c r="CW101" s="10" t="str">
        <f t="shared" si="299"/>
        <v xml:space="preserve"> </v>
      </c>
      <c r="CZ101" s="10" t="str">
        <f t="shared" si="300"/>
        <v xml:space="preserve"> </v>
      </c>
      <c r="DA101" s="10" t="str">
        <f t="shared" si="300"/>
        <v xml:space="preserve"> </v>
      </c>
      <c r="DB101" s="10" t="str">
        <f t="shared" si="300"/>
        <v xml:space="preserve"> </v>
      </c>
      <c r="DC101" s="10" t="str">
        <f t="shared" si="300"/>
        <v xml:space="preserve"> </v>
      </c>
      <c r="DD101" s="10" t="str">
        <f t="shared" si="300"/>
        <v xml:space="preserve"> </v>
      </c>
      <c r="DG101" s="10" t="str">
        <f t="shared" si="301"/>
        <v xml:space="preserve"> </v>
      </c>
      <c r="DH101" s="10" t="str">
        <f t="shared" si="301"/>
        <v xml:space="preserve"> </v>
      </c>
      <c r="DI101" s="10" t="str">
        <f t="shared" si="301"/>
        <v xml:space="preserve"> </v>
      </c>
      <c r="DJ101" s="10" t="str">
        <f t="shared" si="301"/>
        <v xml:space="preserve"> </v>
      </c>
      <c r="DK101" s="10" t="str">
        <f t="shared" si="301"/>
        <v xml:space="preserve"> </v>
      </c>
      <c r="DN101" s="10" t="str">
        <f t="shared" si="302"/>
        <v xml:space="preserve"> </v>
      </c>
      <c r="DO101" s="10" t="str">
        <f t="shared" si="302"/>
        <v xml:space="preserve"> </v>
      </c>
      <c r="DP101" s="10" t="str">
        <f t="shared" si="302"/>
        <v xml:space="preserve"> </v>
      </c>
      <c r="DQ101" s="10" t="str">
        <f t="shared" si="302"/>
        <v xml:space="preserve"> </v>
      </c>
      <c r="DR101" s="10" t="str">
        <f t="shared" si="302"/>
        <v xml:space="preserve"> </v>
      </c>
      <c r="DU101" s="10" t="str">
        <f t="shared" si="303"/>
        <v xml:space="preserve"> </v>
      </c>
      <c r="DV101" s="10" t="str">
        <f t="shared" si="303"/>
        <v xml:space="preserve"> </v>
      </c>
      <c r="DW101" s="10" t="str">
        <f t="shared" si="303"/>
        <v xml:space="preserve"> </v>
      </c>
      <c r="DX101" s="10" t="str">
        <f t="shared" si="303"/>
        <v xml:space="preserve"> </v>
      </c>
      <c r="DY101" s="10" t="str">
        <f t="shared" si="303"/>
        <v xml:space="preserve"> </v>
      </c>
      <c r="EB101" s="10" t="str">
        <f t="shared" si="304"/>
        <v xml:space="preserve"> </v>
      </c>
      <c r="EC101" s="10" t="str">
        <f t="shared" si="304"/>
        <v xml:space="preserve"> </v>
      </c>
      <c r="ED101" s="10" t="str">
        <f t="shared" si="304"/>
        <v xml:space="preserve"> </v>
      </c>
      <c r="EE101" s="10" t="str">
        <f t="shared" si="304"/>
        <v xml:space="preserve"> </v>
      </c>
      <c r="EF101" s="10" t="str">
        <f t="shared" si="304"/>
        <v xml:space="preserve"> </v>
      </c>
      <c r="EI101" s="10" t="str">
        <f t="shared" si="305"/>
        <v xml:space="preserve"> </v>
      </c>
      <c r="EJ101" s="10" t="str">
        <f t="shared" si="305"/>
        <v xml:space="preserve"> </v>
      </c>
      <c r="EK101" s="10" t="str">
        <f t="shared" si="305"/>
        <v xml:space="preserve"> </v>
      </c>
      <c r="EL101" s="10" t="str">
        <f t="shared" si="305"/>
        <v xml:space="preserve"> </v>
      </c>
      <c r="EM101" s="10" t="str">
        <f t="shared" si="305"/>
        <v xml:space="preserve"> </v>
      </c>
      <c r="EP101" s="10" t="str">
        <f t="shared" si="306"/>
        <v xml:space="preserve"> </v>
      </c>
      <c r="EQ101" s="10" t="str">
        <f t="shared" si="306"/>
        <v xml:space="preserve"> </v>
      </c>
      <c r="ER101" s="10" t="str">
        <f t="shared" si="306"/>
        <v xml:space="preserve"> </v>
      </c>
      <c r="ES101" s="10" t="str">
        <f t="shared" si="306"/>
        <v xml:space="preserve"> </v>
      </c>
      <c r="ET101" s="10" t="str">
        <f t="shared" si="306"/>
        <v xml:space="preserve"> </v>
      </c>
      <c r="EW101" s="10" t="str">
        <f t="shared" si="307"/>
        <v xml:space="preserve"> </v>
      </c>
      <c r="EX101" s="10" t="str">
        <f t="shared" si="307"/>
        <v xml:space="preserve"> </v>
      </c>
      <c r="EY101" s="10" t="str">
        <f t="shared" si="307"/>
        <v xml:space="preserve"> </v>
      </c>
      <c r="EZ101" s="10" t="str">
        <f t="shared" si="307"/>
        <v xml:space="preserve"> </v>
      </c>
      <c r="FA101" s="10" t="str">
        <f t="shared" si="307"/>
        <v xml:space="preserve"> </v>
      </c>
      <c r="FD101" s="10" t="str">
        <f t="shared" si="308"/>
        <v xml:space="preserve"> </v>
      </c>
      <c r="FE101" s="10" t="str">
        <f t="shared" si="308"/>
        <v xml:space="preserve"> </v>
      </c>
      <c r="FF101" s="10" t="str">
        <f t="shared" si="308"/>
        <v xml:space="preserve"> </v>
      </c>
      <c r="FG101" s="10" t="str">
        <f t="shared" si="308"/>
        <v xml:space="preserve"> </v>
      </c>
      <c r="FH101" s="10" t="str">
        <f t="shared" si="308"/>
        <v xml:space="preserve"> </v>
      </c>
      <c r="FK101" s="10" t="str">
        <f t="shared" si="309"/>
        <v xml:space="preserve"> </v>
      </c>
      <c r="FL101" s="10" t="str">
        <f t="shared" si="309"/>
        <v xml:space="preserve"> </v>
      </c>
      <c r="FM101" s="10" t="str">
        <f t="shared" si="309"/>
        <v xml:space="preserve"> </v>
      </c>
      <c r="FN101" s="10" t="str">
        <f t="shared" si="309"/>
        <v xml:space="preserve"> </v>
      </c>
      <c r="FO101" s="10" t="str">
        <f t="shared" si="309"/>
        <v xml:space="preserve"> </v>
      </c>
      <c r="FR101" s="10" t="str">
        <f t="shared" si="310"/>
        <v xml:space="preserve"> </v>
      </c>
      <c r="FS101" s="10" t="str">
        <f t="shared" si="310"/>
        <v xml:space="preserve"> </v>
      </c>
      <c r="FT101" s="10" t="str">
        <f t="shared" si="310"/>
        <v xml:space="preserve"> </v>
      </c>
      <c r="FU101" s="10" t="str">
        <f t="shared" si="310"/>
        <v xml:space="preserve"> </v>
      </c>
      <c r="FV101" s="10" t="str">
        <f t="shared" si="310"/>
        <v xml:space="preserve"> </v>
      </c>
      <c r="FY101" s="10" t="str">
        <f t="shared" si="311"/>
        <v xml:space="preserve"> </v>
      </c>
      <c r="FZ101" s="10" t="str">
        <f t="shared" si="311"/>
        <v xml:space="preserve"> </v>
      </c>
      <c r="GA101" s="10" t="str">
        <f t="shared" si="311"/>
        <v xml:space="preserve"> </v>
      </c>
      <c r="GB101" s="10" t="str">
        <f t="shared" si="311"/>
        <v xml:space="preserve"> </v>
      </c>
      <c r="GC101" s="10" t="str">
        <f t="shared" si="311"/>
        <v xml:space="preserve"> </v>
      </c>
      <c r="GF101" s="10" t="str">
        <f t="shared" si="312"/>
        <v xml:space="preserve"> </v>
      </c>
      <c r="GG101" s="10" t="str">
        <f t="shared" si="312"/>
        <v xml:space="preserve"> </v>
      </c>
      <c r="GH101" s="10" t="str">
        <f t="shared" si="312"/>
        <v xml:space="preserve"> </v>
      </c>
      <c r="GI101" s="10" t="str">
        <f t="shared" si="312"/>
        <v xml:space="preserve"> </v>
      </c>
      <c r="GJ101" s="10" t="str">
        <f t="shared" si="312"/>
        <v xml:space="preserve"> </v>
      </c>
      <c r="GM101" s="10" t="str">
        <f t="shared" si="313"/>
        <v xml:space="preserve"> </v>
      </c>
      <c r="GN101" s="10" t="str">
        <f t="shared" si="313"/>
        <v xml:space="preserve"> </v>
      </c>
      <c r="GO101" s="10" t="str">
        <f t="shared" si="313"/>
        <v xml:space="preserve"> </v>
      </c>
      <c r="GP101" s="10" t="str">
        <f t="shared" si="313"/>
        <v xml:space="preserve"> </v>
      </c>
      <c r="GQ101" s="10" t="str">
        <f t="shared" si="313"/>
        <v xml:space="preserve"> </v>
      </c>
      <c r="GT101" s="10" t="str">
        <f t="shared" si="314"/>
        <v xml:space="preserve"> </v>
      </c>
      <c r="GU101" s="10" t="str">
        <f t="shared" si="314"/>
        <v xml:space="preserve"> </v>
      </c>
      <c r="GV101" s="10" t="str">
        <f t="shared" si="314"/>
        <v xml:space="preserve"> </v>
      </c>
      <c r="GW101" s="10" t="str">
        <f t="shared" si="314"/>
        <v xml:space="preserve"> </v>
      </c>
      <c r="GX101" s="10" t="str">
        <f t="shared" si="314"/>
        <v xml:space="preserve"> </v>
      </c>
      <c r="HA101" s="10" t="str">
        <f t="shared" si="315"/>
        <v xml:space="preserve"> </v>
      </c>
      <c r="HB101" s="10" t="str">
        <f t="shared" si="315"/>
        <v xml:space="preserve"> </v>
      </c>
      <c r="HC101" s="10" t="str">
        <f t="shared" si="315"/>
        <v xml:space="preserve"> </v>
      </c>
      <c r="HD101" s="10" t="str">
        <f t="shared" si="315"/>
        <v xml:space="preserve"> </v>
      </c>
      <c r="HE101" s="10" t="str">
        <f t="shared" si="315"/>
        <v xml:space="preserve"> </v>
      </c>
      <c r="HH101" s="10" t="str">
        <f t="shared" si="316"/>
        <v xml:space="preserve"> </v>
      </c>
      <c r="HI101" s="10" t="str">
        <f t="shared" si="316"/>
        <v xml:space="preserve"> </v>
      </c>
      <c r="HJ101" s="10" t="str">
        <f t="shared" si="316"/>
        <v xml:space="preserve"> </v>
      </c>
      <c r="HK101" s="10" t="str">
        <f t="shared" si="316"/>
        <v xml:space="preserve"> </v>
      </c>
      <c r="HL101" s="10" t="str">
        <f t="shared" si="316"/>
        <v xml:space="preserve"> </v>
      </c>
      <c r="HO101" s="10" t="str">
        <f t="shared" si="317"/>
        <v xml:space="preserve"> </v>
      </c>
      <c r="HP101" s="10" t="str">
        <f t="shared" si="317"/>
        <v xml:space="preserve"> </v>
      </c>
      <c r="HQ101" s="10" t="str">
        <f t="shared" si="317"/>
        <v xml:space="preserve"> </v>
      </c>
      <c r="HR101" s="10" t="str">
        <f t="shared" si="317"/>
        <v xml:space="preserve"> </v>
      </c>
      <c r="HS101" s="10" t="str">
        <f t="shared" si="317"/>
        <v xml:space="preserve"> </v>
      </c>
      <c r="HV101" s="10" t="str">
        <f t="shared" si="318"/>
        <v xml:space="preserve"> </v>
      </c>
      <c r="HW101" s="10" t="str">
        <f t="shared" si="318"/>
        <v xml:space="preserve"> </v>
      </c>
      <c r="HX101" s="10" t="str">
        <f t="shared" si="318"/>
        <v xml:space="preserve"> </v>
      </c>
      <c r="HY101" s="10" t="str">
        <f t="shared" si="318"/>
        <v xml:space="preserve"> </v>
      </c>
      <c r="HZ101" s="10" t="str">
        <f t="shared" si="318"/>
        <v xml:space="preserve"> </v>
      </c>
      <c r="IC101" s="10" t="str">
        <f t="shared" si="319"/>
        <v xml:space="preserve"> </v>
      </c>
      <c r="ID101" s="10" t="str">
        <f t="shared" si="319"/>
        <v xml:space="preserve"> </v>
      </c>
      <c r="IE101" s="10" t="str">
        <f t="shared" si="319"/>
        <v xml:space="preserve"> </v>
      </c>
      <c r="IF101" s="10" t="str">
        <f t="shared" si="319"/>
        <v xml:space="preserve"> </v>
      </c>
      <c r="IG101" s="10" t="str">
        <f t="shared" si="319"/>
        <v xml:space="preserve"> </v>
      </c>
      <c r="IJ101" s="10" t="str">
        <f t="shared" si="320"/>
        <v xml:space="preserve"> </v>
      </c>
      <c r="IK101" s="10" t="str">
        <f t="shared" si="320"/>
        <v xml:space="preserve"> </v>
      </c>
      <c r="IL101" s="10" t="str">
        <f t="shared" si="320"/>
        <v xml:space="preserve"> </v>
      </c>
      <c r="IM101" s="10" t="str">
        <f t="shared" si="320"/>
        <v xml:space="preserve"> </v>
      </c>
      <c r="IN101" s="10" t="str">
        <f t="shared" si="320"/>
        <v xml:space="preserve"> </v>
      </c>
      <c r="IQ101" s="10" t="str">
        <f t="shared" si="321"/>
        <v xml:space="preserve"> </v>
      </c>
      <c r="IR101" s="10" t="str">
        <f t="shared" si="321"/>
        <v xml:space="preserve"> </v>
      </c>
      <c r="IS101" s="10" t="str">
        <f t="shared" si="321"/>
        <v xml:space="preserve"> </v>
      </c>
      <c r="IT101" s="10" t="str">
        <f t="shared" si="321"/>
        <v xml:space="preserve"> </v>
      </c>
      <c r="IU101" s="10" t="str">
        <f t="shared" si="321"/>
        <v xml:space="preserve"> </v>
      </c>
      <c r="IX101" s="10" t="str">
        <f t="shared" si="322"/>
        <v xml:space="preserve"> </v>
      </c>
      <c r="IY101" s="10" t="str">
        <f t="shared" si="322"/>
        <v xml:space="preserve"> </v>
      </c>
      <c r="IZ101" s="10" t="str">
        <f t="shared" si="322"/>
        <v xml:space="preserve"> </v>
      </c>
      <c r="JA101" s="10" t="str">
        <f t="shared" si="322"/>
        <v xml:space="preserve"> </v>
      </c>
      <c r="JB101" s="10" t="str">
        <f t="shared" si="322"/>
        <v xml:space="preserve"> </v>
      </c>
      <c r="JE101" s="10" t="str">
        <f t="shared" si="323"/>
        <v xml:space="preserve"> </v>
      </c>
      <c r="JF101" s="10" t="str">
        <f t="shared" si="323"/>
        <v xml:space="preserve"> </v>
      </c>
      <c r="JG101" s="10" t="str">
        <f t="shared" si="323"/>
        <v xml:space="preserve"> </v>
      </c>
      <c r="JH101" s="10" t="str">
        <f t="shared" si="323"/>
        <v xml:space="preserve"> </v>
      </c>
      <c r="JI101" s="10" t="str">
        <f t="shared" si="323"/>
        <v xml:space="preserve"> </v>
      </c>
    </row>
    <row r="102" spans="13:269">
      <c r="M102" s="10" t="str">
        <f t="shared" si="324"/>
        <v xml:space="preserve"> </v>
      </c>
      <c r="N102" s="10" t="str">
        <f t="shared" si="324"/>
        <v xml:space="preserve"> </v>
      </c>
      <c r="O102" s="10" t="str">
        <f t="shared" si="324"/>
        <v xml:space="preserve"> </v>
      </c>
      <c r="P102" s="10" t="str">
        <f t="shared" si="324"/>
        <v xml:space="preserve"> </v>
      </c>
      <c r="Q102" s="10" t="str">
        <f t="shared" si="324"/>
        <v xml:space="preserve"> </v>
      </c>
      <c r="R102" s="14"/>
      <c r="S102" s="14"/>
      <c r="T102" s="10" t="str">
        <f t="shared" si="288"/>
        <v xml:space="preserve"> </v>
      </c>
      <c r="U102" s="10" t="str">
        <f t="shared" si="288"/>
        <v xml:space="preserve"> </v>
      </c>
      <c r="V102" s="10" t="str">
        <f t="shared" si="288"/>
        <v xml:space="preserve"> </v>
      </c>
      <c r="W102" s="10" t="str">
        <f t="shared" si="288"/>
        <v xml:space="preserve"> </v>
      </c>
      <c r="X102" s="10" t="str">
        <f t="shared" si="288"/>
        <v xml:space="preserve"> </v>
      </c>
      <c r="Y102" s="14"/>
      <c r="Z102" s="14"/>
      <c r="AA102" s="10" t="str">
        <f t="shared" si="289"/>
        <v xml:space="preserve"> </v>
      </c>
      <c r="AB102" s="10" t="str">
        <f t="shared" si="289"/>
        <v xml:space="preserve"> </v>
      </c>
      <c r="AC102" s="10" t="str">
        <f t="shared" si="289"/>
        <v xml:space="preserve"> </v>
      </c>
      <c r="AD102" s="10" t="str">
        <f t="shared" si="289"/>
        <v xml:space="preserve"> </v>
      </c>
      <c r="AE102" s="10" t="str">
        <f t="shared" si="289"/>
        <v xml:space="preserve"> </v>
      </c>
      <c r="AF102" s="14"/>
      <c r="AG102" s="14"/>
      <c r="AH102" s="10" t="str">
        <f t="shared" si="290"/>
        <v xml:space="preserve"> </v>
      </c>
      <c r="AI102" s="10" t="str">
        <f t="shared" si="290"/>
        <v xml:space="preserve"> </v>
      </c>
      <c r="AJ102" s="10" t="str">
        <f t="shared" si="290"/>
        <v xml:space="preserve"> </v>
      </c>
      <c r="AK102" s="10" t="str">
        <f t="shared" si="290"/>
        <v xml:space="preserve"> </v>
      </c>
      <c r="AL102" s="10" t="str">
        <f t="shared" si="290"/>
        <v xml:space="preserve"> </v>
      </c>
      <c r="AM102" s="14"/>
      <c r="AN102" s="14"/>
      <c r="AO102" s="10" t="str">
        <f t="shared" si="291"/>
        <v xml:space="preserve"> </v>
      </c>
      <c r="AP102" s="10" t="str">
        <f t="shared" si="291"/>
        <v xml:space="preserve"> </v>
      </c>
      <c r="AQ102" s="10" t="str">
        <f t="shared" si="291"/>
        <v xml:space="preserve"> </v>
      </c>
      <c r="AR102" s="10" t="str">
        <f t="shared" si="291"/>
        <v xml:space="preserve"> </v>
      </c>
      <c r="AS102" s="10" t="str">
        <f t="shared" si="291"/>
        <v xml:space="preserve"> </v>
      </c>
      <c r="AT102" s="14"/>
      <c r="AU102" s="14"/>
      <c r="AV102" s="10" t="str">
        <f t="shared" si="292"/>
        <v xml:space="preserve"> </v>
      </c>
      <c r="AW102" s="10" t="str">
        <f t="shared" si="292"/>
        <v xml:space="preserve"> </v>
      </c>
      <c r="AX102" s="10" t="str">
        <f t="shared" si="292"/>
        <v xml:space="preserve"> </v>
      </c>
      <c r="AY102" s="10" t="str">
        <f t="shared" si="292"/>
        <v xml:space="preserve"> </v>
      </c>
      <c r="AZ102" s="10" t="str">
        <f t="shared" si="292"/>
        <v xml:space="preserve"> </v>
      </c>
      <c r="BA102" s="14"/>
      <c r="BB102" s="14"/>
      <c r="BC102" s="10" t="str">
        <f t="shared" si="293"/>
        <v xml:space="preserve"> </v>
      </c>
      <c r="BD102" s="10" t="str">
        <f t="shared" si="293"/>
        <v xml:space="preserve"> </v>
      </c>
      <c r="BE102" s="10" t="str">
        <f t="shared" si="293"/>
        <v xml:space="preserve"> </v>
      </c>
      <c r="BF102" s="10" t="str">
        <f t="shared" si="293"/>
        <v xml:space="preserve"> </v>
      </c>
      <c r="BG102" s="10" t="str">
        <f t="shared" si="293"/>
        <v xml:space="preserve"> </v>
      </c>
      <c r="BH102" s="14"/>
      <c r="BI102" s="14"/>
      <c r="BJ102" s="10" t="str">
        <f t="shared" si="294"/>
        <v xml:space="preserve"> </v>
      </c>
      <c r="BK102" s="10" t="str">
        <f t="shared" si="294"/>
        <v xml:space="preserve"> </v>
      </c>
      <c r="BL102" s="10" t="str">
        <f t="shared" si="294"/>
        <v xml:space="preserve"> </v>
      </c>
      <c r="BM102" s="10" t="str">
        <f t="shared" si="294"/>
        <v xml:space="preserve"> </v>
      </c>
      <c r="BN102" s="10" t="str">
        <f t="shared" si="294"/>
        <v xml:space="preserve"> </v>
      </c>
      <c r="BO102" s="14"/>
      <c r="BP102" s="14"/>
      <c r="BQ102" s="10" t="str">
        <f t="shared" si="295"/>
        <v xml:space="preserve"> </v>
      </c>
      <c r="BR102" s="10" t="str">
        <f t="shared" si="295"/>
        <v xml:space="preserve"> </v>
      </c>
      <c r="BS102" s="10" t="str">
        <f t="shared" si="295"/>
        <v xml:space="preserve"> </v>
      </c>
      <c r="BT102" s="10" t="str">
        <f t="shared" si="295"/>
        <v xml:space="preserve"> </v>
      </c>
      <c r="BU102" s="10" t="str">
        <f t="shared" si="295"/>
        <v xml:space="preserve"> </v>
      </c>
      <c r="BV102" s="14"/>
      <c r="BW102" s="14"/>
      <c r="BX102" s="10" t="str">
        <f t="shared" si="296"/>
        <v xml:space="preserve"> </v>
      </c>
      <c r="BY102" s="10" t="str">
        <f t="shared" si="296"/>
        <v xml:space="preserve"> </v>
      </c>
      <c r="BZ102" s="10" t="str">
        <f t="shared" si="296"/>
        <v xml:space="preserve"> </v>
      </c>
      <c r="CA102" s="10" t="str">
        <f t="shared" si="296"/>
        <v xml:space="preserve"> </v>
      </c>
      <c r="CB102" s="10" t="str">
        <f t="shared" si="296"/>
        <v xml:space="preserve"> </v>
      </c>
      <c r="CC102" s="14"/>
      <c r="CD102" s="14"/>
      <c r="CE102" s="10" t="str">
        <f t="shared" si="297"/>
        <v xml:space="preserve"> </v>
      </c>
      <c r="CF102" s="10" t="str">
        <f t="shared" si="297"/>
        <v xml:space="preserve"> </v>
      </c>
      <c r="CG102" s="10" t="str">
        <f t="shared" si="297"/>
        <v xml:space="preserve"> </v>
      </c>
      <c r="CH102" s="10" t="str">
        <f t="shared" si="297"/>
        <v xml:space="preserve"> </v>
      </c>
      <c r="CI102" s="10" t="str">
        <f t="shared" si="297"/>
        <v xml:space="preserve"> </v>
      </c>
      <c r="CJ102" s="14"/>
      <c r="CK102" s="14"/>
      <c r="CL102" s="10" t="str">
        <f t="shared" si="298"/>
        <v xml:space="preserve"> </v>
      </c>
      <c r="CM102" s="10" t="str">
        <f t="shared" si="298"/>
        <v xml:space="preserve"> </v>
      </c>
      <c r="CN102" s="10" t="str">
        <f t="shared" si="298"/>
        <v xml:space="preserve"> </v>
      </c>
      <c r="CO102" s="10" t="str">
        <f t="shared" si="298"/>
        <v xml:space="preserve"> </v>
      </c>
      <c r="CP102" s="10" t="str">
        <f t="shared" si="298"/>
        <v xml:space="preserve"> </v>
      </c>
      <c r="CQ102" s="14"/>
      <c r="CR102" s="14"/>
      <c r="CS102" s="10" t="str">
        <f t="shared" si="299"/>
        <v xml:space="preserve"> </v>
      </c>
      <c r="CT102" s="10" t="str">
        <f t="shared" si="299"/>
        <v xml:space="preserve"> </v>
      </c>
      <c r="CU102" s="10" t="str">
        <f t="shared" si="299"/>
        <v xml:space="preserve"> </v>
      </c>
      <c r="CV102" s="10" t="str">
        <f t="shared" si="299"/>
        <v xml:space="preserve"> </v>
      </c>
      <c r="CW102" s="10" t="str">
        <f t="shared" si="299"/>
        <v xml:space="preserve"> </v>
      </c>
      <c r="CZ102" s="10" t="str">
        <f t="shared" si="300"/>
        <v xml:space="preserve"> </v>
      </c>
      <c r="DA102" s="10" t="str">
        <f t="shared" si="300"/>
        <v xml:space="preserve"> </v>
      </c>
      <c r="DB102" s="10" t="str">
        <f t="shared" si="300"/>
        <v xml:space="preserve"> </v>
      </c>
      <c r="DC102" s="10" t="str">
        <f t="shared" si="300"/>
        <v xml:space="preserve"> </v>
      </c>
      <c r="DD102" s="10" t="str">
        <f t="shared" si="300"/>
        <v xml:space="preserve"> </v>
      </c>
      <c r="DG102" s="10" t="str">
        <f t="shared" si="301"/>
        <v xml:space="preserve"> </v>
      </c>
      <c r="DH102" s="10" t="str">
        <f t="shared" si="301"/>
        <v xml:space="preserve"> </v>
      </c>
      <c r="DI102" s="10" t="str">
        <f t="shared" si="301"/>
        <v xml:space="preserve"> </v>
      </c>
      <c r="DJ102" s="10" t="str">
        <f t="shared" si="301"/>
        <v xml:space="preserve"> </v>
      </c>
      <c r="DK102" s="10" t="str">
        <f t="shared" si="301"/>
        <v xml:space="preserve"> </v>
      </c>
      <c r="DN102" s="10" t="str">
        <f t="shared" si="302"/>
        <v xml:space="preserve"> </v>
      </c>
      <c r="DO102" s="10" t="str">
        <f t="shared" si="302"/>
        <v xml:space="preserve"> </v>
      </c>
      <c r="DP102" s="10" t="str">
        <f t="shared" si="302"/>
        <v xml:space="preserve"> </v>
      </c>
      <c r="DQ102" s="10" t="str">
        <f t="shared" si="302"/>
        <v xml:space="preserve"> </v>
      </c>
      <c r="DR102" s="10" t="str">
        <f t="shared" si="302"/>
        <v xml:space="preserve"> </v>
      </c>
      <c r="DU102" s="10" t="str">
        <f t="shared" si="303"/>
        <v xml:space="preserve"> </v>
      </c>
      <c r="DV102" s="10" t="str">
        <f t="shared" si="303"/>
        <v xml:space="preserve"> </v>
      </c>
      <c r="DW102" s="10" t="str">
        <f t="shared" si="303"/>
        <v xml:space="preserve"> </v>
      </c>
      <c r="DX102" s="10" t="str">
        <f t="shared" si="303"/>
        <v xml:space="preserve"> </v>
      </c>
      <c r="DY102" s="10" t="str">
        <f t="shared" si="303"/>
        <v xml:space="preserve"> </v>
      </c>
      <c r="EB102" s="10" t="str">
        <f t="shared" si="304"/>
        <v xml:space="preserve"> </v>
      </c>
      <c r="EC102" s="10" t="str">
        <f t="shared" si="304"/>
        <v xml:space="preserve"> </v>
      </c>
      <c r="ED102" s="10" t="str">
        <f t="shared" si="304"/>
        <v xml:space="preserve"> </v>
      </c>
      <c r="EE102" s="10" t="str">
        <f t="shared" si="304"/>
        <v xml:space="preserve"> </v>
      </c>
      <c r="EF102" s="10" t="str">
        <f t="shared" si="304"/>
        <v xml:space="preserve"> </v>
      </c>
      <c r="EI102" s="10" t="str">
        <f t="shared" si="305"/>
        <v xml:space="preserve"> </v>
      </c>
      <c r="EJ102" s="10" t="str">
        <f t="shared" si="305"/>
        <v xml:space="preserve"> </v>
      </c>
      <c r="EK102" s="10" t="str">
        <f t="shared" si="305"/>
        <v xml:space="preserve"> </v>
      </c>
      <c r="EL102" s="10" t="str">
        <f t="shared" si="305"/>
        <v xml:space="preserve"> </v>
      </c>
      <c r="EM102" s="10" t="str">
        <f t="shared" si="305"/>
        <v xml:space="preserve"> </v>
      </c>
      <c r="EP102" s="10" t="str">
        <f t="shared" si="306"/>
        <v xml:space="preserve"> </v>
      </c>
      <c r="EQ102" s="10" t="str">
        <f t="shared" si="306"/>
        <v xml:space="preserve"> </v>
      </c>
      <c r="ER102" s="10" t="str">
        <f t="shared" si="306"/>
        <v xml:space="preserve"> </v>
      </c>
      <c r="ES102" s="10" t="str">
        <f t="shared" si="306"/>
        <v xml:space="preserve"> </v>
      </c>
      <c r="ET102" s="10" t="str">
        <f t="shared" si="306"/>
        <v xml:space="preserve"> </v>
      </c>
      <c r="EW102" s="10" t="str">
        <f t="shared" si="307"/>
        <v xml:space="preserve"> </v>
      </c>
      <c r="EX102" s="10" t="str">
        <f t="shared" si="307"/>
        <v xml:space="preserve"> </v>
      </c>
      <c r="EY102" s="10" t="str">
        <f t="shared" si="307"/>
        <v xml:space="preserve"> </v>
      </c>
      <c r="EZ102" s="10" t="str">
        <f t="shared" si="307"/>
        <v xml:space="preserve"> </v>
      </c>
      <c r="FA102" s="10" t="str">
        <f t="shared" si="307"/>
        <v xml:space="preserve"> </v>
      </c>
      <c r="FD102" s="10" t="str">
        <f t="shared" si="308"/>
        <v xml:space="preserve"> </v>
      </c>
      <c r="FE102" s="10" t="str">
        <f t="shared" si="308"/>
        <v xml:space="preserve"> </v>
      </c>
      <c r="FF102" s="10" t="str">
        <f t="shared" si="308"/>
        <v xml:space="preserve"> </v>
      </c>
      <c r="FG102" s="10" t="str">
        <f t="shared" si="308"/>
        <v xml:space="preserve"> </v>
      </c>
      <c r="FH102" s="10" t="str">
        <f t="shared" si="308"/>
        <v xml:space="preserve"> </v>
      </c>
      <c r="FK102" s="10" t="str">
        <f t="shared" si="309"/>
        <v xml:space="preserve"> </v>
      </c>
      <c r="FL102" s="10" t="str">
        <f t="shared" si="309"/>
        <v xml:space="preserve"> </v>
      </c>
      <c r="FM102" s="10" t="str">
        <f t="shared" si="309"/>
        <v xml:space="preserve"> </v>
      </c>
      <c r="FN102" s="10" t="str">
        <f t="shared" si="309"/>
        <v xml:space="preserve"> </v>
      </c>
      <c r="FO102" s="10" t="str">
        <f t="shared" si="309"/>
        <v xml:space="preserve"> </v>
      </c>
      <c r="FR102" s="10" t="str">
        <f t="shared" si="310"/>
        <v xml:space="preserve"> </v>
      </c>
      <c r="FS102" s="10" t="str">
        <f t="shared" si="310"/>
        <v xml:space="preserve"> </v>
      </c>
      <c r="FT102" s="10" t="str">
        <f t="shared" si="310"/>
        <v xml:space="preserve"> </v>
      </c>
      <c r="FU102" s="10" t="str">
        <f t="shared" si="310"/>
        <v xml:space="preserve"> </v>
      </c>
      <c r="FV102" s="10" t="str">
        <f t="shared" si="310"/>
        <v xml:space="preserve"> </v>
      </c>
      <c r="FY102" s="10" t="str">
        <f t="shared" si="311"/>
        <v xml:space="preserve"> </v>
      </c>
      <c r="FZ102" s="10" t="str">
        <f t="shared" si="311"/>
        <v xml:space="preserve"> </v>
      </c>
      <c r="GA102" s="10" t="str">
        <f t="shared" si="311"/>
        <v xml:space="preserve"> </v>
      </c>
      <c r="GB102" s="10" t="str">
        <f t="shared" si="311"/>
        <v xml:space="preserve"> </v>
      </c>
      <c r="GC102" s="10" t="str">
        <f t="shared" si="311"/>
        <v xml:space="preserve"> </v>
      </c>
      <c r="GF102" s="10" t="str">
        <f t="shared" si="312"/>
        <v xml:space="preserve"> </v>
      </c>
      <c r="GG102" s="10" t="str">
        <f t="shared" si="312"/>
        <v xml:space="preserve"> </v>
      </c>
      <c r="GH102" s="10" t="str">
        <f t="shared" si="312"/>
        <v xml:space="preserve"> </v>
      </c>
      <c r="GI102" s="10" t="str">
        <f t="shared" si="312"/>
        <v xml:space="preserve"> </v>
      </c>
      <c r="GJ102" s="10" t="str">
        <f t="shared" si="312"/>
        <v xml:space="preserve"> </v>
      </c>
      <c r="GM102" s="10" t="str">
        <f t="shared" si="313"/>
        <v xml:space="preserve"> </v>
      </c>
      <c r="GN102" s="10" t="str">
        <f t="shared" si="313"/>
        <v xml:space="preserve"> </v>
      </c>
      <c r="GO102" s="10" t="str">
        <f t="shared" si="313"/>
        <v xml:space="preserve"> </v>
      </c>
      <c r="GP102" s="10" t="str">
        <f t="shared" si="313"/>
        <v xml:space="preserve"> </v>
      </c>
      <c r="GQ102" s="10" t="str">
        <f t="shared" si="313"/>
        <v xml:space="preserve"> </v>
      </c>
      <c r="GT102" s="10" t="str">
        <f t="shared" si="314"/>
        <v xml:space="preserve"> </v>
      </c>
      <c r="GU102" s="10" t="str">
        <f t="shared" si="314"/>
        <v xml:space="preserve"> </v>
      </c>
      <c r="GV102" s="10" t="str">
        <f t="shared" si="314"/>
        <v xml:space="preserve"> </v>
      </c>
      <c r="GW102" s="10" t="str">
        <f t="shared" si="314"/>
        <v xml:space="preserve"> </v>
      </c>
      <c r="GX102" s="10" t="str">
        <f t="shared" si="314"/>
        <v xml:space="preserve"> </v>
      </c>
      <c r="HA102" s="10" t="str">
        <f t="shared" si="315"/>
        <v xml:space="preserve"> </v>
      </c>
      <c r="HB102" s="10" t="str">
        <f t="shared" si="315"/>
        <v xml:space="preserve"> </v>
      </c>
      <c r="HC102" s="10" t="str">
        <f t="shared" si="315"/>
        <v xml:space="preserve"> </v>
      </c>
      <c r="HD102" s="10" t="str">
        <f t="shared" si="315"/>
        <v xml:space="preserve"> </v>
      </c>
      <c r="HE102" s="10" t="str">
        <f t="shared" si="315"/>
        <v xml:space="preserve"> </v>
      </c>
      <c r="HH102" s="10" t="str">
        <f t="shared" si="316"/>
        <v xml:space="preserve"> </v>
      </c>
      <c r="HI102" s="10" t="str">
        <f t="shared" si="316"/>
        <v xml:space="preserve"> </v>
      </c>
      <c r="HJ102" s="10" t="str">
        <f t="shared" si="316"/>
        <v xml:space="preserve"> </v>
      </c>
      <c r="HK102" s="10" t="str">
        <f t="shared" si="316"/>
        <v xml:space="preserve"> </v>
      </c>
      <c r="HL102" s="10" t="str">
        <f t="shared" si="316"/>
        <v xml:space="preserve"> </v>
      </c>
      <c r="HO102" s="10" t="str">
        <f t="shared" si="317"/>
        <v xml:space="preserve"> </v>
      </c>
      <c r="HP102" s="10" t="str">
        <f t="shared" si="317"/>
        <v xml:space="preserve"> </v>
      </c>
      <c r="HQ102" s="10" t="str">
        <f t="shared" si="317"/>
        <v xml:space="preserve"> </v>
      </c>
      <c r="HR102" s="10" t="str">
        <f t="shared" si="317"/>
        <v xml:space="preserve"> </v>
      </c>
      <c r="HS102" s="10" t="str">
        <f t="shared" si="317"/>
        <v xml:space="preserve"> </v>
      </c>
      <c r="HV102" s="10" t="str">
        <f t="shared" si="318"/>
        <v xml:space="preserve"> </v>
      </c>
      <c r="HW102" s="10" t="str">
        <f t="shared" si="318"/>
        <v xml:space="preserve"> </v>
      </c>
      <c r="HX102" s="10" t="str">
        <f t="shared" si="318"/>
        <v xml:space="preserve"> </v>
      </c>
      <c r="HY102" s="10" t="str">
        <f t="shared" si="318"/>
        <v xml:space="preserve"> </v>
      </c>
      <c r="HZ102" s="10" t="str">
        <f t="shared" si="318"/>
        <v xml:space="preserve"> </v>
      </c>
      <c r="IC102" s="10" t="str">
        <f t="shared" si="319"/>
        <v xml:space="preserve"> </v>
      </c>
      <c r="ID102" s="10" t="str">
        <f t="shared" si="319"/>
        <v xml:space="preserve"> </v>
      </c>
      <c r="IE102" s="10" t="str">
        <f t="shared" si="319"/>
        <v xml:space="preserve"> </v>
      </c>
      <c r="IF102" s="10" t="str">
        <f t="shared" si="319"/>
        <v xml:space="preserve"> </v>
      </c>
      <c r="IG102" s="10" t="str">
        <f t="shared" si="319"/>
        <v xml:space="preserve"> </v>
      </c>
      <c r="IJ102" s="10" t="str">
        <f t="shared" si="320"/>
        <v xml:space="preserve"> </v>
      </c>
      <c r="IK102" s="10" t="str">
        <f t="shared" si="320"/>
        <v xml:space="preserve"> </v>
      </c>
      <c r="IL102" s="10" t="str">
        <f t="shared" si="320"/>
        <v xml:space="preserve"> </v>
      </c>
      <c r="IM102" s="10" t="str">
        <f t="shared" si="320"/>
        <v xml:space="preserve"> </v>
      </c>
      <c r="IN102" s="10" t="str">
        <f t="shared" si="320"/>
        <v xml:space="preserve"> </v>
      </c>
      <c r="IQ102" s="10" t="str">
        <f t="shared" si="321"/>
        <v xml:space="preserve"> </v>
      </c>
      <c r="IR102" s="10" t="str">
        <f t="shared" si="321"/>
        <v xml:space="preserve"> </v>
      </c>
      <c r="IS102" s="10" t="str">
        <f t="shared" si="321"/>
        <v xml:space="preserve"> </v>
      </c>
      <c r="IT102" s="10" t="str">
        <f t="shared" si="321"/>
        <v xml:space="preserve"> </v>
      </c>
      <c r="IU102" s="10" t="str">
        <f t="shared" si="321"/>
        <v xml:space="preserve"> </v>
      </c>
      <c r="IX102" s="10" t="str">
        <f t="shared" si="322"/>
        <v xml:space="preserve"> </v>
      </c>
      <c r="IY102" s="10" t="str">
        <f t="shared" si="322"/>
        <v xml:space="preserve"> </v>
      </c>
      <c r="IZ102" s="10" t="str">
        <f t="shared" si="322"/>
        <v xml:space="preserve"> </v>
      </c>
      <c r="JA102" s="10" t="str">
        <f t="shared" si="322"/>
        <v xml:space="preserve"> </v>
      </c>
      <c r="JB102" s="10" t="str">
        <f t="shared" si="322"/>
        <v xml:space="preserve"> </v>
      </c>
      <c r="JE102" s="10" t="str">
        <f t="shared" si="323"/>
        <v xml:space="preserve"> </v>
      </c>
      <c r="JF102" s="10" t="str">
        <f t="shared" si="323"/>
        <v xml:space="preserve"> </v>
      </c>
      <c r="JG102" s="10" t="str">
        <f t="shared" si="323"/>
        <v xml:space="preserve"> </v>
      </c>
      <c r="JH102" s="10" t="str">
        <f t="shared" si="323"/>
        <v xml:space="preserve"> </v>
      </c>
      <c r="JI102" s="10" t="str">
        <f t="shared" si="323"/>
        <v xml:space="preserve"> </v>
      </c>
    </row>
    <row r="103" spans="13:269">
      <c r="M103" s="10" t="str">
        <f t="shared" si="324"/>
        <v xml:space="preserve"> </v>
      </c>
      <c r="N103" s="10" t="str">
        <f t="shared" si="324"/>
        <v xml:space="preserve"> </v>
      </c>
      <c r="O103" s="10" t="str">
        <f t="shared" si="324"/>
        <v xml:space="preserve"> </v>
      </c>
      <c r="P103" s="10" t="str">
        <f t="shared" si="324"/>
        <v xml:space="preserve"> </v>
      </c>
      <c r="Q103" s="10" t="str">
        <f t="shared" si="324"/>
        <v xml:space="preserve"> </v>
      </c>
      <c r="R103" s="14"/>
      <c r="S103" s="14"/>
      <c r="T103" s="10" t="str">
        <f t="shared" si="288"/>
        <v xml:space="preserve"> </v>
      </c>
      <c r="U103" s="10" t="str">
        <f t="shared" si="288"/>
        <v xml:space="preserve"> </v>
      </c>
      <c r="V103" s="10" t="str">
        <f t="shared" si="288"/>
        <v xml:space="preserve"> </v>
      </c>
      <c r="W103" s="10" t="str">
        <f t="shared" si="288"/>
        <v xml:space="preserve"> </v>
      </c>
      <c r="X103" s="10" t="str">
        <f t="shared" si="288"/>
        <v xml:space="preserve"> </v>
      </c>
      <c r="Y103" s="14"/>
      <c r="Z103" s="14"/>
      <c r="AA103" s="10" t="str">
        <f t="shared" si="289"/>
        <v xml:space="preserve"> </v>
      </c>
      <c r="AB103" s="10" t="str">
        <f t="shared" si="289"/>
        <v xml:space="preserve"> </v>
      </c>
      <c r="AC103" s="10" t="str">
        <f t="shared" si="289"/>
        <v xml:space="preserve"> </v>
      </c>
      <c r="AD103" s="10" t="str">
        <f t="shared" si="289"/>
        <v xml:space="preserve"> </v>
      </c>
      <c r="AE103" s="10" t="str">
        <f t="shared" si="289"/>
        <v xml:space="preserve"> </v>
      </c>
      <c r="AF103" s="14"/>
      <c r="AG103" s="14"/>
      <c r="AH103" s="10" t="str">
        <f t="shared" si="290"/>
        <v xml:space="preserve"> </v>
      </c>
      <c r="AI103" s="10" t="str">
        <f t="shared" si="290"/>
        <v xml:space="preserve"> </v>
      </c>
      <c r="AJ103" s="10" t="str">
        <f t="shared" si="290"/>
        <v xml:space="preserve"> </v>
      </c>
      <c r="AK103" s="10" t="str">
        <f t="shared" si="290"/>
        <v xml:space="preserve"> </v>
      </c>
      <c r="AL103" s="10" t="str">
        <f t="shared" si="290"/>
        <v xml:space="preserve"> </v>
      </c>
      <c r="AM103" s="14"/>
      <c r="AN103" s="14"/>
      <c r="AO103" s="10" t="str">
        <f t="shared" si="291"/>
        <v xml:space="preserve"> </v>
      </c>
      <c r="AP103" s="10" t="str">
        <f t="shared" si="291"/>
        <v xml:space="preserve"> </v>
      </c>
      <c r="AQ103" s="10" t="str">
        <f t="shared" si="291"/>
        <v xml:space="preserve"> </v>
      </c>
      <c r="AR103" s="10" t="str">
        <f t="shared" si="291"/>
        <v xml:space="preserve"> </v>
      </c>
      <c r="AS103" s="10" t="str">
        <f t="shared" si="291"/>
        <v xml:space="preserve"> </v>
      </c>
      <c r="AT103" s="14"/>
      <c r="AU103" s="14"/>
      <c r="AV103" s="10" t="str">
        <f t="shared" si="292"/>
        <v xml:space="preserve"> </v>
      </c>
      <c r="AW103" s="10" t="str">
        <f t="shared" si="292"/>
        <v xml:space="preserve"> </v>
      </c>
      <c r="AX103" s="10" t="str">
        <f t="shared" si="292"/>
        <v xml:space="preserve"> </v>
      </c>
      <c r="AY103" s="10" t="str">
        <f t="shared" si="292"/>
        <v xml:space="preserve"> </v>
      </c>
      <c r="AZ103" s="10" t="str">
        <f t="shared" si="292"/>
        <v xml:space="preserve"> </v>
      </c>
      <c r="BA103" s="14"/>
      <c r="BB103" s="14"/>
      <c r="BC103" s="10" t="str">
        <f t="shared" si="293"/>
        <v xml:space="preserve"> </v>
      </c>
      <c r="BD103" s="10" t="str">
        <f t="shared" si="293"/>
        <v xml:space="preserve"> </v>
      </c>
      <c r="BE103" s="10" t="str">
        <f t="shared" si="293"/>
        <v xml:space="preserve"> </v>
      </c>
      <c r="BF103" s="10" t="str">
        <f t="shared" si="293"/>
        <v xml:space="preserve"> </v>
      </c>
      <c r="BG103" s="10" t="str">
        <f t="shared" si="293"/>
        <v xml:space="preserve"> </v>
      </c>
      <c r="BH103" s="14"/>
      <c r="BI103" s="14"/>
      <c r="BJ103" s="10" t="str">
        <f t="shared" si="294"/>
        <v xml:space="preserve"> </v>
      </c>
      <c r="BK103" s="10" t="str">
        <f t="shared" si="294"/>
        <v xml:space="preserve"> </v>
      </c>
      <c r="BL103" s="10" t="str">
        <f t="shared" si="294"/>
        <v xml:space="preserve"> </v>
      </c>
      <c r="BM103" s="10" t="str">
        <f t="shared" si="294"/>
        <v xml:space="preserve"> </v>
      </c>
      <c r="BN103" s="10" t="str">
        <f t="shared" si="294"/>
        <v xml:space="preserve"> </v>
      </c>
      <c r="BO103" s="14"/>
      <c r="BP103" s="14"/>
      <c r="BQ103" s="10" t="str">
        <f t="shared" si="295"/>
        <v xml:space="preserve"> </v>
      </c>
      <c r="BR103" s="10" t="str">
        <f t="shared" si="295"/>
        <v xml:space="preserve"> </v>
      </c>
      <c r="BS103" s="10" t="str">
        <f t="shared" si="295"/>
        <v xml:space="preserve"> </v>
      </c>
      <c r="BT103" s="10" t="str">
        <f t="shared" si="295"/>
        <v xml:space="preserve"> </v>
      </c>
      <c r="BU103" s="10" t="str">
        <f t="shared" si="295"/>
        <v xml:space="preserve"> </v>
      </c>
      <c r="BV103" s="14"/>
      <c r="BW103" s="14"/>
      <c r="BX103" s="10" t="str">
        <f t="shared" si="296"/>
        <v xml:space="preserve"> </v>
      </c>
      <c r="BY103" s="10" t="str">
        <f t="shared" si="296"/>
        <v xml:space="preserve"> </v>
      </c>
      <c r="BZ103" s="10" t="str">
        <f t="shared" si="296"/>
        <v xml:space="preserve"> </v>
      </c>
      <c r="CA103" s="10" t="str">
        <f t="shared" si="296"/>
        <v xml:space="preserve"> </v>
      </c>
      <c r="CB103" s="10" t="str">
        <f t="shared" si="296"/>
        <v xml:space="preserve"> </v>
      </c>
      <c r="CC103" s="14"/>
      <c r="CD103" s="14"/>
      <c r="CE103" s="10" t="str">
        <f t="shared" si="297"/>
        <v xml:space="preserve"> </v>
      </c>
      <c r="CF103" s="10" t="str">
        <f t="shared" si="297"/>
        <v xml:space="preserve"> </v>
      </c>
      <c r="CG103" s="10" t="str">
        <f t="shared" si="297"/>
        <v xml:space="preserve"> </v>
      </c>
      <c r="CH103" s="10" t="str">
        <f t="shared" si="297"/>
        <v xml:space="preserve"> </v>
      </c>
      <c r="CI103" s="10" t="str">
        <f t="shared" si="297"/>
        <v xml:space="preserve"> </v>
      </c>
      <c r="CJ103" s="14"/>
      <c r="CK103" s="14"/>
      <c r="CL103" s="10" t="str">
        <f t="shared" si="298"/>
        <v xml:space="preserve"> </v>
      </c>
      <c r="CM103" s="10" t="str">
        <f t="shared" si="298"/>
        <v xml:space="preserve"> </v>
      </c>
      <c r="CN103" s="10" t="str">
        <f t="shared" si="298"/>
        <v xml:space="preserve"> </v>
      </c>
      <c r="CO103" s="10" t="str">
        <f t="shared" si="298"/>
        <v xml:space="preserve"> </v>
      </c>
      <c r="CP103" s="10" t="str">
        <f t="shared" si="298"/>
        <v xml:space="preserve"> </v>
      </c>
      <c r="CQ103" s="14"/>
      <c r="CR103" s="14"/>
      <c r="CS103" s="10" t="str">
        <f t="shared" si="299"/>
        <v xml:space="preserve"> </v>
      </c>
      <c r="CT103" s="10" t="str">
        <f t="shared" si="299"/>
        <v xml:space="preserve"> </v>
      </c>
      <c r="CU103" s="10" t="str">
        <f t="shared" si="299"/>
        <v xml:space="preserve"> </v>
      </c>
      <c r="CV103" s="10" t="str">
        <f t="shared" si="299"/>
        <v xml:space="preserve"> </v>
      </c>
      <c r="CW103" s="10" t="str">
        <f t="shared" si="299"/>
        <v xml:space="preserve"> </v>
      </c>
      <c r="CZ103" s="10" t="str">
        <f t="shared" si="300"/>
        <v xml:space="preserve"> </v>
      </c>
      <c r="DA103" s="10" t="str">
        <f t="shared" si="300"/>
        <v xml:space="preserve"> </v>
      </c>
      <c r="DB103" s="10" t="str">
        <f t="shared" si="300"/>
        <v xml:space="preserve"> </v>
      </c>
      <c r="DC103" s="10" t="str">
        <f t="shared" si="300"/>
        <v xml:space="preserve"> </v>
      </c>
      <c r="DD103" s="10" t="str">
        <f t="shared" si="300"/>
        <v xml:space="preserve"> </v>
      </c>
      <c r="DG103" s="10" t="str">
        <f t="shared" si="301"/>
        <v xml:space="preserve"> </v>
      </c>
      <c r="DH103" s="10" t="str">
        <f t="shared" si="301"/>
        <v xml:space="preserve"> </v>
      </c>
      <c r="DI103" s="10" t="str">
        <f t="shared" si="301"/>
        <v xml:space="preserve"> </v>
      </c>
      <c r="DJ103" s="10" t="str">
        <f t="shared" si="301"/>
        <v xml:space="preserve"> </v>
      </c>
      <c r="DK103" s="10" t="str">
        <f t="shared" si="301"/>
        <v xml:space="preserve"> </v>
      </c>
      <c r="DN103" s="10" t="str">
        <f t="shared" si="302"/>
        <v xml:space="preserve"> </v>
      </c>
      <c r="DO103" s="10" t="str">
        <f t="shared" si="302"/>
        <v xml:space="preserve"> </v>
      </c>
      <c r="DP103" s="10" t="str">
        <f t="shared" si="302"/>
        <v xml:space="preserve"> </v>
      </c>
      <c r="DQ103" s="10" t="str">
        <f t="shared" si="302"/>
        <v xml:space="preserve"> </v>
      </c>
      <c r="DR103" s="10" t="str">
        <f t="shared" si="302"/>
        <v xml:space="preserve"> </v>
      </c>
      <c r="DU103" s="10" t="str">
        <f t="shared" si="303"/>
        <v xml:space="preserve"> </v>
      </c>
      <c r="DV103" s="10" t="str">
        <f t="shared" si="303"/>
        <v xml:space="preserve"> </v>
      </c>
      <c r="DW103" s="10" t="str">
        <f t="shared" si="303"/>
        <v xml:space="preserve"> </v>
      </c>
      <c r="DX103" s="10" t="str">
        <f t="shared" si="303"/>
        <v xml:space="preserve"> </v>
      </c>
      <c r="DY103" s="10" t="str">
        <f t="shared" si="303"/>
        <v xml:space="preserve"> </v>
      </c>
      <c r="EB103" s="10" t="str">
        <f t="shared" si="304"/>
        <v xml:space="preserve"> </v>
      </c>
      <c r="EC103" s="10" t="str">
        <f t="shared" si="304"/>
        <v xml:space="preserve"> </v>
      </c>
      <c r="ED103" s="10" t="str">
        <f t="shared" si="304"/>
        <v xml:space="preserve"> </v>
      </c>
      <c r="EE103" s="10" t="str">
        <f t="shared" si="304"/>
        <v xml:space="preserve"> </v>
      </c>
      <c r="EF103" s="10" t="str">
        <f t="shared" si="304"/>
        <v xml:space="preserve"> </v>
      </c>
      <c r="EI103" s="10" t="str">
        <f t="shared" si="305"/>
        <v xml:space="preserve"> </v>
      </c>
      <c r="EJ103" s="10" t="str">
        <f t="shared" si="305"/>
        <v xml:space="preserve"> </v>
      </c>
      <c r="EK103" s="10" t="str">
        <f t="shared" si="305"/>
        <v xml:space="preserve"> </v>
      </c>
      <c r="EL103" s="10" t="str">
        <f t="shared" si="305"/>
        <v xml:space="preserve"> </v>
      </c>
      <c r="EM103" s="10" t="str">
        <f t="shared" si="305"/>
        <v xml:space="preserve"> </v>
      </c>
      <c r="EP103" s="10" t="str">
        <f t="shared" si="306"/>
        <v xml:space="preserve"> </v>
      </c>
      <c r="EQ103" s="10" t="str">
        <f t="shared" si="306"/>
        <v xml:space="preserve"> </v>
      </c>
      <c r="ER103" s="10" t="str">
        <f t="shared" si="306"/>
        <v xml:space="preserve"> </v>
      </c>
      <c r="ES103" s="10" t="str">
        <f t="shared" si="306"/>
        <v xml:space="preserve"> </v>
      </c>
      <c r="ET103" s="10" t="str">
        <f t="shared" si="306"/>
        <v xml:space="preserve"> </v>
      </c>
      <c r="EW103" s="10" t="str">
        <f t="shared" si="307"/>
        <v xml:space="preserve"> </v>
      </c>
      <c r="EX103" s="10" t="str">
        <f t="shared" si="307"/>
        <v xml:space="preserve"> </v>
      </c>
      <c r="EY103" s="10" t="str">
        <f t="shared" si="307"/>
        <v xml:space="preserve"> </v>
      </c>
      <c r="EZ103" s="10" t="str">
        <f t="shared" si="307"/>
        <v xml:space="preserve"> </v>
      </c>
      <c r="FA103" s="10" t="str">
        <f t="shared" si="307"/>
        <v xml:space="preserve"> </v>
      </c>
      <c r="FD103" s="10" t="str">
        <f t="shared" si="308"/>
        <v xml:space="preserve"> </v>
      </c>
      <c r="FE103" s="10" t="str">
        <f t="shared" si="308"/>
        <v xml:space="preserve"> </v>
      </c>
      <c r="FF103" s="10" t="str">
        <f t="shared" si="308"/>
        <v xml:space="preserve"> </v>
      </c>
      <c r="FG103" s="10" t="str">
        <f t="shared" si="308"/>
        <v xml:space="preserve"> </v>
      </c>
      <c r="FH103" s="10" t="str">
        <f t="shared" si="308"/>
        <v xml:space="preserve"> </v>
      </c>
      <c r="FK103" s="10" t="str">
        <f t="shared" si="309"/>
        <v xml:space="preserve"> </v>
      </c>
      <c r="FL103" s="10" t="str">
        <f t="shared" si="309"/>
        <v xml:space="preserve"> </v>
      </c>
      <c r="FM103" s="10" t="str">
        <f t="shared" si="309"/>
        <v xml:space="preserve"> </v>
      </c>
      <c r="FN103" s="10" t="str">
        <f t="shared" si="309"/>
        <v xml:space="preserve"> </v>
      </c>
      <c r="FO103" s="10" t="str">
        <f t="shared" si="309"/>
        <v xml:space="preserve"> </v>
      </c>
      <c r="FR103" s="10" t="str">
        <f t="shared" si="310"/>
        <v xml:space="preserve"> </v>
      </c>
      <c r="FS103" s="10" t="str">
        <f t="shared" si="310"/>
        <v xml:space="preserve"> </v>
      </c>
      <c r="FT103" s="10" t="str">
        <f t="shared" si="310"/>
        <v xml:space="preserve"> </v>
      </c>
      <c r="FU103" s="10" t="str">
        <f t="shared" si="310"/>
        <v xml:space="preserve"> </v>
      </c>
      <c r="FV103" s="10" t="str">
        <f t="shared" si="310"/>
        <v xml:space="preserve"> </v>
      </c>
      <c r="FY103" s="10" t="str">
        <f t="shared" si="311"/>
        <v xml:space="preserve"> </v>
      </c>
      <c r="FZ103" s="10" t="str">
        <f t="shared" si="311"/>
        <v xml:space="preserve"> </v>
      </c>
      <c r="GA103" s="10" t="str">
        <f t="shared" si="311"/>
        <v xml:space="preserve"> </v>
      </c>
      <c r="GB103" s="10" t="str">
        <f t="shared" si="311"/>
        <v xml:space="preserve"> </v>
      </c>
      <c r="GC103" s="10" t="str">
        <f t="shared" si="311"/>
        <v xml:space="preserve"> </v>
      </c>
      <c r="GF103" s="10" t="str">
        <f t="shared" si="312"/>
        <v xml:space="preserve"> </v>
      </c>
      <c r="GG103" s="10" t="str">
        <f t="shared" si="312"/>
        <v xml:space="preserve"> </v>
      </c>
      <c r="GH103" s="10" t="str">
        <f t="shared" si="312"/>
        <v xml:space="preserve"> </v>
      </c>
      <c r="GI103" s="10" t="str">
        <f t="shared" si="312"/>
        <v xml:space="preserve"> </v>
      </c>
      <c r="GJ103" s="10" t="str">
        <f t="shared" si="312"/>
        <v xml:space="preserve"> </v>
      </c>
      <c r="GM103" s="10" t="str">
        <f t="shared" si="313"/>
        <v xml:space="preserve"> </v>
      </c>
      <c r="GN103" s="10" t="str">
        <f t="shared" si="313"/>
        <v xml:space="preserve"> </v>
      </c>
      <c r="GO103" s="10" t="str">
        <f t="shared" si="313"/>
        <v xml:space="preserve"> </v>
      </c>
      <c r="GP103" s="10" t="str">
        <f t="shared" si="313"/>
        <v xml:space="preserve"> </v>
      </c>
      <c r="GQ103" s="10" t="str">
        <f t="shared" si="313"/>
        <v xml:space="preserve"> </v>
      </c>
      <c r="GT103" s="10" t="str">
        <f t="shared" si="314"/>
        <v xml:space="preserve"> </v>
      </c>
      <c r="GU103" s="10" t="str">
        <f t="shared" si="314"/>
        <v xml:space="preserve"> </v>
      </c>
      <c r="GV103" s="10" t="str">
        <f t="shared" si="314"/>
        <v xml:space="preserve"> </v>
      </c>
      <c r="GW103" s="10" t="str">
        <f t="shared" si="314"/>
        <v xml:space="preserve"> </v>
      </c>
      <c r="GX103" s="10" t="str">
        <f t="shared" si="314"/>
        <v xml:space="preserve"> </v>
      </c>
      <c r="HA103" s="10" t="str">
        <f t="shared" si="315"/>
        <v xml:space="preserve"> </v>
      </c>
      <c r="HB103" s="10" t="str">
        <f t="shared" si="315"/>
        <v xml:space="preserve"> </v>
      </c>
      <c r="HC103" s="10" t="str">
        <f t="shared" si="315"/>
        <v xml:space="preserve"> </v>
      </c>
      <c r="HD103" s="10" t="str">
        <f t="shared" si="315"/>
        <v xml:space="preserve"> </v>
      </c>
      <c r="HE103" s="10" t="str">
        <f t="shared" si="315"/>
        <v xml:space="preserve"> </v>
      </c>
      <c r="HH103" s="10" t="str">
        <f t="shared" si="316"/>
        <v xml:space="preserve"> </v>
      </c>
      <c r="HI103" s="10" t="str">
        <f t="shared" si="316"/>
        <v xml:space="preserve"> </v>
      </c>
      <c r="HJ103" s="10" t="str">
        <f t="shared" si="316"/>
        <v xml:space="preserve"> </v>
      </c>
      <c r="HK103" s="10" t="str">
        <f t="shared" si="316"/>
        <v xml:space="preserve"> </v>
      </c>
      <c r="HL103" s="10" t="str">
        <f t="shared" si="316"/>
        <v xml:space="preserve"> </v>
      </c>
      <c r="HO103" s="10" t="str">
        <f t="shared" si="317"/>
        <v xml:space="preserve"> </v>
      </c>
      <c r="HP103" s="10" t="str">
        <f t="shared" si="317"/>
        <v xml:space="preserve"> </v>
      </c>
      <c r="HQ103" s="10" t="str">
        <f t="shared" si="317"/>
        <v xml:space="preserve"> </v>
      </c>
      <c r="HR103" s="10" t="str">
        <f t="shared" si="317"/>
        <v xml:space="preserve"> </v>
      </c>
      <c r="HS103" s="10" t="str">
        <f t="shared" si="317"/>
        <v xml:space="preserve"> </v>
      </c>
      <c r="HV103" s="10" t="str">
        <f t="shared" si="318"/>
        <v xml:space="preserve"> </v>
      </c>
      <c r="HW103" s="10" t="str">
        <f t="shared" si="318"/>
        <v xml:space="preserve"> </v>
      </c>
      <c r="HX103" s="10" t="str">
        <f t="shared" si="318"/>
        <v xml:space="preserve"> </v>
      </c>
      <c r="HY103" s="10" t="str">
        <f t="shared" si="318"/>
        <v xml:space="preserve"> </v>
      </c>
      <c r="HZ103" s="10" t="str">
        <f t="shared" si="318"/>
        <v xml:space="preserve"> </v>
      </c>
      <c r="IC103" s="10" t="str">
        <f t="shared" si="319"/>
        <v xml:space="preserve"> </v>
      </c>
      <c r="ID103" s="10" t="str">
        <f t="shared" si="319"/>
        <v xml:space="preserve"> </v>
      </c>
      <c r="IE103" s="10" t="str">
        <f t="shared" si="319"/>
        <v xml:space="preserve"> </v>
      </c>
      <c r="IF103" s="10" t="str">
        <f t="shared" si="319"/>
        <v xml:space="preserve"> </v>
      </c>
      <c r="IG103" s="10" t="str">
        <f t="shared" si="319"/>
        <v xml:space="preserve"> </v>
      </c>
      <c r="IJ103" s="10" t="str">
        <f t="shared" si="320"/>
        <v xml:space="preserve"> </v>
      </c>
      <c r="IK103" s="10" t="str">
        <f t="shared" si="320"/>
        <v xml:space="preserve"> </v>
      </c>
      <c r="IL103" s="10" t="str">
        <f t="shared" si="320"/>
        <v xml:space="preserve"> </v>
      </c>
      <c r="IM103" s="10" t="str">
        <f t="shared" si="320"/>
        <v xml:space="preserve"> </v>
      </c>
      <c r="IN103" s="10" t="str">
        <f t="shared" si="320"/>
        <v xml:space="preserve"> </v>
      </c>
      <c r="IQ103" s="10" t="str">
        <f t="shared" si="321"/>
        <v xml:space="preserve"> </v>
      </c>
      <c r="IR103" s="10" t="str">
        <f t="shared" si="321"/>
        <v xml:space="preserve"> </v>
      </c>
      <c r="IS103" s="10" t="str">
        <f t="shared" si="321"/>
        <v xml:space="preserve"> </v>
      </c>
      <c r="IT103" s="10" t="str">
        <f t="shared" si="321"/>
        <v xml:space="preserve"> </v>
      </c>
      <c r="IU103" s="10" t="str">
        <f t="shared" si="321"/>
        <v xml:space="preserve"> </v>
      </c>
      <c r="IX103" s="10" t="str">
        <f t="shared" si="322"/>
        <v xml:space="preserve"> </v>
      </c>
      <c r="IY103" s="10" t="str">
        <f t="shared" si="322"/>
        <v xml:space="preserve"> </v>
      </c>
      <c r="IZ103" s="10" t="str">
        <f t="shared" si="322"/>
        <v xml:space="preserve"> </v>
      </c>
      <c r="JA103" s="10" t="str">
        <f t="shared" si="322"/>
        <v xml:space="preserve"> </v>
      </c>
      <c r="JB103" s="10" t="str">
        <f t="shared" si="322"/>
        <v xml:space="preserve"> </v>
      </c>
      <c r="JE103" s="10" t="str">
        <f t="shared" si="323"/>
        <v xml:space="preserve"> </v>
      </c>
      <c r="JF103" s="10" t="str">
        <f t="shared" si="323"/>
        <v xml:space="preserve"> </v>
      </c>
      <c r="JG103" s="10" t="str">
        <f t="shared" si="323"/>
        <v xml:space="preserve"> </v>
      </c>
      <c r="JH103" s="10" t="str">
        <f t="shared" si="323"/>
        <v xml:space="preserve"> </v>
      </c>
      <c r="JI103" s="10" t="str">
        <f t="shared" si="323"/>
        <v xml:space="preserve"> </v>
      </c>
    </row>
    <row r="104" spans="13:269">
      <c r="M104" s="10" t="str">
        <f t="shared" si="324"/>
        <v xml:space="preserve"> </v>
      </c>
      <c r="N104" s="10" t="str">
        <f t="shared" si="324"/>
        <v xml:space="preserve"> </v>
      </c>
      <c r="O104" s="10" t="str">
        <f t="shared" si="324"/>
        <v xml:space="preserve"> </v>
      </c>
      <c r="P104" s="10" t="str">
        <f t="shared" si="324"/>
        <v xml:space="preserve"> </v>
      </c>
      <c r="Q104" s="10" t="str">
        <f t="shared" si="324"/>
        <v xml:space="preserve"> </v>
      </c>
      <c r="R104" s="14"/>
      <c r="S104" s="14"/>
      <c r="T104" s="10" t="str">
        <f t="shared" si="288"/>
        <v xml:space="preserve"> </v>
      </c>
      <c r="U104" s="10" t="str">
        <f t="shared" si="288"/>
        <v xml:space="preserve"> </v>
      </c>
      <c r="V104" s="10" t="str">
        <f t="shared" si="288"/>
        <v xml:space="preserve"> </v>
      </c>
      <c r="W104" s="10" t="str">
        <f t="shared" si="288"/>
        <v xml:space="preserve"> </v>
      </c>
      <c r="X104" s="10" t="str">
        <f t="shared" si="288"/>
        <v xml:space="preserve"> </v>
      </c>
      <c r="Y104" s="14"/>
      <c r="Z104" s="14"/>
      <c r="AA104" s="10" t="str">
        <f t="shared" si="289"/>
        <v xml:space="preserve"> </v>
      </c>
      <c r="AB104" s="10" t="str">
        <f t="shared" si="289"/>
        <v xml:space="preserve"> </v>
      </c>
      <c r="AC104" s="10" t="str">
        <f t="shared" si="289"/>
        <v xml:space="preserve"> </v>
      </c>
      <c r="AD104" s="10" t="str">
        <f t="shared" si="289"/>
        <v xml:space="preserve"> </v>
      </c>
      <c r="AE104" s="10" t="str">
        <f t="shared" si="289"/>
        <v xml:space="preserve"> </v>
      </c>
      <c r="AF104" s="14"/>
      <c r="AG104" s="14"/>
      <c r="AH104" s="10" t="str">
        <f t="shared" si="290"/>
        <v xml:space="preserve"> </v>
      </c>
      <c r="AI104" s="10" t="str">
        <f t="shared" si="290"/>
        <v xml:space="preserve"> </v>
      </c>
      <c r="AJ104" s="10" t="str">
        <f t="shared" si="290"/>
        <v xml:space="preserve"> </v>
      </c>
      <c r="AK104" s="10" t="str">
        <f t="shared" si="290"/>
        <v xml:space="preserve"> </v>
      </c>
      <c r="AL104" s="10" t="str">
        <f t="shared" si="290"/>
        <v xml:space="preserve"> </v>
      </c>
      <c r="AM104" s="14"/>
      <c r="AN104" s="14"/>
      <c r="AO104" s="10" t="str">
        <f t="shared" si="291"/>
        <v xml:space="preserve"> </v>
      </c>
      <c r="AP104" s="10" t="str">
        <f t="shared" si="291"/>
        <v xml:space="preserve"> </v>
      </c>
      <c r="AQ104" s="10" t="str">
        <f t="shared" si="291"/>
        <v xml:space="preserve"> </v>
      </c>
      <c r="AR104" s="10" t="str">
        <f t="shared" si="291"/>
        <v xml:space="preserve"> </v>
      </c>
      <c r="AS104" s="10" t="str">
        <f t="shared" si="291"/>
        <v xml:space="preserve"> </v>
      </c>
      <c r="AT104" s="14"/>
      <c r="AU104" s="14"/>
      <c r="AV104" s="10" t="str">
        <f t="shared" si="292"/>
        <v xml:space="preserve"> </v>
      </c>
      <c r="AW104" s="10" t="str">
        <f t="shared" si="292"/>
        <v xml:space="preserve"> </v>
      </c>
      <c r="AX104" s="10" t="str">
        <f t="shared" si="292"/>
        <v xml:space="preserve"> </v>
      </c>
      <c r="AY104" s="10" t="str">
        <f t="shared" si="292"/>
        <v xml:space="preserve"> </v>
      </c>
      <c r="AZ104" s="10" t="str">
        <f t="shared" si="292"/>
        <v xml:space="preserve"> </v>
      </c>
      <c r="BA104" s="14"/>
      <c r="BB104" s="14"/>
      <c r="BC104" s="10" t="str">
        <f t="shared" si="293"/>
        <v xml:space="preserve"> </v>
      </c>
      <c r="BD104" s="10" t="str">
        <f t="shared" si="293"/>
        <v xml:space="preserve"> </v>
      </c>
      <c r="BE104" s="10" t="str">
        <f t="shared" si="293"/>
        <v xml:space="preserve"> </v>
      </c>
      <c r="BF104" s="10" t="str">
        <f t="shared" si="293"/>
        <v xml:space="preserve"> </v>
      </c>
      <c r="BG104" s="10" t="str">
        <f t="shared" si="293"/>
        <v xml:space="preserve"> </v>
      </c>
      <c r="BH104" s="14"/>
      <c r="BI104" s="14"/>
      <c r="BJ104" s="10" t="str">
        <f t="shared" si="294"/>
        <v xml:space="preserve"> </v>
      </c>
      <c r="BK104" s="10" t="str">
        <f t="shared" si="294"/>
        <v xml:space="preserve"> </v>
      </c>
      <c r="BL104" s="10" t="str">
        <f t="shared" si="294"/>
        <v xml:space="preserve"> </v>
      </c>
      <c r="BM104" s="10" t="str">
        <f t="shared" si="294"/>
        <v xml:space="preserve"> </v>
      </c>
      <c r="BN104" s="10" t="str">
        <f t="shared" si="294"/>
        <v xml:space="preserve"> </v>
      </c>
      <c r="BO104" s="14"/>
      <c r="BP104" s="14"/>
      <c r="BQ104" s="10" t="str">
        <f t="shared" si="295"/>
        <v xml:space="preserve"> </v>
      </c>
      <c r="BR104" s="10" t="str">
        <f t="shared" si="295"/>
        <v xml:space="preserve"> </v>
      </c>
      <c r="BS104" s="10" t="str">
        <f t="shared" si="295"/>
        <v xml:space="preserve"> </v>
      </c>
      <c r="BT104" s="10" t="str">
        <f t="shared" si="295"/>
        <v xml:space="preserve"> </v>
      </c>
      <c r="BU104" s="10" t="str">
        <f t="shared" si="295"/>
        <v xml:space="preserve"> </v>
      </c>
      <c r="BV104" s="14"/>
      <c r="BW104" s="14"/>
      <c r="BX104" s="10" t="str">
        <f t="shared" si="296"/>
        <v xml:space="preserve"> </v>
      </c>
      <c r="BY104" s="10" t="str">
        <f t="shared" si="296"/>
        <v xml:space="preserve"> </v>
      </c>
      <c r="BZ104" s="10" t="str">
        <f t="shared" si="296"/>
        <v xml:space="preserve"> </v>
      </c>
      <c r="CA104" s="10" t="str">
        <f t="shared" si="296"/>
        <v xml:space="preserve"> </v>
      </c>
      <c r="CB104" s="10" t="str">
        <f t="shared" si="296"/>
        <v xml:space="preserve"> </v>
      </c>
      <c r="CC104" s="14"/>
      <c r="CD104" s="14"/>
      <c r="CE104" s="10" t="str">
        <f t="shared" si="297"/>
        <v xml:space="preserve"> </v>
      </c>
      <c r="CF104" s="10" t="str">
        <f t="shared" si="297"/>
        <v xml:space="preserve"> </v>
      </c>
      <c r="CG104" s="10" t="str">
        <f t="shared" si="297"/>
        <v xml:space="preserve"> </v>
      </c>
      <c r="CH104" s="10" t="str">
        <f t="shared" si="297"/>
        <v xml:space="preserve"> </v>
      </c>
      <c r="CI104" s="10" t="str">
        <f t="shared" si="297"/>
        <v xml:space="preserve"> </v>
      </c>
      <c r="CJ104" s="14"/>
      <c r="CK104" s="14"/>
      <c r="CL104" s="10" t="str">
        <f t="shared" si="298"/>
        <v xml:space="preserve"> </v>
      </c>
      <c r="CM104" s="10" t="str">
        <f t="shared" si="298"/>
        <v xml:space="preserve"> </v>
      </c>
      <c r="CN104" s="10" t="str">
        <f t="shared" si="298"/>
        <v xml:space="preserve"> </v>
      </c>
      <c r="CO104" s="10" t="str">
        <f t="shared" si="298"/>
        <v xml:space="preserve"> </v>
      </c>
      <c r="CP104" s="10" t="str">
        <f t="shared" si="298"/>
        <v xml:space="preserve"> </v>
      </c>
      <c r="CQ104" s="14"/>
      <c r="CR104" s="14"/>
      <c r="CS104" s="10" t="str">
        <f t="shared" si="299"/>
        <v xml:space="preserve"> </v>
      </c>
      <c r="CT104" s="10" t="str">
        <f t="shared" si="299"/>
        <v xml:space="preserve"> </v>
      </c>
      <c r="CU104" s="10" t="str">
        <f t="shared" si="299"/>
        <v xml:space="preserve"> </v>
      </c>
      <c r="CV104" s="10" t="str">
        <f t="shared" si="299"/>
        <v xml:space="preserve"> </v>
      </c>
      <c r="CW104" s="10" t="str">
        <f t="shared" si="299"/>
        <v xml:space="preserve"> </v>
      </c>
      <c r="CZ104" s="10" t="str">
        <f t="shared" si="300"/>
        <v xml:space="preserve"> </v>
      </c>
      <c r="DA104" s="10" t="str">
        <f t="shared" si="300"/>
        <v xml:space="preserve"> </v>
      </c>
      <c r="DB104" s="10" t="str">
        <f t="shared" si="300"/>
        <v xml:space="preserve"> </v>
      </c>
      <c r="DC104" s="10" t="str">
        <f t="shared" si="300"/>
        <v xml:space="preserve"> </v>
      </c>
      <c r="DD104" s="10" t="str">
        <f t="shared" si="300"/>
        <v xml:space="preserve"> </v>
      </c>
      <c r="DG104" s="10" t="str">
        <f t="shared" si="301"/>
        <v xml:space="preserve"> </v>
      </c>
      <c r="DH104" s="10" t="str">
        <f t="shared" si="301"/>
        <v xml:space="preserve"> </v>
      </c>
      <c r="DI104" s="10" t="str">
        <f t="shared" si="301"/>
        <v xml:space="preserve"> </v>
      </c>
      <c r="DJ104" s="10" t="str">
        <f t="shared" si="301"/>
        <v xml:space="preserve"> </v>
      </c>
      <c r="DK104" s="10" t="str">
        <f t="shared" si="301"/>
        <v xml:space="preserve"> </v>
      </c>
      <c r="DN104" s="10" t="str">
        <f t="shared" si="302"/>
        <v xml:space="preserve"> </v>
      </c>
      <c r="DO104" s="10" t="str">
        <f t="shared" si="302"/>
        <v xml:space="preserve"> </v>
      </c>
      <c r="DP104" s="10" t="str">
        <f t="shared" si="302"/>
        <v xml:space="preserve"> </v>
      </c>
      <c r="DQ104" s="10" t="str">
        <f t="shared" si="302"/>
        <v xml:space="preserve"> </v>
      </c>
      <c r="DR104" s="10" t="str">
        <f t="shared" si="302"/>
        <v xml:space="preserve"> </v>
      </c>
      <c r="DU104" s="10" t="str">
        <f t="shared" si="303"/>
        <v xml:space="preserve"> </v>
      </c>
      <c r="DV104" s="10" t="str">
        <f t="shared" si="303"/>
        <v xml:space="preserve"> </v>
      </c>
      <c r="DW104" s="10" t="str">
        <f t="shared" si="303"/>
        <v xml:space="preserve"> </v>
      </c>
      <c r="DX104" s="10" t="str">
        <f t="shared" si="303"/>
        <v xml:space="preserve"> </v>
      </c>
      <c r="DY104" s="10" t="str">
        <f t="shared" si="303"/>
        <v xml:space="preserve"> </v>
      </c>
      <c r="EB104" s="10" t="str">
        <f t="shared" si="304"/>
        <v xml:space="preserve"> </v>
      </c>
      <c r="EC104" s="10" t="str">
        <f t="shared" si="304"/>
        <v xml:space="preserve"> </v>
      </c>
      <c r="ED104" s="10" t="str">
        <f t="shared" si="304"/>
        <v xml:space="preserve"> </v>
      </c>
      <c r="EE104" s="10" t="str">
        <f t="shared" si="304"/>
        <v xml:space="preserve"> </v>
      </c>
      <c r="EF104" s="10" t="str">
        <f t="shared" si="304"/>
        <v xml:space="preserve"> </v>
      </c>
      <c r="EI104" s="10" t="str">
        <f t="shared" si="305"/>
        <v xml:space="preserve"> </v>
      </c>
      <c r="EJ104" s="10" t="str">
        <f t="shared" si="305"/>
        <v xml:space="preserve"> </v>
      </c>
      <c r="EK104" s="10" t="str">
        <f t="shared" si="305"/>
        <v xml:space="preserve"> </v>
      </c>
      <c r="EL104" s="10" t="str">
        <f t="shared" si="305"/>
        <v xml:space="preserve"> </v>
      </c>
      <c r="EM104" s="10" t="str">
        <f t="shared" si="305"/>
        <v xml:space="preserve"> </v>
      </c>
      <c r="EP104" s="10" t="str">
        <f t="shared" si="306"/>
        <v xml:space="preserve"> </v>
      </c>
      <c r="EQ104" s="10" t="str">
        <f t="shared" si="306"/>
        <v xml:space="preserve"> </v>
      </c>
      <c r="ER104" s="10" t="str">
        <f t="shared" si="306"/>
        <v xml:space="preserve"> </v>
      </c>
      <c r="ES104" s="10" t="str">
        <f t="shared" si="306"/>
        <v xml:space="preserve"> </v>
      </c>
      <c r="ET104" s="10" t="str">
        <f t="shared" si="306"/>
        <v xml:space="preserve"> </v>
      </c>
      <c r="EW104" s="10" t="str">
        <f t="shared" si="307"/>
        <v xml:space="preserve"> </v>
      </c>
      <c r="EX104" s="10" t="str">
        <f t="shared" si="307"/>
        <v xml:space="preserve"> </v>
      </c>
      <c r="EY104" s="10" t="str">
        <f t="shared" si="307"/>
        <v xml:space="preserve"> </v>
      </c>
      <c r="EZ104" s="10" t="str">
        <f t="shared" si="307"/>
        <v xml:space="preserve"> </v>
      </c>
      <c r="FA104" s="10" t="str">
        <f t="shared" si="307"/>
        <v xml:space="preserve"> </v>
      </c>
      <c r="FD104" s="10" t="str">
        <f t="shared" si="308"/>
        <v xml:space="preserve"> </v>
      </c>
      <c r="FE104" s="10" t="str">
        <f t="shared" si="308"/>
        <v xml:space="preserve"> </v>
      </c>
      <c r="FF104" s="10" t="str">
        <f t="shared" si="308"/>
        <v xml:space="preserve"> </v>
      </c>
      <c r="FG104" s="10" t="str">
        <f t="shared" si="308"/>
        <v xml:space="preserve"> </v>
      </c>
      <c r="FH104" s="10" t="str">
        <f t="shared" si="308"/>
        <v xml:space="preserve"> </v>
      </c>
      <c r="FK104" s="10" t="str">
        <f t="shared" si="309"/>
        <v xml:space="preserve"> </v>
      </c>
      <c r="FL104" s="10" t="str">
        <f t="shared" si="309"/>
        <v xml:space="preserve"> </v>
      </c>
      <c r="FM104" s="10" t="str">
        <f t="shared" si="309"/>
        <v xml:space="preserve"> </v>
      </c>
      <c r="FN104" s="10" t="str">
        <f t="shared" si="309"/>
        <v xml:space="preserve"> </v>
      </c>
      <c r="FO104" s="10" t="str">
        <f t="shared" si="309"/>
        <v xml:space="preserve"> </v>
      </c>
      <c r="FR104" s="10" t="str">
        <f t="shared" si="310"/>
        <v xml:space="preserve"> </v>
      </c>
      <c r="FS104" s="10" t="str">
        <f t="shared" si="310"/>
        <v xml:space="preserve"> </v>
      </c>
      <c r="FT104" s="10" t="str">
        <f t="shared" si="310"/>
        <v xml:space="preserve"> </v>
      </c>
      <c r="FU104" s="10" t="str">
        <f t="shared" si="310"/>
        <v xml:space="preserve"> </v>
      </c>
      <c r="FV104" s="10" t="str">
        <f t="shared" si="310"/>
        <v xml:space="preserve"> </v>
      </c>
      <c r="FY104" s="10" t="str">
        <f t="shared" si="311"/>
        <v xml:space="preserve"> </v>
      </c>
      <c r="FZ104" s="10" t="str">
        <f t="shared" si="311"/>
        <v xml:space="preserve"> </v>
      </c>
      <c r="GA104" s="10" t="str">
        <f t="shared" si="311"/>
        <v xml:space="preserve"> </v>
      </c>
      <c r="GB104" s="10" t="str">
        <f t="shared" si="311"/>
        <v xml:space="preserve"> </v>
      </c>
      <c r="GC104" s="10" t="str">
        <f t="shared" si="311"/>
        <v xml:space="preserve"> </v>
      </c>
      <c r="GF104" s="10" t="str">
        <f t="shared" si="312"/>
        <v xml:space="preserve"> </v>
      </c>
      <c r="GG104" s="10" t="str">
        <f t="shared" si="312"/>
        <v xml:space="preserve"> </v>
      </c>
      <c r="GH104" s="10" t="str">
        <f t="shared" si="312"/>
        <v xml:space="preserve"> </v>
      </c>
      <c r="GI104" s="10" t="str">
        <f t="shared" si="312"/>
        <v xml:space="preserve"> </v>
      </c>
      <c r="GJ104" s="10" t="str">
        <f t="shared" si="312"/>
        <v xml:space="preserve"> </v>
      </c>
      <c r="GM104" s="10" t="str">
        <f t="shared" si="313"/>
        <v xml:space="preserve"> </v>
      </c>
      <c r="GN104" s="10" t="str">
        <f t="shared" si="313"/>
        <v xml:space="preserve"> </v>
      </c>
      <c r="GO104" s="10" t="str">
        <f t="shared" si="313"/>
        <v xml:space="preserve"> </v>
      </c>
      <c r="GP104" s="10" t="str">
        <f t="shared" si="313"/>
        <v xml:space="preserve"> </v>
      </c>
      <c r="GQ104" s="10" t="str">
        <f t="shared" si="313"/>
        <v xml:space="preserve"> </v>
      </c>
      <c r="GT104" s="10" t="str">
        <f t="shared" si="314"/>
        <v xml:space="preserve"> </v>
      </c>
      <c r="GU104" s="10" t="str">
        <f t="shared" si="314"/>
        <v xml:space="preserve"> </v>
      </c>
      <c r="GV104" s="10" t="str">
        <f t="shared" si="314"/>
        <v xml:space="preserve"> </v>
      </c>
      <c r="GW104" s="10" t="str">
        <f t="shared" si="314"/>
        <v xml:space="preserve"> </v>
      </c>
      <c r="GX104" s="10" t="str">
        <f t="shared" si="314"/>
        <v xml:space="preserve"> </v>
      </c>
      <c r="HA104" s="10" t="str">
        <f t="shared" si="315"/>
        <v xml:space="preserve"> </v>
      </c>
      <c r="HB104" s="10" t="str">
        <f t="shared" si="315"/>
        <v xml:space="preserve"> </v>
      </c>
      <c r="HC104" s="10" t="str">
        <f t="shared" si="315"/>
        <v xml:space="preserve"> </v>
      </c>
      <c r="HD104" s="10" t="str">
        <f t="shared" si="315"/>
        <v xml:space="preserve"> </v>
      </c>
      <c r="HE104" s="10" t="str">
        <f t="shared" si="315"/>
        <v xml:space="preserve"> </v>
      </c>
      <c r="HH104" s="10" t="str">
        <f t="shared" si="316"/>
        <v xml:space="preserve"> </v>
      </c>
      <c r="HI104" s="10" t="str">
        <f t="shared" si="316"/>
        <v xml:space="preserve"> </v>
      </c>
      <c r="HJ104" s="10" t="str">
        <f t="shared" si="316"/>
        <v xml:space="preserve"> </v>
      </c>
      <c r="HK104" s="10" t="str">
        <f t="shared" si="316"/>
        <v xml:space="preserve"> </v>
      </c>
      <c r="HL104" s="10" t="str">
        <f t="shared" si="316"/>
        <v xml:space="preserve"> </v>
      </c>
      <c r="HO104" s="10" t="str">
        <f t="shared" si="317"/>
        <v xml:space="preserve"> </v>
      </c>
      <c r="HP104" s="10" t="str">
        <f t="shared" si="317"/>
        <v xml:space="preserve"> </v>
      </c>
      <c r="HQ104" s="10" t="str">
        <f t="shared" si="317"/>
        <v xml:space="preserve"> </v>
      </c>
      <c r="HR104" s="10" t="str">
        <f t="shared" si="317"/>
        <v xml:space="preserve"> </v>
      </c>
      <c r="HS104" s="10" t="str">
        <f t="shared" si="317"/>
        <v xml:space="preserve"> </v>
      </c>
      <c r="HV104" s="10" t="str">
        <f t="shared" si="318"/>
        <v xml:space="preserve"> </v>
      </c>
      <c r="HW104" s="10" t="str">
        <f t="shared" si="318"/>
        <v xml:space="preserve"> </v>
      </c>
      <c r="HX104" s="10" t="str">
        <f t="shared" si="318"/>
        <v xml:space="preserve"> </v>
      </c>
      <c r="HY104" s="10" t="str">
        <f t="shared" si="318"/>
        <v xml:space="preserve"> </v>
      </c>
      <c r="HZ104" s="10" t="str">
        <f t="shared" si="318"/>
        <v xml:space="preserve"> </v>
      </c>
      <c r="IC104" s="10" t="str">
        <f t="shared" si="319"/>
        <v xml:space="preserve"> </v>
      </c>
      <c r="ID104" s="10" t="str">
        <f t="shared" si="319"/>
        <v xml:space="preserve"> </v>
      </c>
      <c r="IE104" s="10" t="str">
        <f t="shared" si="319"/>
        <v xml:space="preserve"> </v>
      </c>
      <c r="IF104" s="10" t="str">
        <f t="shared" si="319"/>
        <v xml:space="preserve"> </v>
      </c>
      <c r="IG104" s="10" t="str">
        <f t="shared" si="319"/>
        <v xml:space="preserve"> </v>
      </c>
      <c r="IJ104" s="10" t="str">
        <f t="shared" si="320"/>
        <v xml:space="preserve"> </v>
      </c>
      <c r="IK104" s="10" t="str">
        <f t="shared" si="320"/>
        <v xml:space="preserve"> </v>
      </c>
      <c r="IL104" s="10" t="str">
        <f t="shared" si="320"/>
        <v xml:space="preserve"> </v>
      </c>
      <c r="IM104" s="10" t="str">
        <f t="shared" si="320"/>
        <v xml:space="preserve"> </v>
      </c>
      <c r="IN104" s="10" t="str">
        <f t="shared" si="320"/>
        <v xml:space="preserve"> </v>
      </c>
      <c r="IQ104" s="10" t="str">
        <f t="shared" si="321"/>
        <v xml:space="preserve"> </v>
      </c>
      <c r="IR104" s="10" t="str">
        <f t="shared" si="321"/>
        <v xml:space="preserve"> </v>
      </c>
      <c r="IS104" s="10" t="str">
        <f t="shared" si="321"/>
        <v xml:space="preserve"> </v>
      </c>
      <c r="IT104" s="10" t="str">
        <f t="shared" si="321"/>
        <v xml:space="preserve"> </v>
      </c>
      <c r="IU104" s="10" t="str">
        <f t="shared" si="321"/>
        <v xml:space="preserve"> </v>
      </c>
      <c r="IX104" s="10" t="str">
        <f t="shared" si="322"/>
        <v xml:space="preserve"> </v>
      </c>
      <c r="IY104" s="10" t="str">
        <f t="shared" si="322"/>
        <v xml:space="preserve"> </v>
      </c>
      <c r="IZ104" s="10" t="str">
        <f t="shared" si="322"/>
        <v xml:space="preserve"> </v>
      </c>
      <c r="JA104" s="10" t="str">
        <f t="shared" si="322"/>
        <v xml:space="preserve"> </v>
      </c>
      <c r="JB104" s="10" t="str">
        <f t="shared" si="322"/>
        <v xml:space="preserve"> </v>
      </c>
      <c r="JE104" s="10" t="str">
        <f t="shared" si="323"/>
        <v xml:space="preserve"> </v>
      </c>
      <c r="JF104" s="10" t="str">
        <f t="shared" si="323"/>
        <v xml:space="preserve"> </v>
      </c>
      <c r="JG104" s="10" t="str">
        <f t="shared" si="323"/>
        <v xml:space="preserve"> </v>
      </c>
      <c r="JH104" s="10" t="str">
        <f t="shared" si="323"/>
        <v xml:space="preserve"> </v>
      </c>
      <c r="JI104" s="10" t="str">
        <f t="shared" si="323"/>
        <v xml:space="preserve"> </v>
      </c>
    </row>
    <row r="105" spans="13:269">
      <c r="M105" s="10" t="str">
        <f t="shared" si="324"/>
        <v xml:space="preserve"> </v>
      </c>
      <c r="N105" s="10" t="str">
        <f t="shared" si="324"/>
        <v xml:space="preserve"> </v>
      </c>
      <c r="O105" s="10" t="str">
        <f t="shared" si="324"/>
        <v xml:space="preserve"> </v>
      </c>
      <c r="P105" s="10" t="str">
        <f t="shared" si="324"/>
        <v xml:space="preserve"> </v>
      </c>
      <c r="Q105" s="10" t="str">
        <f t="shared" si="324"/>
        <v xml:space="preserve"> </v>
      </c>
      <c r="R105" s="14"/>
      <c r="S105" s="14"/>
      <c r="T105" s="10" t="str">
        <f t="shared" si="288"/>
        <v xml:space="preserve"> </v>
      </c>
      <c r="U105" s="10" t="str">
        <f t="shared" si="288"/>
        <v xml:space="preserve"> </v>
      </c>
      <c r="V105" s="10" t="str">
        <f t="shared" si="288"/>
        <v xml:space="preserve"> </v>
      </c>
      <c r="W105" s="10" t="str">
        <f t="shared" si="288"/>
        <v xml:space="preserve"> </v>
      </c>
      <c r="X105" s="10" t="str">
        <f t="shared" si="288"/>
        <v xml:space="preserve"> </v>
      </c>
      <c r="Y105" s="14"/>
      <c r="Z105" s="14"/>
      <c r="AA105" s="10" t="str">
        <f t="shared" si="289"/>
        <v xml:space="preserve"> </v>
      </c>
      <c r="AB105" s="10" t="str">
        <f t="shared" si="289"/>
        <v xml:space="preserve"> </v>
      </c>
      <c r="AC105" s="10" t="str">
        <f t="shared" si="289"/>
        <v xml:space="preserve"> </v>
      </c>
      <c r="AD105" s="10" t="str">
        <f t="shared" si="289"/>
        <v xml:space="preserve"> </v>
      </c>
      <c r="AE105" s="10" t="str">
        <f t="shared" si="289"/>
        <v xml:space="preserve"> </v>
      </c>
      <c r="AF105" s="14"/>
      <c r="AG105" s="14"/>
      <c r="AH105" s="10" t="str">
        <f t="shared" si="290"/>
        <v xml:space="preserve"> </v>
      </c>
      <c r="AI105" s="10" t="str">
        <f t="shared" si="290"/>
        <v xml:space="preserve"> </v>
      </c>
      <c r="AJ105" s="10" t="str">
        <f t="shared" si="290"/>
        <v xml:space="preserve"> </v>
      </c>
      <c r="AK105" s="10" t="str">
        <f t="shared" si="290"/>
        <v xml:space="preserve"> </v>
      </c>
      <c r="AL105" s="10" t="str">
        <f t="shared" si="290"/>
        <v xml:space="preserve"> </v>
      </c>
      <c r="AM105" s="14"/>
      <c r="AN105" s="14"/>
      <c r="AO105" s="10" t="str">
        <f t="shared" si="291"/>
        <v xml:space="preserve"> </v>
      </c>
      <c r="AP105" s="10" t="str">
        <f t="shared" si="291"/>
        <v xml:space="preserve"> </v>
      </c>
      <c r="AQ105" s="10" t="str">
        <f t="shared" si="291"/>
        <v xml:space="preserve"> </v>
      </c>
      <c r="AR105" s="10" t="str">
        <f t="shared" si="291"/>
        <v xml:space="preserve"> </v>
      </c>
      <c r="AS105" s="10" t="str">
        <f t="shared" si="291"/>
        <v xml:space="preserve"> </v>
      </c>
      <c r="AT105" s="14"/>
      <c r="AU105" s="14"/>
      <c r="AV105" s="10" t="str">
        <f t="shared" si="292"/>
        <v xml:space="preserve"> </v>
      </c>
      <c r="AW105" s="10" t="str">
        <f t="shared" si="292"/>
        <v xml:space="preserve"> </v>
      </c>
      <c r="AX105" s="10" t="str">
        <f t="shared" si="292"/>
        <v xml:space="preserve"> </v>
      </c>
      <c r="AY105" s="10" t="str">
        <f t="shared" si="292"/>
        <v xml:space="preserve"> </v>
      </c>
      <c r="AZ105" s="10" t="str">
        <f t="shared" si="292"/>
        <v xml:space="preserve"> </v>
      </c>
      <c r="BA105" s="14"/>
      <c r="BB105" s="14"/>
      <c r="BC105" s="10" t="str">
        <f t="shared" si="293"/>
        <v xml:space="preserve"> </v>
      </c>
      <c r="BD105" s="10" t="str">
        <f t="shared" si="293"/>
        <v xml:space="preserve"> </v>
      </c>
      <c r="BE105" s="10" t="str">
        <f t="shared" si="293"/>
        <v xml:space="preserve"> </v>
      </c>
      <c r="BF105" s="10" t="str">
        <f t="shared" si="293"/>
        <v xml:space="preserve"> </v>
      </c>
      <c r="BG105" s="10" t="str">
        <f t="shared" si="293"/>
        <v xml:space="preserve"> </v>
      </c>
      <c r="BH105" s="14"/>
      <c r="BI105" s="14"/>
      <c r="BJ105" s="10" t="str">
        <f t="shared" si="294"/>
        <v xml:space="preserve"> </v>
      </c>
      <c r="BK105" s="10" t="str">
        <f t="shared" si="294"/>
        <v xml:space="preserve"> </v>
      </c>
      <c r="BL105" s="10" t="str">
        <f t="shared" si="294"/>
        <v xml:space="preserve"> </v>
      </c>
      <c r="BM105" s="10" t="str">
        <f t="shared" si="294"/>
        <v xml:space="preserve"> </v>
      </c>
      <c r="BN105" s="10" t="str">
        <f t="shared" si="294"/>
        <v xml:space="preserve"> </v>
      </c>
      <c r="BO105" s="14"/>
      <c r="BP105" s="14"/>
      <c r="BQ105" s="10" t="str">
        <f t="shared" si="295"/>
        <v xml:space="preserve"> </v>
      </c>
      <c r="BR105" s="10" t="str">
        <f t="shared" si="295"/>
        <v xml:space="preserve"> </v>
      </c>
      <c r="BS105" s="10" t="str">
        <f t="shared" si="295"/>
        <v xml:space="preserve"> </v>
      </c>
      <c r="BT105" s="10" t="str">
        <f t="shared" si="295"/>
        <v xml:space="preserve"> </v>
      </c>
      <c r="BU105" s="10" t="str">
        <f t="shared" si="295"/>
        <v xml:space="preserve"> </v>
      </c>
      <c r="BV105" s="14"/>
      <c r="BW105" s="14"/>
      <c r="BX105" s="10" t="str">
        <f t="shared" si="296"/>
        <v xml:space="preserve"> </v>
      </c>
      <c r="BY105" s="10" t="str">
        <f t="shared" si="296"/>
        <v xml:space="preserve"> </v>
      </c>
      <c r="BZ105" s="10" t="str">
        <f t="shared" si="296"/>
        <v xml:space="preserve"> </v>
      </c>
      <c r="CA105" s="10" t="str">
        <f t="shared" si="296"/>
        <v xml:space="preserve"> </v>
      </c>
      <c r="CB105" s="10" t="str">
        <f t="shared" si="296"/>
        <v xml:space="preserve"> </v>
      </c>
      <c r="CC105" s="14"/>
      <c r="CD105" s="14"/>
      <c r="CE105" s="10" t="str">
        <f t="shared" si="297"/>
        <v xml:space="preserve"> </v>
      </c>
      <c r="CF105" s="10" t="str">
        <f t="shared" si="297"/>
        <v xml:space="preserve"> </v>
      </c>
      <c r="CG105" s="10" t="str">
        <f t="shared" si="297"/>
        <v xml:space="preserve"> </v>
      </c>
      <c r="CH105" s="10" t="str">
        <f t="shared" si="297"/>
        <v xml:space="preserve"> </v>
      </c>
      <c r="CI105" s="10" t="str">
        <f t="shared" si="297"/>
        <v xml:space="preserve"> </v>
      </c>
      <c r="CJ105" s="14"/>
      <c r="CK105" s="14"/>
      <c r="CL105" s="10" t="str">
        <f t="shared" si="298"/>
        <v xml:space="preserve"> </v>
      </c>
      <c r="CM105" s="10" t="str">
        <f t="shared" si="298"/>
        <v xml:space="preserve"> </v>
      </c>
      <c r="CN105" s="10" t="str">
        <f t="shared" si="298"/>
        <v xml:space="preserve"> </v>
      </c>
      <c r="CO105" s="10" t="str">
        <f t="shared" si="298"/>
        <v xml:space="preserve"> </v>
      </c>
      <c r="CP105" s="10" t="str">
        <f t="shared" si="298"/>
        <v xml:space="preserve"> </v>
      </c>
      <c r="CQ105" s="14"/>
      <c r="CR105" s="14"/>
      <c r="CS105" s="10" t="str">
        <f t="shared" si="299"/>
        <v xml:space="preserve"> </v>
      </c>
      <c r="CT105" s="10" t="str">
        <f t="shared" si="299"/>
        <v xml:space="preserve"> </v>
      </c>
      <c r="CU105" s="10" t="str">
        <f t="shared" si="299"/>
        <v xml:space="preserve"> </v>
      </c>
      <c r="CV105" s="10" t="str">
        <f t="shared" si="299"/>
        <v xml:space="preserve"> </v>
      </c>
      <c r="CW105" s="10" t="str">
        <f t="shared" si="299"/>
        <v xml:space="preserve"> </v>
      </c>
      <c r="CZ105" s="10" t="str">
        <f t="shared" si="300"/>
        <v xml:space="preserve"> </v>
      </c>
      <c r="DA105" s="10" t="str">
        <f t="shared" si="300"/>
        <v xml:space="preserve"> </v>
      </c>
      <c r="DB105" s="10" t="str">
        <f t="shared" si="300"/>
        <v xml:space="preserve"> </v>
      </c>
      <c r="DC105" s="10" t="str">
        <f t="shared" si="300"/>
        <v xml:space="preserve"> </v>
      </c>
      <c r="DD105" s="10" t="str">
        <f t="shared" si="300"/>
        <v xml:space="preserve"> </v>
      </c>
      <c r="DG105" s="10" t="str">
        <f t="shared" si="301"/>
        <v xml:space="preserve"> </v>
      </c>
      <c r="DH105" s="10" t="str">
        <f t="shared" si="301"/>
        <v xml:space="preserve"> </v>
      </c>
      <c r="DI105" s="10" t="str">
        <f t="shared" si="301"/>
        <v xml:space="preserve"> </v>
      </c>
      <c r="DJ105" s="10" t="str">
        <f t="shared" si="301"/>
        <v xml:space="preserve"> </v>
      </c>
      <c r="DK105" s="10" t="str">
        <f t="shared" si="301"/>
        <v xml:space="preserve"> </v>
      </c>
      <c r="DN105" s="10" t="str">
        <f t="shared" si="302"/>
        <v xml:space="preserve"> </v>
      </c>
      <c r="DO105" s="10" t="str">
        <f t="shared" si="302"/>
        <v xml:space="preserve"> </v>
      </c>
      <c r="DP105" s="10" t="str">
        <f t="shared" si="302"/>
        <v xml:space="preserve"> </v>
      </c>
      <c r="DQ105" s="10" t="str">
        <f t="shared" si="302"/>
        <v xml:space="preserve"> </v>
      </c>
      <c r="DR105" s="10" t="str">
        <f t="shared" si="302"/>
        <v xml:space="preserve"> </v>
      </c>
      <c r="DU105" s="10" t="str">
        <f t="shared" si="303"/>
        <v xml:space="preserve"> </v>
      </c>
      <c r="DV105" s="10" t="str">
        <f t="shared" si="303"/>
        <v xml:space="preserve"> </v>
      </c>
      <c r="DW105" s="10" t="str">
        <f t="shared" si="303"/>
        <v xml:space="preserve"> </v>
      </c>
      <c r="DX105" s="10" t="str">
        <f t="shared" si="303"/>
        <v xml:space="preserve"> </v>
      </c>
      <c r="DY105" s="10" t="str">
        <f t="shared" si="303"/>
        <v xml:space="preserve"> </v>
      </c>
      <c r="EB105" s="10" t="str">
        <f t="shared" si="304"/>
        <v xml:space="preserve"> </v>
      </c>
      <c r="EC105" s="10" t="str">
        <f t="shared" si="304"/>
        <v xml:space="preserve"> </v>
      </c>
      <c r="ED105" s="10" t="str">
        <f t="shared" si="304"/>
        <v xml:space="preserve"> </v>
      </c>
      <c r="EE105" s="10" t="str">
        <f t="shared" si="304"/>
        <v xml:space="preserve"> </v>
      </c>
      <c r="EF105" s="10" t="str">
        <f t="shared" si="304"/>
        <v xml:space="preserve"> </v>
      </c>
      <c r="EI105" s="10" t="str">
        <f t="shared" si="305"/>
        <v xml:space="preserve"> </v>
      </c>
      <c r="EJ105" s="10" t="str">
        <f t="shared" si="305"/>
        <v xml:space="preserve"> </v>
      </c>
      <c r="EK105" s="10" t="str">
        <f t="shared" si="305"/>
        <v xml:space="preserve"> </v>
      </c>
      <c r="EL105" s="10" t="str">
        <f t="shared" si="305"/>
        <v xml:space="preserve"> </v>
      </c>
      <c r="EM105" s="10" t="str">
        <f t="shared" si="305"/>
        <v xml:space="preserve"> </v>
      </c>
      <c r="EP105" s="10" t="str">
        <f t="shared" si="306"/>
        <v xml:space="preserve"> </v>
      </c>
      <c r="EQ105" s="10" t="str">
        <f t="shared" si="306"/>
        <v xml:space="preserve"> </v>
      </c>
      <c r="ER105" s="10" t="str">
        <f t="shared" si="306"/>
        <v xml:space="preserve"> </v>
      </c>
      <c r="ES105" s="10" t="str">
        <f t="shared" si="306"/>
        <v xml:space="preserve"> </v>
      </c>
      <c r="ET105" s="10" t="str">
        <f t="shared" si="306"/>
        <v xml:space="preserve"> </v>
      </c>
      <c r="EW105" s="10" t="str">
        <f t="shared" si="307"/>
        <v xml:space="preserve"> </v>
      </c>
      <c r="EX105" s="10" t="str">
        <f t="shared" si="307"/>
        <v xml:space="preserve"> </v>
      </c>
      <c r="EY105" s="10" t="str">
        <f t="shared" si="307"/>
        <v xml:space="preserve"> </v>
      </c>
      <c r="EZ105" s="10" t="str">
        <f t="shared" si="307"/>
        <v xml:space="preserve"> </v>
      </c>
      <c r="FA105" s="10" t="str">
        <f t="shared" si="307"/>
        <v xml:space="preserve"> </v>
      </c>
      <c r="FD105" s="10" t="str">
        <f t="shared" si="308"/>
        <v xml:space="preserve"> </v>
      </c>
      <c r="FE105" s="10" t="str">
        <f t="shared" si="308"/>
        <v xml:space="preserve"> </v>
      </c>
      <c r="FF105" s="10" t="str">
        <f t="shared" si="308"/>
        <v xml:space="preserve"> </v>
      </c>
      <c r="FG105" s="10" t="str">
        <f t="shared" si="308"/>
        <v xml:space="preserve"> </v>
      </c>
      <c r="FH105" s="10" t="str">
        <f t="shared" si="308"/>
        <v xml:space="preserve"> </v>
      </c>
      <c r="FK105" s="10" t="str">
        <f t="shared" si="309"/>
        <v xml:space="preserve"> </v>
      </c>
      <c r="FL105" s="10" t="str">
        <f t="shared" si="309"/>
        <v xml:space="preserve"> </v>
      </c>
      <c r="FM105" s="10" t="str">
        <f t="shared" si="309"/>
        <v xml:space="preserve"> </v>
      </c>
      <c r="FN105" s="10" t="str">
        <f t="shared" si="309"/>
        <v xml:space="preserve"> </v>
      </c>
      <c r="FO105" s="10" t="str">
        <f t="shared" si="309"/>
        <v xml:space="preserve"> </v>
      </c>
      <c r="FR105" s="10" t="str">
        <f t="shared" si="310"/>
        <v xml:space="preserve"> </v>
      </c>
      <c r="FS105" s="10" t="str">
        <f t="shared" si="310"/>
        <v xml:space="preserve"> </v>
      </c>
      <c r="FT105" s="10" t="str">
        <f t="shared" si="310"/>
        <v xml:space="preserve"> </v>
      </c>
      <c r="FU105" s="10" t="str">
        <f t="shared" si="310"/>
        <v xml:space="preserve"> </v>
      </c>
      <c r="FV105" s="10" t="str">
        <f t="shared" si="310"/>
        <v xml:space="preserve"> </v>
      </c>
      <c r="FY105" s="10" t="str">
        <f t="shared" si="311"/>
        <v xml:space="preserve"> </v>
      </c>
      <c r="FZ105" s="10" t="str">
        <f t="shared" si="311"/>
        <v xml:space="preserve"> </v>
      </c>
      <c r="GA105" s="10" t="str">
        <f t="shared" si="311"/>
        <v xml:space="preserve"> </v>
      </c>
      <c r="GB105" s="10" t="str">
        <f t="shared" si="311"/>
        <v xml:space="preserve"> </v>
      </c>
      <c r="GC105" s="10" t="str">
        <f t="shared" si="311"/>
        <v xml:space="preserve"> </v>
      </c>
      <c r="GF105" s="10" t="str">
        <f t="shared" si="312"/>
        <v xml:space="preserve"> </v>
      </c>
      <c r="GG105" s="10" t="str">
        <f t="shared" si="312"/>
        <v xml:space="preserve"> </v>
      </c>
      <c r="GH105" s="10" t="str">
        <f t="shared" si="312"/>
        <v xml:space="preserve"> </v>
      </c>
      <c r="GI105" s="10" t="str">
        <f t="shared" si="312"/>
        <v xml:space="preserve"> </v>
      </c>
      <c r="GJ105" s="10" t="str">
        <f t="shared" si="312"/>
        <v xml:space="preserve"> </v>
      </c>
      <c r="GM105" s="10" t="str">
        <f t="shared" si="313"/>
        <v xml:space="preserve"> </v>
      </c>
      <c r="GN105" s="10" t="str">
        <f t="shared" si="313"/>
        <v xml:space="preserve"> </v>
      </c>
      <c r="GO105" s="10" t="str">
        <f t="shared" si="313"/>
        <v xml:space="preserve"> </v>
      </c>
      <c r="GP105" s="10" t="str">
        <f t="shared" si="313"/>
        <v xml:space="preserve"> </v>
      </c>
      <c r="GQ105" s="10" t="str">
        <f t="shared" si="313"/>
        <v xml:space="preserve"> </v>
      </c>
      <c r="GT105" s="10" t="str">
        <f t="shared" si="314"/>
        <v xml:space="preserve"> </v>
      </c>
      <c r="GU105" s="10" t="str">
        <f t="shared" si="314"/>
        <v xml:space="preserve"> </v>
      </c>
      <c r="GV105" s="10" t="str">
        <f t="shared" si="314"/>
        <v xml:space="preserve"> </v>
      </c>
      <c r="GW105" s="10" t="str">
        <f t="shared" si="314"/>
        <v xml:space="preserve"> </v>
      </c>
      <c r="GX105" s="10" t="str">
        <f t="shared" si="314"/>
        <v xml:space="preserve"> </v>
      </c>
      <c r="HA105" s="10" t="str">
        <f t="shared" si="315"/>
        <v xml:space="preserve"> </v>
      </c>
      <c r="HB105" s="10" t="str">
        <f t="shared" si="315"/>
        <v xml:space="preserve"> </v>
      </c>
      <c r="HC105" s="10" t="str">
        <f t="shared" si="315"/>
        <v xml:space="preserve"> </v>
      </c>
      <c r="HD105" s="10" t="str">
        <f t="shared" si="315"/>
        <v xml:space="preserve"> </v>
      </c>
      <c r="HE105" s="10" t="str">
        <f t="shared" si="315"/>
        <v xml:space="preserve"> </v>
      </c>
      <c r="HH105" s="10" t="str">
        <f t="shared" si="316"/>
        <v xml:space="preserve"> </v>
      </c>
      <c r="HI105" s="10" t="str">
        <f t="shared" si="316"/>
        <v xml:space="preserve"> </v>
      </c>
      <c r="HJ105" s="10" t="str">
        <f t="shared" si="316"/>
        <v xml:space="preserve"> </v>
      </c>
      <c r="HK105" s="10" t="str">
        <f t="shared" si="316"/>
        <v xml:space="preserve"> </v>
      </c>
      <c r="HL105" s="10" t="str">
        <f t="shared" si="316"/>
        <v xml:space="preserve"> </v>
      </c>
      <c r="HO105" s="10" t="str">
        <f t="shared" si="317"/>
        <v xml:space="preserve"> </v>
      </c>
      <c r="HP105" s="10" t="str">
        <f t="shared" si="317"/>
        <v xml:space="preserve"> </v>
      </c>
      <c r="HQ105" s="10" t="str">
        <f t="shared" si="317"/>
        <v xml:space="preserve"> </v>
      </c>
      <c r="HR105" s="10" t="str">
        <f t="shared" si="317"/>
        <v xml:space="preserve"> </v>
      </c>
      <c r="HS105" s="10" t="str">
        <f t="shared" si="317"/>
        <v xml:space="preserve"> </v>
      </c>
      <c r="HV105" s="10" t="str">
        <f t="shared" si="318"/>
        <v xml:space="preserve"> </v>
      </c>
      <c r="HW105" s="10" t="str">
        <f t="shared" si="318"/>
        <v xml:space="preserve"> </v>
      </c>
      <c r="HX105" s="10" t="str">
        <f t="shared" si="318"/>
        <v xml:space="preserve"> </v>
      </c>
      <c r="HY105" s="10" t="str">
        <f t="shared" si="318"/>
        <v xml:space="preserve"> </v>
      </c>
      <c r="HZ105" s="10" t="str">
        <f t="shared" si="318"/>
        <v xml:space="preserve"> </v>
      </c>
      <c r="IC105" s="10" t="str">
        <f t="shared" si="319"/>
        <v xml:space="preserve"> </v>
      </c>
      <c r="ID105" s="10" t="str">
        <f t="shared" si="319"/>
        <v xml:space="preserve"> </v>
      </c>
      <c r="IE105" s="10" t="str">
        <f t="shared" si="319"/>
        <v xml:space="preserve"> </v>
      </c>
      <c r="IF105" s="10" t="str">
        <f t="shared" si="319"/>
        <v xml:space="preserve"> </v>
      </c>
      <c r="IG105" s="10" t="str">
        <f t="shared" si="319"/>
        <v xml:space="preserve"> </v>
      </c>
      <c r="IJ105" s="10" t="str">
        <f t="shared" si="320"/>
        <v xml:space="preserve"> </v>
      </c>
      <c r="IK105" s="10" t="str">
        <f t="shared" si="320"/>
        <v xml:space="preserve"> </v>
      </c>
      <c r="IL105" s="10" t="str">
        <f t="shared" si="320"/>
        <v xml:space="preserve"> </v>
      </c>
      <c r="IM105" s="10" t="str">
        <f t="shared" si="320"/>
        <v xml:space="preserve"> </v>
      </c>
      <c r="IN105" s="10" t="str">
        <f t="shared" si="320"/>
        <v xml:space="preserve"> </v>
      </c>
      <c r="IQ105" s="10" t="str">
        <f t="shared" si="321"/>
        <v xml:space="preserve"> </v>
      </c>
      <c r="IR105" s="10" t="str">
        <f t="shared" si="321"/>
        <v xml:space="preserve"> </v>
      </c>
      <c r="IS105" s="10" t="str">
        <f t="shared" si="321"/>
        <v xml:space="preserve"> </v>
      </c>
      <c r="IT105" s="10" t="str">
        <f t="shared" si="321"/>
        <v xml:space="preserve"> </v>
      </c>
      <c r="IU105" s="10" t="str">
        <f t="shared" si="321"/>
        <v xml:space="preserve"> </v>
      </c>
      <c r="IX105" s="10" t="str">
        <f t="shared" si="322"/>
        <v xml:space="preserve"> </v>
      </c>
      <c r="IY105" s="10" t="str">
        <f t="shared" si="322"/>
        <v xml:space="preserve"> </v>
      </c>
      <c r="IZ105" s="10" t="str">
        <f t="shared" si="322"/>
        <v xml:space="preserve"> </v>
      </c>
      <c r="JA105" s="10" t="str">
        <f t="shared" si="322"/>
        <v xml:space="preserve"> </v>
      </c>
      <c r="JB105" s="10" t="str">
        <f t="shared" si="322"/>
        <v xml:space="preserve"> </v>
      </c>
      <c r="JE105" s="10" t="str">
        <f t="shared" si="323"/>
        <v xml:space="preserve"> </v>
      </c>
      <c r="JF105" s="10" t="str">
        <f t="shared" si="323"/>
        <v xml:space="preserve"> </v>
      </c>
      <c r="JG105" s="10" t="str">
        <f t="shared" si="323"/>
        <v xml:space="preserve"> </v>
      </c>
      <c r="JH105" s="10" t="str">
        <f t="shared" si="323"/>
        <v xml:space="preserve"> </v>
      </c>
      <c r="JI105" s="10" t="str">
        <f t="shared" si="323"/>
        <v xml:space="preserve"> </v>
      </c>
    </row>
    <row r="106" spans="13:269">
      <c r="M106" s="10" t="str">
        <f t="shared" si="324"/>
        <v xml:space="preserve"> </v>
      </c>
      <c r="N106" s="10" t="str">
        <f t="shared" si="324"/>
        <v xml:space="preserve"> </v>
      </c>
      <c r="O106" s="10" t="str">
        <f t="shared" si="324"/>
        <v xml:space="preserve"> </v>
      </c>
      <c r="P106" s="10" t="str">
        <f t="shared" si="324"/>
        <v xml:space="preserve"> </v>
      </c>
      <c r="Q106" s="10" t="str">
        <f t="shared" si="324"/>
        <v xml:space="preserve"> </v>
      </c>
      <c r="R106" s="14"/>
      <c r="S106" s="14"/>
      <c r="T106" s="10" t="str">
        <f t="shared" si="288"/>
        <v xml:space="preserve"> </v>
      </c>
      <c r="U106" s="10" t="str">
        <f t="shared" si="288"/>
        <v xml:space="preserve"> </v>
      </c>
      <c r="V106" s="10" t="str">
        <f t="shared" si="288"/>
        <v xml:space="preserve"> </v>
      </c>
      <c r="W106" s="10" t="str">
        <f t="shared" si="288"/>
        <v xml:space="preserve"> </v>
      </c>
      <c r="X106" s="10" t="str">
        <f t="shared" si="288"/>
        <v xml:space="preserve"> </v>
      </c>
      <c r="Y106" s="14"/>
      <c r="Z106" s="14"/>
      <c r="AA106" s="10" t="str">
        <f t="shared" si="289"/>
        <v xml:space="preserve"> </v>
      </c>
      <c r="AB106" s="10" t="str">
        <f t="shared" si="289"/>
        <v xml:space="preserve"> </v>
      </c>
      <c r="AC106" s="10" t="str">
        <f t="shared" si="289"/>
        <v xml:space="preserve"> </v>
      </c>
      <c r="AD106" s="10" t="str">
        <f t="shared" si="289"/>
        <v xml:space="preserve"> </v>
      </c>
      <c r="AE106" s="10" t="str">
        <f t="shared" si="289"/>
        <v xml:space="preserve"> </v>
      </c>
      <c r="AF106" s="14"/>
      <c r="AG106" s="14"/>
      <c r="AH106" s="10" t="str">
        <f t="shared" si="290"/>
        <v xml:space="preserve"> </v>
      </c>
      <c r="AI106" s="10" t="str">
        <f t="shared" si="290"/>
        <v xml:space="preserve"> </v>
      </c>
      <c r="AJ106" s="10" t="str">
        <f t="shared" si="290"/>
        <v xml:space="preserve"> </v>
      </c>
      <c r="AK106" s="10" t="str">
        <f t="shared" si="290"/>
        <v xml:space="preserve"> </v>
      </c>
      <c r="AL106" s="10" t="str">
        <f t="shared" si="290"/>
        <v xml:space="preserve"> </v>
      </c>
      <c r="AM106" s="14"/>
      <c r="AN106" s="14"/>
      <c r="AO106" s="10" t="str">
        <f t="shared" si="291"/>
        <v xml:space="preserve"> </v>
      </c>
      <c r="AP106" s="10" t="str">
        <f t="shared" si="291"/>
        <v xml:space="preserve"> </v>
      </c>
      <c r="AQ106" s="10" t="str">
        <f t="shared" si="291"/>
        <v xml:space="preserve"> </v>
      </c>
      <c r="AR106" s="10" t="str">
        <f t="shared" si="291"/>
        <v xml:space="preserve"> </v>
      </c>
      <c r="AS106" s="10" t="str">
        <f t="shared" si="291"/>
        <v xml:space="preserve"> </v>
      </c>
      <c r="AT106" s="14"/>
      <c r="AU106" s="14"/>
      <c r="AV106" s="10" t="str">
        <f t="shared" si="292"/>
        <v xml:space="preserve"> </v>
      </c>
      <c r="AW106" s="10" t="str">
        <f t="shared" si="292"/>
        <v xml:space="preserve"> </v>
      </c>
      <c r="AX106" s="10" t="str">
        <f t="shared" si="292"/>
        <v xml:space="preserve"> </v>
      </c>
      <c r="AY106" s="10" t="str">
        <f t="shared" si="292"/>
        <v xml:space="preserve"> </v>
      </c>
      <c r="AZ106" s="10" t="str">
        <f t="shared" si="292"/>
        <v xml:space="preserve"> </v>
      </c>
      <c r="BA106" s="14"/>
      <c r="BB106" s="14"/>
      <c r="BC106" s="10" t="str">
        <f t="shared" si="293"/>
        <v xml:space="preserve"> </v>
      </c>
      <c r="BD106" s="10" t="str">
        <f t="shared" si="293"/>
        <v xml:space="preserve"> </v>
      </c>
      <c r="BE106" s="10" t="str">
        <f t="shared" si="293"/>
        <v xml:space="preserve"> </v>
      </c>
      <c r="BF106" s="10" t="str">
        <f t="shared" si="293"/>
        <v xml:space="preserve"> </v>
      </c>
      <c r="BG106" s="10" t="str">
        <f t="shared" si="293"/>
        <v xml:space="preserve"> </v>
      </c>
      <c r="BH106" s="14"/>
      <c r="BI106" s="14"/>
      <c r="BJ106" s="10" t="str">
        <f t="shared" si="294"/>
        <v xml:space="preserve"> </v>
      </c>
      <c r="BK106" s="10" t="str">
        <f t="shared" si="294"/>
        <v xml:space="preserve"> </v>
      </c>
      <c r="BL106" s="10" t="str">
        <f t="shared" si="294"/>
        <v xml:space="preserve"> </v>
      </c>
      <c r="BM106" s="10" t="str">
        <f t="shared" si="294"/>
        <v xml:space="preserve"> </v>
      </c>
      <c r="BN106" s="10" t="str">
        <f t="shared" si="294"/>
        <v xml:space="preserve"> </v>
      </c>
      <c r="BO106" s="14"/>
      <c r="BP106" s="14"/>
      <c r="BQ106" s="10" t="str">
        <f t="shared" si="295"/>
        <v xml:space="preserve"> </v>
      </c>
      <c r="BR106" s="10" t="str">
        <f t="shared" si="295"/>
        <v xml:space="preserve"> </v>
      </c>
      <c r="BS106" s="10" t="str">
        <f t="shared" si="295"/>
        <v xml:space="preserve"> </v>
      </c>
      <c r="BT106" s="10" t="str">
        <f t="shared" si="295"/>
        <v xml:space="preserve"> </v>
      </c>
      <c r="BU106" s="10" t="str">
        <f t="shared" si="295"/>
        <v xml:space="preserve"> </v>
      </c>
      <c r="BV106" s="14"/>
      <c r="BW106" s="14"/>
      <c r="BX106" s="10" t="str">
        <f t="shared" si="296"/>
        <v xml:space="preserve"> </v>
      </c>
      <c r="BY106" s="10" t="str">
        <f t="shared" si="296"/>
        <v xml:space="preserve"> </v>
      </c>
      <c r="BZ106" s="10" t="str">
        <f t="shared" si="296"/>
        <v xml:space="preserve"> </v>
      </c>
      <c r="CA106" s="10" t="str">
        <f t="shared" si="296"/>
        <v xml:space="preserve"> </v>
      </c>
      <c r="CB106" s="10" t="str">
        <f t="shared" si="296"/>
        <v xml:space="preserve"> </v>
      </c>
      <c r="CC106" s="14"/>
      <c r="CD106" s="14"/>
      <c r="CE106" s="10" t="str">
        <f t="shared" si="297"/>
        <v xml:space="preserve"> </v>
      </c>
      <c r="CF106" s="10" t="str">
        <f t="shared" si="297"/>
        <v xml:space="preserve"> </v>
      </c>
      <c r="CG106" s="10" t="str">
        <f t="shared" si="297"/>
        <v xml:space="preserve"> </v>
      </c>
      <c r="CH106" s="10" t="str">
        <f t="shared" si="297"/>
        <v xml:space="preserve"> </v>
      </c>
      <c r="CI106" s="10" t="str">
        <f t="shared" si="297"/>
        <v xml:space="preserve"> </v>
      </c>
      <c r="CJ106" s="14"/>
      <c r="CK106" s="14"/>
      <c r="CL106" s="10" t="str">
        <f t="shared" si="298"/>
        <v xml:space="preserve"> </v>
      </c>
      <c r="CM106" s="10" t="str">
        <f t="shared" si="298"/>
        <v xml:space="preserve"> </v>
      </c>
      <c r="CN106" s="10" t="str">
        <f t="shared" si="298"/>
        <v xml:space="preserve"> </v>
      </c>
      <c r="CO106" s="10" t="str">
        <f t="shared" si="298"/>
        <v xml:space="preserve"> </v>
      </c>
      <c r="CP106" s="10" t="str">
        <f t="shared" si="298"/>
        <v xml:space="preserve"> </v>
      </c>
      <c r="CQ106" s="14"/>
      <c r="CR106" s="14"/>
      <c r="CS106" s="10" t="str">
        <f t="shared" si="299"/>
        <v xml:space="preserve"> </v>
      </c>
      <c r="CT106" s="10" t="str">
        <f t="shared" si="299"/>
        <v xml:space="preserve"> </v>
      </c>
      <c r="CU106" s="10" t="str">
        <f t="shared" si="299"/>
        <v xml:space="preserve"> </v>
      </c>
      <c r="CV106" s="10" t="str">
        <f t="shared" si="299"/>
        <v xml:space="preserve"> </v>
      </c>
      <c r="CW106" s="10" t="str">
        <f t="shared" si="299"/>
        <v xml:space="preserve"> </v>
      </c>
      <c r="CZ106" s="10" t="str">
        <f t="shared" si="300"/>
        <v xml:space="preserve"> </v>
      </c>
      <c r="DA106" s="10" t="str">
        <f t="shared" si="300"/>
        <v xml:space="preserve"> </v>
      </c>
      <c r="DB106" s="10" t="str">
        <f t="shared" si="300"/>
        <v xml:space="preserve"> </v>
      </c>
      <c r="DC106" s="10" t="str">
        <f t="shared" si="300"/>
        <v xml:space="preserve"> </v>
      </c>
      <c r="DD106" s="10" t="str">
        <f t="shared" si="300"/>
        <v xml:space="preserve"> </v>
      </c>
      <c r="DG106" s="10" t="str">
        <f t="shared" si="301"/>
        <v xml:space="preserve"> </v>
      </c>
      <c r="DH106" s="10" t="str">
        <f t="shared" si="301"/>
        <v xml:space="preserve"> </v>
      </c>
      <c r="DI106" s="10" t="str">
        <f t="shared" si="301"/>
        <v xml:space="preserve"> </v>
      </c>
      <c r="DJ106" s="10" t="str">
        <f t="shared" si="301"/>
        <v xml:space="preserve"> </v>
      </c>
      <c r="DK106" s="10" t="str">
        <f t="shared" si="301"/>
        <v xml:space="preserve"> </v>
      </c>
      <c r="DN106" s="10" t="str">
        <f t="shared" si="302"/>
        <v xml:space="preserve"> </v>
      </c>
      <c r="DO106" s="10" t="str">
        <f t="shared" si="302"/>
        <v xml:space="preserve"> </v>
      </c>
      <c r="DP106" s="10" t="str">
        <f t="shared" si="302"/>
        <v xml:space="preserve"> </v>
      </c>
      <c r="DQ106" s="10" t="str">
        <f t="shared" si="302"/>
        <v xml:space="preserve"> </v>
      </c>
      <c r="DR106" s="10" t="str">
        <f t="shared" si="302"/>
        <v xml:space="preserve"> </v>
      </c>
      <c r="DU106" s="10" t="str">
        <f t="shared" si="303"/>
        <v xml:space="preserve"> </v>
      </c>
      <c r="DV106" s="10" t="str">
        <f t="shared" si="303"/>
        <v xml:space="preserve"> </v>
      </c>
      <c r="DW106" s="10" t="str">
        <f t="shared" si="303"/>
        <v xml:space="preserve"> </v>
      </c>
      <c r="DX106" s="10" t="str">
        <f t="shared" si="303"/>
        <v xml:space="preserve"> </v>
      </c>
      <c r="DY106" s="10" t="str">
        <f t="shared" si="303"/>
        <v xml:space="preserve"> </v>
      </c>
      <c r="EB106" s="10" t="str">
        <f t="shared" si="304"/>
        <v xml:space="preserve"> </v>
      </c>
      <c r="EC106" s="10" t="str">
        <f t="shared" si="304"/>
        <v xml:space="preserve"> </v>
      </c>
      <c r="ED106" s="10" t="str">
        <f t="shared" si="304"/>
        <v xml:space="preserve"> </v>
      </c>
      <c r="EE106" s="10" t="str">
        <f t="shared" si="304"/>
        <v xml:space="preserve"> </v>
      </c>
      <c r="EF106" s="10" t="str">
        <f t="shared" si="304"/>
        <v xml:space="preserve"> </v>
      </c>
      <c r="EI106" s="10" t="str">
        <f t="shared" si="305"/>
        <v xml:space="preserve"> </v>
      </c>
      <c r="EJ106" s="10" t="str">
        <f t="shared" si="305"/>
        <v xml:space="preserve"> </v>
      </c>
      <c r="EK106" s="10" t="str">
        <f t="shared" si="305"/>
        <v xml:space="preserve"> </v>
      </c>
      <c r="EL106" s="10" t="str">
        <f t="shared" si="305"/>
        <v xml:space="preserve"> </v>
      </c>
      <c r="EM106" s="10" t="str">
        <f t="shared" si="305"/>
        <v xml:space="preserve"> </v>
      </c>
      <c r="EP106" s="10" t="str">
        <f t="shared" si="306"/>
        <v xml:space="preserve"> </v>
      </c>
      <c r="EQ106" s="10" t="str">
        <f t="shared" si="306"/>
        <v xml:space="preserve"> </v>
      </c>
      <c r="ER106" s="10" t="str">
        <f t="shared" si="306"/>
        <v xml:space="preserve"> </v>
      </c>
      <c r="ES106" s="10" t="str">
        <f t="shared" si="306"/>
        <v xml:space="preserve"> </v>
      </c>
      <c r="ET106" s="10" t="str">
        <f t="shared" si="306"/>
        <v xml:space="preserve"> </v>
      </c>
      <c r="EW106" s="10" t="str">
        <f t="shared" si="307"/>
        <v xml:space="preserve"> </v>
      </c>
      <c r="EX106" s="10" t="str">
        <f t="shared" si="307"/>
        <v xml:space="preserve"> </v>
      </c>
      <c r="EY106" s="10" t="str">
        <f t="shared" si="307"/>
        <v xml:space="preserve"> </v>
      </c>
      <c r="EZ106" s="10" t="str">
        <f t="shared" si="307"/>
        <v xml:space="preserve"> </v>
      </c>
      <c r="FA106" s="10" t="str">
        <f t="shared" si="307"/>
        <v xml:space="preserve"> </v>
      </c>
      <c r="FD106" s="10" t="str">
        <f t="shared" si="308"/>
        <v xml:space="preserve"> </v>
      </c>
      <c r="FE106" s="10" t="str">
        <f t="shared" si="308"/>
        <v xml:space="preserve"> </v>
      </c>
      <c r="FF106" s="10" t="str">
        <f t="shared" si="308"/>
        <v xml:space="preserve"> </v>
      </c>
      <c r="FG106" s="10" t="str">
        <f t="shared" si="308"/>
        <v xml:space="preserve"> </v>
      </c>
      <c r="FH106" s="10" t="str">
        <f t="shared" si="308"/>
        <v xml:space="preserve"> </v>
      </c>
      <c r="FK106" s="10" t="str">
        <f t="shared" si="309"/>
        <v xml:space="preserve"> </v>
      </c>
      <c r="FL106" s="10" t="str">
        <f t="shared" si="309"/>
        <v xml:space="preserve"> </v>
      </c>
      <c r="FM106" s="10" t="str">
        <f t="shared" si="309"/>
        <v xml:space="preserve"> </v>
      </c>
      <c r="FN106" s="10" t="str">
        <f t="shared" si="309"/>
        <v xml:space="preserve"> </v>
      </c>
      <c r="FO106" s="10" t="str">
        <f t="shared" si="309"/>
        <v xml:space="preserve"> </v>
      </c>
      <c r="FR106" s="10" t="str">
        <f t="shared" si="310"/>
        <v xml:space="preserve"> </v>
      </c>
      <c r="FS106" s="10" t="str">
        <f t="shared" si="310"/>
        <v xml:space="preserve"> </v>
      </c>
      <c r="FT106" s="10" t="str">
        <f t="shared" si="310"/>
        <v xml:space="preserve"> </v>
      </c>
      <c r="FU106" s="10" t="str">
        <f t="shared" si="310"/>
        <v xml:space="preserve"> </v>
      </c>
      <c r="FV106" s="10" t="str">
        <f t="shared" si="310"/>
        <v xml:space="preserve"> </v>
      </c>
      <c r="FY106" s="10" t="str">
        <f t="shared" si="311"/>
        <v xml:space="preserve"> </v>
      </c>
      <c r="FZ106" s="10" t="str">
        <f t="shared" si="311"/>
        <v xml:space="preserve"> </v>
      </c>
      <c r="GA106" s="10" t="str">
        <f t="shared" si="311"/>
        <v xml:space="preserve"> </v>
      </c>
      <c r="GB106" s="10" t="str">
        <f t="shared" si="311"/>
        <v xml:space="preserve"> </v>
      </c>
      <c r="GC106" s="10" t="str">
        <f t="shared" si="311"/>
        <v xml:space="preserve"> </v>
      </c>
      <c r="GF106" s="10" t="str">
        <f t="shared" si="312"/>
        <v xml:space="preserve"> </v>
      </c>
      <c r="GG106" s="10" t="str">
        <f t="shared" si="312"/>
        <v xml:space="preserve"> </v>
      </c>
      <c r="GH106" s="10" t="str">
        <f t="shared" si="312"/>
        <v xml:space="preserve"> </v>
      </c>
      <c r="GI106" s="10" t="str">
        <f t="shared" si="312"/>
        <v xml:space="preserve"> </v>
      </c>
      <c r="GJ106" s="10" t="str">
        <f t="shared" si="312"/>
        <v xml:space="preserve"> </v>
      </c>
      <c r="GM106" s="10" t="str">
        <f t="shared" si="313"/>
        <v xml:space="preserve"> </v>
      </c>
      <c r="GN106" s="10" t="str">
        <f t="shared" si="313"/>
        <v xml:space="preserve"> </v>
      </c>
      <c r="GO106" s="10" t="str">
        <f t="shared" si="313"/>
        <v xml:space="preserve"> </v>
      </c>
      <c r="GP106" s="10" t="str">
        <f t="shared" si="313"/>
        <v xml:space="preserve"> </v>
      </c>
      <c r="GQ106" s="10" t="str">
        <f t="shared" si="313"/>
        <v xml:space="preserve"> </v>
      </c>
      <c r="GT106" s="10" t="str">
        <f t="shared" si="314"/>
        <v xml:space="preserve"> </v>
      </c>
      <c r="GU106" s="10" t="str">
        <f t="shared" si="314"/>
        <v xml:space="preserve"> </v>
      </c>
      <c r="GV106" s="10" t="str">
        <f t="shared" si="314"/>
        <v xml:space="preserve"> </v>
      </c>
      <c r="GW106" s="10" t="str">
        <f t="shared" si="314"/>
        <v xml:space="preserve"> </v>
      </c>
      <c r="GX106" s="10" t="str">
        <f t="shared" si="314"/>
        <v xml:space="preserve"> </v>
      </c>
      <c r="HA106" s="10" t="str">
        <f t="shared" si="315"/>
        <v xml:space="preserve"> </v>
      </c>
      <c r="HB106" s="10" t="str">
        <f t="shared" si="315"/>
        <v xml:space="preserve"> </v>
      </c>
      <c r="HC106" s="10" t="str">
        <f t="shared" si="315"/>
        <v xml:space="preserve"> </v>
      </c>
      <c r="HD106" s="10" t="str">
        <f t="shared" si="315"/>
        <v xml:space="preserve"> </v>
      </c>
      <c r="HE106" s="10" t="str">
        <f t="shared" si="315"/>
        <v xml:space="preserve"> </v>
      </c>
      <c r="HH106" s="10" t="str">
        <f t="shared" si="316"/>
        <v xml:space="preserve"> </v>
      </c>
      <c r="HI106" s="10" t="str">
        <f t="shared" si="316"/>
        <v xml:space="preserve"> </v>
      </c>
      <c r="HJ106" s="10" t="str">
        <f t="shared" si="316"/>
        <v xml:space="preserve"> </v>
      </c>
      <c r="HK106" s="10" t="str">
        <f t="shared" si="316"/>
        <v xml:space="preserve"> </v>
      </c>
      <c r="HL106" s="10" t="str">
        <f t="shared" si="316"/>
        <v xml:space="preserve"> </v>
      </c>
      <c r="HO106" s="10" t="str">
        <f t="shared" si="317"/>
        <v xml:space="preserve"> </v>
      </c>
      <c r="HP106" s="10" t="str">
        <f t="shared" si="317"/>
        <v xml:space="preserve"> </v>
      </c>
      <c r="HQ106" s="10" t="str">
        <f t="shared" si="317"/>
        <v xml:space="preserve"> </v>
      </c>
      <c r="HR106" s="10" t="str">
        <f t="shared" si="317"/>
        <v xml:space="preserve"> </v>
      </c>
      <c r="HS106" s="10" t="str">
        <f t="shared" si="317"/>
        <v xml:space="preserve"> </v>
      </c>
      <c r="HV106" s="10" t="str">
        <f t="shared" si="318"/>
        <v xml:space="preserve"> </v>
      </c>
      <c r="HW106" s="10" t="str">
        <f t="shared" si="318"/>
        <v xml:space="preserve"> </v>
      </c>
      <c r="HX106" s="10" t="str">
        <f t="shared" si="318"/>
        <v xml:space="preserve"> </v>
      </c>
      <c r="HY106" s="10" t="str">
        <f t="shared" si="318"/>
        <v xml:space="preserve"> </v>
      </c>
      <c r="HZ106" s="10" t="str">
        <f t="shared" si="318"/>
        <v xml:space="preserve"> </v>
      </c>
      <c r="IC106" s="10" t="str">
        <f t="shared" si="319"/>
        <v xml:space="preserve"> </v>
      </c>
      <c r="ID106" s="10" t="str">
        <f t="shared" si="319"/>
        <v xml:space="preserve"> </v>
      </c>
      <c r="IE106" s="10" t="str">
        <f t="shared" si="319"/>
        <v xml:space="preserve"> </v>
      </c>
      <c r="IF106" s="10" t="str">
        <f t="shared" si="319"/>
        <v xml:space="preserve"> </v>
      </c>
      <c r="IG106" s="10" t="str">
        <f t="shared" si="319"/>
        <v xml:space="preserve"> </v>
      </c>
      <c r="IJ106" s="10" t="str">
        <f t="shared" si="320"/>
        <v xml:space="preserve"> </v>
      </c>
      <c r="IK106" s="10" t="str">
        <f t="shared" si="320"/>
        <v xml:space="preserve"> </v>
      </c>
      <c r="IL106" s="10" t="str">
        <f t="shared" si="320"/>
        <v xml:space="preserve"> </v>
      </c>
      <c r="IM106" s="10" t="str">
        <f t="shared" si="320"/>
        <v xml:space="preserve"> </v>
      </c>
      <c r="IN106" s="10" t="str">
        <f t="shared" si="320"/>
        <v xml:space="preserve"> </v>
      </c>
      <c r="IQ106" s="10" t="str">
        <f t="shared" si="321"/>
        <v xml:space="preserve"> </v>
      </c>
      <c r="IR106" s="10" t="str">
        <f t="shared" si="321"/>
        <v xml:space="preserve"> </v>
      </c>
      <c r="IS106" s="10" t="str">
        <f t="shared" si="321"/>
        <v xml:space="preserve"> </v>
      </c>
      <c r="IT106" s="10" t="str">
        <f t="shared" si="321"/>
        <v xml:space="preserve"> </v>
      </c>
      <c r="IU106" s="10" t="str">
        <f t="shared" si="321"/>
        <v xml:space="preserve"> </v>
      </c>
      <c r="IX106" s="10" t="str">
        <f t="shared" si="322"/>
        <v xml:space="preserve"> </v>
      </c>
      <c r="IY106" s="10" t="str">
        <f t="shared" si="322"/>
        <v xml:space="preserve"> </v>
      </c>
      <c r="IZ106" s="10" t="str">
        <f t="shared" si="322"/>
        <v xml:space="preserve"> </v>
      </c>
      <c r="JA106" s="10" t="str">
        <f t="shared" si="322"/>
        <v xml:space="preserve"> </v>
      </c>
      <c r="JB106" s="10" t="str">
        <f t="shared" si="322"/>
        <v xml:space="preserve"> </v>
      </c>
      <c r="JE106" s="10" t="str">
        <f t="shared" si="323"/>
        <v xml:space="preserve"> </v>
      </c>
      <c r="JF106" s="10" t="str">
        <f t="shared" si="323"/>
        <v xml:space="preserve"> </v>
      </c>
      <c r="JG106" s="10" t="str">
        <f t="shared" si="323"/>
        <v xml:space="preserve"> </v>
      </c>
      <c r="JH106" s="10" t="str">
        <f t="shared" si="323"/>
        <v xml:space="preserve"> </v>
      </c>
      <c r="JI106" s="10" t="str">
        <f t="shared" si="323"/>
        <v xml:space="preserve"> </v>
      </c>
    </row>
    <row r="107" spans="13:269">
      <c r="M107" s="10" t="str">
        <f t="shared" si="324"/>
        <v xml:space="preserve"> </v>
      </c>
      <c r="N107" s="10" t="str">
        <f t="shared" si="324"/>
        <v xml:space="preserve"> </v>
      </c>
      <c r="O107" s="10" t="str">
        <f t="shared" si="324"/>
        <v xml:space="preserve"> </v>
      </c>
      <c r="P107" s="10" t="str">
        <f t="shared" si="324"/>
        <v xml:space="preserve"> </v>
      </c>
      <c r="Q107" s="10" t="str">
        <f t="shared" si="324"/>
        <v xml:space="preserve"> </v>
      </c>
      <c r="R107" s="14"/>
      <c r="S107" s="14"/>
      <c r="T107" s="10" t="str">
        <f t="shared" si="288"/>
        <v xml:space="preserve"> </v>
      </c>
      <c r="U107" s="10" t="str">
        <f t="shared" si="288"/>
        <v xml:space="preserve"> </v>
      </c>
      <c r="V107" s="10" t="str">
        <f t="shared" si="288"/>
        <v xml:space="preserve"> </v>
      </c>
      <c r="W107" s="10" t="str">
        <f t="shared" si="288"/>
        <v xml:space="preserve"> </v>
      </c>
      <c r="X107" s="10" t="str">
        <f t="shared" si="288"/>
        <v xml:space="preserve"> </v>
      </c>
      <c r="Y107" s="14"/>
      <c r="Z107" s="14"/>
      <c r="AA107" s="10" t="str">
        <f t="shared" si="289"/>
        <v xml:space="preserve"> </v>
      </c>
      <c r="AB107" s="10" t="str">
        <f t="shared" si="289"/>
        <v xml:space="preserve"> </v>
      </c>
      <c r="AC107" s="10" t="str">
        <f t="shared" si="289"/>
        <v xml:space="preserve"> </v>
      </c>
      <c r="AD107" s="10" t="str">
        <f t="shared" si="289"/>
        <v xml:space="preserve"> </v>
      </c>
      <c r="AE107" s="10" t="str">
        <f t="shared" si="289"/>
        <v xml:space="preserve"> </v>
      </c>
      <c r="AF107" s="14"/>
      <c r="AG107" s="14"/>
      <c r="AH107" s="10" t="str">
        <f t="shared" si="290"/>
        <v xml:space="preserve"> </v>
      </c>
      <c r="AI107" s="10" t="str">
        <f t="shared" si="290"/>
        <v xml:space="preserve"> </v>
      </c>
      <c r="AJ107" s="10" t="str">
        <f t="shared" si="290"/>
        <v xml:space="preserve"> </v>
      </c>
      <c r="AK107" s="10" t="str">
        <f t="shared" si="290"/>
        <v xml:space="preserve"> </v>
      </c>
      <c r="AL107" s="10" t="str">
        <f t="shared" si="290"/>
        <v xml:space="preserve"> </v>
      </c>
      <c r="AM107" s="14"/>
      <c r="AN107" s="14"/>
      <c r="AO107" s="10" t="str">
        <f t="shared" si="291"/>
        <v xml:space="preserve"> </v>
      </c>
      <c r="AP107" s="10" t="str">
        <f t="shared" si="291"/>
        <v xml:space="preserve"> </v>
      </c>
      <c r="AQ107" s="10" t="str">
        <f t="shared" si="291"/>
        <v xml:space="preserve"> </v>
      </c>
      <c r="AR107" s="10" t="str">
        <f t="shared" si="291"/>
        <v xml:space="preserve"> </v>
      </c>
      <c r="AS107" s="10" t="str">
        <f t="shared" si="291"/>
        <v xml:space="preserve"> </v>
      </c>
      <c r="AT107" s="14"/>
      <c r="AU107" s="14"/>
      <c r="AV107" s="10" t="str">
        <f t="shared" si="292"/>
        <v xml:space="preserve"> </v>
      </c>
      <c r="AW107" s="10" t="str">
        <f t="shared" si="292"/>
        <v xml:space="preserve"> </v>
      </c>
      <c r="AX107" s="10" t="str">
        <f t="shared" si="292"/>
        <v xml:space="preserve"> </v>
      </c>
      <c r="AY107" s="10" t="str">
        <f t="shared" si="292"/>
        <v xml:space="preserve"> </v>
      </c>
      <c r="AZ107" s="10" t="str">
        <f t="shared" si="292"/>
        <v xml:space="preserve"> </v>
      </c>
      <c r="BA107" s="14"/>
      <c r="BB107" s="14"/>
      <c r="BC107" s="10" t="str">
        <f t="shared" si="293"/>
        <v xml:space="preserve"> </v>
      </c>
      <c r="BD107" s="10" t="str">
        <f t="shared" si="293"/>
        <v xml:space="preserve"> </v>
      </c>
      <c r="BE107" s="10" t="str">
        <f t="shared" si="293"/>
        <v xml:space="preserve"> </v>
      </c>
      <c r="BF107" s="10" t="str">
        <f t="shared" si="293"/>
        <v xml:space="preserve"> </v>
      </c>
      <c r="BG107" s="10" t="str">
        <f t="shared" si="293"/>
        <v xml:space="preserve"> </v>
      </c>
      <c r="BH107" s="14"/>
      <c r="BI107" s="14"/>
      <c r="BJ107" s="10" t="str">
        <f t="shared" si="294"/>
        <v xml:space="preserve"> </v>
      </c>
      <c r="BK107" s="10" t="str">
        <f t="shared" si="294"/>
        <v xml:space="preserve"> </v>
      </c>
      <c r="BL107" s="10" t="str">
        <f t="shared" si="294"/>
        <v xml:space="preserve"> </v>
      </c>
      <c r="BM107" s="10" t="str">
        <f t="shared" si="294"/>
        <v xml:space="preserve"> </v>
      </c>
      <c r="BN107" s="10" t="str">
        <f t="shared" si="294"/>
        <v xml:space="preserve"> </v>
      </c>
      <c r="BO107" s="14"/>
      <c r="BP107" s="14"/>
      <c r="BQ107" s="10" t="str">
        <f t="shared" si="295"/>
        <v xml:space="preserve"> </v>
      </c>
      <c r="BR107" s="10" t="str">
        <f t="shared" si="295"/>
        <v xml:space="preserve"> </v>
      </c>
      <c r="BS107" s="10" t="str">
        <f t="shared" si="295"/>
        <v xml:space="preserve"> </v>
      </c>
      <c r="BT107" s="10" t="str">
        <f t="shared" si="295"/>
        <v xml:space="preserve"> </v>
      </c>
      <c r="BU107" s="10" t="str">
        <f t="shared" si="295"/>
        <v xml:space="preserve"> </v>
      </c>
      <c r="BV107" s="14"/>
      <c r="BW107" s="14"/>
      <c r="BX107" s="10" t="str">
        <f t="shared" si="296"/>
        <v xml:space="preserve"> </v>
      </c>
      <c r="BY107" s="10" t="str">
        <f t="shared" si="296"/>
        <v xml:space="preserve"> </v>
      </c>
      <c r="BZ107" s="10" t="str">
        <f t="shared" si="296"/>
        <v xml:space="preserve"> </v>
      </c>
      <c r="CA107" s="10" t="str">
        <f t="shared" si="296"/>
        <v xml:space="preserve"> </v>
      </c>
      <c r="CB107" s="10" t="str">
        <f t="shared" si="296"/>
        <v xml:space="preserve"> </v>
      </c>
      <c r="CC107" s="14"/>
      <c r="CD107" s="14"/>
      <c r="CE107" s="10" t="str">
        <f t="shared" si="297"/>
        <v xml:space="preserve"> </v>
      </c>
      <c r="CF107" s="10" t="str">
        <f t="shared" si="297"/>
        <v xml:space="preserve"> </v>
      </c>
      <c r="CG107" s="10" t="str">
        <f t="shared" si="297"/>
        <v xml:space="preserve"> </v>
      </c>
      <c r="CH107" s="10" t="str">
        <f t="shared" si="297"/>
        <v xml:space="preserve"> </v>
      </c>
      <c r="CI107" s="10" t="str">
        <f t="shared" si="297"/>
        <v xml:space="preserve"> </v>
      </c>
      <c r="CJ107" s="14"/>
      <c r="CK107" s="14"/>
      <c r="CL107" s="10" t="str">
        <f t="shared" si="298"/>
        <v xml:space="preserve"> </v>
      </c>
      <c r="CM107" s="10" t="str">
        <f t="shared" si="298"/>
        <v xml:space="preserve"> </v>
      </c>
      <c r="CN107" s="10" t="str">
        <f t="shared" si="298"/>
        <v xml:space="preserve"> </v>
      </c>
      <c r="CO107" s="10" t="str">
        <f t="shared" si="298"/>
        <v xml:space="preserve"> </v>
      </c>
      <c r="CP107" s="10" t="str">
        <f t="shared" si="298"/>
        <v xml:space="preserve"> </v>
      </c>
      <c r="CQ107" s="14"/>
      <c r="CR107" s="14"/>
      <c r="CS107" s="10" t="str">
        <f t="shared" si="299"/>
        <v xml:space="preserve"> </v>
      </c>
      <c r="CT107" s="10" t="str">
        <f t="shared" si="299"/>
        <v xml:space="preserve"> </v>
      </c>
      <c r="CU107" s="10" t="str">
        <f t="shared" si="299"/>
        <v xml:space="preserve"> </v>
      </c>
      <c r="CV107" s="10" t="str">
        <f t="shared" si="299"/>
        <v xml:space="preserve"> </v>
      </c>
      <c r="CW107" s="10" t="str">
        <f t="shared" si="299"/>
        <v xml:space="preserve"> </v>
      </c>
      <c r="CZ107" s="10" t="str">
        <f t="shared" si="300"/>
        <v xml:space="preserve"> </v>
      </c>
      <c r="DA107" s="10" t="str">
        <f t="shared" si="300"/>
        <v xml:space="preserve"> </v>
      </c>
      <c r="DB107" s="10" t="str">
        <f t="shared" si="300"/>
        <v xml:space="preserve"> </v>
      </c>
      <c r="DC107" s="10" t="str">
        <f t="shared" si="300"/>
        <v xml:space="preserve"> </v>
      </c>
      <c r="DD107" s="10" t="str">
        <f t="shared" si="300"/>
        <v xml:space="preserve"> </v>
      </c>
      <c r="DG107" s="10" t="str">
        <f t="shared" si="301"/>
        <v xml:space="preserve"> </v>
      </c>
      <c r="DH107" s="10" t="str">
        <f t="shared" si="301"/>
        <v xml:space="preserve"> </v>
      </c>
      <c r="DI107" s="10" t="str">
        <f t="shared" si="301"/>
        <v xml:space="preserve"> </v>
      </c>
      <c r="DJ107" s="10" t="str">
        <f t="shared" si="301"/>
        <v xml:space="preserve"> </v>
      </c>
      <c r="DK107" s="10" t="str">
        <f t="shared" si="301"/>
        <v xml:space="preserve"> </v>
      </c>
      <c r="DN107" s="10" t="str">
        <f t="shared" si="302"/>
        <v xml:space="preserve"> </v>
      </c>
      <c r="DO107" s="10" t="str">
        <f t="shared" si="302"/>
        <v xml:space="preserve"> </v>
      </c>
      <c r="DP107" s="10" t="str">
        <f t="shared" si="302"/>
        <v xml:space="preserve"> </v>
      </c>
      <c r="DQ107" s="10" t="str">
        <f t="shared" si="302"/>
        <v xml:space="preserve"> </v>
      </c>
      <c r="DR107" s="10" t="str">
        <f t="shared" si="302"/>
        <v xml:space="preserve"> </v>
      </c>
      <c r="DU107" s="10" t="str">
        <f t="shared" si="303"/>
        <v xml:space="preserve"> </v>
      </c>
      <c r="DV107" s="10" t="str">
        <f t="shared" si="303"/>
        <v xml:space="preserve"> </v>
      </c>
      <c r="DW107" s="10" t="str">
        <f t="shared" si="303"/>
        <v xml:space="preserve"> </v>
      </c>
      <c r="DX107" s="10" t="str">
        <f t="shared" si="303"/>
        <v xml:space="preserve"> </v>
      </c>
      <c r="DY107" s="10" t="str">
        <f t="shared" si="303"/>
        <v xml:space="preserve"> </v>
      </c>
      <c r="EB107" s="10" t="str">
        <f t="shared" si="304"/>
        <v xml:space="preserve"> </v>
      </c>
      <c r="EC107" s="10" t="str">
        <f t="shared" si="304"/>
        <v xml:space="preserve"> </v>
      </c>
      <c r="ED107" s="10" t="str">
        <f t="shared" si="304"/>
        <v xml:space="preserve"> </v>
      </c>
      <c r="EE107" s="10" t="str">
        <f t="shared" si="304"/>
        <v xml:space="preserve"> </v>
      </c>
      <c r="EF107" s="10" t="str">
        <f t="shared" si="304"/>
        <v xml:space="preserve"> </v>
      </c>
      <c r="EI107" s="10" t="str">
        <f t="shared" si="305"/>
        <v xml:space="preserve"> </v>
      </c>
      <c r="EJ107" s="10" t="str">
        <f t="shared" si="305"/>
        <v xml:space="preserve"> </v>
      </c>
      <c r="EK107" s="10" t="str">
        <f t="shared" si="305"/>
        <v xml:space="preserve"> </v>
      </c>
      <c r="EL107" s="10" t="str">
        <f t="shared" si="305"/>
        <v xml:space="preserve"> </v>
      </c>
      <c r="EM107" s="10" t="str">
        <f t="shared" si="305"/>
        <v xml:space="preserve"> </v>
      </c>
      <c r="EP107" s="10" t="str">
        <f t="shared" si="306"/>
        <v xml:space="preserve"> </v>
      </c>
      <c r="EQ107" s="10" t="str">
        <f t="shared" si="306"/>
        <v xml:space="preserve"> </v>
      </c>
      <c r="ER107" s="10" t="str">
        <f t="shared" si="306"/>
        <v xml:space="preserve"> </v>
      </c>
      <c r="ES107" s="10" t="str">
        <f t="shared" si="306"/>
        <v xml:space="preserve"> </v>
      </c>
      <c r="ET107" s="10" t="str">
        <f t="shared" si="306"/>
        <v xml:space="preserve"> </v>
      </c>
      <c r="EW107" s="10" t="str">
        <f t="shared" si="307"/>
        <v xml:space="preserve"> </v>
      </c>
      <c r="EX107" s="10" t="str">
        <f t="shared" si="307"/>
        <v xml:space="preserve"> </v>
      </c>
      <c r="EY107" s="10" t="str">
        <f t="shared" si="307"/>
        <v xml:space="preserve"> </v>
      </c>
      <c r="EZ107" s="10" t="str">
        <f t="shared" si="307"/>
        <v xml:space="preserve"> </v>
      </c>
      <c r="FA107" s="10" t="str">
        <f t="shared" si="307"/>
        <v xml:space="preserve"> </v>
      </c>
      <c r="FD107" s="10" t="str">
        <f t="shared" si="308"/>
        <v xml:space="preserve"> </v>
      </c>
      <c r="FE107" s="10" t="str">
        <f t="shared" si="308"/>
        <v xml:space="preserve"> </v>
      </c>
      <c r="FF107" s="10" t="str">
        <f t="shared" si="308"/>
        <v xml:space="preserve"> </v>
      </c>
      <c r="FG107" s="10" t="str">
        <f t="shared" si="308"/>
        <v xml:space="preserve"> </v>
      </c>
      <c r="FH107" s="10" t="str">
        <f t="shared" si="308"/>
        <v xml:space="preserve"> </v>
      </c>
      <c r="FK107" s="10" t="str">
        <f t="shared" si="309"/>
        <v xml:space="preserve"> </v>
      </c>
      <c r="FL107" s="10" t="str">
        <f t="shared" si="309"/>
        <v xml:space="preserve"> </v>
      </c>
      <c r="FM107" s="10" t="str">
        <f t="shared" si="309"/>
        <v xml:space="preserve"> </v>
      </c>
      <c r="FN107" s="10" t="str">
        <f t="shared" si="309"/>
        <v xml:space="preserve"> </v>
      </c>
      <c r="FO107" s="10" t="str">
        <f t="shared" si="309"/>
        <v xml:space="preserve"> </v>
      </c>
      <c r="FR107" s="10" t="str">
        <f t="shared" si="310"/>
        <v xml:space="preserve"> </v>
      </c>
      <c r="FS107" s="10" t="str">
        <f t="shared" si="310"/>
        <v xml:space="preserve"> </v>
      </c>
      <c r="FT107" s="10" t="str">
        <f t="shared" si="310"/>
        <v xml:space="preserve"> </v>
      </c>
      <c r="FU107" s="10" t="str">
        <f t="shared" si="310"/>
        <v xml:space="preserve"> </v>
      </c>
      <c r="FV107" s="10" t="str">
        <f t="shared" si="310"/>
        <v xml:space="preserve"> </v>
      </c>
      <c r="FY107" s="10" t="str">
        <f t="shared" si="311"/>
        <v xml:space="preserve"> </v>
      </c>
      <c r="FZ107" s="10" t="str">
        <f t="shared" si="311"/>
        <v xml:space="preserve"> </v>
      </c>
      <c r="GA107" s="10" t="str">
        <f t="shared" si="311"/>
        <v xml:space="preserve"> </v>
      </c>
      <c r="GB107" s="10" t="str">
        <f t="shared" si="311"/>
        <v xml:space="preserve"> </v>
      </c>
      <c r="GC107" s="10" t="str">
        <f t="shared" si="311"/>
        <v xml:space="preserve"> </v>
      </c>
      <c r="GF107" s="10" t="str">
        <f t="shared" si="312"/>
        <v xml:space="preserve"> </v>
      </c>
      <c r="GG107" s="10" t="str">
        <f t="shared" si="312"/>
        <v xml:space="preserve"> </v>
      </c>
      <c r="GH107" s="10" t="str">
        <f t="shared" si="312"/>
        <v xml:space="preserve"> </v>
      </c>
      <c r="GI107" s="10" t="str">
        <f t="shared" si="312"/>
        <v xml:space="preserve"> </v>
      </c>
      <c r="GJ107" s="10" t="str">
        <f t="shared" si="312"/>
        <v xml:space="preserve"> </v>
      </c>
      <c r="GM107" s="10" t="str">
        <f t="shared" si="313"/>
        <v xml:space="preserve"> </v>
      </c>
      <c r="GN107" s="10" t="str">
        <f t="shared" si="313"/>
        <v xml:space="preserve"> </v>
      </c>
      <c r="GO107" s="10" t="str">
        <f t="shared" si="313"/>
        <v xml:space="preserve"> </v>
      </c>
      <c r="GP107" s="10" t="str">
        <f t="shared" si="313"/>
        <v xml:space="preserve"> </v>
      </c>
      <c r="GQ107" s="10" t="str">
        <f t="shared" si="313"/>
        <v xml:space="preserve"> </v>
      </c>
      <c r="GT107" s="10" t="str">
        <f t="shared" si="314"/>
        <v xml:space="preserve"> </v>
      </c>
      <c r="GU107" s="10" t="str">
        <f t="shared" si="314"/>
        <v xml:space="preserve"> </v>
      </c>
      <c r="GV107" s="10" t="str">
        <f t="shared" si="314"/>
        <v xml:space="preserve"> </v>
      </c>
      <c r="GW107" s="10" t="str">
        <f t="shared" si="314"/>
        <v xml:space="preserve"> </v>
      </c>
      <c r="GX107" s="10" t="str">
        <f t="shared" si="314"/>
        <v xml:space="preserve"> </v>
      </c>
      <c r="HA107" s="10" t="str">
        <f t="shared" si="315"/>
        <v xml:space="preserve"> </v>
      </c>
      <c r="HB107" s="10" t="str">
        <f t="shared" si="315"/>
        <v xml:space="preserve"> </v>
      </c>
      <c r="HC107" s="10" t="str">
        <f t="shared" si="315"/>
        <v xml:space="preserve"> </v>
      </c>
      <c r="HD107" s="10" t="str">
        <f t="shared" si="315"/>
        <v xml:space="preserve"> </v>
      </c>
      <c r="HE107" s="10" t="str">
        <f t="shared" si="315"/>
        <v xml:space="preserve"> </v>
      </c>
      <c r="HH107" s="10" t="str">
        <f t="shared" si="316"/>
        <v xml:space="preserve"> </v>
      </c>
      <c r="HI107" s="10" t="str">
        <f t="shared" si="316"/>
        <v xml:space="preserve"> </v>
      </c>
      <c r="HJ107" s="10" t="str">
        <f t="shared" si="316"/>
        <v xml:space="preserve"> </v>
      </c>
      <c r="HK107" s="10" t="str">
        <f t="shared" si="316"/>
        <v xml:space="preserve"> </v>
      </c>
      <c r="HL107" s="10" t="str">
        <f t="shared" si="316"/>
        <v xml:space="preserve"> </v>
      </c>
      <c r="HO107" s="10" t="str">
        <f t="shared" si="317"/>
        <v xml:space="preserve"> </v>
      </c>
      <c r="HP107" s="10" t="str">
        <f t="shared" si="317"/>
        <v xml:space="preserve"> </v>
      </c>
      <c r="HQ107" s="10" t="str">
        <f t="shared" si="317"/>
        <v xml:space="preserve"> </v>
      </c>
      <c r="HR107" s="10" t="str">
        <f t="shared" si="317"/>
        <v xml:space="preserve"> </v>
      </c>
      <c r="HS107" s="10" t="str">
        <f t="shared" si="317"/>
        <v xml:space="preserve"> </v>
      </c>
      <c r="HV107" s="10" t="str">
        <f t="shared" si="318"/>
        <v xml:space="preserve"> </v>
      </c>
      <c r="HW107" s="10" t="str">
        <f t="shared" si="318"/>
        <v xml:space="preserve"> </v>
      </c>
      <c r="HX107" s="10" t="str">
        <f t="shared" si="318"/>
        <v xml:space="preserve"> </v>
      </c>
      <c r="HY107" s="10" t="str">
        <f t="shared" si="318"/>
        <v xml:space="preserve"> </v>
      </c>
      <c r="HZ107" s="10" t="str">
        <f t="shared" si="318"/>
        <v xml:space="preserve"> </v>
      </c>
      <c r="IC107" s="10" t="str">
        <f t="shared" si="319"/>
        <v xml:space="preserve"> </v>
      </c>
      <c r="ID107" s="10" t="str">
        <f t="shared" si="319"/>
        <v xml:space="preserve"> </v>
      </c>
      <c r="IE107" s="10" t="str">
        <f t="shared" si="319"/>
        <v xml:space="preserve"> </v>
      </c>
      <c r="IF107" s="10" t="str">
        <f t="shared" si="319"/>
        <v xml:space="preserve"> </v>
      </c>
      <c r="IG107" s="10" t="str">
        <f t="shared" si="319"/>
        <v xml:space="preserve"> </v>
      </c>
      <c r="IJ107" s="10" t="str">
        <f t="shared" si="320"/>
        <v xml:space="preserve"> </v>
      </c>
      <c r="IK107" s="10" t="str">
        <f t="shared" si="320"/>
        <v xml:space="preserve"> </v>
      </c>
      <c r="IL107" s="10" t="str">
        <f t="shared" si="320"/>
        <v xml:space="preserve"> </v>
      </c>
      <c r="IM107" s="10" t="str">
        <f t="shared" si="320"/>
        <v xml:space="preserve"> </v>
      </c>
      <c r="IN107" s="10" t="str">
        <f t="shared" si="320"/>
        <v xml:space="preserve"> </v>
      </c>
      <c r="IQ107" s="10" t="str">
        <f t="shared" si="321"/>
        <v xml:space="preserve"> </v>
      </c>
      <c r="IR107" s="10" t="str">
        <f t="shared" si="321"/>
        <v xml:space="preserve"> </v>
      </c>
      <c r="IS107" s="10" t="str">
        <f t="shared" si="321"/>
        <v xml:space="preserve"> </v>
      </c>
      <c r="IT107" s="10" t="str">
        <f t="shared" si="321"/>
        <v xml:space="preserve"> </v>
      </c>
      <c r="IU107" s="10" t="str">
        <f t="shared" si="321"/>
        <v xml:space="preserve"> </v>
      </c>
      <c r="IX107" s="10" t="str">
        <f t="shared" si="322"/>
        <v xml:space="preserve"> </v>
      </c>
      <c r="IY107" s="10" t="str">
        <f t="shared" si="322"/>
        <v xml:space="preserve"> </v>
      </c>
      <c r="IZ107" s="10" t="str">
        <f t="shared" si="322"/>
        <v xml:space="preserve"> </v>
      </c>
      <c r="JA107" s="10" t="str">
        <f t="shared" si="322"/>
        <v xml:space="preserve"> </v>
      </c>
      <c r="JB107" s="10" t="str">
        <f t="shared" si="322"/>
        <v xml:space="preserve"> </v>
      </c>
      <c r="JE107" s="10" t="str">
        <f t="shared" si="323"/>
        <v xml:space="preserve"> </v>
      </c>
      <c r="JF107" s="10" t="str">
        <f t="shared" si="323"/>
        <v xml:space="preserve"> </v>
      </c>
      <c r="JG107" s="10" t="str">
        <f t="shared" si="323"/>
        <v xml:space="preserve"> </v>
      </c>
      <c r="JH107" s="10" t="str">
        <f t="shared" si="323"/>
        <v xml:space="preserve"> </v>
      </c>
      <c r="JI107" s="10" t="str">
        <f t="shared" si="323"/>
        <v xml:space="preserve"> </v>
      </c>
    </row>
    <row r="108" spans="13:269">
      <c r="M108" s="10" t="str">
        <f t="shared" si="324"/>
        <v xml:space="preserve"> </v>
      </c>
      <c r="N108" s="10" t="str">
        <f t="shared" si="324"/>
        <v xml:space="preserve"> </v>
      </c>
      <c r="O108" s="10" t="str">
        <f t="shared" si="324"/>
        <v xml:space="preserve"> </v>
      </c>
      <c r="P108" s="10" t="str">
        <f t="shared" si="324"/>
        <v xml:space="preserve"> </v>
      </c>
      <c r="Q108" s="10" t="str">
        <f t="shared" si="324"/>
        <v xml:space="preserve"> </v>
      </c>
      <c r="R108" s="14"/>
      <c r="S108" s="14"/>
      <c r="T108" s="10" t="str">
        <f t="shared" si="288"/>
        <v xml:space="preserve"> </v>
      </c>
      <c r="U108" s="10" t="str">
        <f t="shared" si="288"/>
        <v xml:space="preserve"> </v>
      </c>
      <c r="V108" s="10" t="str">
        <f t="shared" si="288"/>
        <v xml:space="preserve"> </v>
      </c>
      <c r="W108" s="10" t="str">
        <f t="shared" si="288"/>
        <v xml:space="preserve"> </v>
      </c>
      <c r="X108" s="10" t="str">
        <f t="shared" si="288"/>
        <v xml:space="preserve"> </v>
      </c>
      <c r="Y108" s="14"/>
      <c r="Z108" s="14"/>
      <c r="AA108" s="10" t="str">
        <f t="shared" si="289"/>
        <v xml:space="preserve"> </v>
      </c>
      <c r="AB108" s="10" t="str">
        <f t="shared" si="289"/>
        <v xml:space="preserve"> </v>
      </c>
      <c r="AC108" s="10" t="str">
        <f t="shared" si="289"/>
        <v xml:space="preserve"> </v>
      </c>
      <c r="AD108" s="10" t="str">
        <f t="shared" si="289"/>
        <v xml:space="preserve"> </v>
      </c>
      <c r="AE108" s="10" t="str">
        <f t="shared" si="289"/>
        <v xml:space="preserve"> </v>
      </c>
      <c r="AF108" s="14"/>
      <c r="AG108" s="14"/>
      <c r="AH108" s="10" t="str">
        <f t="shared" si="290"/>
        <v xml:space="preserve"> </v>
      </c>
      <c r="AI108" s="10" t="str">
        <f t="shared" si="290"/>
        <v xml:space="preserve"> </v>
      </c>
      <c r="AJ108" s="10" t="str">
        <f t="shared" si="290"/>
        <v xml:space="preserve"> </v>
      </c>
      <c r="AK108" s="10" t="str">
        <f t="shared" si="290"/>
        <v xml:space="preserve"> </v>
      </c>
      <c r="AL108" s="10" t="str">
        <f t="shared" si="290"/>
        <v xml:space="preserve"> </v>
      </c>
      <c r="AM108" s="14"/>
      <c r="AN108" s="14"/>
      <c r="AO108" s="10" t="str">
        <f t="shared" si="291"/>
        <v xml:space="preserve"> </v>
      </c>
      <c r="AP108" s="10" t="str">
        <f t="shared" si="291"/>
        <v xml:space="preserve"> </v>
      </c>
      <c r="AQ108" s="10" t="str">
        <f t="shared" si="291"/>
        <v xml:space="preserve"> </v>
      </c>
      <c r="AR108" s="10" t="str">
        <f t="shared" si="291"/>
        <v xml:space="preserve"> </v>
      </c>
      <c r="AS108" s="10" t="str">
        <f t="shared" si="291"/>
        <v xml:space="preserve"> </v>
      </c>
      <c r="AT108" s="14"/>
      <c r="AU108" s="14"/>
      <c r="AV108" s="10" t="str">
        <f t="shared" si="292"/>
        <v xml:space="preserve"> </v>
      </c>
      <c r="AW108" s="10" t="str">
        <f t="shared" si="292"/>
        <v xml:space="preserve"> </v>
      </c>
      <c r="AX108" s="10" t="str">
        <f t="shared" si="292"/>
        <v xml:space="preserve"> </v>
      </c>
      <c r="AY108" s="10" t="str">
        <f t="shared" si="292"/>
        <v xml:space="preserve"> </v>
      </c>
      <c r="AZ108" s="10" t="str">
        <f t="shared" si="292"/>
        <v xml:space="preserve"> </v>
      </c>
      <c r="BA108" s="14"/>
      <c r="BB108" s="14"/>
      <c r="BC108" s="10" t="str">
        <f t="shared" si="293"/>
        <v xml:space="preserve"> </v>
      </c>
      <c r="BD108" s="10" t="str">
        <f t="shared" si="293"/>
        <v xml:space="preserve"> </v>
      </c>
      <c r="BE108" s="10" t="str">
        <f t="shared" si="293"/>
        <v xml:space="preserve"> </v>
      </c>
      <c r="BF108" s="10" t="str">
        <f t="shared" si="293"/>
        <v xml:space="preserve"> </v>
      </c>
      <c r="BG108" s="10" t="str">
        <f t="shared" si="293"/>
        <v xml:space="preserve"> </v>
      </c>
      <c r="BH108" s="14"/>
      <c r="BI108" s="14"/>
      <c r="BJ108" s="10" t="str">
        <f t="shared" si="294"/>
        <v xml:space="preserve"> </v>
      </c>
      <c r="BK108" s="10" t="str">
        <f t="shared" si="294"/>
        <v xml:space="preserve"> </v>
      </c>
      <c r="BL108" s="10" t="str">
        <f t="shared" si="294"/>
        <v xml:space="preserve"> </v>
      </c>
      <c r="BM108" s="10" t="str">
        <f t="shared" si="294"/>
        <v xml:space="preserve"> </v>
      </c>
      <c r="BN108" s="10" t="str">
        <f t="shared" si="294"/>
        <v xml:space="preserve"> </v>
      </c>
      <c r="BO108" s="14"/>
      <c r="BP108" s="14"/>
      <c r="BQ108" s="10" t="str">
        <f t="shared" si="295"/>
        <v xml:space="preserve"> </v>
      </c>
      <c r="BR108" s="10" t="str">
        <f t="shared" si="295"/>
        <v xml:space="preserve"> </v>
      </c>
      <c r="BS108" s="10" t="str">
        <f t="shared" si="295"/>
        <v xml:space="preserve"> </v>
      </c>
      <c r="BT108" s="10" t="str">
        <f t="shared" si="295"/>
        <v xml:space="preserve"> </v>
      </c>
      <c r="BU108" s="10" t="str">
        <f t="shared" si="295"/>
        <v xml:space="preserve"> </v>
      </c>
      <c r="BV108" s="14"/>
      <c r="BW108" s="14"/>
      <c r="BX108" s="10" t="str">
        <f t="shared" si="296"/>
        <v xml:space="preserve"> </v>
      </c>
      <c r="BY108" s="10" t="str">
        <f t="shared" si="296"/>
        <v xml:space="preserve"> </v>
      </c>
      <c r="BZ108" s="10" t="str">
        <f t="shared" si="296"/>
        <v xml:space="preserve"> </v>
      </c>
      <c r="CA108" s="10" t="str">
        <f t="shared" si="296"/>
        <v xml:space="preserve"> </v>
      </c>
      <c r="CB108" s="10" t="str">
        <f t="shared" si="296"/>
        <v xml:space="preserve"> </v>
      </c>
      <c r="CC108" s="14"/>
      <c r="CD108" s="14"/>
      <c r="CE108" s="10" t="str">
        <f t="shared" si="297"/>
        <v xml:space="preserve"> </v>
      </c>
      <c r="CF108" s="10" t="str">
        <f t="shared" si="297"/>
        <v xml:space="preserve"> </v>
      </c>
      <c r="CG108" s="10" t="str">
        <f t="shared" si="297"/>
        <v xml:space="preserve"> </v>
      </c>
      <c r="CH108" s="10" t="str">
        <f t="shared" si="297"/>
        <v xml:space="preserve"> </v>
      </c>
      <c r="CI108" s="10" t="str">
        <f t="shared" si="297"/>
        <v xml:space="preserve"> </v>
      </c>
      <c r="CJ108" s="14"/>
      <c r="CK108" s="14"/>
      <c r="CL108" s="10" t="str">
        <f t="shared" si="298"/>
        <v xml:space="preserve"> </v>
      </c>
      <c r="CM108" s="10" t="str">
        <f t="shared" si="298"/>
        <v xml:space="preserve"> </v>
      </c>
      <c r="CN108" s="10" t="str">
        <f t="shared" si="298"/>
        <v xml:space="preserve"> </v>
      </c>
      <c r="CO108" s="10" t="str">
        <f t="shared" si="298"/>
        <v xml:space="preserve"> </v>
      </c>
      <c r="CP108" s="10" t="str">
        <f t="shared" si="298"/>
        <v xml:space="preserve"> </v>
      </c>
      <c r="CQ108" s="14"/>
      <c r="CR108" s="14"/>
      <c r="CS108" s="10" t="str">
        <f t="shared" si="299"/>
        <v xml:space="preserve"> </v>
      </c>
      <c r="CT108" s="10" t="str">
        <f t="shared" si="299"/>
        <v xml:space="preserve"> </v>
      </c>
      <c r="CU108" s="10" t="str">
        <f t="shared" si="299"/>
        <v xml:space="preserve"> </v>
      </c>
      <c r="CV108" s="10" t="str">
        <f t="shared" si="299"/>
        <v xml:space="preserve"> </v>
      </c>
      <c r="CW108" s="10" t="str">
        <f t="shared" si="299"/>
        <v xml:space="preserve"> </v>
      </c>
      <c r="CZ108" s="10" t="str">
        <f t="shared" si="300"/>
        <v xml:space="preserve"> </v>
      </c>
      <c r="DA108" s="10" t="str">
        <f t="shared" si="300"/>
        <v xml:space="preserve"> </v>
      </c>
      <c r="DB108" s="10" t="str">
        <f t="shared" si="300"/>
        <v xml:space="preserve"> </v>
      </c>
      <c r="DC108" s="10" t="str">
        <f t="shared" si="300"/>
        <v xml:space="preserve"> </v>
      </c>
      <c r="DD108" s="10" t="str">
        <f t="shared" si="300"/>
        <v xml:space="preserve"> </v>
      </c>
      <c r="DG108" s="10" t="str">
        <f t="shared" si="301"/>
        <v xml:space="preserve"> </v>
      </c>
      <c r="DH108" s="10" t="str">
        <f t="shared" si="301"/>
        <v xml:space="preserve"> </v>
      </c>
      <c r="DI108" s="10" t="str">
        <f t="shared" si="301"/>
        <v xml:space="preserve"> </v>
      </c>
      <c r="DJ108" s="10" t="str">
        <f t="shared" si="301"/>
        <v xml:space="preserve"> </v>
      </c>
      <c r="DK108" s="10" t="str">
        <f t="shared" si="301"/>
        <v xml:space="preserve"> </v>
      </c>
      <c r="DN108" s="10" t="str">
        <f t="shared" si="302"/>
        <v xml:space="preserve"> </v>
      </c>
      <c r="DO108" s="10" t="str">
        <f t="shared" si="302"/>
        <v xml:space="preserve"> </v>
      </c>
      <c r="DP108" s="10" t="str">
        <f t="shared" si="302"/>
        <v xml:space="preserve"> </v>
      </c>
      <c r="DQ108" s="10" t="str">
        <f t="shared" si="302"/>
        <v xml:space="preserve"> </v>
      </c>
      <c r="DR108" s="10" t="str">
        <f t="shared" si="302"/>
        <v xml:space="preserve"> </v>
      </c>
      <c r="DU108" s="10" t="str">
        <f t="shared" si="303"/>
        <v xml:space="preserve"> </v>
      </c>
      <c r="DV108" s="10" t="str">
        <f t="shared" si="303"/>
        <v xml:space="preserve"> </v>
      </c>
      <c r="DW108" s="10" t="str">
        <f t="shared" si="303"/>
        <v xml:space="preserve"> </v>
      </c>
      <c r="DX108" s="10" t="str">
        <f t="shared" si="303"/>
        <v xml:space="preserve"> </v>
      </c>
      <c r="DY108" s="10" t="str">
        <f t="shared" si="303"/>
        <v xml:space="preserve"> </v>
      </c>
      <c r="EB108" s="10" t="str">
        <f t="shared" si="304"/>
        <v xml:space="preserve"> </v>
      </c>
      <c r="EC108" s="10" t="str">
        <f t="shared" si="304"/>
        <v xml:space="preserve"> </v>
      </c>
      <c r="ED108" s="10" t="str">
        <f t="shared" si="304"/>
        <v xml:space="preserve"> </v>
      </c>
      <c r="EE108" s="10" t="str">
        <f t="shared" si="304"/>
        <v xml:space="preserve"> </v>
      </c>
      <c r="EF108" s="10" t="str">
        <f t="shared" si="304"/>
        <v xml:space="preserve"> </v>
      </c>
      <c r="EI108" s="10" t="str">
        <f t="shared" si="305"/>
        <v xml:space="preserve"> </v>
      </c>
      <c r="EJ108" s="10" t="str">
        <f t="shared" si="305"/>
        <v xml:space="preserve"> </v>
      </c>
      <c r="EK108" s="10" t="str">
        <f t="shared" si="305"/>
        <v xml:space="preserve"> </v>
      </c>
      <c r="EL108" s="10" t="str">
        <f t="shared" si="305"/>
        <v xml:space="preserve"> </v>
      </c>
      <c r="EM108" s="10" t="str">
        <f t="shared" si="305"/>
        <v xml:space="preserve"> </v>
      </c>
      <c r="EP108" s="10" t="str">
        <f t="shared" si="306"/>
        <v xml:space="preserve"> </v>
      </c>
      <c r="EQ108" s="10" t="str">
        <f t="shared" si="306"/>
        <v xml:space="preserve"> </v>
      </c>
      <c r="ER108" s="10" t="str">
        <f t="shared" si="306"/>
        <v xml:space="preserve"> </v>
      </c>
      <c r="ES108" s="10" t="str">
        <f t="shared" si="306"/>
        <v xml:space="preserve"> </v>
      </c>
      <c r="ET108" s="10" t="str">
        <f t="shared" si="306"/>
        <v xml:space="preserve"> </v>
      </c>
      <c r="EW108" s="10" t="str">
        <f t="shared" si="307"/>
        <v xml:space="preserve"> </v>
      </c>
      <c r="EX108" s="10" t="str">
        <f t="shared" si="307"/>
        <v xml:space="preserve"> </v>
      </c>
      <c r="EY108" s="10" t="str">
        <f t="shared" si="307"/>
        <v xml:space="preserve"> </v>
      </c>
      <c r="EZ108" s="10" t="str">
        <f t="shared" si="307"/>
        <v xml:space="preserve"> </v>
      </c>
      <c r="FA108" s="10" t="str">
        <f t="shared" si="307"/>
        <v xml:space="preserve"> </v>
      </c>
      <c r="FD108" s="10" t="str">
        <f t="shared" si="308"/>
        <v xml:space="preserve"> </v>
      </c>
      <c r="FE108" s="10" t="str">
        <f t="shared" si="308"/>
        <v xml:space="preserve"> </v>
      </c>
      <c r="FF108" s="10" t="str">
        <f t="shared" si="308"/>
        <v xml:space="preserve"> </v>
      </c>
      <c r="FG108" s="10" t="str">
        <f t="shared" si="308"/>
        <v xml:space="preserve"> </v>
      </c>
      <c r="FH108" s="10" t="str">
        <f t="shared" si="308"/>
        <v xml:space="preserve"> </v>
      </c>
      <c r="FK108" s="10" t="str">
        <f t="shared" si="309"/>
        <v xml:space="preserve"> </v>
      </c>
      <c r="FL108" s="10" t="str">
        <f t="shared" si="309"/>
        <v xml:space="preserve"> </v>
      </c>
      <c r="FM108" s="10" t="str">
        <f t="shared" si="309"/>
        <v xml:space="preserve"> </v>
      </c>
      <c r="FN108" s="10" t="str">
        <f t="shared" si="309"/>
        <v xml:space="preserve"> </v>
      </c>
      <c r="FO108" s="10" t="str">
        <f t="shared" si="309"/>
        <v xml:space="preserve"> </v>
      </c>
      <c r="FR108" s="10" t="str">
        <f t="shared" si="310"/>
        <v xml:space="preserve"> </v>
      </c>
      <c r="FS108" s="10" t="str">
        <f t="shared" si="310"/>
        <v xml:space="preserve"> </v>
      </c>
      <c r="FT108" s="10" t="str">
        <f t="shared" si="310"/>
        <v xml:space="preserve"> </v>
      </c>
      <c r="FU108" s="10" t="str">
        <f t="shared" si="310"/>
        <v xml:space="preserve"> </v>
      </c>
      <c r="FV108" s="10" t="str">
        <f t="shared" si="310"/>
        <v xml:space="preserve"> </v>
      </c>
      <c r="FY108" s="10" t="str">
        <f t="shared" si="311"/>
        <v xml:space="preserve"> </v>
      </c>
      <c r="FZ108" s="10" t="str">
        <f t="shared" si="311"/>
        <v xml:space="preserve"> </v>
      </c>
      <c r="GA108" s="10" t="str">
        <f t="shared" si="311"/>
        <v xml:space="preserve"> </v>
      </c>
      <c r="GB108" s="10" t="str">
        <f t="shared" si="311"/>
        <v xml:space="preserve"> </v>
      </c>
      <c r="GC108" s="10" t="str">
        <f t="shared" si="311"/>
        <v xml:space="preserve"> </v>
      </c>
      <c r="GF108" s="10" t="str">
        <f t="shared" si="312"/>
        <v xml:space="preserve"> </v>
      </c>
      <c r="GG108" s="10" t="str">
        <f t="shared" si="312"/>
        <v xml:space="preserve"> </v>
      </c>
      <c r="GH108" s="10" t="str">
        <f t="shared" si="312"/>
        <v xml:space="preserve"> </v>
      </c>
      <c r="GI108" s="10" t="str">
        <f t="shared" si="312"/>
        <v xml:space="preserve"> </v>
      </c>
      <c r="GJ108" s="10" t="str">
        <f t="shared" si="312"/>
        <v xml:space="preserve"> </v>
      </c>
      <c r="GM108" s="10" t="str">
        <f t="shared" si="313"/>
        <v xml:space="preserve"> </v>
      </c>
      <c r="GN108" s="10" t="str">
        <f t="shared" si="313"/>
        <v xml:space="preserve"> </v>
      </c>
      <c r="GO108" s="10" t="str">
        <f t="shared" si="313"/>
        <v xml:space="preserve"> </v>
      </c>
      <c r="GP108" s="10" t="str">
        <f t="shared" si="313"/>
        <v xml:space="preserve"> </v>
      </c>
      <c r="GQ108" s="10" t="str">
        <f t="shared" si="313"/>
        <v xml:space="preserve"> </v>
      </c>
      <c r="GT108" s="10" t="str">
        <f t="shared" si="314"/>
        <v xml:space="preserve"> </v>
      </c>
      <c r="GU108" s="10" t="str">
        <f t="shared" si="314"/>
        <v xml:space="preserve"> </v>
      </c>
      <c r="GV108" s="10" t="str">
        <f t="shared" si="314"/>
        <v xml:space="preserve"> </v>
      </c>
      <c r="GW108" s="10" t="str">
        <f t="shared" si="314"/>
        <v xml:space="preserve"> </v>
      </c>
      <c r="GX108" s="10" t="str">
        <f t="shared" si="314"/>
        <v xml:space="preserve"> </v>
      </c>
      <c r="HA108" s="10" t="str">
        <f t="shared" si="315"/>
        <v xml:space="preserve"> </v>
      </c>
      <c r="HB108" s="10" t="str">
        <f t="shared" si="315"/>
        <v xml:space="preserve"> </v>
      </c>
      <c r="HC108" s="10" t="str">
        <f t="shared" si="315"/>
        <v xml:space="preserve"> </v>
      </c>
      <c r="HD108" s="10" t="str">
        <f t="shared" si="315"/>
        <v xml:space="preserve"> </v>
      </c>
      <c r="HE108" s="10" t="str">
        <f t="shared" si="315"/>
        <v xml:space="preserve"> </v>
      </c>
      <c r="HH108" s="10" t="str">
        <f t="shared" si="316"/>
        <v xml:space="preserve"> </v>
      </c>
      <c r="HI108" s="10" t="str">
        <f t="shared" si="316"/>
        <v xml:space="preserve"> </v>
      </c>
      <c r="HJ108" s="10" t="str">
        <f t="shared" si="316"/>
        <v xml:space="preserve"> </v>
      </c>
      <c r="HK108" s="10" t="str">
        <f t="shared" si="316"/>
        <v xml:space="preserve"> </v>
      </c>
      <c r="HL108" s="10" t="str">
        <f t="shared" si="316"/>
        <v xml:space="preserve"> </v>
      </c>
      <c r="HO108" s="10" t="str">
        <f t="shared" si="317"/>
        <v xml:space="preserve"> </v>
      </c>
      <c r="HP108" s="10" t="str">
        <f t="shared" si="317"/>
        <v xml:space="preserve"> </v>
      </c>
      <c r="HQ108" s="10" t="str">
        <f t="shared" si="317"/>
        <v xml:space="preserve"> </v>
      </c>
      <c r="HR108" s="10" t="str">
        <f t="shared" si="317"/>
        <v xml:space="preserve"> </v>
      </c>
      <c r="HS108" s="10" t="str">
        <f t="shared" si="317"/>
        <v xml:space="preserve"> </v>
      </c>
      <c r="HV108" s="10" t="str">
        <f t="shared" si="318"/>
        <v xml:space="preserve"> </v>
      </c>
      <c r="HW108" s="10" t="str">
        <f t="shared" si="318"/>
        <v xml:space="preserve"> </v>
      </c>
      <c r="HX108" s="10" t="str">
        <f t="shared" si="318"/>
        <v xml:space="preserve"> </v>
      </c>
      <c r="HY108" s="10" t="str">
        <f t="shared" si="318"/>
        <v xml:space="preserve"> </v>
      </c>
      <c r="HZ108" s="10" t="str">
        <f t="shared" si="318"/>
        <v xml:space="preserve"> </v>
      </c>
      <c r="IC108" s="10" t="str">
        <f t="shared" si="319"/>
        <v xml:space="preserve"> </v>
      </c>
      <c r="ID108" s="10" t="str">
        <f t="shared" si="319"/>
        <v xml:space="preserve"> </v>
      </c>
      <c r="IE108" s="10" t="str">
        <f t="shared" si="319"/>
        <v xml:space="preserve"> </v>
      </c>
      <c r="IF108" s="10" t="str">
        <f t="shared" si="319"/>
        <v xml:space="preserve"> </v>
      </c>
      <c r="IG108" s="10" t="str">
        <f t="shared" si="319"/>
        <v xml:space="preserve"> </v>
      </c>
      <c r="IJ108" s="10" t="str">
        <f t="shared" si="320"/>
        <v xml:space="preserve"> </v>
      </c>
      <c r="IK108" s="10" t="str">
        <f t="shared" si="320"/>
        <v xml:space="preserve"> </v>
      </c>
      <c r="IL108" s="10" t="str">
        <f t="shared" si="320"/>
        <v xml:space="preserve"> </v>
      </c>
      <c r="IM108" s="10" t="str">
        <f t="shared" si="320"/>
        <v xml:space="preserve"> </v>
      </c>
      <c r="IN108" s="10" t="str">
        <f t="shared" si="320"/>
        <v xml:space="preserve"> </v>
      </c>
      <c r="IQ108" s="10" t="str">
        <f t="shared" si="321"/>
        <v xml:space="preserve"> </v>
      </c>
      <c r="IR108" s="10" t="str">
        <f t="shared" si="321"/>
        <v xml:space="preserve"> </v>
      </c>
      <c r="IS108" s="10" t="str">
        <f t="shared" si="321"/>
        <v xml:space="preserve"> </v>
      </c>
      <c r="IT108" s="10" t="str">
        <f t="shared" si="321"/>
        <v xml:space="preserve"> </v>
      </c>
      <c r="IU108" s="10" t="str">
        <f t="shared" si="321"/>
        <v xml:space="preserve"> </v>
      </c>
      <c r="IX108" s="10" t="str">
        <f t="shared" si="322"/>
        <v xml:space="preserve"> </v>
      </c>
      <c r="IY108" s="10" t="str">
        <f t="shared" si="322"/>
        <v xml:space="preserve"> </v>
      </c>
      <c r="IZ108" s="10" t="str">
        <f t="shared" si="322"/>
        <v xml:space="preserve"> </v>
      </c>
      <c r="JA108" s="10" t="str">
        <f t="shared" si="322"/>
        <v xml:space="preserve"> </v>
      </c>
      <c r="JB108" s="10" t="str">
        <f t="shared" si="322"/>
        <v xml:space="preserve"> </v>
      </c>
      <c r="JE108" s="10" t="str">
        <f t="shared" si="323"/>
        <v xml:space="preserve"> </v>
      </c>
      <c r="JF108" s="10" t="str">
        <f t="shared" si="323"/>
        <v xml:space="preserve"> </v>
      </c>
      <c r="JG108" s="10" t="str">
        <f t="shared" si="323"/>
        <v xml:space="preserve"> </v>
      </c>
      <c r="JH108" s="10" t="str">
        <f t="shared" si="323"/>
        <v xml:space="preserve"> </v>
      </c>
      <c r="JI108" s="10" t="str">
        <f t="shared" si="323"/>
        <v xml:space="preserve"> </v>
      </c>
    </row>
    <row r="109" spans="13:269">
      <c r="M109" s="10" t="str">
        <f t="shared" si="324"/>
        <v xml:space="preserve"> </v>
      </c>
      <c r="N109" s="10" t="str">
        <f t="shared" si="324"/>
        <v xml:space="preserve"> </v>
      </c>
      <c r="O109" s="10" t="str">
        <f t="shared" si="324"/>
        <v xml:space="preserve"> </v>
      </c>
      <c r="P109" s="10" t="str">
        <f t="shared" si="324"/>
        <v xml:space="preserve"> </v>
      </c>
      <c r="Q109" s="10" t="str">
        <f t="shared" si="324"/>
        <v xml:space="preserve"> </v>
      </c>
      <c r="R109" s="14"/>
      <c r="S109" s="14"/>
      <c r="T109" s="10" t="str">
        <f t="shared" si="288"/>
        <v xml:space="preserve"> </v>
      </c>
      <c r="U109" s="10" t="str">
        <f t="shared" si="288"/>
        <v xml:space="preserve"> </v>
      </c>
      <c r="V109" s="10" t="str">
        <f t="shared" si="288"/>
        <v xml:space="preserve"> </v>
      </c>
      <c r="W109" s="10" t="str">
        <f t="shared" si="288"/>
        <v xml:space="preserve"> </v>
      </c>
      <c r="X109" s="10" t="str">
        <f t="shared" si="288"/>
        <v xml:space="preserve"> </v>
      </c>
      <c r="Y109" s="14"/>
      <c r="Z109" s="14"/>
      <c r="AA109" s="10" t="str">
        <f t="shared" si="289"/>
        <v xml:space="preserve"> </v>
      </c>
      <c r="AB109" s="10" t="str">
        <f t="shared" si="289"/>
        <v xml:space="preserve"> </v>
      </c>
      <c r="AC109" s="10" t="str">
        <f t="shared" si="289"/>
        <v xml:space="preserve"> </v>
      </c>
      <c r="AD109" s="10" t="str">
        <f t="shared" si="289"/>
        <v xml:space="preserve"> </v>
      </c>
      <c r="AE109" s="10" t="str">
        <f t="shared" si="289"/>
        <v xml:space="preserve"> </v>
      </c>
      <c r="AF109" s="14"/>
      <c r="AG109" s="14"/>
      <c r="AH109" s="10" t="str">
        <f t="shared" si="290"/>
        <v xml:space="preserve"> </v>
      </c>
      <c r="AI109" s="10" t="str">
        <f t="shared" si="290"/>
        <v xml:space="preserve"> </v>
      </c>
      <c r="AJ109" s="10" t="str">
        <f t="shared" si="290"/>
        <v xml:space="preserve"> </v>
      </c>
      <c r="AK109" s="10" t="str">
        <f t="shared" si="290"/>
        <v xml:space="preserve"> </v>
      </c>
      <c r="AL109" s="10" t="str">
        <f t="shared" si="290"/>
        <v xml:space="preserve"> </v>
      </c>
      <c r="AM109" s="14"/>
      <c r="AN109" s="14"/>
      <c r="AO109" s="10" t="str">
        <f t="shared" si="291"/>
        <v xml:space="preserve"> </v>
      </c>
      <c r="AP109" s="10" t="str">
        <f t="shared" si="291"/>
        <v xml:space="preserve"> </v>
      </c>
      <c r="AQ109" s="10" t="str">
        <f t="shared" si="291"/>
        <v xml:space="preserve"> </v>
      </c>
      <c r="AR109" s="10" t="str">
        <f t="shared" si="291"/>
        <v xml:space="preserve"> </v>
      </c>
      <c r="AS109" s="10" t="str">
        <f t="shared" si="291"/>
        <v xml:space="preserve"> </v>
      </c>
      <c r="AT109" s="14"/>
      <c r="AU109" s="14"/>
      <c r="AV109" s="10" t="str">
        <f t="shared" si="292"/>
        <v xml:space="preserve"> </v>
      </c>
      <c r="AW109" s="10" t="str">
        <f t="shared" si="292"/>
        <v xml:space="preserve"> </v>
      </c>
      <c r="AX109" s="10" t="str">
        <f t="shared" si="292"/>
        <v xml:space="preserve"> </v>
      </c>
      <c r="AY109" s="10" t="str">
        <f t="shared" si="292"/>
        <v xml:space="preserve"> </v>
      </c>
      <c r="AZ109" s="10" t="str">
        <f t="shared" si="292"/>
        <v xml:space="preserve"> </v>
      </c>
      <c r="BA109" s="14"/>
      <c r="BB109" s="14"/>
      <c r="BC109" s="10" t="str">
        <f t="shared" si="293"/>
        <v xml:space="preserve"> </v>
      </c>
      <c r="BD109" s="10" t="str">
        <f t="shared" si="293"/>
        <v xml:space="preserve"> </v>
      </c>
      <c r="BE109" s="10" t="str">
        <f t="shared" si="293"/>
        <v xml:space="preserve"> </v>
      </c>
      <c r="BF109" s="10" t="str">
        <f t="shared" si="293"/>
        <v xml:space="preserve"> </v>
      </c>
      <c r="BG109" s="10" t="str">
        <f t="shared" si="293"/>
        <v xml:space="preserve"> </v>
      </c>
      <c r="BH109" s="14"/>
      <c r="BI109" s="14"/>
      <c r="BJ109" s="10" t="str">
        <f t="shared" si="294"/>
        <v xml:space="preserve"> </v>
      </c>
      <c r="BK109" s="10" t="str">
        <f t="shared" si="294"/>
        <v xml:space="preserve"> </v>
      </c>
      <c r="BL109" s="10" t="str">
        <f t="shared" si="294"/>
        <v xml:space="preserve"> </v>
      </c>
      <c r="BM109" s="10" t="str">
        <f t="shared" si="294"/>
        <v xml:space="preserve"> </v>
      </c>
      <c r="BN109" s="10" t="str">
        <f t="shared" si="294"/>
        <v xml:space="preserve"> </v>
      </c>
      <c r="BO109" s="14"/>
      <c r="BP109" s="14"/>
      <c r="BQ109" s="10" t="str">
        <f t="shared" si="295"/>
        <v xml:space="preserve"> </v>
      </c>
      <c r="BR109" s="10" t="str">
        <f t="shared" si="295"/>
        <v xml:space="preserve"> </v>
      </c>
      <c r="BS109" s="10" t="str">
        <f t="shared" si="295"/>
        <v xml:space="preserve"> </v>
      </c>
      <c r="BT109" s="10" t="str">
        <f t="shared" si="295"/>
        <v xml:space="preserve"> </v>
      </c>
      <c r="BU109" s="10" t="str">
        <f t="shared" si="295"/>
        <v xml:space="preserve"> </v>
      </c>
      <c r="BV109" s="14"/>
      <c r="BW109" s="14"/>
      <c r="BX109" s="10" t="str">
        <f t="shared" si="296"/>
        <v xml:space="preserve"> </v>
      </c>
      <c r="BY109" s="10" t="str">
        <f t="shared" si="296"/>
        <v xml:space="preserve"> </v>
      </c>
      <c r="BZ109" s="10" t="str">
        <f t="shared" si="296"/>
        <v xml:space="preserve"> </v>
      </c>
      <c r="CA109" s="10" t="str">
        <f t="shared" si="296"/>
        <v xml:space="preserve"> </v>
      </c>
      <c r="CB109" s="10" t="str">
        <f t="shared" si="296"/>
        <v xml:space="preserve"> </v>
      </c>
      <c r="CC109" s="14"/>
      <c r="CD109" s="14"/>
      <c r="CE109" s="10" t="str">
        <f t="shared" si="297"/>
        <v xml:space="preserve"> </v>
      </c>
      <c r="CF109" s="10" t="str">
        <f t="shared" si="297"/>
        <v xml:space="preserve"> </v>
      </c>
      <c r="CG109" s="10" t="str">
        <f t="shared" si="297"/>
        <v xml:space="preserve"> </v>
      </c>
      <c r="CH109" s="10" t="str">
        <f t="shared" si="297"/>
        <v xml:space="preserve"> </v>
      </c>
      <c r="CI109" s="10" t="str">
        <f t="shared" si="297"/>
        <v xml:space="preserve"> </v>
      </c>
      <c r="CJ109" s="14"/>
      <c r="CK109" s="14"/>
      <c r="CL109" s="10" t="str">
        <f t="shared" si="298"/>
        <v xml:space="preserve"> </v>
      </c>
      <c r="CM109" s="10" t="str">
        <f t="shared" si="298"/>
        <v xml:space="preserve"> </v>
      </c>
      <c r="CN109" s="10" t="str">
        <f t="shared" si="298"/>
        <v xml:space="preserve"> </v>
      </c>
      <c r="CO109" s="10" t="str">
        <f t="shared" si="298"/>
        <v xml:space="preserve"> </v>
      </c>
      <c r="CP109" s="10" t="str">
        <f t="shared" si="298"/>
        <v xml:space="preserve"> </v>
      </c>
      <c r="CQ109" s="14"/>
      <c r="CR109" s="14"/>
      <c r="CS109" s="10" t="str">
        <f t="shared" si="299"/>
        <v xml:space="preserve"> </v>
      </c>
      <c r="CT109" s="10" t="str">
        <f t="shared" si="299"/>
        <v xml:space="preserve"> </v>
      </c>
      <c r="CU109" s="10" t="str">
        <f t="shared" si="299"/>
        <v xml:space="preserve"> </v>
      </c>
      <c r="CV109" s="10" t="str">
        <f t="shared" si="299"/>
        <v xml:space="preserve"> </v>
      </c>
      <c r="CW109" s="10" t="str">
        <f t="shared" si="299"/>
        <v xml:space="preserve"> </v>
      </c>
      <c r="CZ109" s="10" t="str">
        <f t="shared" si="300"/>
        <v xml:space="preserve"> </v>
      </c>
      <c r="DA109" s="10" t="str">
        <f t="shared" si="300"/>
        <v xml:space="preserve"> </v>
      </c>
      <c r="DB109" s="10" t="str">
        <f t="shared" si="300"/>
        <v xml:space="preserve"> </v>
      </c>
      <c r="DC109" s="10" t="str">
        <f t="shared" si="300"/>
        <v xml:space="preserve"> </v>
      </c>
      <c r="DD109" s="10" t="str">
        <f t="shared" si="300"/>
        <v xml:space="preserve"> </v>
      </c>
      <c r="DG109" s="10" t="str">
        <f t="shared" si="301"/>
        <v xml:space="preserve"> </v>
      </c>
      <c r="DH109" s="10" t="str">
        <f t="shared" si="301"/>
        <v xml:space="preserve"> </v>
      </c>
      <c r="DI109" s="10" t="str">
        <f t="shared" si="301"/>
        <v xml:space="preserve"> </v>
      </c>
      <c r="DJ109" s="10" t="str">
        <f t="shared" si="301"/>
        <v xml:space="preserve"> </v>
      </c>
      <c r="DK109" s="10" t="str">
        <f t="shared" si="301"/>
        <v xml:space="preserve"> </v>
      </c>
      <c r="DN109" s="10" t="str">
        <f t="shared" si="302"/>
        <v xml:space="preserve"> </v>
      </c>
      <c r="DO109" s="10" t="str">
        <f t="shared" si="302"/>
        <v xml:space="preserve"> </v>
      </c>
      <c r="DP109" s="10" t="str">
        <f t="shared" si="302"/>
        <v xml:space="preserve"> </v>
      </c>
      <c r="DQ109" s="10" t="str">
        <f t="shared" si="302"/>
        <v xml:space="preserve"> </v>
      </c>
      <c r="DR109" s="10" t="str">
        <f t="shared" si="302"/>
        <v xml:space="preserve"> </v>
      </c>
      <c r="DU109" s="10" t="str">
        <f t="shared" si="303"/>
        <v xml:space="preserve"> </v>
      </c>
      <c r="DV109" s="10" t="str">
        <f t="shared" si="303"/>
        <v xml:space="preserve"> </v>
      </c>
      <c r="DW109" s="10" t="str">
        <f t="shared" si="303"/>
        <v xml:space="preserve"> </v>
      </c>
      <c r="DX109" s="10" t="str">
        <f t="shared" si="303"/>
        <v xml:space="preserve"> </v>
      </c>
      <c r="DY109" s="10" t="str">
        <f t="shared" si="303"/>
        <v xml:space="preserve"> </v>
      </c>
      <c r="EB109" s="10" t="str">
        <f t="shared" si="304"/>
        <v xml:space="preserve"> </v>
      </c>
      <c r="EC109" s="10" t="str">
        <f t="shared" si="304"/>
        <v xml:space="preserve"> </v>
      </c>
      <c r="ED109" s="10" t="str">
        <f t="shared" si="304"/>
        <v xml:space="preserve"> </v>
      </c>
      <c r="EE109" s="10" t="str">
        <f t="shared" si="304"/>
        <v xml:space="preserve"> </v>
      </c>
      <c r="EF109" s="10" t="str">
        <f t="shared" si="304"/>
        <v xml:space="preserve"> </v>
      </c>
      <c r="EI109" s="10" t="str">
        <f t="shared" si="305"/>
        <v xml:space="preserve"> </v>
      </c>
      <c r="EJ109" s="10" t="str">
        <f t="shared" si="305"/>
        <v xml:space="preserve"> </v>
      </c>
      <c r="EK109" s="10" t="str">
        <f t="shared" si="305"/>
        <v xml:space="preserve"> </v>
      </c>
      <c r="EL109" s="10" t="str">
        <f t="shared" si="305"/>
        <v xml:space="preserve"> </v>
      </c>
      <c r="EM109" s="10" t="str">
        <f t="shared" si="305"/>
        <v xml:space="preserve"> </v>
      </c>
      <c r="EP109" s="10" t="str">
        <f t="shared" si="306"/>
        <v xml:space="preserve"> </v>
      </c>
      <c r="EQ109" s="10" t="str">
        <f t="shared" si="306"/>
        <v xml:space="preserve"> </v>
      </c>
      <c r="ER109" s="10" t="str">
        <f t="shared" si="306"/>
        <v xml:space="preserve"> </v>
      </c>
      <c r="ES109" s="10" t="str">
        <f t="shared" si="306"/>
        <v xml:space="preserve"> </v>
      </c>
      <c r="ET109" s="10" t="str">
        <f t="shared" si="306"/>
        <v xml:space="preserve"> </v>
      </c>
      <c r="EW109" s="10" t="str">
        <f t="shared" si="307"/>
        <v xml:space="preserve"> </v>
      </c>
      <c r="EX109" s="10" t="str">
        <f t="shared" si="307"/>
        <v xml:space="preserve"> </v>
      </c>
      <c r="EY109" s="10" t="str">
        <f t="shared" si="307"/>
        <v xml:space="preserve"> </v>
      </c>
      <c r="EZ109" s="10" t="str">
        <f t="shared" si="307"/>
        <v xml:space="preserve"> </v>
      </c>
      <c r="FA109" s="10" t="str">
        <f t="shared" si="307"/>
        <v xml:space="preserve"> </v>
      </c>
      <c r="FD109" s="10" t="str">
        <f t="shared" si="308"/>
        <v xml:space="preserve"> </v>
      </c>
      <c r="FE109" s="10" t="str">
        <f t="shared" si="308"/>
        <v xml:space="preserve"> </v>
      </c>
      <c r="FF109" s="10" t="str">
        <f t="shared" si="308"/>
        <v xml:space="preserve"> </v>
      </c>
      <c r="FG109" s="10" t="str">
        <f t="shared" si="308"/>
        <v xml:space="preserve"> </v>
      </c>
      <c r="FH109" s="10" t="str">
        <f t="shared" si="308"/>
        <v xml:space="preserve"> </v>
      </c>
      <c r="FK109" s="10" t="str">
        <f t="shared" si="309"/>
        <v xml:space="preserve"> </v>
      </c>
      <c r="FL109" s="10" t="str">
        <f t="shared" si="309"/>
        <v xml:space="preserve"> </v>
      </c>
      <c r="FM109" s="10" t="str">
        <f t="shared" si="309"/>
        <v xml:space="preserve"> </v>
      </c>
      <c r="FN109" s="10" t="str">
        <f t="shared" si="309"/>
        <v xml:space="preserve"> </v>
      </c>
      <c r="FO109" s="10" t="str">
        <f t="shared" si="309"/>
        <v xml:space="preserve"> </v>
      </c>
      <c r="FR109" s="10" t="str">
        <f t="shared" si="310"/>
        <v xml:space="preserve"> </v>
      </c>
      <c r="FS109" s="10" t="str">
        <f t="shared" si="310"/>
        <v xml:space="preserve"> </v>
      </c>
      <c r="FT109" s="10" t="str">
        <f t="shared" si="310"/>
        <v xml:space="preserve"> </v>
      </c>
      <c r="FU109" s="10" t="str">
        <f t="shared" si="310"/>
        <v xml:space="preserve"> </v>
      </c>
      <c r="FV109" s="10" t="str">
        <f t="shared" si="310"/>
        <v xml:space="preserve"> </v>
      </c>
      <c r="FY109" s="10" t="str">
        <f t="shared" si="311"/>
        <v xml:space="preserve"> </v>
      </c>
      <c r="FZ109" s="10" t="str">
        <f t="shared" si="311"/>
        <v xml:space="preserve"> </v>
      </c>
      <c r="GA109" s="10" t="str">
        <f t="shared" si="311"/>
        <v xml:space="preserve"> </v>
      </c>
      <c r="GB109" s="10" t="str">
        <f t="shared" si="311"/>
        <v xml:space="preserve"> </v>
      </c>
      <c r="GC109" s="10" t="str">
        <f t="shared" si="311"/>
        <v xml:space="preserve"> </v>
      </c>
      <c r="GF109" s="10" t="str">
        <f t="shared" si="312"/>
        <v xml:space="preserve"> </v>
      </c>
      <c r="GG109" s="10" t="str">
        <f t="shared" si="312"/>
        <v xml:space="preserve"> </v>
      </c>
      <c r="GH109" s="10" t="str">
        <f t="shared" si="312"/>
        <v xml:space="preserve"> </v>
      </c>
      <c r="GI109" s="10" t="str">
        <f t="shared" si="312"/>
        <v xml:space="preserve"> </v>
      </c>
      <c r="GJ109" s="10" t="str">
        <f t="shared" si="312"/>
        <v xml:space="preserve"> </v>
      </c>
      <c r="GM109" s="10" t="str">
        <f t="shared" si="313"/>
        <v xml:space="preserve"> </v>
      </c>
      <c r="GN109" s="10" t="str">
        <f t="shared" si="313"/>
        <v xml:space="preserve"> </v>
      </c>
      <c r="GO109" s="10" t="str">
        <f t="shared" si="313"/>
        <v xml:space="preserve"> </v>
      </c>
      <c r="GP109" s="10" t="str">
        <f t="shared" si="313"/>
        <v xml:space="preserve"> </v>
      </c>
      <c r="GQ109" s="10" t="str">
        <f t="shared" si="313"/>
        <v xml:space="preserve"> </v>
      </c>
      <c r="GT109" s="10" t="str">
        <f t="shared" si="314"/>
        <v xml:space="preserve"> </v>
      </c>
      <c r="GU109" s="10" t="str">
        <f t="shared" si="314"/>
        <v xml:space="preserve"> </v>
      </c>
      <c r="GV109" s="10" t="str">
        <f t="shared" si="314"/>
        <v xml:space="preserve"> </v>
      </c>
      <c r="GW109" s="10" t="str">
        <f t="shared" si="314"/>
        <v xml:space="preserve"> </v>
      </c>
      <c r="GX109" s="10" t="str">
        <f t="shared" si="314"/>
        <v xml:space="preserve"> </v>
      </c>
      <c r="HA109" s="10" t="str">
        <f t="shared" si="315"/>
        <v xml:space="preserve"> </v>
      </c>
      <c r="HB109" s="10" t="str">
        <f t="shared" si="315"/>
        <v xml:space="preserve"> </v>
      </c>
      <c r="HC109" s="10" t="str">
        <f t="shared" si="315"/>
        <v xml:space="preserve"> </v>
      </c>
      <c r="HD109" s="10" t="str">
        <f t="shared" si="315"/>
        <v xml:space="preserve"> </v>
      </c>
      <c r="HE109" s="10" t="str">
        <f t="shared" si="315"/>
        <v xml:space="preserve"> </v>
      </c>
      <c r="HH109" s="10" t="str">
        <f t="shared" si="316"/>
        <v xml:space="preserve"> </v>
      </c>
      <c r="HI109" s="10" t="str">
        <f t="shared" si="316"/>
        <v xml:space="preserve"> </v>
      </c>
      <c r="HJ109" s="10" t="str">
        <f t="shared" si="316"/>
        <v xml:space="preserve"> </v>
      </c>
      <c r="HK109" s="10" t="str">
        <f t="shared" si="316"/>
        <v xml:space="preserve"> </v>
      </c>
      <c r="HL109" s="10" t="str">
        <f t="shared" si="316"/>
        <v xml:space="preserve"> </v>
      </c>
      <c r="HO109" s="10" t="str">
        <f t="shared" si="317"/>
        <v xml:space="preserve"> </v>
      </c>
      <c r="HP109" s="10" t="str">
        <f t="shared" si="317"/>
        <v xml:space="preserve"> </v>
      </c>
      <c r="HQ109" s="10" t="str">
        <f t="shared" si="317"/>
        <v xml:space="preserve"> </v>
      </c>
      <c r="HR109" s="10" t="str">
        <f t="shared" si="317"/>
        <v xml:space="preserve"> </v>
      </c>
      <c r="HS109" s="10" t="str">
        <f t="shared" si="317"/>
        <v xml:space="preserve"> </v>
      </c>
      <c r="HV109" s="10" t="str">
        <f t="shared" si="318"/>
        <v xml:space="preserve"> </v>
      </c>
      <c r="HW109" s="10" t="str">
        <f t="shared" si="318"/>
        <v xml:space="preserve"> </v>
      </c>
      <c r="HX109" s="10" t="str">
        <f t="shared" si="318"/>
        <v xml:space="preserve"> </v>
      </c>
      <c r="HY109" s="10" t="str">
        <f t="shared" si="318"/>
        <v xml:space="preserve"> </v>
      </c>
      <c r="HZ109" s="10" t="str">
        <f t="shared" si="318"/>
        <v xml:space="preserve"> </v>
      </c>
      <c r="IC109" s="10" t="str">
        <f t="shared" si="319"/>
        <v xml:space="preserve"> </v>
      </c>
      <c r="ID109" s="10" t="str">
        <f t="shared" si="319"/>
        <v xml:space="preserve"> </v>
      </c>
      <c r="IE109" s="10" t="str">
        <f t="shared" si="319"/>
        <v xml:space="preserve"> </v>
      </c>
      <c r="IF109" s="10" t="str">
        <f t="shared" si="319"/>
        <v xml:space="preserve"> </v>
      </c>
      <c r="IG109" s="10" t="str">
        <f t="shared" si="319"/>
        <v xml:space="preserve"> </v>
      </c>
      <c r="IJ109" s="10" t="str">
        <f t="shared" si="320"/>
        <v xml:space="preserve"> </v>
      </c>
      <c r="IK109" s="10" t="str">
        <f t="shared" si="320"/>
        <v xml:space="preserve"> </v>
      </c>
      <c r="IL109" s="10" t="str">
        <f t="shared" si="320"/>
        <v xml:space="preserve"> </v>
      </c>
      <c r="IM109" s="10" t="str">
        <f t="shared" si="320"/>
        <v xml:space="preserve"> </v>
      </c>
      <c r="IN109" s="10" t="str">
        <f t="shared" si="320"/>
        <v xml:space="preserve"> </v>
      </c>
      <c r="IQ109" s="10" t="str">
        <f t="shared" si="321"/>
        <v xml:space="preserve"> </v>
      </c>
      <c r="IR109" s="10" t="str">
        <f t="shared" si="321"/>
        <v xml:space="preserve"> </v>
      </c>
      <c r="IS109" s="10" t="str">
        <f t="shared" si="321"/>
        <v xml:space="preserve"> </v>
      </c>
      <c r="IT109" s="10" t="str">
        <f t="shared" si="321"/>
        <v xml:space="preserve"> </v>
      </c>
      <c r="IU109" s="10" t="str">
        <f t="shared" si="321"/>
        <v xml:space="preserve"> </v>
      </c>
      <c r="IX109" s="10" t="str">
        <f t="shared" si="322"/>
        <v xml:space="preserve"> </v>
      </c>
      <c r="IY109" s="10" t="str">
        <f t="shared" si="322"/>
        <v xml:space="preserve"> </v>
      </c>
      <c r="IZ109" s="10" t="str">
        <f t="shared" si="322"/>
        <v xml:space="preserve"> </v>
      </c>
      <c r="JA109" s="10" t="str">
        <f t="shared" si="322"/>
        <v xml:space="preserve"> </v>
      </c>
      <c r="JB109" s="10" t="str">
        <f t="shared" si="322"/>
        <v xml:space="preserve"> </v>
      </c>
      <c r="JE109" s="10" t="str">
        <f t="shared" si="323"/>
        <v xml:space="preserve"> </v>
      </c>
      <c r="JF109" s="10" t="str">
        <f t="shared" si="323"/>
        <v xml:space="preserve"> </v>
      </c>
      <c r="JG109" s="10" t="str">
        <f t="shared" si="323"/>
        <v xml:space="preserve"> </v>
      </c>
      <c r="JH109" s="10" t="str">
        <f t="shared" si="323"/>
        <v xml:space="preserve"> </v>
      </c>
      <c r="JI109" s="10" t="str">
        <f t="shared" si="323"/>
        <v xml:space="preserve"> </v>
      </c>
    </row>
    <row r="110" spans="13:269">
      <c r="M110" s="10" t="str">
        <f t="shared" si="324"/>
        <v xml:space="preserve"> </v>
      </c>
      <c r="N110" s="10" t="str">
        <f t="shared" si="324"/>
        <v xml:space="preserve"> </v>
      </c>
      <c r="O110" s="10" t="str">
        <f t="shared" si="324"/>
        <v xml:space="preserve"> </v>
      </c>
      <c r="P110" s="10" t="str">
        <f t="shared" si="324"/>
        <v xml:space="preserve"> </v>
      </c>
      <c r="Q110" s="10" t="str">
        <f t="shared" si="324"/>
        <v xml:space="preserve"> </v>
      </c>
      <c r="R110" s="14"/>
      <c r="S110" s="14"/>
      <c r="T110" s="10" t="str">
        <f t="shared" si="288"/>
        <v xml:space="preserve"> </v>
      </c>
      <c r="U110" s="10" t="str">
        <f t="shared" si="288"/>
        <v xml:space="preserve"> </v>
      </c>
      <c r="V110" s="10" t="str">
        <f t="shared" si="288"/>
        <v xml:space="preserve"> </v>
      </c>
      <c r="W110" s="10" t="str">
        <f t="shared" si="288"/>
        <v xml:space="preserve"> </v>
      </c>
      <c r="X110" s="10" t="str">
        <f t="shared" si="288"/>
        <v xml:space="preserve"> </v>
      </c>
      <c r="Y110" s="14"/>
      <c r="Z110" s="14"/>
      <c r="AA110" s="10" t="str">
        <f t="shared" si="289"/>
        <v xml:space="preserve"> </v>
      </c>
      <c r="AB110" s="10" t="str">
        <f t="shared" si="289"/>
        <v xml:space="preserve"> </v>
      </c>
      <c r="AC110" s="10" t="str">
        <f t="shared" si="289"/>
        <v xml:space="preserve"> </v>
      </c>
      <c r="AD110" s="10" t="str">
        <f t="shared" si="289"/>
        <v xml:space="preserve"> </v>
      </c>
      <c r="AE110" s="10" t="str">
        <f t="shared" si="289"/>
        <v xml:space="preserve"> </v>
      </c>
      <c r="AF110" s="14"/>
      <c r="AG110" s="14"/>
      <c r="AH110" s="10" t="str">
        <f t="shared" si="290"/>
        <v xml:space="preserve"> </v>
      </c>
      <c r="AI110" s="10" t="str">
        <f t="shared" si="290"/>
        <v xml:space="preserve"> </v>
      </c>
      <c r="AJ110" s="10" t="str">
        <f t="shared" si="290"/>
        <v xml:space="preserve"> </v>
      </c>
      <c r="AK110" s="10" t="str">
        <f t="shared" si="290"/>
        <v xml:space="preserve"> </v>
      </c>
      <c r="AL110" s="10" t="str">
        <f t="shared" si="290"/>
        <v xml:space="preserve"> </v>
      </c>
      <c r="AM110" s="14"/>
      <c r="AN110" s="14"/>
      <c r="AO110" s="10" t="str">
        <f t="shared" si="291"/>
        <v xml:space="preserve"> </v>
      </c>
      <c r="AP110" s="10" t="str">
        <f t="shared" si="291"/>
        <v xml:space="preserve"> </v>
      </c>
      <c r="AQ110" s="10" t="str">
        <f t="shared" si="291"/>
        <v xml:space="preserve"> </v>
      </c>
      <c r="AR110" s="10" t="str">
        <f t="shared" si="291"/>
        <v xml:space="preserve"> </v>
      </c>
      <c r="AS110" s="10" t="str">
        <f t="shared" si="291"/>
        <v xml:space="preserve"> </v>
      </c>
      <c r="AT110" s="14"/>
      <c r="AU110" s="14"/>
      <c r="AV110" s="10" t="str">
        <f t="shared" si="292"/>
        <v xml:space="preserve"> </v>
      </c>
      <c r="AW110" s="10" t="str">
        <f t="shared" si="292"/>
        <v xml:space="preserve"> </v>
      </c>
      <c r="AX110" s="10" t="str">
        <f t="shared" si="292"/>
        <v xml:space="preserve"> </v>
      </c>
      <c r="AY110" s="10" t="str">
        <f t="shared" si="292"/>
        <v xml:space="preserve"> </v>
      </c>
      <c r="AZ110" s="10" t="str">
        <f t="shared" si="292"/>
        <v xml:space="preserve"> </v>
      </c>
      <c r="BA110" s="14"/>
      <c r="BB110" s="14"/>
      <c r="BC110" s="10" t="str">
        <f t="shared" si="293"/>
        <v xml:space="preserve"> </v>
      </c>
      <c r="BD110" s="10" t="str">
        <f t="shared" si="293"/>
        <v xml:space="preserve"> </v>
      </c>
      <c r="BE110" s="10" t="str">
        <f t="shared" si="293"/>
        <v xml:space="preserve"> </v>
      </c>
      <c r="BF110" s="10" t="str">
        <f t="shared" si="293"/>
        <v xml:space="preserve"> </v>
      </c>
      <c r="BG110" s="10" t="str">
        <f t="shared" si="293"/>
        <v xml:space="preserve"> </v>
      </c>
      <c r="BH110" s="14"/>
      <c r="BI110" s="14"/>
      <c r="BJ110" s="10" t="str">
        <f t="shared" si="294"/>
        <v xml:space="preserve"> </v>
      </c>
      <c r="BK110" s="10" t="str">
        <f t="shared" si="294"/>
        <v xml:space="preserve"> </v>
      </c>
      <c r="BL110" s="10" t="str">
        <f t="shared" si="294"/>
        <v xml:space="preserve"> </v>
      </c>
      <c r="BM110" s="10" t="str">
        <f t="shared" si="294"/>
        <v xml:space="preserve"> </v>
      </c>
      <c r="BN110" s="10" t="str">
        <f t="shared" si="294"/>
        <v xml:space="preserve"> </v>
      </c>
      <c r="BO110" s="14"/>
      <c r="BP110" s="14"/>
      <c r="BQ110" s="10" t="str">
        <f t="shared" si="295"/>
        <v xml:space="preserve"> </v>
      </c>
      <c r="BR110" s="10" t="str">
        <f t="shared" si="295"/>
        <v xml:space="preserve"> </v>
      </c>
      <c r="BS110" s="10" t="str">
        <f t="shared" si="295"/>
        <v xml:space="preserve"> </v>
      </c>
      <c r="BT110" s="10" t="str">
        <f t="shared" si="295"/>
        <v xml:space="preserve"> </v>
      </c>
      <c r="BU110" s="10" t="str">
        <f t="shared" si="295"/>
        <v xml:space="preserve"> </v>
      </c>
      <c r="BV110" s="14"/>
      <c r="BW110" s="14"/>
      <c r="BX110" s="10" t="str">
        <f t="shared" si="296"/>
        <v xml:space="preserve"> </v>
      </c>
      <c r="BY110" s="10" t="str">
        <f t="shared" si="296"/>
        <v xml:space="preserve"> </v>
      </c>
      <c r="BZ110" s="10" t="str">
        <f t="shared" si="296"/>
        <v xml:space="preserve"> </v>
      </c>
      <c r="CA110" s="10" t="str">
        <f t="shared" si="296"/>
        <v xml:space="preserve"> </v>
      </c>
      <c r="CB110" s="10" t="str">
        <f t="shared" si="296"/>
        <v xml:space="preserve"> </v>
      </c>
      <c r="CC110" s="14"/>
      <c r="CD110" s="14"/>
      <c r="CE110" s="10" t="str">
        <f t="shared" si="297"/>
        <v xml:space="preserve"> </v>
      </c>
      <c r="CF110" s="10" t="str">
        <f t="shared" si="297"/>
        <v xml:space="preserve"> </v>
      </c>
      <c r="CG110" s="10" t="str">
        <f t="shared" si="297"/>
        <v xml:space="preserve"> </v>
      </c>
      <c r="CH110" s="10" t="str">
        <f t="shared" si="297"/>
        <v xml:space="preserve"> </v>
      </c>
      <c r="CI110" s="10" t="str">
        <f t="shared" si="297"/>
        <v xml:space="preserve"> </v>
      </c>
      <c r="CJ110" s="14"/>
      <c r="CK110" s="14"/>
      <c r="CL110" s="10" t="str">
        <f t="shared" si="298"/>
        <v xml:space="preserve"> </v>
      </c>
      <c r="CM110" s="10" t="str">
        <f t="shared" si="298"/>
        <v xml:space="preserve"> </v>
      </c>
      <c r="CN110" s="10" t="str">
        <f t="shared" si="298"/>
        <v xml:space="preserve"> </v>
      </c>
      <c r="CO110" s="10" t="str">
        <f t="shared" si="298"/>
        <v xml:space="preserve"> </v>
      </c>
      <c r="CP110" s="10" t="str">
        <f t="shared" si="298"/>
        <v xml:space="preserve"> </v>
      </c>
      <c r="CQ110" s="14"/>
      <c r="CR110" s="14"/>
      <c r="CS110" s="10" t="str">
        <f t="shared" si="299"/>
        <v xml:space="preserve"> </v>
      </c>
      <c r="CT110" s="10" t="str">
        <f t="shared" si="299"/>
        <v xml:space="preserve"> </v>
      </c>
      <c r="CU110" s="10" t="str">
        <f t="shared" si="299"/>
        <v xml:space="preserve"> </v>
      </c>
      <c r="CV110" s="10" t="str">
        <f t="shared" si="299"/>
        <v xml:space="preserve"> </v>
      </c>
      <c r="CW110" s="10" t="str">
        <f t="shared" si="299"/>
        <v xml:space="preserve"> </v>
      </c>
      <c r="CZ110" s="10" t="str">
        <f t="shared" si="300"/>
        <v xml:space="preserve"> </v>
      </c>
      <c r="DA110" s="10" t="str">
        <f t="shared" si="300"/>
        <v xml:space="preserve"> </v>
      </c>
      <c r="DB110" s="10" t="str">
        <f t="shared" si="300"/>
        <v xml:space="preserve"> </v>
      </c>
      <c r="DC110" s="10" t="str">
        <f t="shared" si="300"/>
        <v xml:space="preserve"> </v>
      </c>
      <c r="DD110" s="10" t="str">
        <f t="shared" si="300"/>
        <v xml:space="preserve"> </v>
      </c>
      <c r="DG110" s="10" t="str">
        <f t="shared" si="301"/>
        <v xml:space="preserve"> </v>
      </c>
      <c r="DH110" s="10" t="str">
        <f t="shared" si="301"/>
        <v xml:space="preserve"> </v>
      </c>
      <c r="DI110" s="10" t="str">
        <f t="shared" si="301"/>
        <v xml:space="preserve"> </v>
      </c>
      <c r="DJ110" s="10" t="str">
        <f t="shared" si="301"/>
        <v xml:space="preserve"> </v>
      </c>
      <c r="DK110" s="10" t="str">
        <f t="shared" si="301"/>
        <v xml:space="preserve"> </v>
      </c>
      <c r="DN110" s="10" t="str">
        <f t="shared" si="302"/>
        <v xml:space="preserve"> </v>
      </c>
      <c r="DO110" s="10" t="str">
        <f t="shared" si="302"/>
        <v xml:space="preserve"> </v>
      </c>
      <c r="DP110" s="10" t="str">
        <f t="shared" si="302"/>
        <v xml:space="preserve"> </v>
      </c>
      <c r="DQ110" s="10" t="str">
        <f t="shared" si="302"/>
        <v xml:space="preserve"> </v>
      </c>
      <c r="DR110" s="10" t="str">
        <f t="shared" si="302"/>
        <v xml:space="preserve"> </v>
      </c>
      <c r="DU110" s="10" t="str">
        <f t="shared" si="303"/>
        <v xml:space="preserve"> </v>
      </c>
      <c r="DV110" s="10" t="str">
        <f t="shared" si="303"/>
        <v xml:space="preserve"> </v>
      </c>
      <c r="DW110" s="10" t="str">
        <f t="shared" si="303"/>
        <v xml:space="preserve"> </v>
      </c>
      <c r="DX110" s="10" t="str">
        <f t="shared" si="303"/>
        <v xml:space="preserve"> </v>
      </c>
      <c r="DY110" s="10" t="str">
        <f t="shared" si="303"/>
        <v xml:space="preserve"> </v>
      </c>
      <c r="EB110" s="10" t="str">
        <f t="shared" si="304"/>
        <v xml:space="preserve"> </v>
      </c>
      <c r="EC110" s="10" t="str">
        <f t="shared" si="304"/>
        <v xml:space="preserve"> </v>
      </c>
      <c r="ED110" s="10" t="str">
        <f t="shared" si="304"/>
        <v xml:space="preserve"> </v>
      </c>
      <c r="EE110" s="10" t="str">
        <f t="shared" si="304"/>
        <v xml:space="preserve"> </v>
      </c>
      <c r="EF110" s="10" t="str">
        <f t="shared" si="304"/>
        <v xml:space="preserve"> </v>
      </c>
      <c r="EI110" s="10" t="str">
        <f t="shared" si="305"/>
        <v xml:space="preserve"> </v>
      </c>
      <c r="EJ110" s="10" t="str">
        <f t="shared" si="305"/>
        <v xml:space="preserve"> </v>
      </c>
      <c r="EK110" s="10" t="str">
        <f t="shared" si="305"/>
        <v xml:space="preserve"> </v>
      </c>
      <c r="EL110" s="10" t="str">
        <f t="shared" si="305"/>
        <v xml:space="preserve"> </v>
      </c>
      <c r="EM110" s="10" t="str">
        <f t="shared" si="305"/>
        <v xml:space="preserve"> </v>
      </c>
      <c r="EP110" s="10" t="str">
        <f t="shared" si="306"/>
        <v xml:space="preserve"> </v>
      </c>
      <c r="EQ110" s="10" t="str">
        <f t="shared" si="306"/>
        <v xml:space="preserve"> </v>
      </c>
      <c r="ER110" s="10" t="str">
        <f t="shared" si="306"/>
        <v xml:space="preserve"> </v>
      </c>
      <c r="ES110" s="10" t="str">
        <f t="shared" si="306"/>
        <v xml:space="preserve"> </v>
      </c>
      <c r="ET110" s="10" t="str">
        <f t="shared" si="306"/>
        <v xml:space="preserve"> </v>
      </c>
      <c r="EW110" s="10" t="str">
        <f t="shared" si="307"/>
        <v xml:space="preserve"> </v>
      </c>
      <c r="EX110" s="10" t="str">
        <f t="shared" si="307"/>
        <v xml:space="preserve"> </v>
      </c>
      <c r="EY110" s="10" t="str">
        <f t="shared" si="307"/>
        <v xml:space="preserve"> </v>
      </c>
      <c r="EZ110" s="10" t="str">
        <f t="shared" si="307"/>
        <v xml:space="preserve"> </v>
      </c>
      <c r="FA110" s="10" t="str">
        <f t="shared" si="307"/>
        <v xml:space="preserve"> </v>
      </c>
      <c r="FD110" s="10" t="str">
        <f t="shared" si="308"/>
        <v xml:space="preserve"> </v>
      </c>
      <c r="FE110" s="10" t="str">
        <f t="shared" si="308"/>
        <v xml:space="preserve"> </v>
      </c>
      <c r="FF110" s="10" t="str">
        <f t="shared" si="308"/>
        <v xml:space="preserve"> </v>
      </c>
      <c r="FG110" s="10" t="str">
        <f t="shared" si="308"/>
        <v xml:space="preserve"> </v>
      </c>
      <c r="FH110" s="10" t="str">
        <f t="shared" si="308"/>
        <v xml:space="preserve"> </v>
      </c>
      <c r="FK110" s="10" t="str">
        <f t="shared" si="309"/>
        <v xml:space="preserve"> </v>
      </c>
      <c r="FL110" s="10" t="str">
        <f t="shared" si="309"/>
        <v xml:space="preserve"> </v>
      </c>
      <c r="FM110" s="10" t="str">
        <f t="shared" si="309"/>
        <v xml:space="preserve"> </v>
      </c>
      <c r="FN110" s="10" t="str">
        <f t="shared" si="309"/>
        <v xml:space="preserve"> </v>
      </c>
      <c r="FO110" s="10" t="str">
        <f t="shared" si="309"/>
        <v xml:space="preserve"> </v>
      </c>
      <c r="FR110" s="10" t="str">
        <f t="shared" si="310"/>
        <v xml:space="preserve"> </v>
      </c>
      <c r="FS110" s="10" t="str">
        <f t="shared" si="310"/>
        <v xml:space="preserve"> </v>
      </c>
      <c r="FT110" s="10" t="str">
        <f t="shared" si="310"/>
        <v xml:space="preserve"> </v>
      </c>
      <c r="FU110" s="10" t="str">
        <f t="shared" si="310"/>
        <v xml:space="preserve"> </v>
      </c>
      <c r="FV110" s="10" t="str">
        <f t="shared" si="310"/>
        <v xml:space="preserve"> </v>
      </c>
      <c r="FY110" s="10" t="str">
        <f t="shared" si="311"/>
        <v xml:space="preserve"> </v>
      </c>
      <c r="FZ110" s="10" t="str">
        <f t="shared" si="311"/>
        <v xml:space="preserve"> </v>
      </c>
      <c r="GA110" s="10" t="str">
        <f t="shared" si="311"/>
        <v xml:space="preserve"> </v>
      </c>
      <c r="GB110" s="10" t="str">
        <f t="shared" si="311"/>
        <v xml:space="preserve"> </v>
      </c>
      <c r="GC110" s="10" t="str">
        <f t="shared" si="311"/>
        <v xml:space="preserve"> </v>
      </c>
      <c r="GF110" s="10" t="str">
        <f t="shared" si="312"/>
        <v xml:space="preserve"> </v>
      </c>
      <c r="GG110" s="10" t="str">
        <f t="shared" si="312"/>
        <v xml:space="preserve"> </v>
      </c>
      <c r="GH110" s="10" t="str">
        <f t="shared" si="312"/>
        <v xml:space="preserve"> </v>
      </c>
      <c r="GI110" s="10" t="str">
        <f t="shared" si="312"/>
        <v xml:space="preserve"> </v>
      </c>
      <c r="GJ110" s="10" t="str">
        <f t="shared" si="312"/>
        <v xml:space="preserve"> </v>
      </c>
      <c r="GM110" s="10" t="str">
        <f t="shared" si="313"/>
        <v xml:space="preserve"> </v>
      </c>
      <c r="GN110" s="10" t="str">
        <f t="shared" si="313"/>
        <v xml:space="preserve"> </v>
      </c>
      <c r="GO110" s="10" t="str">
        <f t="shared" si="313"/>
        <v xml:space="preserve"> </v>
      </c>
      <c r="GP110" s="10" t="str">
        <f t="shared" si="313"/>
        <v xml:space="preserve"> </v>
      </c>
      <c r="GQ110" s="10" t="str">
        <f t="shared" si="313"/>
        <v xml:space="preserve"> </v>
      </c>
      <c r="GT110" s="10" t="str">
        <f t="shared" si="314"/>
        <v xml:space="preserve"> </v>
      </c>
      <c r="GU110" s="10" t="str">
        <f t="shared" si="314"/>
        <v xml:space="preserve"> </v>
      </c>
      <c r="GV110" s="10" t="str">
        <f t="shared" si="314"/>
        <v xml:space="preserve"> </v>
      </c>
      <c r="GW110" s="10" t="str">
        <f t="shared" si="314"/>
        <v xml:space="preserve"> </v>
      </c>
      <c r="GX110" s="10" t="str">
        <f t="shared" si="314"/>
        <v xml:space="preserve"> </v>
      </c>
      <c r="HA110" s="10" t="str">
        <f t="shared" si="315"/>
        <v xml:space="preserve"> </v>
      </c>
      <c r="HB110" s="10" t="str">
        <f t="shared" si="315"/>
        <v xml:space="preserve"> </v>
      </c>
      <c r="HC110" s="10" t="str">
        <f t="shared" si="315"/>
        <v xml:space="preserve"> </v>
      </c>
      <c r="HD110" s="10" t="str">
        <f t="shared" si="315"/>
        <v xml:space="preserve"> </v>
      </c>
      <c r="HE110" s="10" t="str">
        <f t="shared" si="315"/>
        <v xml:space="preserve"> </v>
      </c>
      <c r="HH110" s="10" t="str">
        <f t="shared" si="316"/>
        <v xml:space="preserve"> </v>
      </c>
      <c r="HI110" s="10" t="str">
        <f t="shared" si="316"/>
        <v xml:space="preserve"> </v>
      </c>
      <c r="HJ110" s="10" t="str">
        <f t="shared" si="316"/>
        <v xml:space="preserve"> </v>
      </c>
      <c r="HK110" s="10" t="str">
        <f t="shared" si="316"/>
        <v xml:space="preserve"> </v>
      </c>
      <c r="HL110" s="10" t="str">
        <f t="shared" si="316"/>
        <v xml:space="preserve"> </v>
      </c>
      <c r="HO110" s="10" t="str">
        <f t="shared" si="317"/>
        <v xml:space="preserve"> </v>
      </c>
      <c r="HP110" s="10" t="str">
        <f t="shared" si="317"/>
        <v xml:space="preserve"> </v>
      </c>
      <c r="HQ110" s="10" t="str">
        <f t="shared" si="317"/>
        <v xml:space="preserve"> </v>
      </c>
      <c r="HR110" s="10" t="str">
        <f t="shared" si="317"/>
        <v xml:space="preserve"> </v>
      </c>
      <c r="HS110" s="10" t="str">
        <f t="shared" si="317"/>
        <v xml:space="preserve"> </v>
      </c>
      <c r="HV110" s="10" t="str">
        <f t="shared" si="318"/>
        <v xml:space="preserve"> </v>
      </c>
      <c r="HW110" s="10" t="str">
        <f t="shared" si="318"/>
        <v xml:space="preserve"> </v>
      </c>
      <c r="HX110" s="10" t="str">
        <f t="shared" si="318"/>
        <v xml:space="preserve"> </v>
      </c>
      <c r="HY110" s="10" t="str">
        <f t="shared" si="318"/>
        <v xml:space="preserve"> </v>
      </c>
      <c r="HZ110" s="10" t="str">
        <f t="shared" si="318"/>
        <v xml:space="preserve"> </v>
      </c>
      <c r="IC110" s="10" t="str">
        <f t="shared" si="319"/>
        <v xml:space="preserve"> </v>
      </c>
      <c r="ID110" s="10" t="str">
        <f t="shared" si="319"/>
        <v xml:space="preserve"> </v>
      </c>
      <c r="IE110" s="10" t="str">
        <f t="shared" si="319"/>
        <v xml:space="preserve"> </v>
      </c>
      <c r="IF110" s="10" t="str">
        <f t="shared" si="319"/>
        <v xml:space="preserve"> </v>
      </c>
      <c r="IG110" s="10" t="str">
        <f t="shared" si="319"/>
        <v xml:space="preserve"> </v>
      </c>
      <c r="IJ110" s="10" t="str">
        <f t="shared" si="320"/>
        <v xml:space="preserve"> </v>
      </c>
      <c r="IK110" s="10" t="str">
        <f t="shared" si="320"/>
        <v xml:space="preserve"> </v>
      </c>
      <c r="IL110" s="10" t="str">
        <f t="shared" si="320"/>
        <v xml:space="preserve"> </v>
      </c>
      <c r="IM110" s="10" t="str">
        <f t="shared" si="320"/>
        <v xml:space="preserve"> </v>
      </c>
      <c r="IN110" s="10" t="str">
        <f t="shared" si="320"/>
        <v xml:space="preserve"> </v>
      </c>
      <c r="IQ110" s="10" t="str">
        <f t="shared" si="321"/>
        <v xml:space="preserve"> </v>
      </c>
      <c r="IR110" s="10" t="str">
        <f t="shared" si="321"/>
        <v xml:space="preserve"> </v>
      </c>
      <c r="IS110" s="10" t="str">
        <f t="shared" si="321"/>
        <v xml:space="preserve"> </v>
      </c>
      <c r="IT110" s="10" t="str">
        <f t="shared" si="321"/>
        <v xml:space="preserve"> </v>
      </c>
      <c r="IU110" s="10" t="str">
        <f t="shared" si="321"/>
        <v xml:space="preserve"> </v>
      </c>
      <c r="IX110" s="10" t="str">
        <f t="shared" si="322"/>
        <v xml:space="preserve"> </v>
      </c>
      <c r="IY110" s="10" t="str">
        <f t="shared" si="322"/>
        <v xml:space="preserve"> </v>
      </c>
      <c r="IZ110" s="10" t="str">
        <f t="shared" si="322"/>
        <v xml:space="preserve"> </v>
      </c>
      <c r="JA110" s="10" t="str">
        <f t="shared" si="322"/>
        <v xml:space="preserve"> </v>
      </c>
      <c r="JB110" s="10" t="str">
        <f t="shared" si="322"/>
        <v xml:space="preserve"> </v>
      </c>
      <c r="JE110" s="10" t="str">
        <f t="shared" si="323"/>
        <v xml:space="preserve"> </v>
      </c>
      <c r="JF110" s="10" t="str">
        <f t="shared" si="323"/>
        <v xml:space="preserve"> </v>
      </c>
      <c r="JG110" s="10" t="str">
        <f t="shared" si="323"/>
        <v xml:space="preserve"> </v>
      </c>
      <c r="JH110" s="10" t="str">
        <f t="shared" si="323"/>
        <v xml:space="preserve"> </v>
      </c>
      <c r="JI110" s="10" t="str">
        <f t="shared" si="323"/>
        <v xml:space="preserve"> </v>
      </c>
    </row>
    <row r="111" spans="13:269">
      <c r="M111" s="10" t="str">
        <f t="shared" si="324"/>
        <v xml:space="preserve"> </v>
      </c>
      <c r="N111" s="10" t="str">
        <f t="shared" si="324"/>
        <v xml:space="preserve"> </v>
      </c>
      <c r="O111" s="10" t="str">
        <f t="shared" si="324"/>
        <v xml:space="preserve"> </v>
      </c>
      <c r="P111" s="10" t="str">
        <f t="shared" si="324"/>
        <v xml:space="preserve"> </v>
      </c>
      <c r="Q111" s="10" t="str">
        <f t="shared" si="324"/>
        <v xml:space="preserve"> </v>
      </c>
      <c r="R111" s="14"/>
      <c r="S111" s="14"/>
      <c r="T111" s="10" t="str">
        <f t="shared" si="288"/>
        <v xml:space="preserve"> </v>
      </c>
      <c r="U111" s="10" t="str">
        <f t="shared" si="288"/>
        <v xml:space="preserve"> </v>
      </c>
      <c r="V111" s="10" t="str">
        <f t="shared" si="288"/>
        <v xml:space="preserve"> </v>
      </c>
      <c r="W111" s="10" t="str">
        <f t="shared" si="288"/>
        <v xml:space="preserve"> </v>
      </c>
      <c r="X111" s="10" t="str">
        <f t="shared" si="288"/>
        <v xml:space="preserve"> </v>
      </c>
      <c r="Y111" s="14"/>
      <c r="Z111" s="14"/>
      <c r="AA111" s="10" t="str">
        <f t="shared" si="289"/>
        <v xml:space="preserve"> </v>
      </c>
      <c r="AB111" s="10" t="str">
        <f t="shared" si="289"/>
        <v xml:space="preserve"> </v>
      </c>
      <c r="AC111" s="10" t="str">
        <f t="shared" si="289"/>
        <v xml:space="preserve"> </v>
      </c>
      <c r="AD111" s="10" t="str">
        <f t="shared" si="289"/>
        <v xml:space="preserve"> </v>
      </c>
      <c r="AE111" s="10" t="str">
        <f t="shared" si="289"/>
        <v xml:space="preserve"> </v>
      </c>
      <c r="AF111" s="14"/>
      <c r="AG111" s="14"/>
      <c r="AH111" s="10" t="str">
        <f t="shared" si="290"/>
        <v xml:space="preserve"> </v>
      </c>
      <c r="AI111" s="10" t="str">
        <f t="shared" si="290"/>
        <v xml:space="preserve"> </v>
      </c>
      <c r="AJ111" s="10" t="str">
        <f t="shared" si="290"/>
        <v xml:space="preserve"> </v>
      </c>
      <c r="AK111" s="10" t="str">
        <f t="shared" si="290"/>
        <v xml:space="preserve"> </v>
      </c>
      <c r="AL111" s="10" t="str">
        <f t="shared" si="290"/>
        <v xml:space="preserve"> </v>
      </c>
      <c r="AM111" s="14"/>
      <c r="AN111" s="14"/>
      <c r="AO111" s="10" t="str">
        <f t="shared" si="291"/>
        <v xml:space="preserve"> </v>
      </c>
      <c r="AP111" s="10" t="str">
        <f t="shared" si="291"/>
        <v xml:space="preserve"> </v>
      </c>
      <c r="AQ111" s="10" t="str">
        <f t="shared" si="291"/>
        <v xml:space="preserve"> </v>
      </c>
      <c r="AR111" s="10" t="str">
        <f t="shared" si="291"/>
        <v xml:space="preserve"> </v>
      </c>
      <c r="AS111" s="10" t="str">
        <f t="shared" si="291"/>
        <v xml:space="preserve"> </v>
      </c>
      <c r="AT111" s="14"/>
      <c r="AU111" s="14"/>
      <c r="AV111" s="10" t="str">
        <f t="shared" si="292"/>
        <v xml:space="preserve"> </v>
      </c>
      <c r="AW111" s="10" t="str">
        <f t="shared" si="292"/>
        <v xml:space="preserve"> </v>
      </c>
      <c r="AX111" s="10" t="str">
        <f t="shared" si="292"/>
        <v xml:space="preserve"> </v>
      </c>
      <c r="AY111" s="10" t="str">
        <f t="shared" si="292"/>
        <v xml:space="preserve"> </v>
      </c>
      <c r="AZ111" s="10" t="str">
        <f t="shared" si="292"/>
        <v xml:space="preserve"> </v>
      </c>
      <c r="BA111" s="14"/>
      <c r="BB111" s="14"/>
      <c r="BC111" s="10" t="str">
        <f t="shared" si="293"/>
        <v xml:space="preserve"> </v>
      </c>
      <c r="BD111" s="10" t="str">
        <f t="shared" si="293"/>
        <v xml:space="preserve"> </v>
      </c>
      <c r="BE111" s="10" t="str">
        <f t="shared" si="293"/>
        <v xml:space="preserve"> </v>
      </c>
      <c r="BF111" s="10" t="str">
        <f t="shared" si="293"/>
        <v xml:space="preserve"> </v>
      </c>
      <c r="BG111" s="10" t="str">
        <f t="shared" si="293"/>
        <v xml:space="preserve"> </v>
      </c>
      <c r="BH111" s="14"/>
      <c r="BI111" s="14"/>
      <c r="BJ111" s="10" t="str">
        <f t="shared" si="294"/>
        <v xml:space="preserve"> </v>
      </c>
      <c r="BK111" s="10" t="str">
        <f t="shared" si="294"/>
        <v xml:space="preserve"> </v>
      </c>
      <c r="BL111" s="10" t="str">
        <f t="shared" si="294"/>
        <v xml:space="preserve"> </v>
      </c>
      <c r="BM111" s="10" t="str">
        <f t="shared" si="294"/>
        <v xml:space="preserve"> </v>
      </c>
      <c r="BN111" s="10" t="str">
        <f t="shared" si="294"/>
        <v xml:space="preserve"> </v>
      </c>
      <c r="BO111" s="14"/>
      <c r="BP111" s="14"/>
      <c r="BQ111" s="10" t="str">
        <f t="shared" si="295"/>
        <v xml:space="preserve"> </v>
      </c>
      <c r="BR111" s="10" t="str">
        <f t="shared" si="295"/>
        <v xml:space="preserve"> </v>
      </c>
      <c r="BS111" s="10" t="str">
        <f t="shared" si="295"/>
        <v xml:space="preserve"> </v>
      </c>
      <c r="BT111" s="10" t="str">
        <f t="shared" si="295"/>
        <v xml:space="preserve"> </v>
      </c>
      <c r="BU111" s="10" t="str">
        <f t="shared" si="295"/>
        <v xml:space="preserve"> </v>
      </c>
      <c r="BV111" s="14"/>
      <c r="BW111" s="14"/>
      <c r="BX111" s="10" t="str">
        <f t="shared" si="296"/>
        <v xml:space="preserve"> </v>
      </c>
      <c r="BY111" s="10" t="str">
        <f t="shared" si="296"/>
        <v xml:space="preserve"> </v>
      </c>
      <c r="BZ111" s="10" t="str">
        <f t="shared" si="296"/>
        <v xml:space="preserve"> </v>
      </c>
      <c r="CA111" s="10" t="str">
        <f t="shared" si="296"/>
        <v xml:space="preserve"> </v>
      </c>
      <c r="CB111" s="10" t="str">
        <f t="shared" si="296"/>
        <v xml:space="preserve"> </v>
      </c>
      <c r="CC111" s="14"/>
      <c r="CD111" s="14"/>
      <c r="CE111" s="10" t="str">
        <f t="shared" si="297"/>
        <v xml:space="preserve"> </v>
      </c>
      <c r="CF111" s="10" t="str">
        <f t="shared" si="297"/>
        <v xml:space="preserve"> </v>
      </c>
      <c r="CG111" s="10" t="str">
        <f t="shared" si="297"/>
        <v xml:space="preserve"> </v>
      </c>
      <c r="CH111" s="10" t="str">
        <f t="shared" si="297"/>
        <v xml:space="preserve"> </v>
      </c>
      <c r="CI111" s="10" t="str">
        <f t="shared" si="297"/>
        <v xml:space="preserve"> </v>
      </c>
      <c r="CJ111" s="14"/>
      <c r="CK111" s="14"/>
      <c r="CL111" s="10" t="str">
        <f t="shared" si="298"/>
        <v xml:space="preserve"> </v>
      </c>
      <c r="CM111" s="10" t="str">
        <f t="shared" si="298"/>
        <v xml:space="preserve"> </v>
      </c>
      <c r="CN111" s="10" t="str">
        <f t="shared" si="298"/>
        <v xml:space="preserve"> </v>
      </c>
      <c r="CO111" s="10" t="str">
        <f t="shared" si="298"/>
        <v xml:space="preserve"> </v>
      </c>
      <c r="CP111" s="10" t="str">
        <f t="shared" si="298"/>
        <v xml:space="preserve"> </v>
      </c>
      <c r="CQ111" s="14"/>
      <c r="CR111" s="14"/>
      <c r="CS111" s="10" t="str">
        <f t="shared" si="299"/>
        <v xml:space="preserve"> </v>
      </c>
      <c r="CT111" s="10" t="str">
        <f t="shared" si="299"/>
        <v xml:space="preserve"> </v>
      </c>
      <c r="CU111" s="10" t="str">
        <f t="shared" si="299"/>
        <v xml:space="preserve"> </v>
      </c>
      <c r="CV111" s="10" t="str">
        <f t="shared" si="299"/>
        <v xml:space="preserve"> </v>
      </c>
      <c r="CW111" s="10" t="str">
        <f t="shared" si="299"/>
        <v xml:space="preserve"> </v>
      </c>
      <c r="CZ111" s="10" t="str">
        <f t="shared" si="300"/>
        <v xml:space="preserve"> </v>
      </c>
      <c r="DA111" s="10" t="str">
        <f t="shared" si="300"/>
        <v xml:space="preserve"> </v>
      </c>
      <c r="DB111" s="10" t="str">
        <f t="shared" si="300"/>
        <v xml:space="preserve"> </v>
      </c>
      <c r="DC111" s="10" t="str">
        <f t="shared" si="300"/>
        <v xml:space="preserve"> </v>
      </c>
      <c r="DD111" s="10" t="str">
        <f t="shared" si="300"/>
        <v xml:space="preserve"> </v>
      </c>
      <c r="DG111" s="10" t="str">
        <f t="shared" si="301"/>
        <v xml:space="preserve"> </v>
      </c>
      <c r="DH111" s="10" t="str">
        <f t="shared" si="301"/>
        <v xml:space="preserve"> </v>
      </c>
      <c r="DI111" s="10" t="str">
        <f t="shared" si="301"/>
        <v xml:space="preserve"> </v>
      </c>
      <c r="DJ111" s="10" t="str">
        <f t="shared" si="301"/>
        <v xml:space="preserve"> </v>
      </c>
      <c r="DK111" s="10" t="str">
        <f t="shared" si="301"/>
        <v xml:space="preserve"> </v>
      </c>
      <c r="DN111" s="10" t="str">
        <f t="shared" si="302"/>
        <v xml:space="preserve"> </v>
      </c>
      <c r="DO111" s="10" t="str">
        <f t="shared" si="302"/>
        <v xml:space="preserve"> </v>
      </c>
      <c r="DP111" s="10" t="str">
        <f t="shared" si="302"/>
        <v xml:space="preserve"> </v>
      </c>
      <c r="DQ111" s="10" t="str">
        <f t="shared" si="302"/>
        <v xml:space="preserve"> </v>
      </c>
      <c r="DR111" s="10" t="str">
        <f t="shared" si="302"/>
        <v xml:space="preserve"> </v>
      </c>
      <c r="DU111" s="10" t="str">
        <f t="shared" si="303"/>
        <v xml:space="preserve"> </v>
      </c>
      <c r="DV111" s="10" t="str">
        <f t="shared" si="303"/>
        <v xml:space="preserve"> </v>
      </c>
      <c r="DW111" s="10" t="str">
        <f t="shared" si="303"/>
        <v xml:space="preserve"> </v>
      </c>
      <c r="DX111" s="10" t="str">
        <f t="shared" si="303"/>
        <v xml:space="preserve"> </v>
      </c>
      <c r="DY111" s="10" t="str">
        <f t="shared" si="303"/>
        <v xml:space="preserve"> </v>
      </c>
      <c r="EB111" s="10" t="str">
        <f t="shared" si="304"/>
        <v xml:space="preserve"> </v>
      </c>
      <c r="EC111" s="10" t="str">
        <f t="shared" si="304"/>
        <v xml:space="preserve"> </v>
      </c>
      <c r="ED111" s="10" t="str">
        <f t="shared" si="304"/>
        <v xml:space="preserve"> </v>
      </c>
      <c r="EE111" s="10" t="str">
        <f t="shared" si="304"/>
        <v xml:space="preserve"> </v>
      </c>
      <c r="EF111" s="10" t="str">
        <f t="shared" si="304"/>
        <v xml:space="preserve"> </v>
      </c>
      <c r="EI111" s="10" t="str">
        <f t="shared" si="305"/>
        <v xml:space="preserve"> </v>
      </c>
      <c r="EJ111" s="10" t="str">
        <f t="shared" si="305"/>
        <v xml:space="preserve"> </v>
      </c>
      <c r="EK111" s="10" t="str">
        <f t="shared" si="305"/>
        <v xml:space="preserve"> </v>
      </c>
      <c r="EL111" s="10" t="str">
        <f t="shared" si="305"/>
        <v xml:space="preserve"> </v>
      </c>
      <c r="EM111" s="10" t="str">
        <f t="shared" si="305"/>
        <v xml:space="preserve"> </v>
      </c>
      <c r="EP111" s="10" t="str">
        <f t="shared" si="306"/>
        <v xml:space="preserve"> </v>
      </c>
      <c r="EQ111" s="10" t="str">
        <f t="shared" si="306"/>
        <v xml:space="preserve"> </v>
      </c>
      <c r="ER111" s="10" t="str">
        <f t="shared" si="306"/>
        <v xml:space="preserve"> </v>
      </c>
      <c r="ES111" s="10" t="str">
        <f t="shared" si="306"/>
        <v xml:space="preserve"> </v>
      </c>
      <c r="ET111" s="10" t="str">
        <f t="shared" si="306"/>
        <v xml:space="preserve"> </v>
      </c>
      <c r="EW111" s="10" t="str">
        <f t="shared" si="307"/>
        <v xml:space="preserve"> </v>
      </c>
      <c r="EX111" s="10" t="str">
        <f t="shared" si="307"/>
        <v xml:space="preserve"> </v>
      </c>
      <c r="EY111" s="10" t="str">
        <f t="shared" si="307"/>
        <v xml:space="preserve"> </v>
      </c>
      <c r="EZ111" s="10" t="str">
        <f t="shared" si="307"/>
        <v xml:space="preserve"> </v>
      </c>
      <c r="FA111" s="10" t="str">
        <f t="shared" si="307"/>
        <v xml:space="preserve"> </v>
      </c>
      <c r="FD111" s="10" t="str">
        <f t="shared" si="308"/>
        <v xml:space="preserve"> </v>
      </c>
      <c r="FE111" s="10" t="str">
        <f t="shared" si="308"/>
        <v xml:space="preserve"> </v>
      </c>
      <c r="FF111" s="10" t="str">
        <f t="shared" si="308"/>
        <v xml:space="preserve"> </v>
      </c>
      <c r="FG111" s="10" t="str">
        <f t="shared" si="308"/>
        <v xml:space="preserve"> </v>
      </c>
      <c r="FH111" s="10" t="str">
        <f t="shared" si="308"/>
        <v xml:space="preserve"> </v>
      </c>
      <c r="FK111" s="10" t="str">
        <f t="shared" si="309"/>
        <v xml:space="preserve"> </v>
      </c>
      <c r="FL111" s="10" t="str">
        <f t="shared" si="309"/>
        <v xml:space="preserve"> </v>
      </c>
      <c r="FM111" s="10" t="str">
        <f t="shared" si="309"/>
        <v xml:space="preserve"> </v>
      </c>
      <c r="FN111" s="10" t="str">
        <f t="shared" si="309"/>
        <v xml:space="preserve"> </v>
      </c>
      <c r="FO111" s="10" t="str">
        <f t="shared" si="309"/>
        <v xml:space="preserve"> </v>
      </c>
      <c r="FR111" s="10" t="str">
        <f t="shared" si="310"/>
        <v xml:space="preserve"> </v>
      </c>
      <c r="FS111" s="10" t="str">
        <f t="shared" si="310"/>
        <v xml:space="preserve"> </v>
      </c>
      <c r="FT111" s="10" t="str">
        <f t="shared" si="310"/>
        <v xml:space="preserve"> </v>
      </c>
      <c r="FU111" s="10" t="str">
        <f t="shared" si="310"/>
        <v xml:space="preserve"> </v>
      </c>
      <c r="FV111" s="10" t="str">
        <f t="shared" si="310"/>
        <v xml:space="preserve"> </v>
      </c>
      <c r="FY111" s="10" t="str">
        <f t="shared" si="311"/>
        <v xml:space="preserve"> </v>
      </c>
      <c r="FZ111" s="10" t="str">
        <f t="shared" si="311"/>
        <v xml:space="preserve"> </v>
      </c>
      <c r="GA111" s="10" t="str">
        <f t="shared" si="311"/>
        <v xml:space="preserve"> </v>
      </c>
      <c r="GB111" s="10" t="str">
        <f t="shared" si="311"/>
        <v xml:space="preserve"> </v>
      </c>
      <c r="GC111" s="10" t="str">
        <f t="shared" si="311"/>
        <v xml:space="preserve"> </v>
      </c>
      <c r="GF111" s="10" t="str">
        <f t="shared" si="312"/>
        <v xml:space="preserve"> </v>
      </c>
      <c r="GG111" s="10" t="str">
        <f t="shared" si="312"/>
        <v xml:space="preserve"> </v>
      </c>
      <c r="GH111" s="10" t="str">
        <f t="shared" si="312"/>
        <v xml:space="preserve"> </v>
      </c>
      <c r="GI111" s="10" t="str">
        <f t="shared" si="312"/>
        <v xml:space="preserve"> </v>
      </c>
      <c r="GJ111" s="10" t="str">
        <f t="shared" si="312"/>
        <v xml:space="preserve"> </v>
      </c>
      <c r="GM111" s="10" t="str">
        <f t="shared" si="313"/>
        <v xml:space="preserve"> </v>
      </c>
      <c r="GN111" s="10" t="str">
        <f t="shared" si="313"/>
        <v xml:space="preserve"> </v>
      </c>
      <c r="GO111" s="10" t="str">
        <f t="shared" si="313"/>
        <v xml:space="preserve"> </v>
      </c>
      <c r="GP111" s="10" t="str">
        <f t="shared" si="313"/>
        <v xml:space="preserve"> </v>
      </c>
      <c r="GQ111" s="10" t="str">
        <f t="shared" si="313"/>
        <v xml:space="preserve"> </v>
      </c>
      <c r="GT111" s="10" t="str">
        <f t="shared" si="314"/>
        <v xml:space="preserve"> </v>
      </c>
      <c r="GU111" s="10" t="str">
        <f t="shared" si="314"/>
        <v xml:space="preserve"> </v>
      </c>
      <c r="GV111" s="10" t="str">
        <f t="shared" si="314"/>
        <v xml:space="preserve"> </v>
      </c>
      <c r="GW111" s="10" t="str">
        <f t="shared" si="314"/>
        <v xml:space="preserve"> </v>
      </c>
      <c r="GX111" s="10" t="str">
        <f t="shared" si="314"/>
        <v xml:space="preserve"> </v>
      </c>
      <c r="HA111" s="10" t="str">
        <f t="shared" si="315"/>
        <v xml:space="preserve"> </v>
      </c>
      <c r="HB111" s="10" t="str">
        <f t="shared" si="315"/>
        <v xml:space="preserve"> </v>
      </c>
      <c r="HC111" s="10" t="str">
        <f t="shared" si="315"/>
        <v xml:space="preserve"> </v>
      </c>
      <c r="HD111" s="10" t="str">
        <f t="shared" si="315"/>
        <v xml:space="preserve"> </v>
      </c>
      <c r="HE111" s="10" t="str">
        <f t="shared" si="315"/>
        <v xml:space="preserve"> </v>
      </c>
      <c r="HH111" s="10" t="str">
        <f t="shared" si="316"/>
        <v xml:space="preserve"> </v>
      </c>
      <c r="HI111" s="10" t="str">
        <f t="shared" si="316"/>
        <v xml:space="preserve"> </v>
      </c>
      <c r="HJ111" s="10" t="str">
        <f t="shared" si="316"/>
        <v xml:space="preserve"> </v>
      </c>
      <c r="HK111" s="10" t="str">
        <f t="shared" si="316"/>
        <v xml:space="preserve"> </v>
      </c>
      <c r="HL111" s="10" t="str">
        <f t="shared" si="316"/>
        <v xml:space="preserve"> </v>
      </c>
      <c r="HO111" s="10" t="str">
        <f t="shared" si="317"/>
        <v xml:space="preserve"> </v>
      </c>
      <c r="HP111" s="10" t="str">
        <f t="shared" si="317"/>
        <v xml:space="preserve"> </v>
      </c>
      <c r="HQ111" s="10" t="str">
        <f t="shared" si="317"/>
        <v xml:space="preserve"> </v>
      </c>
      <c r="HR111" s="10" t="str">
        <f t="shared" si="317"/>
        <v xml:space="preserve"> </v>
      </c>
      <c r="HS111" s="10" t="str">
        <f t="shared" si="317"/>
        <v xml:space="preserve"> </v>
      </c>
      <c r="HV111" s="10" t="str">
        <f t="shared" si="318"/>
        <v xml:space="preserve"> </v>
      </c>
      <c r="HW111" s="10" t="str">
        <f t="shared" si="318"/>
        <v xml:space="preserve"> </v>
      </c>
      <c r="HX111" s="10" t="str">
        <f t="shared" si="318"/>
        <v xml:space="preserve"> </v>
      </c>
      <c r="HY111" s="10" t="str">
        <f t="shared" si="318"/>
        <v xml:space="preserve"> </v>
      </c>
      <c r="HZ111" s="10" t="str">
        <f t="shared" si="318"/>
        <v xml:space="preserve"> </v>
      </c>
      <c r="IC111" s="10" t="str">
        <f t="shared" si="319"/>
        <v xml:space="preserve"> </v>
      </c>
      <c r="ID111" s="10" t="str">
        <f t="shared" si="319"/>
        <v xml:space="preserve"> </v>
      </c>
      <c r="IE111" s="10" t="str">
        <f t="shared" si="319"/>
        <v xml:space="preserve"> </v>
      </c>
      <c r="IF111" s="10" t="str">
        <f t="shared" si="319"/>
        <v xml:space="preserve"> </v>
      </c>
      <c r="IG111" s="10" t="str">
        <f t="shared" si="319"/>
        <v xml:space="preserve"> </v>
      </c>
      <c r="IJ111" s="10" t="str">
        <f t="shared" si="320"/>
        <v xml:space="preserve"> </v>
      </c>
      <c r="IK111" s="10" t="str">
        <f t="shared" si="320"/>
        <v xml:space="preserve"> </v>
      </c>
      <c r="IL111" s="10" t="str">
        <f t="shared" si="320"/>
        <v xml:space="preserve"> </v>
      </c>
      <c r="IM111" s="10" t="str">
        <f t="shared" si="320"/>
        <v xml:space="preserve"> </v>
      </c>
      <c r="IN111" s="10" t="str">
        <f t="shared" si="320"/>
        <v xml:space="preserve"> </v>
      </c>
      <c r="IQ111" s="10" t="str">
        <f t="shared" si="321"/>
        <v xml:space="preserve"> </v>
      </c>
      <c r="IR111" s="10" t="str">
        <f t="shared" si="321"/>
        <v xml:space="preserve"> </v>
      </c>
      <c r="IS111" s="10" t="str">
        <f t="shared" si="321"/>
        <v xml:space="preserve"> </v>
      </c>
      <c r="IT111" s="10" t="str">
        <f t="shared" si="321"/>
        <v xml:space="preserve"> </v>
      </c>
      <c r="IU111" s="10" t="str">
        <f t="shared" si="321"/>
        <v xml:space="preserve"> </v>
      </c>
      <c r="IX111" s="10" t="str">
        <f t="shared" si="322"/>
        <v xml:space="preserve"> </v>
      </c>
      <c r="IY111" s="10" t="str">
        <f t="shared" si="322"/>
        <v xml:space="preserve"> </v>
      </c>
      <c r="IZ111" s="10" t="str">
        <f t="shared" si="322"/>
        <v xml:space="preserve"> </v>
      </c>
      <c r="JA111" s="10" t="str">
        <f t="shared" si="322"/>
        <v xml:space="preserve"> </v>
      </c>
      <c r="JB111" s="10" t="str">
        <f t="shared" si="322"/>
        <v xml:space="preserve"> </v>
      </c>
      <c r="JE111" s="10" t="str">
        <f t="shared" si="323"/>
        <v xml:space="preserve"> </v>
      </c>
      <c r="JF111" s="10" t="str">
        <f t="shared" si="323"/>
        <v xml:space="preserve"> </v>
      </c>
      <c r="JG111" s="10" t="str">
        <f t="shared" si="323"/>
        <v xml:space="preserve"> </v>
      </c>
      <c r="JH111" s="10" t="str">
        <f t="shared" si="323"/>
        <v xml:space="preserve"> </v>
      </c>
      <c r="JI111" s="10" t="str">
        <f t="shared" si="323"/>
        <v xml:space="preserve"> </v>
      </c>
    </row>
    <row r="112" spans="13:269">
      <c r="M112" s="10" t="str">
        <f t="shared" si="324"/>
        <v xml:space="preserve"> </v>
      </c>
      <c r="N112" s="10" t="str">
        <f t="shared" si="324"/>
        <v xml:space="preserve"> </v>
      </c>
      <c r="O112" s="10" t="str">
        <f t="shared" si="324"/>
        <v xml:space="preserve"> </v>
      </c>
      <c r="P112" s="10" t="str">
        <f t="shared" si="324"/>
        <v xml:space="preserve"> </v>
      </c>
      <c r="Q112" s="10" t="str">
        <f t="shared" si="324"/>
        <v xml:space="preserve"> </v>
      </c>
      <c r="R112" s="14"/>
      <c r="S112" s="14"/>
      <c r="T112" s="10" t="str">
        <f t="shared" si="288"/>
        <v xml:space="preserve"> </v>
      </c>
      <c r="U112" s="10" t="str">
        <f t="shared" si="288"/>
        <v xml:space="preserve"> </v>
      </c>
      <c r="V112" s="10" t="str">
        <f t="shared" si="288"/>
        <v xml:space="preserve"> </v>
      </c>
      <c r="W112" s="10" t="str">
        <f t="shared" si="288"/>
        <v xml:space="preserve"> </v>
      </c>
      <c r="X112" s="10" t="str">
        <f t="shared" si="288"/>
        <v xml:space="preserve"> </v>
      </c>
      <c r="Y112" s="14"/>
      <c r="Z112" s="14"/>
      <c r="AA112" s="10" t="str">
        <f t="shared" si="289"/>
        <v xml:space="preserve"> </v>
      </c>
      <c r="AB112" s="10" t="str">
        <f t="shared" si="289"/>
        <v xml:space="preserve"> </v>
      </c>
      <c r="AC112" s="10" t="str">
        <f t="shared" si="289"/>
        <v xml:space="preserve"> </v>
      </c>
      <c r="AD112" s="10" t="str">
        <f t="shared" si="289"/>
        <v xml:space="preserve"> </v>
      </c>
      <c r="AE112" s="10" t="str">
        <f t="shared" si="289"/>
        <v xml:space="preserve"> </v>
      </c>
      <c r="AF112" s="14"/>
      <c r="AG112" s="14"/>
      <c r="AH112" s="10" t="str">
        <f t="shared" si="290"/>
        <v xml:space="preserve"> </v>
      </c>
      <c r="AI112" s="10" t="str">
        <f t="shared" si="290"/>
        <v xml:space="preserve"> </v>
      </c>
      <c r="AJ112" s="10" t="str">
        <f t="shared" si="290"/>
        <v xml:space="preserve"> </v>
      </c>
      <c r="AK112" s="10" t="str">
        <f t="shared" si="290"/>
        <v xml:space="preserve"> </v>
      </c>
      <c r="AL112" s="10" t="str">
        <f t="shared" si="290"/>
        <v xml:space="preserve"> </v>
      </c>
      <c r="AM112" s="14"/>
      <c r="AN112" s="14"/>
      <c r="AO112" s="10" t="str">
        <f t="shared" si="291"/>
        <v xml:space="preserve"> </v>
      </c>
      <c r="AP112" s="10" t="str">
        <f t="shared" si="291"/>
        <v xml:space="preserve"> </v>
      </c>
      <c r="AQ112" s="10" t="str">
        <f t="shared" si="291"/>
        <v xml:space="preserve"> </v>
      </c>
      <c r="AR112" s="10" t="str">
        <f t="shared" si="291"/>
        <v xml:space="preserve"> </v>
      </c>
      <c r="AS112" s="10" t="str">
        <f t="shared" si="291"/>
        <v xml:space="preserve"> </v>
      </c>
      <c r="AT112" s="14"/>
      <c r="AU112" s="14"/>
      <c r="AV112" s="10" t="str">
        <f t="shared" si="292"/>
        <v xml:space="preserve"> </v>
      </c>
      <c r="AW112" s="10" t="str">
        <f t="shared" si="292"/>
        <v xml:space="preserve"> </v>
      </c>
      <c r="AX112" s="10" t="str">
        <f t="shared" si="292"/>
        <v xml:space="preserve"> </v>
      </c>
      <c r="AY112" s="10" t="str">
        <f t="shared" si="292"/>
        <v xml:space="preserve"> </v>
      </c>
      <c r="AZ112" s="10" t="str">
        <f t="shared" si="292"/>
        <v xml:space="preserve"> </v>
      </c>
      <c r="BA112" s="14"/>
      <c r="BB112" s="14"/>
      <c r="BC112" s="10" t="str">
        <f t="shared" si="293"/>
        <v xml:space="preserve"> </v>
      </c>
      <c r="BD112" s="10" t="str">
        <f t="shared" si="293"/>
        <v xml:space="preserve"> </v>
      </c>
      <c r="BE112" s="10" t="str">
        <f t="shared" si="293"/>
        <v xml:space="preserve"> </v>
      </c>
      <c r="BF112" s="10" t="str">
        <f t="shared" si="293"/>
        <v xml:space="preserve"> </v>
      </c>
      <c r="BG112" s="10" t="str">
        <f t="shared" si="293"/>
        <v xml:space="preserve"> </v>
      </c>
      <c r="BH112" s="14"/>
      <c r="BI112" s="14"/>
      <c r="BJ112" s="10" t="str">
        <f t="shared" si="294"/>
        <v xml:space="preserve"> </v>
      </c>
      <c r="BK112" s="10" t="str">
        <f t="shared" si="294"/>
        <v xml:space="preserve"> </v>
      </c>
      <c r="BL112" s="10" t="str">
        <f t="shared" si="294"/>
        <v xml:space="preserve"> </v>
      </c>
      <c r="BM112" s="10" t="str">
        <f t="shared" si="294"/>
        <v xml:space="preserve"> </v>
      </c>
      <c r="BN112" s="10" t="str">
        <f t="shared" si="294"/>
        <v xml:space="preserve"> </v>
      </c>
      <c r="BO112" s="14"/>
      <c r="BP112" s="14"/>
      <c r="BQ112" s="10" t="str">
        <f t="shared" si="295"/>
        <v xml:space="preserve"> </v>
      </c>
      <c r="BR112" s="10" t="str">
        <f t="shared" si="295"/>
        <v xml:space="preserve"> </v>
      </c>
      <c r="BS112" s="10" t="str">
        <f t="shared" si="295"/>
        <v xml:space="preserve"> </v>
      </c>
      <c r="BT112" s="10" t="str">
        <f t="shared" si="295"/>
        <v xml:space="preserve"> </v>
      </c>
      <c r="BU112" s="10" t="str">
        <f t="shared" si="295"/>
        <v xml:space="preserve"> </v>
      </c>
      <c r="BV112" s="14"/>
      <c r="BW112" s="14"/>
      <c r="BX112" s="10" t="str">
        <f t="shared" si="296"/>
        <v xml:space="preserve"> </v>
      </c>
      <c r="BY112" s="10" t="str">
        <f t="shared" si="296"/>
        <v xml:space="preserve"> </v>
      </c>
      <c r="BZ112" s="10" t="str">
        <f t="shared" si="296"/>
        <v xml:space="preserve"> </v>
      </c>
      <c r="CA112" s="10" t="str">
        <f t="shared" si="296"/>
        <v xml:space="preserve"> </v>
      </c>
      <c r="CB112" s="10" t="str">
        <f t="shared" si="296"/>
        <v xml:space="preserve"> </v>
      </c>
      <c r="CC112" s="14"/>
      <c r="CD112" s="14"/>
      <c r="CE112" s="10" t="str">
        <f t="shared" si="297"/>
        <v xml:space="preserve"> </v>
      </c>
      <c r="CF112" s="10" t="str">
        <f t="shared" si="297"/>
        <v xml:space="preserve"> </v>
      </c>
      <c r="CG112" s="10" t="str">
        <f t="shared" si="297"/>
        <v xml:space="preserve"> </v>
      </c>
      <c r="CH112" s="10" t="str">
        <f t="shared" si="297"/>
        <v xml:space="preserve"> </v>
      </c>
      <c r="CI112" s="10" t="str">
        <f t="shared" si="297"/>
        <v xml:space="preserve"> </v>
      </c>
      <c r="CJ112" s="14"/>
      <c r="CK112" s="14"/>
      <c r="CL112" s="10" t="str">
        <f t="shared" si="298"/>
        <v xml:space="preserve"> </v>
      </c>
      <c r="CM112" s="10" t="str">
        <f t="shared" si="298"/>
        <v xml:space="preserve"> </v>
      </c>
      <c r="CN112" s="10" t="str">
        <f t="shared" si="298"/>
        <v xml:space="preserve"> </v>
      </c>
      <c r="CO112" s="10" t="str">
        <f t="shared" si="298"/>
        <v xml:space="preserve"> </v>
      </c>
      <c r="CP112" s="10" t="str">
        <f t="shared" si="298"/>
        <v xml:space="preserve"> </v>
      </c>
      <c r="CQ112" s="14"/>
      <c r="CR112" s="14"/>
      <c r="CS112" s="10" t="str">
        <f t="shared" si="299"/>
        <v xml:space="preserve"> </v>
      </c>
      <c r="CT112" s="10" t="str">
        <f t="shared" si="299"/>
        <v xml:space="preserve"> </v>
      </c>
      <c r="CU112" s="10" t="str">
        <f t="shared" si="299"/>
        <v xml:space="preserve"> </v>
      </c>
      <c r="CV112" s="10" t="str">
        <f t="shared" si="299"/>
        <v xml:space="preserve"> </v>
      </c>
      <c r="CW112" s="10" t="str">
        <f t="shared" si="299"/>
        <v xml:space="preserve"> </v>
      </c>
      <c r="CZ112" s="10" t="str">
        <f t="shared" si="300"/>
        <v xml:space="preserve"> </v>
      </c>
      <c r="DA112" s="10" t="str">
        <f t="shared" si="300"/>
        <v xml:space="preserve"> </v>
      </c>
      <c r="DB112" s="10" t="str">
        <f t="shared" si="300"/>
        <v xml:space="preserve"> </v>
      </c>
      <c r="DC112" s="10" t="str">
        <f t="shared" si="300"/>
        <v xml:space="preserve"> </v>
      </c>
      <c r="DD112" s="10" t="str">
        <f t="shared" si="300"/>
        <v xml:space="preserve"> </v>
      </c>
      <c r="DG112" s="10" t="str">
        <f t="shared" si="301"/>
        <v xml:space="preserve"> </v>
      </c>
      <c r="DH112" s="10" t="str">
        <f t="shared" si="301"/>
        <v xml:space="preserve"> </v>
      </c>
      <c r="DI112" s="10" t="str">
        <f t="shared" si="301"/>
        <v xml:space="preserve"> </v>
      </c>
      <c r="DJ112" s="10" t="str">
        <f t="shared" si="301"/>
        <v xml:space="preserve"> </v>
      </c>
      <c r="DK112" s="10" t="str">
        <f t="shared" si="301"/>
        <v xml:space="preserve"> </v>
      </c>
      <c r="DN112" s="10" t="str">
        <f t="shared" si="302"/>
        <v xml:space="preserve"> </v>
      </c>
      <c r="DO112" s="10" t="str">
        <f t="shared" si="302"/>
        <v xml:space="preserve"> </v>
      </c>
      <c r="DP112" s="10" t="str">
        <f t="shared" si="302"/>
        <v xml:space="preserve"> </v>
      </c>
      <c r="DQ112" s="10" t="str">
        <f t="shared" si="302"/>
        <v xml:space="preserve"> </v>
      </c>
      <c r="DR112" s="10" t="str">
        <f t="shared" si="302"/>
        <v xml:space="preserve"> </v>
      </c>
      <c r="DU112" s="10" t="str">
        <f t="shared" si="303"/>
        <v xml:space="preserve"> </v>
      </c>
      <c r="DV112" s="10" t="str">
        <f t="shared" si="303"/>
        <v xml:space="preserve"> </v>
      </c>
      <c r="DW112" s="10" t="str">
        <f t="shared" si="303"/>
        <v xml:space="preserve"> </v>
      </c>
      <c r="DX112" s="10" t="str">
        <f t="shared" si="303"/>
        <v xml:space="preserve"> </v>
      </c>
      <c r="DY112" s="10" t="str">
        <f t="shared" si="303"/>
        <v xml:space="preserve"> </v>
      </c>
      <c r="EB112" s="10" t="str">
        <f t="shared" si="304"/>
        <v xml:space="preserve"> </v>
      </c>
      <c r="EC112" s="10" t="str">
        <f t="shared" si="304"/>
        <v xml:space="preserve"> </v>
      </c>
      <c r="ED112" s="10" t="str">
        <f t="shared" si="304"/>
        <v xml:space="preserve"> </v>
      </c>
      <c r="EE112" s="10" t="str">
        <f t="shared" si="304"/>
        <v xml:space="preserve"> </v>
      </c>
      <c r="EF112" s="10" t="str">
        <f t="shared" si="304"/>
        <v xml:space="preserve"> </v>
      </c>
      <c r="EI112" s="10" t="str">
        <f t="shared" si="305"/>
        <v xml:space="preserve"> </v>
      </c>
      <c r="EJ112" s="10" t="str">
        <f t="shared" si="305"/>
        <v xml:space="preserve"> </v>
      </c>
      <c r="EK112" s="10" t="str">
        <f t="shared" si="305"/>
        <v xml:space="preserve"> </v>
      </c>
      <c r="EL112" s="10" t="str">
        <f t="shared" si="305"/>
        <v xml:space="preserve"> </v>
      </c>
      <c r="EM112" s="10" t="str">
        <f t="shared" si="305"/>
        <v xml:space="preserve"> </v>
      </c>
      <c r="EP112" s="10" t="str">
        <f t="shared" si="306"/>
        <v xml:space="preserve"> </v>
      </c>
      <c r="EQ112" s="10" t="str">
        <f t="shared" si="306"/>
        <v xml:space="preserve"> </v>
      </c>
      <c r="ER112" s="10" t="str">
        <f t="shared" si="306"/>
        <v xml:space="preserve"> </v>
      </c>
      <c r="ES112" s="10" t="str">
        <f t="shared" si="306"/>
        <v xml:space="preserve"> </v>
      </c>
      <c r="ET112" s="10" t="str">
        <f t="shared" si="306"/>
        <v xml:space="preserve"> </v>
      </c>
      <c r="EW112" s="10" t="str">
        <f t="shared" si="307"/>
        <v xml:space="preserve"> </v>
      </c>
      <c r="EX112" s="10" t="str">
        <f t="shared" si="307"/>
        <v xml:space="preserve"> </v>
      </c>
      <c r="EY112" s="10" t="str">
        <f t="shared" si="307"/>
        <v xml:space="preserve"> </v>
      </c>
      <c r="EZ112" s="10" t="str">
        <f t="shared" si="307"/>
        <v xml:space="preserve"> </v>
      </c>
      <c r="FA112" s="10" t="str">
        <f t="shared" si="307"/>
        <v xml:space="preserve"> </v>
      </c>
      <c r="FD112" s="10" t="str">
        <f t="shared" si="308"/>
        <v xml:space="preserve"> </v>
      </c>
      <c r="FE112" s="10" t="str">
        <f t="shared" si="308"/>
        <v xml:space="preserve"> </v>
      </c>
      <c r="FF112" s="10" t="str">
        <f t="shared" si="308"/>
        <v xml:space="preserve"> </v>
      </c>
      <c r="FG112" s="10" t="str">
        <f t="shared" si="308"/>
        <v xml:space="preserve"> </v>
      </c>
      <c r="FH112" s="10" t="str">
        <f t="shared" si="308"/>
        <v xml:space="preserve"> </v>
      </c>
      <c r="FK112" s="10" t="str">
        <f t="shared" si="309"/>
        <v xml:space="preserve"> </v>
      </c>
      <c r="FL112" s="10" t="str">
        <f t="shared" si="309"/>
        <v xml:space="preserve"> </v>
      </c>
      <c r="FM112" s="10" t="str">
        <f t="shared" si="309"/>
        <v xml:space="preserve"> </v>
      </c>
      <c r="FN112" s="10" t="str">
        <f t="shared" si="309"/>
        <v xml:space="preserve"> </v>
      </c>
      <c r="FO112" s="10" t="str">
        <f t="shared" si="309"/>
        <v xml:space="preserve"> </v>
      </c>
      <c r="FR112" s="10" t="str">
        <f t="shared" si="310"/>
        <v xml:space="preserve"> </v>
      </c>
      <c r="FS112" s="10" t="str">
        <f t="shared" si="310"/>
        <v xml:space="preserve"> </v>
      </c>
      <c r="FT112" s="10" t="str">
        <f t="shared" si="310"/>
        <v xml:space="preserve"> </v>
      </c>
      <c r="FU112" s="10" t="str">
        <f t="shared" si="310"/>
        <v xml:space="preserve"> </v>
      </c>
      <c r="FV112" s="10" t="str">
        <f t="shared" si="310"/>
        <v xml:space="preserve"> </v>
      </c>
      <c r="FY112" s="10" t="str">
        <f t="shared" si="311"/>
        <v xml:space="preserve"> </v>
      </c>
      <c r="FZ112" s="10" t="str">
        <f t="shared" si="311"/>
        <v xml:space="preserve"> </v>
      </c>
      <c r="GA112" s="10" t="str">
        <f t="shared" si="311"/>
        <v xml:space="preserve"> </v>
      </c>
      <c r="GB112" s="10" t="str">
        <f t="shared" si="311"/>
        <v xml:space="preserve"> </v>
      </c>
      <c r="GC112" s="10" t="str">
        <f t="shared" si="311"/>
        <v xml:space="preserve"> </v>
      </c>
      <c r="GF112" s="10" t="str">
        <f t="shared" si="312"/>
        <v xml:space="preserve"> </v>
      </c>
      <c r="GG112" s="10" t="str">
        <f t="shared" si="312"/>
        <v xml:space="preserve"> </v>
      </c>
      <c r="GH112" s="10" t="str">
        <f t="shared" si="312"/>
        <v xml:space="preserve"> </v>
      </c>
      <c r="GI112" s="10" t="str">
        <f t="shared" si="312"/>
        <v xml:space="preserve"> </v>
      </c>
      <c r="GJ112" s="10" t="str">
        <f t="shared" si="312"/>
        <v xml:space="preserve"> </v>
      </c>
      <c r="GM112" s="10" t="str">
        <f t="shared" si="313"/>
        <v xml:space="preserve"> </v>
      </c>
      <c r="GN112" s="10" t="str">
        <f t="shared" si="313"/>
        <v xml:space="preserve"> </v>
      </c>
      <c r="GO112" s="10" t="str">
        <f t="shared" si="313"/>
        <v xml:space="preserve"> </v>
      </c>
      <c r="GP112" s="10" t="str">
        <f t="shared" si="313"/>
        <v xml:space="preserve"> </v>
      </c>
      <c r="GQ112" s="10" t="str">
        <f t="shared" si="313"/>
        <v xml:space="preserve"> </v>
      </c>
      <c r="GT112" s="10" t="str">
        <f t="shared" si="314"/>
        <v xml:space="preserve"> </v>
      </c>
      <c r="GU112" s="10" t="str">
        <f t="shared" si="314"/>
        <v xml:space="preserve"> </v>
      </c>
      <c r="GV112" s="10" t="str">
        <f t="shared" si="314"/>
        <v xml:space="preserve"> </v>
      </c>
      <c r="GW112" s="10" t="str">
        <f t="shared" si="314"/>
        <v xml:space="preserve"> </v>
      </c>
      <c r="GX112" s="10" t="str">
        <f t="shared" si="314"/>
        <v xml:space="preserve"> </v>
      </c>
      <c r="HA112" s="10" t="str">
        <f t="shared" si="315"/>
        <v xml:space="preserve"> </v>
      </c>
      <c r="HB112" s="10" t="str">
        <f t="shared" si="315"/>
        <v xml:space="preserve"> </v>
      </c>
      <c r="HC112" s="10" t="str">
        <f t="shared" si="315"/>
        <v xml:space="preserve"> </v>
      </c>
      <c r="HD112" s="10" t="str">
        <f t="shared" si="315"/>
        <v xml:space="preserve"> </v>
      </c>
      <c r="HE112" s="10" t="str">
        <f t="shared" si="315"/>
        <v xml:space="preserve"> </v>
      </c>
      <c r="HH112" s="10" t="str">
        <f t="shared" si="316"/>
        <v xml:space="preserve"> </v>
      </c>
      <c r="HI112" s="10" t="str">
        <f t="shared" si="316"/>
        <v xml:space="preserve"> </v>
      </c>
      <c r="HJ112" s="10" t="str">
        <f t="shared" si="316"/>
        <v xml:space="preserve"> </v>
      </c>
      <c r="HK112" s="10" t="str">
        <f t="shared" si="316"/>
        <v xml:space="preserve"> </v>
      </c>
      <c r="HL112" s="10" t="str">
        <f t="shared" si="316"/>
        <v xml:space="preserve"> </v>
      </c>
      <c r="HO112" s="10" t="str">
        <f t="shared" si="317"/>
        <v xml:space="preserve"> </v>
      </c>
      <c r="HP112" s="10" t="str">
        <f t="shared" si="317"/>
        <v xml:space="preserve"> </v>
      </c>
      <c r="HQ112" s="10" t="str">
        <f t="shared" si="317"/>
        <v xml:space="preserve"> </v>
      </c>
      <c r="HR112" s="10" t="str">
        <f t="shared" si="317"/>
        <v xml:space="preserve"> </v>
      </c>
      <c r="HS112" s="10" t="str">
        <f t="shared" si="317"/>
        <v xml:space="preserve"> </v>
      </c>
      <c r="HV112" s="10" t="str">
        <f t="shared" si="318"/>
        <v xml:space="preserve"> </v>
      </c>
      <c r="HW112" s="10" t="str">
        <f t="shared" si="318"/>
        <v xml:space="preserve"> </v>
      </c>
      <c r="HX112" s="10" t="str">
        <f t="shared" si="318"/>
        <v xml:space="preserve"> </v>
      </c>
      <c r="HY112" s="10" t="str">
        <f t="shared" si="318"/>
        <v xml:space="preserve"> </v>
      </c>
      <c r="HZ112" s="10" t="str">
        <f t="shared" si="318"/>
        <v xml:space="preserve"> </v>
      </c>
      <c r="IC112" s="10" t="str">
        <f t="shared" si="319"/>
        <v xml:space="preserve"> </v>
      </c>
      <c r="ID112" s="10" t="str">
        <f t="shared" si="319"/>
        <v xml:space="preserve"> </v>
      </c>
      <c r="IE112" s="10" t="str">
        <f t="shared" si="319"/>
        <v xml:space="preserve"> </v>
      </c>
      <c r="IF112" s="10" t="str">
        <f t="shared" si="319"/>
        <v xml:space="preserve"> </v>
      </c>
      <c r="IG112" s="10" t="str">
        <f t="shared" si="319"/>
        <v xml:space="preserve"> </v>
      </c>
      <c r="IJ112" s="10" t="str">
        <f t="shared" si="320"/>
        <v xml:space="preserve"> </v>
      </c>
      <c r="IK112" s="10" t="str">
        <f t="shared" si="320"/>
        <v xml:space="preserve"> </v>
      </c>
      <c r="IL112" s="10" t="str">
        <f t="shared" si="320"/>
        <v xml:space="preserve"> </v>
      </c>
      <c r="IM112" s="10" t="str">
        <f t="shared" si="320"/>
        <v xml:space="preserve"> </v>
      </c>
      <c r="IN112" s="10" t="str">
        <f t="shared" si="320"/>
        <v xml:space="preserve"> </v>
      </c>
      <c r="IQ112" s="10" t="str">
        <f t="shared" si="321"/>
        <v xml:space="preserve"> </v>
      </c>
      <c r="IR112" s="10" t="str">
        <f t="shared" si="321"/>
        <v xml:space="preserve"> </v>
      </c>
      <c r="IS112" s="10" t="str">
        <f t="shared" si="321"/>
        <v xml:space="preserve"> </v>
      </c>
      <c r="IT112" s="10" t="str">
        <f t="shared" si="321"/>
        <v xml:space="preserve"> </v>
      </c>
      <c r="IU112" s="10" t="str">
        <f t="shared" si="321"/>
        <v xml:space="preserve"> </v>
      </c>
      <c r="IX112" s="10" t="str">
        <f t="shared" si="322"/>
        <v xml:space="preserve"> </v>
      </c>
      <c r="IY112" s="10" t="str">
        <f t="shared" si="322"/>
        <v xml:space="preserve"> </v>
      </c>
      <c r="IZ112" s="10" t="str">
        <f t="shared" si="322"/>
        <v xml:space="preserve"> </v>
      </c>
      <c r="JA112" s="10" t="str">
        <f t="shared" si="322"/>
        <v xml:space="preserve"> </v>
      </c>
      <c r="JB112" s="10" t="str">
        <f t="shared" si="322"/>
        <v xml:space="preserve"> </v>
      </c>
      <c r="JE112" s="10" t="str">
        <f t="shared" si="323"/>
        <v xml:space="preserve"> </v>
      </c>
      <c r="JF112" s="10" t="str">
        <f t="shared" si="323"/>
        <v xml:space="preserve"> </v>
      </c>
      <c r="JG112" s="10" t="str">
        <f t="shared" si="323"/>
        <v xml:space="preserve"> </v>
      </c>
      <c r="JH112" s="10" t="str">
        <f t="shared" si="323"/>
        <v xml:space="preserve"> </v>
      </c>
      <c r="JI112" s="10" t="str">
        <f t="shared" si="323"/>
        <v xml:space="preserve"> </v>
      </c>
    </row>
    <row r="113" spans="13:269">
      <c r="M113" s="10" t="str">
        <f t="shared" si="324"/>
        <v xml:space="preserve"> </v>
      </c>
      <c r="N113" s="10" t="str">
        <f t="shared" si="324"/>
        <v xml:space="preserve"> </v>
      </c>
      <c r="O113" s="10" t="str">
        <f t="shared" si="324"/>
        <v xml:space="preserve"> </v>
      </c>
      <c r="P113" s="10" t="str">
        <f t="shared" si="324"/>
        <v xml:space="preserve"> </v>
      </c>
      <c r="Q113" s="10" t="str">
        <f t="shared" si="324"/>
        <v xml:space="preserve"> </v>
      </c>
      <c r="R113" s="14"/>
      <c r="S113" s="14"/>
      <c r="T113" s="10" t="str">
        <f t="shared" si="288"/>
        <v xml:space="preserve"> </v>
      </c>
      <c r="U113" s="10" t="str">
        <f t="shared" si="288"/>
        <v xml:space="preserve"> </v>
      </c>
      <c r="V113" s="10" t="str">
        <f t="shared" si="288"/>
        <v xml:space="preserve"> </v>
      </c>
      <c r="W113" s="10" t="str">
        <f t="shared" si="288"/>
        <v xml:space="preserve"> </v>
      </c>
      <c r="X113" s="10" t="str">
        <f t="shared" si="288"/>
        <v xml:space="preserve"> </v>
      </c>
      <c r="Y113" s="14"/>
      <c r="Z113" s="14"/>
      <c r="AA113" s="10" t="str">
        <f t="shared" si="289"/>
        <v xml:space="preserve"> </v>
      </c>
      <c r="AB113" s="10" t="str">
        <f t="shared" si="289"/>
        <v xml:space="preserve"> </v>
      </c>
      <c r="AC113" s="10" t="str">
        <f t="shared" si="289"/>
        <v xml:space="preserve"> </v>
      </c>
      <c r="AD113" s="10" t="str">
        <f t="shared" si="289"/>
        <v xml:space="preserve"> </v>
      </c>
      <c r="AE113" s="10" t="str">
        <f t="shared" si="289"/>
        <v xml:space="preserve"> </v>
      </c>
      <c r="AF113" s="14"/>
      <c r="AG113" s="14"/>
      <c r="AH113" s="10" t="str">
        <f t="shared" si="290"/>
        <v xml:space="preserve"> </v>
      </c>
      <c r="AI113" s="10" t="str">
        <f t="shared" si="290"/>
        <v xml:space="preserve"> </v>
      </c>
      <c r="AJ113" s="10" t="str">
        <f t="shared" si="290"/>
        <v xml:space="preserve"> </v>
      </c>
      <c r="AK113" s="10" t="str">
        <f t="shared" si="290"/>
        <v xml:space="preserve"> </v>
      </c>
      <c r="AL113" s="10" t="str">
        <f t="shared" si="290"/>
        <v xml:space="preserve"> </v>
      </c>
      <c r="AM113" s="14"/>
      <c r="AN113" s="14"/>
      <c r="AO113" s="10" t="str">
        <f t="shared" si="291"/>
        <v xml:space="preserve"> </v>
      </c>
      <c r="AP113" s="10" t="str">
        <f t="shared" si="291"/>
        <v xml:space="preserve"> </v>
      </c>
      <c r="AQ113" s="10" t="str">
        <f t="shared" si="291"/>
        <v xml:space="preserve"> </v>
      </c>
      <c r="AR113" s="10" t="str">
        <f t="shared" si="291"/>
        <v xml:space="preserve"> </v>
      </c>
      <c r="AS113" s="10" t="str">
        <f t="shared" si="291"/>
        <v xml:space="preserve"> </v>
      </c>
      <c r="AT113" s="14"/>
      <c r="AU113" s="14"/>
      <c r="AV113" s="10" t="str">
        <f t="shared" si="292"/>
        <v xml:space="preserve"> </v>
      </c>
      <c r="AW113" s="10" t="str">
        <f t="shared" si="292"/>
        <v xml:space="preserve"> </v>
      </c>
      <c r="AX113" s="10" t="str">
        <f t="shared" si="292"/>
        <v xml:space="preserve"> </v>
      </c>
      <c r="AY113" s="10" t="str">
        <f t="shared" si="292"/>
        <v xml:space="preserve"> </v>
      </c>
      <c r="AZ113" s="10" t="str">
        <f t="shared" si="292"/>
        <v xml:space="preserve"> </v>
      </c>
      <c r="BA113" s="14"/>
      <c r="BB113" s="14"/>
      <c r="BC113" s="10" t="str">
        <f t="shared" si="293"/>
        <v xml:space="preserve"> </v>
      </c>
      <c r="BD113" s="10" t="str">
        <f t="shared" si="293"/>
        <v xml:space="preserve"> </v>
      </c>
      <c r="BE113" s="10" t="str">
        <f t="shared" si="293"/>
        <v xml:space="preserve"> </v>
      </c>
      <c r="BF113" s="10" t="str">
        <f t="shared" si="293"/>
        <v xml:space="preserve"> </v>
      </c>
      <c r="BG113" s="10" t="str">
        <f t="shared" si="293"/>
        <v xml:space="preserve"> </v>
      </c>
      <c r="BH113" s="14"/>
      <c r="BI113" s="14"/>
      <c r="BJ113" s="10" t="str">
        <f t="shared" si="294"/>
        <v xml:space="preserve"> </v>
      </c>
      <c r="BK113" s="10" t="str">
        <f t="shared" si="294"/>
        <v xml:space="preserve"> </v>
      </c>
      <c r="BL113" s="10" t="str">
        <f t="shared" si="294"/>
        <v xml:space="preserve"> </v>
      </c>
      <c r="BM113" s="10" t="str">
        <f t="shared" si="294"/>
        <v xml:space="preserve"> </v>
      </c>
      <c r="BN113" s="10" t="str">
        <f t="shared" si="294"/>
        <v xml:space="preserve"> </v>
      </c>
      <c r="BO113" s="14"/>
      <c r="BP113" s="14"/>
      <c r="BQ113" s="10" t="str">
        <f t="shared" si="295"/>
        <v xml:space="preserve"> </v>
      </c>
      <c r="BR113" s="10" t="str">
        <f t="shared" si="295"/>
        <v xml:space="preserve"> </v>
      </c>
      <c r="BS113" s="10" t="str">
        <f t="shared" si="295"/>
        <v xml:space="preserve"> </v>
      </c>
      <c r="BT113" s="10" t="str">
        <f t="shared" si="295"/>
        <v xml:space="preserve"> </v>
      </c>
      <c r="BU113" s="10" t="str">
        <f t="shared" si="295"/>
        <v xml:space="preserve"> </v>
      </c>
      <c r="BV113" s="14"/>
      <c r="BW113" s="14"/>
      <c r="BX113" s="10" t="str">
        <f t="shared" si="296"/>
        <v xml:space="preserve"> </v>
      </c>
      <c r="BY113" s="10" t="str">
        <f t="shared" si="296"/>
        <v xml:space="preserve"> </v>
      </c>
      <c r="BZ113" s="10" t="str">
        <f t="shared" si="296"/>
        <v xml:space="preserve"> </v>
      </c>
      <c r="CA113" s="10" t="str">
        <f t="shared" si="296"/>
        <v xml:space="preserve"> </v>
      </c>
      <c r="CB113" s="10" t="str">
        <f t="shared" si="296"/>
        <v xml:space="preserve"> </v>
      </c>
      <c r="CC113" s="14"/>
      <c r="CD113" s="14"/>
      <c r="CE113" s="10" t="str">
        <f t="shared" si="297"/>
        <v xml:space="preserve"> </v>
      </c>
      <c r="CF113" s="10" t="str">
        <f t="shared" si="297"/>
        <v xml:space="preserve"> </v>
      </c>
      <c r="CG113" s="10" t="str">
        <f t="shared" si="297"/>
        <v xml:space="preserve"> </v>
      </c>
      <c r="CH113" s="10" t="str">
        <f t="shared" si="297"/>
        <v xml:space="preserve"> </v>
      </c>
      <c r="CI113" s="10" t="str">
        <f t="shared" si="297"/>
        <v xml:space="preserve"> </v>
      </c>
      <c r="CJ113" s="14"/>
      <c r="CK113" s="14"/>
      <c r="CL113" s="10" t="str">
        <f t="shared" si="298"/>
        <v xml:space="preserve"> </v>
      </c>
      <c r="CM113" s="10" t="str">
        <f t="shared" si="298"/>
        <v xml:space="preserve"> </v>
      </c>
      <c r="CN113" s="10" t="str">
        <f t="shared" si="298"/>
        <v xml:space="preserve"> </v>
      </c>
      <c r="CO113" s="10" t="str">
        <f t="shared" si="298"/>
        <v xml:space="preserve"> </v>
      </c>
      <c r="CP113" s="10" t="str">
        <f t="shared" si="298"/>
        <v xml:space="preserve"> </v>
      </c>
      <c r="CQ113" s="14"/>
      <c r="CR113" s="14"/>
      <c r="CS113" s="10" t="str">
        <f t="shared" si="299"/>
        <v xml:space="preserve"> </v>
      </c>
      <c r="CT113" s="10" t="str">
        <f t="shared" si="299"/>
        <v xml:space="preserve"> </v>
      </c>
      <c r="CU113" s="10" t="str">
        <f t="shared" si="299"/>
        <v xml:space="preserve"> </v>
      </c>
      <c r="CV113" s="10" t="str">
        <f t="shared" si="299"/>
        <v xml:space="preserve"> </v>
      </c>
      <c r="CW113" s="10" t="str">
        <f t="shared" si="299"/>
        <v xml:space="preserve"> </v>
      </c>
      <c r="CZ113" s="10" t="str">
        <f t="shared" si="300"/>
        <v xml:space="preserve"> </v>
      </c>
      <c r="DA113" s="10" t="str">
        <f t="shared" si="300"/>
        <v xml:space="preserve"> </v>
      </c>
      <c r="DB113" s="10" t="str">
        <f t="shared" si="300"/>
        <v xml:space="preserve"> </v>
      </c>
      <c r="DC113" s="10" t="str">
        <f t="shared" si="300"/>
        <v xml:space="preserve"> </v>
      </c>
      <c r="DD113" s="10" t="str">
        <f t="shared" si="300"/>
        <v xml:space="preserve"> </v>
      </c>
      <c r="DG113" s="10" t="str">
        <f t="shared" si="301"/>
        <v xml:space="preserve"> </v>
      </c>
      <c r="DH113" s="10" t="str">
        <f t="shared" si="301"/>
        <v xml:space="preserve"> </v>
      </c>
      <c r="DI113" s="10" t="str">
        <f t="shared" si="301"/>
        <v xml:space="preserve"> </v>
      </c>
      <c r="DJ113" s="10" t="str">
        <f t="shared" si="301"/>
        <v xml:space="preserve"> </v>
      </c>
      <c r="DK113" s="10" t="str">
        <f t="shared" si="301"/>
        <v xml:space="preserve"> </v>
      </c>
      <c r="DN113" s="10" t="str">
        <f t="shared" si="302"/>
        <v xml:space="preserve"> </v>
      </c>
      <c r="DO113" s="10" t="str">
        <f t="shared" si="302"/>
        <v xml:space="preserve"> </v>
      </c>
      <c r="DP113" s="10" t="str">
        <f t="shared" si="302"/>
        <v xml:space="preserve"> </v>
      </c>
      <c r="DQ113" s="10" t="str">
        <f t="shared" si="302"/>
        <v xml:space="preserve"> </v>
      </c>
      <c r="DR113" s="10" t="str">
        <f t="shared" si="302"/>
        <v xml:space="preserve"> </v>
      </c>
      <c r="DU113" s="10" t="str">
        <f t="shared" si="303"/>
        <v xml:space="preserve"> </v>
      </c>
      <c r="DV113" s="10" t="str">
        <f t="shared" si="303"/>
        <v xml:space="preserve"> </v>
      </c>
      <c r="DW113" s="10" t="str">
        <f t="shared" si="303"/>
        <v xml:space="preserve"> </v>
      </c>
      <c r="DX113" s="10" t="str">
        <f t="shared" si="303"/>
        <v xml:space="preserve"> </v>
      </c>
      <c r="DY113" s="10" t="str">
        <f t="shared" si="303"/>
        <v xml:space="preserve"> </v>
      </c>
      <c r="EB113" s="10" t="str">
        <f t="shared" si="304"/>
        <v xml:space="preserve"> </v>
      </c>
      <c r="EC113" s="10" t="str">
        <f t="shared" si="304"/>
        <v xml:space="preserve"> </v>
      </c>
      <c r="ED113" s="10" t="str">
        <f t="shared" si="304"/>
        <v xml:space="preserve"> </v>
      </c>
      <c r="EE113" s="10" t="str">
        <f t="shared" si="304"/>
        <v xml:space="preserve"> </v>
      </c>
      <c r="EF113" s="10" t="str">
        <f t="shared" si="304"/>
        <v xml:space="preserve"> </v>
      </c>
      <c r="EI113" s="10" t="str">
        <f t="shared" si="305"/>
        <v xml:space="preserve"> </v>
      </c>
      <c r="EJ113" s="10" t="str">
        <f t="shared" si="305"/>
        <v xml:space="preserve"> </v>
      </c>
      <c r="EK113" s="10" t="str">
        <f t="shared" si="305"/>
        <v xml:space="preserve"> </v>
      </c>
      <c r="EL113" s="10" t="str">
        <f t="shared" si="305"/>
        <v xml:space="preserve"> </v>
      </c>
      <c r="EM113" s="10" t="str">
        <f t="shared" si="305"/>
        <v xml:space="preserve"> </v>
      </c>
      <c r="EP113" s="10" t="str">
        <f t="shared" si="306"/>
        <v xml:space="preserve"> </v>
      </c>
      <c r="EQ113" s="10" t="str">
        <f t="shared" si="306"/>
        <v xml:space="preserve"> </v>
      </c>
      <c r="ER113" s="10" t="str">
        <f t="shared" si="306"/>
        <v xml:space="preserve"> </v>
      </c>
      <c r="ES113" s="10" t="str">
        <f t="shared" si="306"/>
        <v xml:space="preserve"> </v>
      </c>
      <c r="ET113" s="10" t="str">
        <f t="shared" si="306"/>
        <v xml:space="preserve"> </v>
      </c>
      <c r="EW113" s="10" t="str">
        <f t="shared" si="307"/>
        <v xml:space="preserve"> </v>
      </c>
      <c r="EX113" s="10" t="str">
        <f t="shared" si="307"/>
        <v xml:space="preserve"> </v>
      </c>
      <c r="EY113" s="10" t="str">
        <f t="shared" si="307"/>
        <v xml:space="preserve"> </v>
      </c>
      <c r="EZ113" s="10" t="str">
        <f t="shared" si="307"/>
        <v xml:space="preserve"> </v>
      </c>
      <c r="FA113" s="10" t="str">
        <f t="shared" si="307"/>
        <v xml:space="preserve"> </v>
      </c>
      <c r="FD113" s="10" t="str">
        <f t="shared" si="308"/>
        <v xml:space="preserve"> </v>
      </c>
      <c r="FE113" s="10" t="str">
        <f t="shared" si="308"/>
        <v xml:space="preserve"> </v>
      </c>
      <c r="FF113" s="10" t="str">
        <f t="shared" si="308"/>
        <v xml:space="preserve"> </v>
      </c>
      <c r="FG113" s="10" t="str">
        <f t="shared" si="308"/>
        <v xml:space="preserve"> </v>
      </c>
      <c r="FH113" s="10" t="str">
        <f t="shared" si="308"/>
        <v xml:space="preserve"> </v>
      </c>
      <c r="FK113" s="10" t="str">
        <f t="shared" si="309"/>
        <v xml:space="preserve"> </v>
      </c>
      <c r="FL113" s="10" t="str">
        <f t="shared" si="309"/>
        <v xml:space="preserve"> </v>
      </c>
      <c r="FM113" s="10" t="str">
        <f t="shared" si="309"/>
        <v xml:space="preserve"> </v>
      </c>
      <c r="FN113" s="10" t="str">
        <f t="shared" si="309"/>
        <v xml:space="preserve"> </v>
      </c>
      <c r="FO113" s="10" t="str">
        <f t="shared" si="309"/>
        <v xml:space="preserve"> </v>
      </c>
      <c r="FR113" s="10" t="str">
        <f t="shared" si="310"/>
        <v xml:space="preserve"> </v>
      </c>
      <c r="FS113" s="10" t="str">
        <f t="shared" si="310"/>
        <v xml:space="preserve"> </v>
      </c>
      <c r="FT113" s="10" t="str">
        <f t="shared" si="310"/>
        <v xml:space="preserve"> </v>
      </c>
      <c r="FU113" s="10" t="str">
        <f t="shared" si="310"/>
        <v xml:space="preserve"> </v>
      </c>
      <c r="FV113" s="10" t="str">
        <f t="shared" si="310"/>
        <v xml:space="preserve"> </v>
      </c>
      <c r="FY113" s="10" t="str">
        <f t="shared" si="311"/>
        <v xml:space="preserve"> </v>
      </c>
      <c r="FZ113" s="10" t="str">
        <f t="shared" si="311"/>
        <v xml:space="preserve"> </v>
      </c>
      <c r="GA113" s="10" t="str">
        <f t="shared" si="311"/>
        <v xml:space="preserve"> </v>
      </c>
      <c r="GB113" s="10" t="str">
        <f t="shared" si="311"/>
        <v xml:space="preserve"> </v>
      </c>
      <c r="GC113" s="10" t="str">
        <f t="shared" si="311"/>
        <v xml:space="preserve"> </v>
      </c>
      <c r="GF113" s="10" t="str">
        <f t="shared" si="312"/>
        <v xml:space="preserve"> </v>
      </c>
      <c r="GG113" s="10" t="str">
        <f t="shared" si="312"/>
        <v xml:space="preserve"> </v>
      </c>
      <c r="GH113" s="10" t="str">
        <f t="shared" si="312"/>
        <v xml:space="preserve"> </v>
      </c>
      <c r="GI113" s="10" t="str">
        <f t="shared" si="312"/>
        <v xml:space="preserve"> </v>
      </c>
      <c r="GJ113" s="10" t="str">
        <f t="shared" si="312"/>
        <v xml:space="preserve"> </v>
      </c>
      <c r="GM113" s="10" t="str">
        <f t="shared" si="313"/>
        <v xml:space="preserve"> </v>
      </c>
      <c r="GN113" s="10" t="str">
        <f t="shared" si="313"/>
        <v xml:space="preserve"> </v>
      </c>
      <c r="GO113" s="10" t="str">
        <f t="shared" si="313"/>
        <v xml:space="preserve"> </v>
      </c>
      <c r="GP113" s="10" t="str">
        <f t="shared" si="313"/>
        <v xml:space="preserve"> </v>
      </c>
      <c r="GQ113" s="10" t="str">
        <f t="shared" si="313"/>
        <v xml:space="preserve"> </v>
      </c>
      <c r="GT113" s="10" t="str">
        <f t="shared" si="314"/>
        <v xml:space="preserve"> </v>
      </c>
      <c r="GU113" s="10" t="str">
        <f t="shared" si="314"/>
        <v xml:space="preserve"> </v>
      </c>
      <c r="GV113" s="10" t="str">
        <f t="shared" si="314"/>
        <v xml:space="preserve"> </v>
      </c>
      <c r="GW113" s="10" t="str">
        <f t="shared" si="314"/>
        <v xml:space="preserve"> </v>
      </c>
      <c r="GX113" s="10" t="str">
        <f t="shared" si="314"/>
        <v xml:space="preserve"> </v>
      </c>
      <c r="HA113" s="10" t="str">
        <f t="shared" si="315"/>
        <v xml:space="preserve"> </v>
      </c>
      <c r="HB113" s="10" t="str">
        <f t="shared" si="315"/>
        <v xml:space="preserve"> </v>
      </c>
      <c r="HC113" s="10" t="str">
        <f t="shared" si="315"/>
        <v xml:space="preserve"> </v>
      </c>
      <c r="HD113" s="10" t="str">
        <f t="shared" si="315"/>
        <v xml:space="preserve"> </v>
      </c>
      <c r="HE113" s="10" t="str">
        <f t="shared" si="315"/>
        <v xml:space="preserve"> </v>
      </c>
      <c r="HH113" s="10" t="str">
        <f t="shared" si="316"/>
        <v xml:space="preserve"> </v>
      </c>
      <c r="HI113" s="10" t="str">
        <f t="shared" si="316"/>
        <v xml:space="preserve"> </v>
      </c>
      <c r="HJ113" s="10" t="str">
        <f t="shared" si="316"/>
        <v xml:space="preserve"> </v>
      </c>
      <c r="HK113" s="10" t="str">
        <f t="shared" si="316"/>
        <v xml:space="preserve"> </v>
      </c>
      <c r="HL113" s="10" t="str">
        <f t="shared" si="316"/>
        <v xml:space="preserve"> </v>
      </c>
      <c r="HO113" s="10" t="str">
        <f t="shared" si="317"/>
        <v xml:space="preserve"> </v>
      </c>
      <c r="HP113" s="10" t="str">
        <f t="shared" si="317"/>
        <v xml:space="preserve"> </v>
      </c>
      <c r="HQ113" s="10" t="str">
        <f t="shared" si="317"/>
        <v xml:space="preserve"> </v>
      </c>
      <c r="HR113" s="10" t="str">
        <f t="shared" si="317"/>
        <v xml:space="preserve"> </v>
      </c>
      <c r="HS113" s="10" t="str">
        <f t="shared" si="317"/>
        <v xml:space="preserve"> </v>
      </c>
      <c r="HV113" s="10" t="str">
        <f t="shared" si="318"/>
        <v xml:space="preserve"> </v>
      </c>
      <c r="HW113" s="10" t="str">
        <f t="shared" si="318"/>
        <v xml:space="preserve"> </v>
      </c>
      <c r="HX113" s="10" t="str">
        <f t="shared" si="318"/>
        <v xml:space="preserve"> </v>
      </c>
      <c r="HY113" s="10" t="str">
        <f t="shared" si="318"/>
        <v xml:space="preserve"> </v>
      </c>
      <c r="HZ113" s="10" t="str">
        <f t="shared" si="318"/>
        <v xml:space="preserve"> </v>
      </c>
      <c r="IC113" s="10" t="str">
        <f t="shared" si="319"/>
        <v xml:space="preserve"> </v>
      </c>
      <c r="ID113" s="10" t="str">
        <f t="shared" si="319"/>
        <v xml:space="preserve"> </v>
      </c>
      <c r="IE113" s="10" t="str">
        <f t="shared" si="319"/>
        <v xml:space="preserve"> </v>
      </c>
      <c r="IF113" s="10" t="str">
        <f t="shared" si="319"/>
        <v xml:space="preserve"> </v>
      </c>
      <c r="IG113" s="10" t="str">
        <f t="shared" si="319"/>
        <v xml:space="preserve"> </v>
      </c>
      <c r="IJ113" s="10" t="str">
        <f t="shared" si="320"/>
        <v xml:space="preserve"> </v>
      </c>
      <c r="IK113" s="10" t="str">
        <f t="shared" si="320"/>
        <v xml:space="preserve"> </v>
      </c>
      <c r="IL113" s="10" t="str">
        <f t="shared" si="320"/>
        <v xml:space="preserve"> </v>
      </c>
      <c r="IM113" s="10" t="str">
        <f t="shared" si="320"/>
        <v xml:space="preserve"> </v>
      </c>
      <c r="IN113" s="10" t="str">
        <f t="shared" si="320"/>
        <v xml:space="preserve"> </v>
      </c>
      <c r="IQ113" s="10" t="str">
        <f t="shared" si="321"/>
        <v xml:space="preserve"> </v>
      </c>
      <c r="IR113" s="10" t="str">
        <f t="shared" si="321"/>
        <v xml:space="preserve"> </v>
      </c>
      <c r="IS113" s="10" t="str">
        <f t="shared" si="321"/>
        <v xml:space="preserve"> </v>
      </c>
      <c r="IT113" s="10" t="str">
        <f t="shared" si="321"/>
        <v xml:space="preserve"> </v>
      </c>
      <c r="IU113" s="10" t="str">
        <f t="shared" si="321"/>
        <v xml:space="preserve"> </v>
      </c>
      <c r="IX113" s="10" t="str">
        <f t="shared" si="322"/>
        <v xml:space="preserve"> </v>
      </c>
      <c r="IY113" s="10" t="str">
        <f t="shared" si="322"/>
        <v xml:space="preserve"> </v>
      </c>
      <c r="IZ113" s="10" t="str">
        <f t="shared" si="322"/>
        <v xml:space="preserve"> </v>
      </c>
      <c r="JA113" s="10" t="str">
        <f t="shared" si="322"/>
        <v xml:space="preserve"> </v>
      </c>
      <c r="JB113" s="10" t="str">
        <f t="shared" si="322"/>
        <v xml:space="preserve"> </v>
      </c>
      <c r="JE113" s="10" t="str">
        <f t="shared" si="323"/>
        <v xml:space="preserve"> </v>
      </c>
      <c r="JF113" s="10" t="str">
        <f t="shared" si="323"/>
        <v xml:space="preserve"> </v>
      </c>
      <c r="JG113" s="10" t="str">
        <f t="shared" si="323"/>
        <v xml:space="preserve"> </v>
      </c>
      <c r="JH113" s="10" t="str">
        <f t="shared" si="323"/>
        <v xml:space="preserve"> </v>
      </c>
      <c r="JI113" s="10" t="str">
        <f t="shared" si="323"/>
        <v xml:space="preserve"> </v>
      </c>
    </row>
    <row r="114" spans="13:269">
      <c r="M114" s="10" t="str">
        <f t="shared" si="324"/>
        <v xml:space="preserve"> </v>
      </c>
      <c r="N114" s="10" t="str">
        <f t="shared" si="324"/>
        <v xml:space="preserve"> </v>
      </c>
      <c r="O114" s="10" t="str">
        <f t="shared" si="324"/>
        <v xml:space="preserve"> </v>
      </c>
      <c r="P114" s="10" t="str">
        <f t="shared" si="324"/>
        <v xml:space="preserve"> </v>
      </c>
      <c r="Q114" s="10" t="str">
        <f t="shared" si="324"/>
        <v xml:space="preserve"> </v>
      </c>
      <c r="R114" s="14"/>
      <c r="S114" s="14"/>
      <c r="T114" s="10" t="str">
        <f t="shared" si="288"/>
        <v xml:space="preserve"> </v>
      </c>
      <c r="U114" s="10" t="str">
        <f t="shared" si="288"/>
        <v xml:space="preserve"> </v>
      </c>
      <c r="V114" s="10" t="str">
        <f t="shared" si="288"/>
        <v xml:space="preserve"> </v>
      </c>
      <c r="W114" s="10" t="str">
        <f t="shared" si="288"/>
        <v xml:space="preserve"> </v>
      </c>
      <c r="X114" s="10" t="str">
        <f t="shared" si="288"/>
        <v xml:space="preserve"> </v>
      </c>
      <c r="Y114" s="14"/>
      <c r="Z114" s="14"/>
      <c r="AA114" s="10" t="str">
        <f t="shared" si="289"/>
        <v xml:space="preserve"> </v>
      </c>
      <c r="AB114" s="10" t="str">
        <f t="shared" si="289"/>
        <v xml:space="preserve"> </v>
      </c>
      <c r="AC114" s="10" t="str">
        <f t="shared" si="289"/>
        <v xml:space="preserve"> </v>
      </c>
      <c r="AD114" s="10" t="str">
        <f t="shared" si="289"/>
        <v xml:space="preserve"> </v>
      </c>
      <c r="AE114" s="10" t="str">
        <f t="shared" si="289"/>
        <v xml:space="preserve"> </v>
      </c>
      <c r="AF114" s="14"/>
      <c r="AG114" s="14"/>
      <c r="AH114" s="10" t="str">
        <f t="shared" si="290"/>
        <v xml:space="preserve"> </v>
      </c>
      <c r="AI114" s="10" t="str">
        <f t="shared" si="290"/>
        <v xml:space="preserve"> </v>
      </c>
      <c r="AJ114" s="10" t="str">
        <f t="shared" si="290"/>
        <v xml:space="preserve"> </v>
      </c>
      <c r="AK114" s="10" t="str">
        <f t="shared" si="290"/>
        <v xml:space="preserve"> </v>
      </c>
      <c r="AL114" s="10" t="str">
        <f t="shared" si="290"/>
        <v xml:space="preserve"> </v>
      </c>
      <c r="AM114" s="14"/>
      <c r="AN114" s="14"/>
      <c r="AO114" s="10" t="str">
        <f t="shared" si="291"/>
        <v xml:space="preserve"> </v>
      </c>
      <c r="AP114" s="10" t="str">
        <f t="shared" si="291"/>
        <v xml:space="preserve"> </v>
      </c>
      <c r="AQ114" s="10" t="str">
        <f t="shared" si="291"/>
        <v xml:space="preserve"> </v>
      </c>
      <c r="AR114" s="10" t="str">
        <f t="shared" si="291"/>
        <v xml:space="preserve"> </v>
      </c>
      <c r="AS114" s="10" t="str">
        <f t="shared" si="291"/>
        <v xml:space="preserve"> </v>
      </c>
      <c r="AT114" s="14"/>
      <c r="AU114" s="14"/>
      <c r="AV114" s="10" t="str">
        <f t="shared" si="292"/>
        <v xml:space="preserve"> </v>
      </c>
      <c r="AW114" s="10" t="str">
        <f t="shared" si="292"/>
        <v xml:space="preserve"> </v>
      </c>
      <c r="AX114" s="10" t="str">
        <f t="shared" si="292"/>
        <v xml:space="preserve"> </v>
      </c>
      <c r="AY114" s="10" t="str">
        <f t="shared" si="292"/>
        <v xml:space="preserve"> </v>
      </c>
      <c r="AZ114" s="10" t="str">
        <f t="shared" si="292"/>
        <v xml:space="preserve"> </v>
      </c>
      <c r="BA114" s="14"/>
      <c r="BB114" s="14"/>
      <c r="BC114" s="10" t="str">
        <f t="shared" si="293"/>
        <v xml:space="preserve"> </v>
      </c>
      <c r="BD114" s="10" t="str">
        <f t="shared" si="293"/>
        <v xml:space="preserve"> </v>
      </c>
      <c r="BE114" s="10" t="str">
        <f t="shared" si="293"/>
        <v xml:space="preserve"> </v>
      </c>
      <c r="BF114" s="10" t="str">
        <f t="shared" si="293"/>
        <v xml:space="preserve"> </v>
      </c>
      <c r="BG114" s="10" t="str">
        <f t="shared" si="293"/>
        <v xml:space="preserve"> </v>
      </c>
      <c r="BH114" s="14"/>
      <c r="BI114" s="14"/>
      <c r="BJ114" s="10" t="str">
        <f t="shared" si="294"/>
        <v xml:space="preserve"> </v>
      </c>
      <c r="BK114" s="10" t="str">
        <f t="shared" si="294"/>
        <v xml:space="preserve"> </v>
      </c>
      <c r="BL114" s="10" t="str">
        <f t="shared" si="294"/>
        <v xml:space="preserve"> </v>
      </c>
      <c r="BM114" s="10" t="str">
        <f t="shared" si="294"/>
        <v xml:space="preserve"> </v>
      </c>
      <c r="BN114" s="10" t="str">
        <f t="shared" si="294"/>
        <v xml:space="preserve"> </v>
      </c>
      <c r="BO114" s="14"/>
      <c r="BP114" s="14"/>
      <c r="BQ114" s="10" t="str">
        <f t="shared" si="295"/>
        <v xml:space="preserve"> </v>
      </c>
      <c r="BR114" s="10" t="str">
        <f t="shared" si="295"/>
        <v xml:space="preserve"> </v>
      </c>
      <c r="BS114" s="10" t="str">
        <f t="shared" si="295"/>
        <v xml:space="preserve"> </v>
      </c>
      <c r="BT114" s="10" t="str">
        <f t="shared" si="295"/>
        <v xml:space="preserve"> </v>
      </c>
      <c r="BU114" s="10" t="str">
        <f t="shared" si="295"/>
        <v xml:space="preserve"> </v>
      </c>
      <c r="BV114" s="14"/>
      <c r="BW114" s="14"/>
      <c r="BX114" s="10" t="str">
        <f t="shared" si="296"/>
        <v xml:space="preserve"> </v>
      </c>
      <c r="BY114" s="10" t="str">
        <f t="shared" si="296"/>
        <v xml:space="preserve"> </v>
      </c>
      <c r="BZ114" s="10" t="str">
        <f t="shared" si="296"/>
        <v xml:space="preserve"> </v>
      </c>
      <c r="CA114" s="10" t="str">
        <f t="shared" si="296"/>
        <v xml:space="preserve"> </v>
      </c>
      <c r="CB114" s="10" t="str">
        <f t="shared" si="296"/>
        <v xml:space="preserve"> </v>
      </c>
      <c r="CC114" s="14"/>
      <c r="CD114" s="14"/>
      <c r="CE114" s="10" t="str">
        <f t="shared" si="297"/>
        <v xml:space="preserve"> </v>
      </c>
      <c r="CF114" s="10" t="str">
        <f t="shared" si="297"/>
        <v xml:space="preserve"> </v>
      </c>
      <c r="CG114" s="10" t="str">
        <f t="shared" si="297"/>
        <v xml:space="preserve"> </v>
      </c>
      <c r="CH114" s="10" t="str">
        <f t="shared" si="297"/>
        <v xml:space="preserve"> </v>
      </c>
      <c r="CI114" s="10" t="str">
        <f t="shared" si="297"/>
        <v xml:space="preserve"> </v>
      </c>
      <c r="CJ114" s="14"/>
      <c r="CK114" s="14"/>
      <c r="CL114" s="10" t="str">
        <f t="shared" si="298"/>
        <v xml:space="preserve"> </v>
      </c>
      <c r="CM114" s="10" t="str">
        <f t="shared" si="298"/>
        <v xml:space="preserve"> </v>
      </c>
      <c r="CN114" s="10" t="str">
        <f t="shared" si="298"/>
        <v xml:space="preserve"> </v>
      </c>
      <c r="CO114" s="10" t="str">
        <f t="shared" si="298"/>
        <v xml:space="preserve"> </v>
      </c>
      <c r="CP114" s="10" t="str">
        <f t="shared" si="298"/>
        <v xml:space="preserve"> </v>
      </c>
      <c r="CQ114" s="14"/>
      <c r="CR114" s="14"/>
      <c r="CS114" s="10" t="str">
        <f t="shared" si="299"/>
        <v xml:space="preserve"> </v>
      </c>
      <c r="CT114" s="10" t="str">
        <f t="shared" si="299"/>
        <v xml:space="preserve"> </v>
      </c>
      <c r="CU114" s="10" t="str">
        <f t="shared" si="299"/>
        <v xml:space="preserve"> </v>
      </c>
      <c r="CV114" s="10" t="str">
        <f t="shared" si="299"/>
        <v xml:space="preserve"> </v>
      </c>
      <c r="CW114" s="10" t="str">
        <f t="shared" si="299"/>
        <v xml:space="preserve"> </v>
      </c>
      <c r="CZ114" s="10" t="str">
        <f t="shared" si="300"/>
        <v xml:space="preserve"> </v>
      </c>
      <c r="DA114" s="10" t="str">
        <f t="shared" si="300"/>
        <v xml:space="preserve"> </v>
      </c>
      <c r="DB114" s="10" t="str">
        <f t="shared" si="300"/>
        <v xml:space="preserve"> </v>
      </c>
      <c r="DC114" s="10" t="str">
        <f t="shared" si="300"/>
        <v xml:space="preserve"> </v>
      </c>
      <c r="DD114" s="10" t="str">
        <f t="shared" si="300"/>
        <v xml:space="preserve"> </v>
      </c>
      <c r="DG114" s="10" t="str">
        <f t="shared" si="301"/>
        <v xml:space="preserve"> </v>
      </c>
      <c r="DH114" s="10" t="str">
        <f t="shared" si="301"/>
        <v xml:space="preserve"> </v>
      </c>
      <c r="DI114" s="10" t="str">
        <f t="shared" si="301"/>
        <v xml:space="preserve"> </v>
      </c>
      <c r="DJ114" s="10" t="str">
        <f t="shared" si="301"/>
        <v xml:space="preserve"> </v>
      </c>
      <c r="DK114" s="10" t="str">
        <f t="shared" si="301"/>
        <v xml:space="preserve"> </v>
      </c>
      <c r="DN114" s="10" t="str">
        <f t="shared" si="302"/>
        <v xml:space="preserve"> </v>
      </c>
      <c r="DO114" s="10" t="str">
        <f t="shared" si="302"/>
        <v xml:space="preserve"> </v>
      </c>
      <c r="DP114" s="10" t="str">
        <f t="shared" si="302"/>
        <v xml:space="preserve"> </v>
      </c>
      <c r="DQ114" s="10" t="str">
        <f t="shared" si="302"/>
        <v xml:space="preserve"> </v>
      </c>
      <c r="DR114" s="10" t="str">
        <f t="shared" si="302"/>
        <v xml:space="preserve"> </v>
      </c>
      <c r="DU114" s="10" t="str">
        <f t="shared" si="303"/>
        <v xml:space="preserve"> </v>
      </c>
      <c r="DV114" s="10" t="str">
        <f t="shared" si="303"/>
        <v xml:space="preserve"> </v>
      </c>
      <c r="DW114" s="10" t="str">
        <f t="shared" si="303"/>
        <v xml:space="preserve"> </v>
      </c>
      <c r="DX114" s="10" t="str">
        <f t="shared" si="303"/>
        <v xml:space="preserve"> </v>
      </c>
      <c r="DY114" s="10" t="str">
        <f t="shared" si="303"/>
        <v xml:space="preserve"> </v>
      </c>
      <c r="EB114" s="10" t="str">
        <f t="shared" si="304"/>
        <v xml:space="preserve"> </v>
      </c>
      <c r="EC114" s="10" t="str">
        <f t="shared" si="304"/>
        <v xml:space="preserve"> </v>
      </c>
      <c r="ED114" s="10" t="str">
        <f t="shared" si="304"/>
        <v xml:space="preserve"> </v>
      </c>
      <c r="EE114" s="10" t="str">
        <f t="shared" si="304"/>
        <v xml:space="preserve"> </v>
      </c>
      <c r="EF114" s="10" t="str">
        <f t="shared" si="304"/>
        <v xml:space="preserve"> </v>
      </c>
      <c r="EI114" s="10" t="str">
        <f t="shared" si="305"/>
        <v xml:space="preserve"> </v>
      </c>
      <c r="EJ114" s="10" t="str">
        <f t="shared" si="305"/>
        <v xml:space="preserve"> </v>
      </c>
      <c r="EK114" s="10" t="str">
        <f t="shared" si="305"/>
        <v xml:space="preserve"> </v>
      </c>
      <c r="EL114" s="10" t="str">
        <f t="shared" si="305"/>
        <v xml:space="preserve"> </v>
      </c>
      <c r="EM114" s="10" t="str">
        <f t="shared" si="305"/>
        <v xml:space="preserve"> </v>
      </c>
      <c r="EP114" s="10" t="str">
        <f t="shared" si="306"/>
        <v xml:space="preserve"> </v>
      </c>
      <c r="EQ114" s="10" t="str">
        <f t="shared" si="306"/>
        <v xml:space="preserve"> </v>
      </c>
      <c r="ER114" s="10" t="str">
        <f t="shared" si="306"/>
        <v xml:space="preserve"> </v>
      </c>
      <c r="ES114" s="10" t="str">
        <f t="shared" si="306"/>
        <v xml:space="preserve"> </v>
      </c>
      <c r="ET114" s="10" t="str">
        <f t="shared" si="306"/>
        <v xml:space="preserve"> </v>
      </c>
      <c r="EW114" s="10" t="str">
        <f t="shared" si="307"/>
        <v xml:space="preserve"> </v>
      </c>
      <c r="EX114" s="10" t="str">
        <f t="shared" si="307"/>
        <v xml:space="preserve"> </v>
      </c>
      <c r="EY114" s="10" t="str">
        <f t="shared" si="307"/>
        <v xml:space="preserve"> </v>
      </c>
      <c r="EZ114" s="10" t="str">
        <f t="shared" si="307"/>
        <v xml:space="preserve"> </v>
      </c>
      <c r="FA114" s="10" t="str">
        <f t="shared" si="307"/>
        <v xml:space="preserve"> </v>
      </c>
      <c r="FD114" s="10" t="str">
        <f t="shared" si="308"/>
        <v xml:space="preserve"> </v>
      </c>
      <c r="FE114" s="10" t="str">
        <f t="shared" si="308"/>
        <v xml:space="preserve"> </v>
      </c>
      <c r="FF114" s="10" t="str">
        <f t="shared" si="308"/>
        <v xml:space="preserve"> </v>
      </c>
      <c r="FG114" s="10" t="str">
        <f t="shared" si="308"/>
        <v xml:space="preserve"> </v>
      </c>
      <c r="FH114" s="10" t="str">
        <f t="shared" si="308"/>
        <v xml:space="preserve"> </v>
      </c>
      <c r="FK114" s="10" t="str">
        <f t="shared" si="309"/>
        <v xml:space="preserve"> </v>
      </c>
      <c r="FL114" s="10" t="str">
        <f t="shared" si="309"/>
        <v xml:space="preserve"> </v>
      </c>
      <c r="FM114" s="10" t="str">
        <f t="shared" si="309"/>
        <v xml:space="preserve"> </v>
      </c>
      <c r="FN114" s="10" t="str">
        <f t="shared" si="309"/>
        <v xml:space="preserve"> </v>
      </c>
      <c r="FO114" s="10" t="str">
        <f t="shared" si="309"/>
        <v xml:space="preserve"> </v>
      </c>
      <c r="FR114" s="10" t="str">
        <f t="shared" si="310"/>
        <v xml:space="preserve"> </v>
      </c>
      <c r="FS114" s="10" t="str">
        <f t="shared" si="310"/>
        <v xml:space="preserve"> </v>
      </c>
      <c r="FT114" s="10" t="str">
        <f t="shared" si="310"/>
        <v xml:space="preserve"> </v>
      </c>
      <c r="FU114" s="10" t="str">
        <f t="shared" si="310"/>
        <v xml:space="preserve"> </v>
      </c>
      <c r="FV114" s="10" t="str">
        <f t="shared" si="310"/>
        <v xml:space="preserve"> </v>
      </c>
      <c r="FY114" s="10" t="str">
        <f t="shared" si="311"/>
        <v xml:space="preserve"> </v>
      </c>
      <c r="FZ114" s="10" t="str">
        <f t="shared" si="311"/>
        <v xml:space="preserve"> </v>
      </c>
      <c r="GA114" s="10" t="str">
        <f t="shared" si="311"/>
        <v xml:space="preserve"> </v>
      </c>
      <c r="GB114" s="10" t="str">
        <f t="shared" si="311"/>
        <v xml:space="preserve"> </v>
      </c>
      <c r="GC114" s="10" t="str">
        <f t="shared" si="311"/>
        <v xml:space="preserve"> </v>
      </c>
      <c r="GF114" s="10" t="str">
        <f t="shared" si="312"/>
        <v xml:space="preserve"> </v>
      </c>
      <c r="GG114" s="10" t="str">
        <f t="shared" si="312"/>
        <v xml:space="preserve"> </v>
      </c>
      <c r="GH114" s="10" t="str">
        <f t="shared" si="312"/>
        <v xml:space="preserve"> </v>
      </c>
      <c r="GI114" s="10" t="str">
        <f t="shared" si="312"/>
        <v xml:space="preserve"> </v>
      </c>
      <c r="GJ114" s="10" t="str">
        <f t="shared" si="312"/>
        <v xml:space="preserve"> </v>
      </c>
      <c r="GM114" s="10" t="str">
        <f t="shared" si="313"/>
        <v xml:space="preserve"> </v>
      </c>
      <c r="GN114" s="10" t="str">
        <f t="shared" si="313"/>
        <v xml:space="preserve"> </v>
      </c>
      <c r="GO114" s="10" t="str">
        <f t="shared" si="313"/>
        <v xml:space="preserve"> </v>
      </c>
      <c r="GP114" s="10" t="str">
        <f t="shared" si="313"/>
        <v xml:space="preserve"> </v>
      </c>
      <c r="GQ114" s="10" t="str">
        <f t="shared" si="313"/>
        <v xml:space="preserve"> </v>
      </c>
      <c r="GT114" s="10" t="str">
        <f t="shared" si="314"/>
        <v xml:space="preserve"> </v>
      </c>
      <c r="GU114" s="10" t="str">
        <f t="shared" si="314"/>
        <v xml:space="preserve"> </v>
      </c>
      <c r="GV114" s="10" t="str">
        <f t="shared" si="314"/>
        <v xml:space="preserve"> </v>
      </c>
      <c r="GW114" s="10" t="str">
        <f t="shared" si="314"/>
        <v xml:space="preserve"> </v>
      </c>
      <c r="GX114" s="10" t="str">
        <f t="shared" si="314"/>
        <v xml:space="preserve"> </v>
      </c>
      <c r="HA114" s="10" t="str">
        <f t="shared" si="315"/>
        <v xml:space="preserve"> </v>
      </c>
      <c r="HB114" s="10" t="str">
        <f t="shared" si="315"/>
        <v xml:space="preserve"> </v>
      </c>
      <c r="HC114" s="10" t="str">
        <f t="shared" si="315"/>
        <v xml:space="preserve"> </v>
      </c>
      <c r="HD114" s="10" t="str">
        <f t="shared" si="315"/>
        <v xml:space="preserve"> </v>
      </c>
      <c r="HE114" s="10" t="str">
        <f t="shared" si="315"/>
        <v xml:space="preserve"> </v>
      </c>
      <c r="HH114" s="10" t="str">
        <f t="shared" si="316"/>
        <v xml:space="preserve"> </v>
      </c>
      <c r="HI114" s="10" t="str">
        <f t="shared" si="316"/>
        <v xml:space="preserve"> </v>
      </c>
      <c r="HJ114" s="10" t="str">
        <f t="shared" si="316"/>
        <v xml:space="preserve"> </v>
      </c>
      <c r="HK114" s="10" t="str">
        <f t="shared" si="316"/>
        <v xml:space="preserve"> </v>
      </c>
      <c r="HL114" s="10" t="str">
        <f t="shared" si="316"/>
        <v xml:space="preserve"> </v>
      </c>
      <c r="HO114" s="10" t="str">
        <f t="shared" si="317"/>
        <v xml:space="preserve"> </v>
      </c>
      <c r="HP114" s="10" t="str">
        <f t="shared" si="317"/>
        <v xml:space="preserve"> </v>
      </c>
      <c r="HQ114" s="10" t="str">
        <f t="shared" si="317"/>
        <v xml:space="preserve"> </v>
      </c>
      <c r="HR114" s="10" t="str">
        <f t="shared" si="317"/>
        <v xml:space="preserve"> </v>
      </c>
      <c r="HS114" s="10" t="str">
        <f t="shared" si="317"/>
        <v xml:space="preserve"> </v>
      </c>
      <c r="HV114" s="10" t="str">
        <f t="shared" si="318"/>
        <v xml:space="preserve"> </v>
      </c>
      <c r="HW114" s="10" t="str">
        <f t="shared" si="318"/>
        <v xml:space="preserve"> </v>
      </c>
      <c r="HX114" s="10" t="str">
        <f t="shared" si="318"/>
        <v xml:space="preserve"> </v>
      </c>
      <c r="HY114" s="10" t="str">
        <f t="shared" si="318"/>
        <v xml:space="preserve"> </v>
      </c>
      <c r="HZ114" s="10" t="str">
        <f t="shared" si="318"/>
        <v xml:space="preserve"> </v>
      </c>
      <c r="IC114" s="10" t="str">
        <f t="shared" si="319"/>
        <v xml:space="preserve"> </v>
      </c>
      <c r="ID114" s="10" t="str">
        <f t="shared" si="319"/>
        <v xml:space="preserve"> </v>
      </c>
      <c r="IE114" s="10" t="str">
        <f t="shared" si="319"/>
        <v xml:space="preserve"> </v>
      </c>
      <c r="IF114" s="10" t="str">
        <f t="shared" si="319"/>
        <v xml:space="preserve"> </v>
      </c>
      <c r="IG114" s="10" t="str">
        <f t="shared" si="319"/>
        <v xml:space="preserve"> </v>
      </c>
      <c r="IJ114" s="10" t="str">
        <f t="shared" si="320"/>
        <v xml:space="preserve"> </v>
      </c>
      <c r="IK114" s="10" t="str">
        <f t="shared" si="320"/>
        <v xml:space="preserve"> </v>
      </c>
      <c r="IL114" s="10" t="str">
        <f t="shared" si="320"/>
        <v xml:space="preserve"> </v>
      </c>
      <c r="IM114" s="10" t="str">
        <f t="shared" si="320"/>
        <v xml:space="preserve"> </v>
      </c>
      <c r="IN114" s="10" t="str">
        <f t="shared" si="320"/>
        <v xml:space="preserve"> </v>
      </c>
      <c r="IQ114" s="10" t="str">
        <f t="shared" si="321"/>
        <v xml:space="preserve"> </v>
      </c>
      <c r="IR114" s="10" t="str">
        <f t="shared" si="321"/>
        <v xml:space="preserve"> </v>
      </c>
      <c r="IS114" s="10" t="str">
        <f t="shared" si="321"/>
        <v xml:space="preserve"> </v>
      </c>
      <c r="IT114" s="10" t="str">
        <f t="shared" si="321"/>
        <v xml:space="preserve"> </v>
      </c>
      <c r="IU114" s="10" t="str">
        <f t="shared" si="321"/>
        <v xml:space="preserve"> </v>
      </c>
      <c r="IX114" s="10" t="str">
        <f t="shared" si="322"/>
        <v xml:space="preserve"> </v>
      </c>
      <c r="IY114" s="10" t="str">
        <f t="shared" si="322"/>
        <v xml:space="preserve"> </v>
      </c>
      <c r="IZ114" s="10" t="str">
        <f t="shared" si="322"/>
        <v xml:space="preserve"> </v>
      </c>
      <c r="JA114" s="10" t="str">
        <f t="shared" si="322"/>
        <v xml:space="preserve"> </v>
      </c>
      <c r="JB114" s="10" t="str">
        <f t="shared" si="322"/>
        <v xml:space="preserve"> </v>
      </c>
      <c r="JE114" s="10" t="str">
        <f t="shared" si="323"/>
        <v xml:space="preserve"> </v>
      </c>
      <c r="JF114" s="10" t="str">
        <f t="shared" si="323"/>
        <v xml:space="preserve"> </v>
      </c>
      <c r="JG114" s="10" t="str">
        <f t="shared" si="323"/>
        <v xml:space="preserve"> </v>
      </c>
      <c r="JH114" s="10" t="str">
        <f t="shared" si="323"/>
        <v xml:space="preserve"> </v>
      </c>
      <c r="JI114" s="10" t="str">
        <f t="shared" si="323"/>
        <v xml:space="preserve"> </v>
      </c>
    </row>
    <row r="115" spans="13:269">
      <c r="M115" s="10" t="str">
        <f t="shared" si="324"/>
        <v xml:space="preserve"> </v>
      </c>
      <c r="N115" s="10" t="str">
        <f t="shared" si="324"/>
        <v xml:space="preserve"> </v>
      </c>
      <c r="O115" s="10" t="str">
        <f t="shared" si="324"/>
        <v xml:space="preserve"> </v>
      </c>
      <c r="P115" s="10" t="str">
        <f t="shared" si="324"/>
        <v xml:space="preserve"> </v>
      </c>
      <c r="Q115" s="10" t="str">
        <f t="shared" si="324"/>
        <v xml:space="preserve"> </v>
      </c>
      <c r="R115" s="14"/>
      <c r="S115" s="14"/>
      <c r="T115" s="10" t="str">
        <f t="shared" si="288"/>
        <v xml:space="preserve"> </v>
      </c>
      <c r="U115" s="10" t="str">
        <f t="shared" si="288"/>
        <v xml:space="preserve"> </v>
      </c>
      <c r="V115" s="10" t="str">
        <f t="shared" si="288"/>
        <v xml:space="preserve"> </v>
      </c>
      <c r="W115" s="10" t="str">
        <f t="shared" si="288"/>
        <v xml:space="preserve"> </v>
      </c>
      <c r="X115" s="10" t="str">
        <f t="shared" si="288"/>
        <v xml:space="preserve"> </v>
      </c>
      <c r="Y115" s="14"/>
      <c r="Z115" s="14"/>
      <c r="AA115" s="10" t="str">
        <f t="shared" si="289"/>
        <v xml:space="preserve"> </v>
      </c>
      <c r="AB115" s="10" t="str">
        <f t="shared" si="289"/>
        <v xml:space="preserve"> </v>
      </c>
      <c r="AC115" s="10" t="str">
        <f t="shared" si="289"/>
        <v xml:space="preserve"> </v>
      </c>
      <c r="AD115" s="10" t="str">
        <f t="shared" si="289"/>
        <v xml:space="preserve"> </v>
      </c>
      <c r="AE115" s="10" t="str">
        <f t="shared" si="289"/>
        <v xml:space="preserve"> </v>
      </c>
      <c r="AF115" s="14"/>
      <c r="AG115" s="14"/>
      <c r="AH115" s="10" t="str">
        <f t="shared" si="290"/>
        <v xml:space="preserve"> </v>
      </c>
      <c r="AI115" s="10" t="str">
        <f t="shared" si="290"/>
        <v xml:space="preserve"> </v>
      </c>
      <c r="AJ115" s="10" t="str">
        <f t="shared" si="290"/>
        <v xml:space="preserve"> </v>
      </c>
      <c r="AK115" s="10" t="str">
        <f t="shared" si="290"/>
        <v xml:space="preserve"> </v>
      </c>
      <c r="AL115" s="10" t="str">
        <f t="shared" si="290"/>
        <v xml:space="preserve"> </v>
      </c>
      <c r="AM115" s="14"/>
      <c r="AN115" s="14"/>
      <c r="AO115" s="10" t="str">
        <f t="shared" si="291"/>
        <v xml:space="preserve"> </v>
      </c>
      <c r="AP115" s="10" t="str">
        <f t="shared" si="291"/>
        <v xml:space="preserve"> </v>
      </c>
      <c r="AQ115" s="10" t="str">
        <f t="shared" si="291"/>
        <v xml:space="preserve"> </v>
      </c>
      <c r="AR115" s="10" t="str">
        <f t="shared" si="291"/>
        <v xml:space="preserve"> </v>
      </c>
      <c r="AS115" s="10" t="str">
        <f t="shared" si="291"/>
        <v xml:space="preserve"> </v>
      </c>
      <c r="AT115" s="14"/>
      <c r="AU115" s="14"/>
      <c r="AV115" s="10" t="str">
        <f t="shared" si="292"/>
        <v xml:space="preserve"> </v>
      </c>
      <c r="AW115" s="10" t="str">
        <f t="shared" si="292"/>
        <v xml:space="preserve"> </v>
      </c>
      <c r="AX115" s="10" t="str">
        <f t="shared" si="292"/>
        <v xml:space="preserve"> </v>
      </c>
      <c r="AY115" s="10" t="str">
        <f t="shared" si="292"/>
        <v xml:space="preserve"> </v>
      </c>
      <c r="AZ115" s="10" t="str">
        <f t="shared" si="292"/>
        <v xml:space="preserve"> </v>
      </c>
      <c r="BA115" s="14"/>
      <c r="BB115" s="14"/>
      <c r="BC115" s="10" t="str">
        <f t="shared" si="293"/>
        <v xml:space="preserve"> </v>
      </c>
      <c r="BD115" s="10" t="str">
        <f t="shared" si="293"/>
        <v xml:space="preserve"> </v>
      </c>
      <c r="BE115" s="10" t="str">
        <f t="shared" si="293"/>
        <v xml:space="preserve"> </v>
      </c>
      <c r="BF115" s="10" t="str">
        <f t="shared" si="293"/>
        <v xml:space="preserve"> </v>
      </c>
      <c r="BG115" s="10" t="str">
        <f t="shared" si="293"/>
        <v xml:space="preserve"> </v>
      </c>
      <c r="BH115" s="14"/>
      <c r="BI115" s="14"/>
      <c r="BJ115" s="10" t="str">
        <f t="shared" si="294"/>
        <v xml:space="preserve"> </v>
      </c>
      <c r="BK115" s="10" t="str">
        <f t="shared" si="294"/>
        <v xml:space="preserve"> </v>
      </c>
      <c r="BL115" s="10" t="str">
        <f t="shared" si="294"/>
        <v xml:space="preserve"> </v>
      </c>
      <c r="BM115" s="10" t="str">
        <f t="shared" si="294"/>
        <v xml:space="preserve"> </v>
      </c>
      <c r="BN115" s="10" t="str">
        <f t="shared" si="294"/>
        <v xml:space="preserve"> </v>
      </c>
      <c r="BO115" s="14"/>
      <c r="BP115" s="14"/>
      <c r="BQ115" s="10" t="str">
        <f t="shared" si="295"/>
        <v xml:space="preserve"> </v>
      </c>
      <c r="BR115" s="10" t="str">
        <f t="shared" si="295"/>
        <v xml:space="preserve"> </v>
      </c>
      <c r="BS115" s="10" t="str">
        <f t="shared" si="295"/>
        <v xml:space="preserve"> </v>
      </c>
      <c r="BT115" s="10" t="str">
        <f t="shared" si="295"/>
        <v xml:space="preserve"> </v>
      </c>
      <c r="BU115" s="10" t="str">
        <f t="shared" si="295"/>
        <v xml:space="preserve"> </v>
      </c>
      <c r="BV115" s="14"/>
      <c r="BW115" s="14"/>
      <c r="BX115" s="10" t="str">
        <f t="shared" si="296"/>
        <v xml:space="preserve"> </v>
      </c>
      <c r="BY115" s="10" t="str">
        <f t="shared" si="296"/>
        <v xml:space="preserve"> </v>
      </c>
      <c r="BZ115" s="10" t="str">
        <f t="shared" si="296"/>
        <v xml:space="preserve"> </v>
      </c>
      <c r="CA115" s="10" t="str">
        <f t="shared" si="296"/>
        <v xml:space="preserve"> </v>
      </c>
      <c r="CB115" s="10" t="str">
        <f t="shared" si="296"/>
        <v xml:space="preserve"> </v>
      </c>
      <c r="CC115" s="14"/>
      <c r="CD115" s="14"/>
      <c r="CE115" s="10" t="str">
        <f t="shared" si="297"/>
        <v xml:space="preserve"> </v>
      </c>
      <c r="CF115" s="10" t="str">
        <f t="shared" si="297"/>
        <v xml:space="preserve"> </v>
      </c>
      <c r="CG115" s="10" t="str">
        <f t="shared" si="297"/>
        <v xml:space="preserve"> </v>
      </c>
      <c r="CH115" s="10" t="str">
        <f t="shared" si="297"/>
        <v xml:space="preserve"> </v>
      </c>
      <c r="CI115" s="10" t="str">
        <f t="shared" si="297"/>
        <v xml:space="preserve"> </v>
      </c>
      <c r="CJ115" s="14"/>
      <c r="CK115" s="14"/>
      <c r="CL115" s="10" t="str">
        <f t="shared" si="298"/>
        <v xml:space="preserve"> </v>
      </c>
      <c r="CM115" s="10" t="str">
        <f t="shared" si="298"/>
        <v xml:space="preserve"> </v>
      </c>
      <c r="CN115" s="10" t="str">
        <f t="shared" si="298"/>
        <v xml:space="preserve"> </v>
      </c>
      <c r="CO115" s="10" t="str">
        <f t="shared" si="298"/>
        <v xml:space="preserve"> </v>
      </c>
      <c r="CP115" s="10" t="str">
        <f t="shared" si="298"/>
        <v xml:space="preserve"> </v>
      </c>
      <c r="CQ115" s="14"/>
      <c r="CR115" s="14"/>
      <c r="CS115" s="10" t="str">
        <f t="shared" si="299"/>
        <v xml:space="preserve"> </v>
      </c>
      <c r="CT115" s="10" t="str">
        <f t="shared" si="299"/>
        <v xml:space="preserve"> </v>
      </c>
      <c r="CU115" s="10" t="str">
        <f t="shared" si="299"/>
        <v xml:space="preserve"> </v>
      </c>
      <c r="CV115" s="10" t="str">
        <f t="shared" si="299"/>
        <v xml:space="preserve"> </v>
      </c>
      <c r="CW115" s="10" t="str">
        <f t="shared" si="299"/>
        <v xml:space="preserve"> </v>
      </c>
      <c r="CZ115" s="10" t="str">
        <f t="shared" si="300"/>
        <v xml:space="preserve"> </v>
      </c>
      <c r="DA115" s="10" t="str">
        <f t="shared" si="300"/>
        <v xml:space="preserve"> </v>
      </c>
      <c r="DB115" s="10" t="str">
        <f t="shared" si="300"/>
        <v xml:space="preserve"> </v>
      </c>
      <c r="DC115" s="10" t="str">
        <f t="shared" si="300"/>
        <v xml:space="preserve"> </v>
      </c>
      <c r="DD115" s="10" t="str">
        <f t="shared" si="300"/>
        <v xml:space="preserve"> </v>
      </c>
      <c r="DG115" s="10" t="str">
        <f t="shared" si="301"/>
        <v xml:space="preserve"> </v>
      </c>
      <c r="DH115" s="10" t="str">
        <f t="shared" si="301"/>
        <v xml:space="preserve"> </v>
      </c>
      <c r="DI115" s="10" t="str">
        <f t="shared" si="301"/>
        <v xml:space="preserve"> </v>
      </c>
      <c r="DJ115" s="10" t="str">
        <f t="shared" si="301"/>
        <v xml:space="preserve"> </v>
      </c>
      <c r="DK115" s="10" t="str">
        <f t="shared" si="301"/>
        <v xml:space="preserve"> </v>
      </c>
      <c r="DN115" s="10" t="str">
        <f t="shared" si="302"/>
        <v xml:space="preserve"> </v>
      </c>
      <c r="DO115" s="10" t="str">
        <f t="shared" si="302"/>
        <v xml:space="preserve"> </v>
      </c>
      <c r="DP115" s="10" t="str">
        <f t="shared" si="302"/>
        <v xml:space="preserve"> </v>
      </c>
      <c r="DQ115" s="10" t="str">
        <f t="shared" si="302"/>
        <v xml:space="preserve"> </v>
      </c>
      <c r="DR115" s="10" t="str">
        <f t="shared" si="302"/>
        <v xml:space="preserve"> </v>
      </c>
      <c r="DU115" s="10" t="str">
        <f t="shared" si="303"/>
        <v xml:space="preserve"> </v>
      </c>
      <c r="DV115" s="10" t="str">
        <f t="shared" si="303"/>
        <v xml:space="preserve"> </v>
      </c>
      <c r="DW115" s="10" t="str">
        <f t="shared" si="303"/>
        <v xml:space="preserve"> </v>
      </c>
      <c r="DX115" s="10" t="str">
        <f t="shared" si="303"/>
        <v xml:space="preserve"> </v>
      </c>
      <c r="DY115" s="10" t="str">
        <f t="shared" si="303"/>
        <v xml:space="preserve"> </v>
      </c>
      <c r="EB115" s="10" t="str">
        <f t="shared" si="304"/>
        <v xml:space="preserve"> </v>
      </c>
      <c r="EC115" s="10" t="str">
        <f t="shared" si="304"/>
        <v xml:space="preserve"> </v>
      </c>
      <c r="ED115" s="10" t="str">
        <f t="shared" si="304"/>
        <v xml:space="preserve"> </v>
      </c>
      <c r="EE115" s="10" t="str">
        <f t="shared" si="304"/>
        <v xml:space="preserve"> </v>
      </c>
      <c r="EF115" s="10" t="str">
        <f t="shared" si="304"/>
        <v xml:space="preserve"> </v>
      </c>
      <c r="EI115" s="10" t="str">
        <f t="shared" si="305"/>
        <v xml:space="preserve"> </v>
      </c>
      <c r="EJ115" s="10" t="str">
        <f t="shared" si="305"/>
        <v xml:space="preserve"> </v>
      </c>
      <c r="EK115" s="10" t="str">
        <f t="shared" si="305"/>
        <v xml:space="preserve"> </v>
      </c>
      <c r="EL115" s="10" t="str">
        <f t="shared" si="305"/>
        <v xml:space="preserve"> </v>
      </c>
      <c r="EM115" s="10" t="str">
        <f t="shared" si="305"/>
        <v xml:space="preserve"> </v>
      </c>
      <c r="EP115" s="10" t="str">
        <f t="shared" si="306"/>
        <v xml:space="preserve"> </v>
      </c>
      <c r="EQ115" s="10" t="str">
        <f t="shared" si="306"/>
        <v xml:space="preserve"> </v>
      </c>
      <c r="ER115" s="10" t="str">
        <f t="shared" si="306"/>
        <v xml:space="preserve"> </v>
      </c>
      <c r="ES115" s="10" t="str">
        <f t="shared" si="306"/>
        <v xml:space="preserve"> </v>
      </c>
      <c r="ET115" s="10" t="str">
        <f t="shared" si="306"/>
        <v xml:space="preserve"> </v>
      </c>
      <c r="EW115" s="10" t="str">
        <f t="shared" si="307"/>
        <v xml:space="preserve"> </v>
      </c>
      <c r="EX115" s="10" t="str">
        <f t="shared" si="307"/>
        <v xml:space="preserve"> </v>
      </c>
      <c r="EY115" s="10" t="str">
        <f t="shared" si="307"/>
        <v xml:space="preserve"> </v>
      </c>
      <c r="EZ115" s="10" t="str">
        <f t="shared" si="307"/>
        <v xml:space="preserve"> </v>
      </c>
      <c r="FA115" s="10" t="str">
        <f t="shared" si="307"/>
        <v xml:space="preserve"> </v>
      </c>
      <c r="FD115" s="10" t="str">
        <f t="shared" si="308"/>
        <v xml:space="preserve"> </v>
      </c>
      <c r="FE115" s="10" t="str">
        <f t="shared" si="308"/>
        <v xml:space="preserve"> </v>
      </c>
      <c r="FF115" s="10" t="str">
        <f t="shared" si="308"/>
        <v xml:space="preserve"> </v>
      </c>
      <c r="FG115" s="10" t="str">
        <f t="shared" si="308"/>
        <v xml:space="preserve"> </v>
      </c>
      <c r="FH115" s="10" t="str">
        <f t="shared" si="308"/>
        <v xml:space="preserve"> </v>
      </c>
      <c r="FK115" s="10" t="str">
        <f t="shared" si="309"/>
        <v xml:space="preserve"> </v>
      </c>
      <c r="FL115" s="10" t="str">
        <f t="shared" si="309"/>
        <v xml:space="preserve"> </v>
      </c>
      <c r="FM115" s="10" t="str">
        <f t="shared" si="309"/>
        <v xml:space="preserve"> </v>
      </c>
      <c r="FN115" s="10" t="str">
        <f t="shared" si="309"/>
        <v xml:space="preserve"> </v>
      </c>
      <c r="FO115" s="10" t="str">
        <f t="shared" si="309"/>
        <v xml:space="preserve"> </v>
      </c>
      <c r="FR115" s="10" t="str">
        <f t="shared" si="310"/>
        <v xml:space="preserve"> </v>
      </c>
      <c r="FS115" s="10" t="str">
        <f t="shared" si="310"/>
        <v xml:space="preserve"> </v>
      </c>
      <c r="FT115" s="10" t="str">
        <f t="shared" si="310"/>
        <v xml:space="preserve"> </v>
      </c>
      <c r="FU115" s="10" t="str">
        <f t="shared" si="310"/>
        <v xml:space="preserve"> </v>
      </c>
      <c r="FV115" s="10" t="str">
        <f t="shared" si="310"/>
        <v xml:space="preserve"> </v>
      </c>
      <c r="FY115" s="10" t="str">
        <f t="shared" si="311"/>
        <v xml:space="preserve"> </v>
      </c>
      <c r="FZ115" s="10" t="str">
        <f t="shared" si="311"/>
        <v xml:space="preserve"> </v>
      </c>
      <c r="GA115" s="10" t="str">
        <f t="shared" si="311"/>
        <v xml:space="preserve"> </v>
      </c>
      <c r="GB115" s="10" t="str">
        <f t="shared" si="311"/>
        <v xml:space="preserve"> </v>
      </c>
      <c r="GC115" s="10" t="str">
        <f t="shared" si="311"/>
        <v xml:space="preserve"> </v>
      </c>
      <c r="GF115" s="10" t="str">
        <f t="shared" si="312"/>
        <v xml:space="preserve"> </v>
      </c>
      <c r="GG115" s="10" t="str">
        <f t="shared" si="312"/>
        <v xml:space="preserve"> </v>
      </c>
      <c r="GH115" s="10" t="str">
        <f t="shared" si="312"/>
        <v xml:space="preserve"> </v>
      </c>
      <c r="GI115" s="10" t="str">
        <f t="shared" si="312"/>
        <v xml:space="preserve"> </v>
      </c>
      <c r="GJ115" s="10" t="str">
        <f t="shared" si="312"/>
        <v xml:space="preserve"> </v>
      </c>
      <c r="GM115" s="10" t="str">
        <f t="shared" si="313"/>
        <v xml:space="preserve"> </v>
      </c>
      <c r="GN115" s="10" t="str">
        <f t="shared" si="313"/>
        <v xml:space="preserve"> </v>
      </c>
      <c r="GO115" s="10" t="str">
        <f t="shared" si="313"/>
        <v xml:space="preserve"> </v>
      </c>
      <c r="GP115" s="10" t="str">
        <f t="shared" si="313"/>
        <v xml:space="preserve"> </v>
      </c>
      <c r="GQ115" s="10" t="str">
        <f t="shared" si="313"/>
        <v xml:space="preserve"> </v>
      </c>
      <c r="GT115" s="10" t="str">
        <f t="shared" si="314"/>
        <v xml:space="preserve"> </v>
      </c>
      <c r="GU115" s="10" t="str">
        <f t="shared" si="314"/>
        <v xml:space="preserve"> </v>
      </c>
      <c r="GV115" s="10" t="str">
        <f t="shared" si="314"/>
        <v xml:space="preserve"> </v>
      </c>
      <c r="GW115" s="10" t="str">
        <f t="shared" si="314"/>
        <v xml:space="preserve"> </v>
      </c>
      <c r="GX115" s="10" t="str">
        <f t="shared" si="314"/>
        <v xml:space="preserve"> </v>
      </c>
      <c r="HA115" s="10" t="str">
        <f t="shared" si="315"/>
        <v xml:space="preserve"> </v>
      </c>
      <c r="HB115" s="10" t="str">
        <f t="shared" si="315"/>
        <v xml:space="preserve"> </v>
      </c>
      <c r="HC115" s="10" t="str">
        <f t="shared" si="315"/>
        <v xml:space="preserve"> </v>
      </c>
      <c r="HD115" s="10" t="str">
        <f t="shared" si="315"/>
        <v xml:space="preserve"> </v>
      </c>
      <c r="HE115" s="10" t="str">
        <f t="shared" si="315"/>
        <v xml:space="preserve"> </v>
      </c>
      <c r="HH115" s="10" t="str">
        <f t="shared" si="316"/>
        <v xml:space="preserve"> </v>
      </c>
      <c r="HI115" s="10" t="str">
        <f t="shared" si="316"/>
        <v xml:space="preserve"> </v>
      </c>
      <c r="HJ115" s="10" t="str">
        <f t="shared" si="316"/>
        <v xml:space="preserve"> </v>
      </c>
      <c r="HK115" s="10" t="str">
        <f t="shared" si="316"/>
        <v xml:space="preserve"> </v>
      </c>
      <c r="HL115" s="10" t="str">
        <f t="shared" si="316"/>
        <v xml:space="preserve"> </v>
      </c>
      <c r="HO115" s="10" t="str">
        <f t="shared" si="317"/>
        <v xml:space="preserve"> </v>
      </c>
      <c r="HP115" s="10" t="str">
        <f t="shared" si="317"/>
        <v xml:space="preserve"> </v>
      </c>
      <c r="HQ115" s="10" t="str">
        <f t="shared" si="317"/>
        <v xml:space="preserve"> </v>
      </c>
      <c r="HR115" s="10" t="str">
        <f t="shared" si="317"/>
        <v xml:space="preserve"> </v>
      </c>
      <c r="HS115" s="10" t="str">
        <f t="shared" si="317"/>
        <v xml:space="preserve"> </v>
      </c>
      <c r="HV115" s="10" t="str">
        <f t="shared" si="318"/>
        <v xml:space="preserve"> </v>
      </c>
      <c r="HW115" s="10" t="str">
        <f t="shared" si="318"/>
        <v xml:space="preserve"> </v>
      </c>
      <c r="HX115" s="10" t="str">
        <f t="shared" si="318"/>
        <v xml:space="preserve"> </v>
      </c>
      <c r="HY115" s="10" t="str">
        <f t="shared" si="318"/>
        <v xml:space="preserve"> </v>
      </c>
      <c r="HZ115" s="10" t="str">
        <f t="shared" si="318"/>
        <v xml:space="preserve"> </v>
      </c>
      <c r="IC115" s="10" t="str">
        <f t="shared" si="319"/>
        <v xml:space="preserve"> </v>
      </c>
      <c r="ID115" s="10" t="str">
        <f t="shared" si="319"/>
        <v xml:space="preserve"> </v>
      </c>
      <c r="IE115" s="10" t="str">
        <f t="shared" si="319"/>
        <v xml:space="preserve"> </v>
      </c>
      <c r="IF115" s="10" t="str">
        <f t="shared" si="319"/>
        <v xml:space="preserve"> </v>
      </c>
      <c r="IG115" s="10" t="str">
        <f t="shared" si="319"/>
        <v xml:space="preserve"> </v>
      </c>
      <c r="IJ115" s="10" t="str">
        <f t="shared" si="320"/>
        <v xml:space="preserve"> </v>
      </c>
      <c r="IK115" s="10" t="str">
        <f t="shared" si="320"/>
        <v xml:space="preserve"> </v>
      </c>
      <c r="IL115" s="10" t="str">
        <f t="shared" si="320"/>
        <v xml:space="preserve"> </v>
      </c>
      <c r="IM115" s="10" t="str">
        <f t="shared" si="320"/>
        <v xml:space="preserve"> </v>
      </c>
      <c r="IN115" s="10" t="str">
        <f t="shared" si="320"/>
        <v xml:space="preserve"> </v>
      </c>
      <c r="IQ115" s="10" t="str">
        <f t="shared" si="321"/>
        <v xml:space="preserve"> </v>
      </c>
      <c r="IR115" s="10" t="str">
        <f t="shared" si="321"/>
        <v xml:space="preserve"> </v>
      </c>
      <c r="IS115" s="10" t="str">
        <f t="shared" si="321"/>
        <v xml:space="preserve"> </v>
      </c>
      <c r="IT115" s="10" t="str">
        <f t="shared" si="321"/>
        <v xml:space="preserve"> </v>
      </c>
      <c r="IU115" s="10" t="str">
        <f t="shared" si="321"/>
        <v xml:space="preserve"> </v>
      </c>
      <c r="IX115" s="10" t="str">
        <f t="shared" si="322"/>
        <v xml:space="preserve"> </v>
      </c>
      <c r="IY115" s="10" t="str">
        <f t="shared" si="322"/>
        <v xml:space="preserve"> </v>
      </c>
      <c r="IZ115" s="10" t="str">
        <f t="shared" si="322"/>
        <v xml:space="preserve"> </v>
      </c>
      <c r="JA115" s="10" t="str">
        <f t="shared" si="322"/>
        <v xml:space="preserve"> </v>
      </c>
      <c r="JB115" s="10" t="str">
        <f t="shared" si="322"/>
        <v xml:space="preserve"> </v>
      </c>
      <c r="JE115" s="10" t="str">
        <f t="shared" si="323"/>
        <v xml:space="preserve"> </v>
      </c>
      <c r="JF115" s="10" t="str">
        <f t="shared" si="323"/>
        <v xml:space="preserve"> </v>
      </c>
      <c r="JG115" s="10" t="str">
        <f t="shared" si="323"/>
        <v xml:space="preserve"> </v>
      </c>
      <c r="JH115" s="10" t="str">
        <f t="shared" si="323"/>
        <v xml:space="preserve"> </v>
      </c>
      <c r="JI115" s="10" t="str">
        <f t="shared" si="323"/>
        <v xml:space="preserve"> </v>
      </c>
    </row>
    <row r="116" spans="13:269">
      <c r="M116" s="10" t="str">
        <f t="shared" si="324"/>
        <v xml:space="preserve"> </v>
      </c>
      <c r="N116" s="10" t="str">
        <f t="shared" si="324"/>
        <v xml:space="preserve"> </v>
      </c>
      <c r="O116" s="10" t="str">
        <f t="shared" si="324"/>
        <v xml:space="preserve"> </v>
      </c>
      <c r="P116" s="10" t="str">
        <f t="shared" si="324"/>
        <v xml:space="preserve"> </v>
      </c>
      <c r="Q116" s="10" t="str">
        <f t="shared" si="324"/>
        <v xml:space="preserve"> </v>
      </c>
      <c r="R116" s="14"/>
      <c r="S116" s="14"/>
      <c r="T116" s="10" t="str">
        <f t="shared" si="288"/>
        <v xml:space="preserve"> </v>
      </c>
      <c r="U116" s="10" t="str">
        <f t="shared" si="288"/>
        <v xml:space="preserve"> </v>
      </c>
      <c r="V116" s="10" t="str">
        <f t="shared" si="288"/>
        <v xml:space="preserve"> </v>
      </c>
      <c r="W116" s="10" t="str">
        <f t="shared" si="288"/>
        <v xml:space="preserve"> </v>
      </c>
      <c r="X116" s="10" t="str">
        <f t="shared" si="288"/>
        <v xml:space="preserve"> </v>
      </c>
      <c r="Y116" s="14"/>
      <c r="Z116" s="14"/>
      <c r="AA116" s="10" t="str">
        <f t="shared" si="289"/>
        <v xml:space="preserve"> </v>
      </c>
      <c r="AB116" s="10" t="str">
        <f t="shared" si="289"/>
        <v xml:space="preserve"> </v>
      </c>
      <c r="AC116" s="10" t="str">
        <f t="shared" si="289"/>
        <v xml:space="preserve"> </v>
      </c>
      <c r="AD116" s="10" t="str">
        <f t="shared" si="289"/>
        <v xml:space="preserve"> </v>
      </c>
      <c r="AE116" s="10" t="str">
        <f t="shared" si="289"/>
        <v xml:space="preserve"> </v>
      </c>
      <c r="AF116" s="14"/>
      <c r="AG116" s="14"/>
      <c r="AH116" s="10" t="str">
        <f t="shared" si="290"/>
        <v xml:space="preserve"> </v>
      </c>
      <c r="AI116" s="10" t="str">
        <f t="shared" si="290"/>
        <v xml:space="preserve"> </v>
      </c>
      <c r="AJ116" s="10" t="str">
        <f t="shared" si="290"/>
        <v xml:space="preserve"> </v>
      </c>
      <c r="AK116" s="10" t="str">
        <f t="shared" si="290"/>
        <v xml:space="preserve"> </v>
      </c>
      <c r="AL116" s="10" t="str">
        <f t="shared" si="290"/>
        <v xml:space="preserve"> </v>
      </c>
      <c r="AM116" s="14"/>
      <c r="AN116" s="14"/>
      <c r="AO116" s="10" t="str">
        <f t="shared" si="291"/>
        <v xml:space="preserve"> </v>
      </c>
      <c r="AP116" s="10" t="str">
        <f t="shared" si="291"/>
        <v xml:space="preserve"> </v>
      </c>
      <c r="AQ116" s="10" t="str">
        <f t="shared" si="291"/>
        <v xml:space="preserve"> </v>
      </c>
      <c r="AR116" s="10" t="str">
        <f t="shared" si="291"/>
        <v xml:space="preserve"> </v>
      </c>
      <c r="AS116" s="10" t="str">
        <f t="shared" si="291"/>
        <v xml:space="preserve"> </v>
      </c>
      <c r="AT116" s="14"/>
      <c r="AU116" s="14"/>
      <c r="AV116" s="10" t="str">
        <f t="shared" si="292"/>
        <v xml:space="preserve"> </v>
      </c>
      <c r="AW116" s="10" t="str">
        <f t="shared" si="292"/>
        <v xml:space="preserve"> </v>
      </c>
      <c r="AX116" s="10" t="str">
        <f t="shared" si="292"/>
        <v xml:space="preserve"> </v>
      </c>
      <c r="AY116" s="10" t="str">
        <f t="shared" si="292"/>
        <v xml:space="preserve"> </v>
      </c>
      <c r="AZ116" s="10" t="str">
        <f t="shared" si="292"/>
        <v xml:space="preserve"> </v>
      </c>
      <c r="BA116" s="14"/>
      <c r="BB116" s="14"/>
      <c r="BC116" s="10" t="str">
        <f t="shared" si="293"/>
        <v xml:space="preserve"> </v>
      </c>
      <c r="BD116" s="10" t="str">
        <f t="shared" si="293"/>
        <v xml:space="preserve"> </v>
      </c>
      <c r="BE116" s="10" t="str">
        <f t="shared" si="293"/>
        <v xml:space="preserve"> </v>
      </c>
      <c r="BF116" s="10" t="str">
        <f t="shared" si="293"/>
        <v xml:space="preserve"> </v>
      </c>
      <c r="BG116" s="10" t="str">
        <f t="shared" si="293"/>
        <v xml:space="preserve"> </v>
      </c>
      <c r="BH116" s="14"/>
      <c r="BI116" s="14"/>
      <c r="BJ116" s="10" t="str">
        <f t="shared" si="294"/>
        <v xml:space="preserve"> </v>
      </c>
      <c r="BK116" s="10" t="str">
        <f t="shared" si="294"/>
        <v xml:space="preserve"> </v>
      </c>
      <c r="BL116" s="10" t="str">
        <f t="shared" si="294"/>
        <v xml:space="preserve"> </v>
      </c>
      <c r="BM116" s="10" t="str">
        <f t="shared" si="294"/>
        <v xml:space="preserve"> </v>
      </c>
      <c r="BN116" s="10" t="str">
        <f t="shared" si="294"/>
        <v xml:space="preserve"> </v>
      </c>
      <c r="BO116" s="14"/>
      <c r="BP116" s="14"/>
      <c r="BQ116" s="10" t="str">
        <f t="shared" si="295"/>
        <v xml:space="preserve"> </v>
      </c>
      <c r="BR116" s="10" t="str">
        <f t="shared" si="295"/>
        <v xml:space="preserve"> </v>
      </c>
      <c r="BS116" s="10" t="str">
        <f t="shared" si="295"/>
        <v xml:space="preserve"> </v>
      </c>
      <c r="BT116" s="10" t="str">
        <f t="shared" si="295"/>
        <v xml:space="preserve"> </v>
      </c>
      <c r="BU116" s="10" t="str">
        <f t="shared" si="295"/>
        <v xml:space="preserve"> </v>
      </c>
      <c r="BV116" s="14"/>
      <c r="BW116" s="14"/>
      <c r="BX116" s="10" t="str">
        <f t="shared" si="296"/>
        <v xml:space="preserve"> </v>
      </c>
      <c r="BY116" s="10" t="str">
        <f t="shared" si="296"/>
        <v xml:space="preserve"> </v>
      </c>
      <c r="BZ116" s="10" t="str">
        <f t="shared" si="296"/>
        <v xml:space="preserve"> </v>
      </c>
      <c r="CA116" s="10" t="str">
        <f t="shared" si="296"/>
        <v xml:space="preserve"> </v>
      </c>
      <c r="CB116" s="10" t="str">
        <f t="shared" si="296"/>
        <v xml:space="preserve"> </v>
      </c>
      <c r="CC116" s="14"/>
      <c r="CD116" s="14"/>
      <c r="CE116" s="10" t="str">
        <f t="shared" si="297"/>
        <v xml:space="preserve"> </v>
      </c>
      <c r="CF116" s="10" t="str">
        <f t="shared" si="297"/>
        <v xml:space="preserve"> </v>
      </c>
      <c r="CG116" s="10" t="str">
        <f t="shared" si="297"/>
        <v xml:space="preserve"> </v>
      </c>
      <c r="CH116" s="10" t="str">
        <f t="shared" si="297"/>
        <v xml:space="preserve"> </v>
      </c>
      <c r="CI116" s="10" t="str">
        <f t="shared" si="297"/>
        <v xml:space="preserve"> </v>
      </c>
      <c r="CJ116" s="14"/>
      <c r="CK116" s="14"/>
      <c r="CL116" s="10" t="str">
        <f t="shared" si="298"/>
        <v xml:space="preserve"> </v>
      </c>
      <c r="CM116" s="10" t="str">
        <f t="shared" si="298"/>
        <v xml:space="preserve"> </v>
      </c>
      <c r="CN116" s="10" t="str">
        <f t="shared" si="298"/>
        <v xml:space="preserve"> </v>
      </c>
      <c r="CO116" s="10" t="str">
        <f t="shared" si="298"/>
        <v xml:space="preserve"> </v>
      </c>
      <c r="CP116" s="10" t="str">
        <f t="shared" si="298"/>
        <v xml:space="preserve"> </v>
      </c>
      <c r="CQ116" s="14"/>
      <c r="CR116" s="14"/>
      <c r="CS116" s="10" t="str">
        <f t="shared" si="299"/>
        <v xml:space="preserve"> </v>
      </c>
      <c r="CT116" s="10" t="str">
        <f t="shared" si="299"/>
        <v xml:space="preserve"> </v>
      </c>
      <c r="CU116" s="10" t="str">
        <f t="shared" si="299"/>
        <v xml:space="preserve"> </v>
      </c>
      <c r="CV116" s="10" t="str">
        <f t="shared" si="299"/>
        <v xml:space="preserve"> </v>
      </c>
      <c r="CW116" s="10" t="str">
        <f t="shared" si="299"/>
        <v xml:space="preserve"> </v>
      </c>
      <c r="CZ116" s="10" t="str">
        <f t="shared" si="300"/>
        <v xml:space="preserve"> </v>
      </c>
      <c r="DA116" s="10" t="str">
        <f t="shared" si="300"/>
        <v xml:space="preserve"> </v>
      </c>
      <c r="DB116" s="10" t="str">
        <f t="shared" si="300"/>
        <v xml:space="preserve"> </v>
      </c>
      <c r="DC116" s="10" t="str">
        <f t="shared" si="300"/>
        <v xml:space="preserve"> </v>
      </c>
      <c r="DD116" s="10" t="str">
        <f t="shared" si="300"/>
        <v xml:space="preserve"> </v>
      </c>
      <c r="DG116" s="10" t="str">
        <f t="shared" si="301"/>
        <v xml:space="preserve"> </v>
      </c>
      <c r="DH116" s="10" t="str">
        <f t="shared" si="301"/>
        <v xml:space="preserve"> </v>
      </c>
      <c r="DI116" s="10" t="str">
        <f t="shared" si="301"/>
        <v xml:space="preserve"> </v>
      </c>
      <c r="DJ116" s="10" t="str">
        <f t="shared" si="301"/>
        <v xml:space="preserve"> </v>
      </c>
      <c r="DK116" s="10" t="str">
        <f t="shared" si="301"/>
        <v xml:space="preserve"> </v>
      </c>
      <c r="DN116" s="10" t="str">
        <f t="shared" si="302"/>
        <v xml:space="preserve"> </v>
      </c>
      <c r="DO116" s="10" t="str">
        <f t="shared" si="302"/>
        <v xml:space="preserve"> </v>
      </c>
      <c r="DP116" s="10" t="str">
        <f t="shared" si="302"/>
        <v xml:space="preserve"> </v>
      </c>
      <c r="DQ116" s="10" t="str">
        <f t="shared" si="302"/>
        <v xml:space="preserve"> </v>
      </c>
      <c r="DR116" s="10" t="str">
        <f t="shared" si="302"/>
        <v xml:space="preserve"> </v>
      </c>
      <c r="DU116" s="10" t="str">
        <f t="shared" si="303"/>
        <v xml:space="preserve"> </v>
      </c>
      <c r="DV116" s="10" t="str">
        <f t="shared" si="303"/>
        <v xml:space="preserve"> </v>
      </c>
      <c r="DW116" s="10" t="str">
        <f t="shared" si="303"/>
        <v xml:space="preserve"> </v>
      </c>
      <c r="DX116" s="10" t="str">
        <f t="shared" si="303"/>
        <v xml:space="preserve"> </v>
      </c>
      <c r="DY116" s="10" t="str">
        <f t="shared" si="303"/>
        <v xml:space="preserve"> </v>
      </c>
      <c r="EB116" s="10" t="str">
        <f t="shared" si="304"/>
        <v xml:space="preserve"> </v>
      </c>
      <c r="EC116" s="10" t="str">
        <f t="shared" si="304"/>
        <v xml:space="preserve"> </v>
      </c>
      <c r="ED116" s="10" t="str">
        <f t="shared" si="304"/>
        <v xml:space="preserve"> </v>
      </c>
      <c r="EE116" s="10" t="str">
        <f t="shared" si="304"/>
        <v xml:space="preserve"> </v>
      </c>
      <c r="EF116" s="10" t="str">
        <f t="shared" si="304"/>
        <v xml:space="preserve"> </v>
      </c>
      <c r="EI116" s="10" t="str">
        <f t="shared" si="305"/>
        <v xml:space="preserve"> </v>
      </c>
      <c r="EJ116" s="10" t="str">
        <f t="shared" si="305"/>
        <v xml:space="preserve"> </v>
      </c>
      <c r="EK116" s="10" t="str">
        <f t="shared" si="305"/>
        <v xml:space="preserve"> </v>
      </c>
      <c r="EL116" s="10" t="str">
        <f t="shared" si="305"/>
        <v xml:space="preserve"> </v>
      </c>
      <c r="EM116" s="10" t="str">
        <f t="shared" si="305"/>
        <v xml:space="preserve"> </v>
      </c>
      <c r="EP116" s="10" t="str">
        <f t="shared" si="306"/>
        <v xml:space="preserve"> </v>
      </c>
      <c r="EQ116" s="10" t="str">
        <f t="shared" si="306"/>
        <v xml:space="preserve"> </v>
      </c>
      <c r="ER116" s="10" t="str">
        <f t="shared" si="306"/>
        <v xml:space="preserve"> </v>
      </c>
      <c r="ES116" s="10" t="str">
        <f t="shared" si="306"/>
        <v xml:space="preserve"> </v>
      </c>
      <c r="ET116" s="10" t="str">
        <f t="shared" si="306"/>
        <v xml:space="preserve"> </v>
      </c>
      <c r="EW116" s="10" t="str">
        <f t="shared" si="307"/>
        <v xml:space="preserve"> </v>
      </c>
      <c r="EX116" s="10" t="str">
        <f t="shared" si="307"/>
        <v xml:space="preserve"> </v>
      </c>
      <c r="EY116" s="10" t="str">
        <f t="shared" si="307"/>
        <v xml:space="preserve"> </v>
      </c>
      <c r="EZ116" s="10" t="str">
        <f t="shared" si="307"/>
        <v xml:space="preserve"> </v>
      </c>
      <c r="FA116" s="10" t="str">
        <f t="shared" si="307"/>
        <v xml:space="preserve"> </v>
      </c>
      <c r="FD116" s="10" t="str">
        <f t="shared" si="308"/>
        <v xml:space="preserve"> </v>
      </c>
      <c r="FE116" s="10" t="str">
        <f t="shared" si="308"/>
        <v xml:space="preserve"> </v>
      </c>
      <c r="FF116" s="10" t="str">
        <f t="shared" si="308"/>
        <v xml:space="preserve"> </v>
      </c>
      <c r="FG116" s="10" t="str">
        <f t="shared" si="308"/>
        <v xml:space="preserve"> </v>
      </c>
      <c r="FH116" s="10" t="str">
        <f t="shared" si="308"/>
        <v xml:space="preserve"> </v>
      </c>
      <c r="FK116" s="10" t="str">
        <f t="shared" si="309"/>
        <v xml:space="preserve"> </v>
      </c>
      <c r="FL116" s="10" t="str">
        <f t="shared" si="309"/>
        <v xml:space="preserve"> </v>
      </c>
      <c r="FM116" s="10" t="str">
        <f t="shared" si="309"/>
        <v xml:space="preserve"> </v>
      </c>
      <c r="FN116" s="10" t="str">
        <f t="shared" si="309"/>
        <v xml:space="preserve"> </v>
      </c>
      <c r="FO116" s="10" t="str">
        <f t="shared" si="309"/>
        <v xml:space="preserve"> </v>
      </c>
      <c r="FR116" s="10" t="str">
        <f t="shared" si="310"/>
        <v xml:space="preserve"> </v>
      </c>
      <c r="FS116" s="10" t="str">
        <f t="shared" si="310"/>
        <v xml:space="preserve"> </v>
      </c>
      <c r="FT116" s="10" t="str">
        <f t="shared" si="310"/>
        <v xml:space="preserve"> </v>
      </c>
      <c r="FU116" s="10" t="str">
        <f t="shared" si="310"/>
        <v xml:space="preserve"> </v>
      </c>
      <c r="FV116" s="10" t="str">
        <f t="shared" si="310"/>
        <v xml:space="preserve"> </v>
      </c>
      <c r="FY116" s="10" t="str">
        <f t="shared" si="311"/>
        <v xml:space="preserve"> </v>
      </c>
      <c r="FZ116" s="10" t="str">
        <f t="shared" si="311"/>
        <v xml:space="preserve"> </v>
      </c>
      <c r="GA116" s="10" t="str">
        <f t="shared" si="311"/>
        <v xml:space="preserve"> </v>
      </c>
      <c r="GB116" s="10" t="str">
        <f t="shared" si="311"/>
        <v xml:space="preserve"> </v>
      </c>
      <c r="GC116" s="10" t="str">
        <f t="shared" si="311"/>
        <v xml:space="preserve"> </v>
      </c>
      <c r="GF116" s="10" t="str">
        <f t="shared" si="312"/>
        <v xml:space="preserve"> </v>
      </c>
      <c r="GG116" s="10" t="str">
        <f t="shared" si="312"/>
        <v xml:space="preserve"> </v>
      </c>
      <c r="GH116" s="10" t="str">
        <f t="shared" si="312"/>
        <v xml:space="preserve"> </v>
      </c>
      <c r="GI116" s="10" t="str">
        <f t="shared" si="312"/>
        <v xml:space="preserve"> </v>
      </c>
      <c r="GJ116" s="10" t="str">
        <f t="shared" si="312"/>
        <v xml:space="preserve"> </v>
      </c>
      <c r="GM116" s="10" t="str">
        <f t="shared" si="313"/>
        <v xml:space="preserve"> </v>
      </c>
      <c r="GN116" s="10" t="str">
        <f t="shared" si="313"/>
        <v xml:space="preserve"> </v>
      </c>
      <c r="GO116" s="10" t="str">
        <f t="shared" si="313"/>
        <v xml:space="preserve"> </v>
      </c>
      <c r="GP116" s="10" t="str">
        <f t="shared" si="313"/>
        <v xml:space="preserve"> </v>
      </c>
      <c r="GQ116" s="10" t="str">
        <f t="shared" si="313"/>
        <v xml:space="preserve"> </v>
      </c>
      <c r="GT116" s="10" t="str">
        <f t="shared" si="314"/>
        <v xml:space="preserve"> </v>
      </c>
      <c r="GU116" s="10" t="str">
        <f t="shared" si="314"/>
        <v xml:space="preserve"> </v>
      </c>
      <c r="GV116" s="10" t="str">
        <f t="shared" si="314"/>
        <v xml:space="preserve"> </v>
      </c>
      <c r="GW116" s="10" t="str">
        <f t="shared" si="314"/>
        <v xml:space="preserve"> </v>
      </c>
      <c r="GX116" s="10" t="str">
        <f t="shared" si="314"/>
        <v xml:space="preserve"> </v>
      </c>
      <c r="HA116" s="10" t="str">
        <f t="shared" si="315"/>
        <v xml:space="preserve"> </v>
      </c>
      <c r="HB116" s="10" t="str">
        <f t="shared" si="315"/>
        <v xml:space="preserve"> </v>
      </c>
      <c r="HC116" s="10" t="str">
        <f t="shared" si="315"/>
        <v xml:space="preserve"> </v>
      </c>
      <c r="HD116" s="10" t="str">
        <f t="shared" si="315"/>
        <v xml:space="preserve"> </v>
      </c>
      <c r="HE116" s="10" t="str">
        <f t="shared" si="315"/>
        <v xml:space="preserve"> </v>
      </c>
      <c r="HH116" s="10" t="str">
        <f t="shared" si="316"/>
        <v xml:space="preserve"> </v>
      </c>
      <c r="HI116" s="10" t="str">
        <f t="shared" si="316"/>
        <v xml:space="preserve"> </v>
      </c>
      <c r="HJ116" s="10" t="str">
        <f t="shared" si="316"/>
        <v xml:space="preserve"> </v>
      </c>
      <c r="HK116" s="10" t="str">
        <f t="shared" si="316"/>
        <v xml:space="preserve"> </v>
      </c>
      <c r="HL116" s="10" t="str">
        <f t="shared" si="316"/>
        <v xml:space="preserve"> </v>
      </c>
      <c r="HO116" s="10" t="str">
        <f t="shared" si="317"/>
        <v xml:space="preserve"> </v>
      </c>
      <c r="HP116" s="10" t="str">
        <f t="shared" si="317"/>
        <v xml:space="preserve"> </v>
      </c>
      <c r="HQ116" s="10" t="str">
        <f t="shared" si="317"/>
        <v xml:space="preserve"> </v>
      </c>
      <c r="HR116" s="10" t="str">
        <f t="shared" si="317"/>
        <v xml:space="preserve"> </v>
      </c>
      <c r="HS116" s="10" t="str">
        <f t="shared" si="317"/>
        <v xml:space="preserve"> </v>
      </c>
      <c r="HV116" s="10" t="str">
        <f t="shared" si="318"/>
        <v xml:space="preserve"> </v>
      </c>
      <c r="HW116" s="10" t="str">
        <f t="shared" si="318"/>
        <v xml:space="preserve"> </v>
      </c>
      <c r="HX116" s="10" t="str">
        <f t="shared" si="318"/>
        <v xml:space="preserve"> </v>
      </c>
      <c r="HY116" s="10" t="str">
        <f t="shared" si="318"/>
        <v xml:space="preserve"> </v>
      </c>
      <c r="HZ116" s="10" t="str">
        <f t="shared" si="318"/>
        <v xml:space="preserve"> </v>
      </c>
      <c r="IC116" s="10" t="str">
        <f t="shared" si="319"/>
        <v xml:space="preserve"> </v>
      </c>
      <c r="ID116" s="10" t="str">
        <f t="shared" si="319"/>
        <v xml:space="preserve"> </v>
      </c>
      <c r="IE116" s="10" t="str">
        <f t="shared" si="319"/>
        <v xml:space="preserve"> </v>
      </c>
      <c r="IF116" s="10" t="str">
        <f t="shared" si="319"/>
        <v xml:space="preserve"> </v>
      </c>
      <c r="IG116" s="10" t="str">
        <f t="shared" si="319"/>
        <v xml:space="preserve"> </v>
      </c>
      <c r="IJ116" s="10" t="str">
        <f t="shared" si="320"/>
        <v xml:space="preserve"> </v>
      </c>
      <c r="IK116" s="10" t="str">
        <f t="shared" si="320"/>
        <v xml:space="preserve"> </v>
      </c>
      <c r="IL116" s="10" t="str">
        <f t="shared" si="320"/>
        <v xml:space="preserve"> </v>
      </c>
      <c r="IM116" s="10" t="str">
        <f t="shared" si="320"/>
        <v xml:space="preserve"> </v>
      </c>
      <c r="IN116" s="10" t="str">
        <f t="shared" si="320"/>
        <v xml:space="preserve"> </v>
      </c>
      <c r="IQ116" s="10" t="str">
        <f t="shared" si="321"/>
        <v xml:space="preserve"> </v>
      </c>
      <c r="IR116" s="10" t="str">
        <f t="shared" si="321"/>
        <v xml:space="preserve"> </v>
      </c>
      <c r="IS116" s="10" t="str">
        <f t="shared" si="321"/>
        <v xml:space="preserve"> </v>
      </c>
      <c r="IT116" s="10" t="str">
        <f t="shared" si="321"/>
        <v xml:space="preserve"> </v>
      </c>
      <c r="IU116" s="10" t="str">
        <f t="shared" si="321"/>
        <v xml:space="preserve"> </v>
      </c>
      <c r="IX116" s="10" t="str">
        <f t="shared" si="322"/>
        <v xml:space="preserve"> </v>
      </c>
      <c r="IY116" s="10" t="str">
        <f t="shared" si="322"/>
        <v xml:space="preserve"> </v>
      </c>
      <c r="IZ116" s="10" t="str">
        <f t="shared" si="322"/>
        <v xml:space="preserve"> </v>
      </c>
      <c r="JA116" s="10" t="str">
        <f t="shared" si="322"/>
        <v xml:space="preserve"> </v>
      </c>
      <c r="JB116" s="10" t="str">
        <f t="shared" si="322"/>
        <v xml:space="preserve"> </v>
      </c>
      <c r="JE116" s="10" t="str">
        <f t="shared" si="323"/>
        <v xml:space="preserve"> </v>
      </c>
      <c r="JF116" s="10" t="str">
        <f t="shared" si="323"/>
        <v xml:space="preserve"> </v>
      </c>
      <c r="JG116" s="10" t="str">
        <f t="shared" si="323"/>
        <v xml:space="preserve"> </v>
      </c>
      <c r="JH116" s="10" t="str">
        <f t="shared" si="323"/>
        <v xml:space="preserve"> </v>
      </c>
      <c r="JI116" s="10" t="str">
        <f t="shared" si="323"/>
        <v xml:space="preserve"> </v>
      </c>
    </row>
    <row r="117" spans="13:269">
      <c r="M117" s="10" t="str">
        <f t="shared" si="324"/>
        <v xml:space="preserve"> </v>
      </c>
      <c r="N117" s="10" t="str">
        <f t="shared" si="324"/>
        <v xml:space="preserve"> </v>
      </c>
      <c r="O117" s="10" t="str">
        <f t="shared" si="324"/>
        <v xml:space="preserve"> </v>
      </c>
      <c r="P117" s="10" t="str">
        <f t="shared" si="324"/>
        <v xml:space="preserve"> </v>
      </c>
      <c r="Q117" s="10" t="str">
        <f t="shared" si="324"/>
        <v xml:space="preserve"> </v>
      </c>
      <c r="R117" s="14"/>
      <c r="S117" s="14"/>
      <c r="T117" s="10" t="str">
        <f t="shared" si="288"/>
        <v xml:space="preserve"> </v>
      </c>
      <c r="U117" s="10" t="str">
        <f t="shared" si="288"/>
        <v xml:space="preserve"> </v>
      </c>
      <c r="V117" s="10" t="str">
        <f t="shared" si="288"/>
        <v xml:space="preserve"> </v>
      </c>
      <c r="W117" s="10" t="str">
        <f t="shared" si="288"/>
        <v xml:space="preserve"> </v>
      </c>
      <c r="X117" s="10" t="str">
        <f t="shared" si="288"/>
        <v xml:space="preserve"> </v>
      </c>
      <c r="Y117" s="14"/>
      <c r="Z117" s="14"/>
      <c r="AA117" s="10" t="str">
        <f t="shared" si="289"/>
        <v xml:space="preserve"> </v>
      </c>
      <c r="AB117" s="10" t="str">
        <f t="shared" si="289"/>
        <v xml:space="preserve"> </v>
      </c>
      <c r="AC117" s="10" t="str">
        <f t="shared" si="289"/>
        <v xml:space="preserve"> </v>
      </c>
      <c r="AD117" s="10" t="str">
        <f t="shared" si="289"/>
        <v xml:space="preserve"> </v>
      </c>
      <c r="AE117" s="10" t="str">
        <f t="shared" si="289"/>
        <v xml:space="preserve"> </v>
      </c>
      <c r="AF117" s="14"/>
      <c r="AG117" s="14"/>
      <c r="AH117" s="10" t="str">
        <f t="shared" si="290"/>
        <v xml:space="preserve"> </v>
      </c>
      <c r="AI117" s="10" t="str">
        <f t="shared" si="290"/>
        <v xml:space="preserve"> </v>
      </c>
      <c r="AJ117" s="10" t="str">
        <f t="shared" si="290"/>
        <v xml:space="preserve"> </v>
      </c>
      <c r="AK117" s="10" t="str">
        <f t="shared" si="290"/>
        <v xml:space="preserve"> </v>
      </c>
      <c r="AL117" s="10" t="str">
        <f t="shared" si="290"/>
        <v xml:space="preserve"> </v>
      </c>
      <c r="AM117" s="14"/>
      <c r="AN117" s="14"/>
      <c r="AO117" s="10" t="str">
        <f t="shared" si="291"/>
        <v xml:space="preserve"> </v>
      </c>
      <c r="AP117" s="10" t="str">
        <f t="shared" si="291"/>
        <v xml:space="preserve"> </v>
      </c>
      <c r="AQ117" s="10" t="str">
        <f t="shared" si="291"/>
        <v xml:space="preserve"> </v>
      </c>
      <c r="AR117" s="10" t="str">
        <f t="shared" si="291"/>
        <v xml:space="preserve"> </v>
      </c>
      <c r="AS117" s="10" t="str">
        <f t="shared" si="291"/>
        <v xml:space="preserve"> </v>
      </c>
      <c r="AT117" s="14"/>
      <c r="AU117" s="14"/>
      <c r="AV117" s="10" t="str">
        <f t="shared" si="292"/>
        <v xml:space="preserve"> </v>
      </c>
      <c r="AW117" s="10" t="str">
        <f t="shared" si="292"/>
        <v xml:space="preserve"> </v>
      </c>
      <c r="AX117" s="10" t="str">
        <f t="shared" si="292"/>
        <v xml:space="preserve"> </v>
      </c>
      <c r="AY117" s="10" t="str">
        <f t="shared" si="292"/>
        <v xml:space="preserve"> </v>
      </c>
      <c r="AZ117" s="10" t="str">
        <f t="shared" si="292"/>
        <v xml:space="preserve"> </v>
      </c>
      <c r="BA117" s="14"/>
      <c r="BB117" s="14"/>
      <c r="BC117" s="10" t="str">
        <f t="shared" si="293"/>
        <v xml:space="preserve"> </v>
      </c>
      <c r="BD117" s="10" t="str">
        <f t="shared" si="293"/>
        <v xml:space="preserve"> </v>
      </c>
      <c r="BE117" s="10" t="str">
        <f t="shared" si="293"/>
        <v xml:space="preserve"> </v>
      </c>
      <c r="BF117" s="10" t="str">
        <f t="shared" si="293"/>
        <v xml:space="preserve"> </v>
      </c>
      <c r="BG117" s="10" t="str">
        <f t="shared" si="293"/>
        <v xml:space="preserve"> </v>
      </c>
      <c r="BH117" s="14"/>
      <c r="BI117" s="14"/>
      <c r="BJ117" s="10" t="str">
        <f t="shared" si="294"/>
        <v xml:space="preserve"> </v>
      </c>
      <c r="BK117" s="10" t="str">
        <f t="shared" si="294"/>
        <v xml:space="preserve"> </v>
      </c>
      <c r="BL117" s="10" t="str">
        <f t="shared" si="294"/>
        <v xml:space="preserve"> </v>
      </c>
      <c r="BM117" s="10" t="str">
        <f t="shared" si="294"/>
        <v xml:space="preserve"> </v>
      </c>
      <c r="BN117" s="10" t="str">
        <f t="shared" si="294"/>
        <v xml:space="preserve"> </v>
      </c>
      <c r="BO117" s="14"/>
      <c r="BP117" s="14"/>
      <c r="BQ117" s="10" t="str">
        <f t="shared" si="295"/>
        <v xml:space="preserve"> </v>
      </c>
      <c r="BR117" s="10" t="str">
        <f t="shared" si="295"/>
        <v xml:space="preserve"> </v>
      </c>
      <c r="BS117" s="10" t="str">
        <f t="shared" si="295"/>
        <v xml:space="preserve"> </v>
      </c>
      <c r="BT117" s="10" t="str">
        <f t="shared" si="295"/>
        <v xml:space="preserve"> </v>
      </c>
      <c r="BU117" s="10" t="str">
        <f t="shared" si="295"/>
        <v xml:space="preserve"> </v>
      </c>
      <c r="BV117" s="14"/>
      <c r="BW117" s="14"/>
      <c r="BX117" s="10" t="str">
        <f t="shared" si="296"/>
        <v xml:space="preserve"> </v>
      </c>
      <c r="BY117" s="10" t="str">
        <f t="shared" si="296"/>
        <v xml:space="preserve"> </v>
      </c>
      <c r="BZ117" s="10" t="str">
        <f t="shared" si="296"/>
        <v xml:space="preserve"> </v>
      </c>
      <c r="CA117" s="10" t="str">
        <f t="shared" si="296"/>
        <v xml:space="preserve"> </v>
      </c>
      <c r="CB117" s="10" t="str">
        <f t="shared" si="296"/>
        <v xml:space="preserve"> </v>
      </c>
      <c r="CC117" s="14"/>
      <c r="CD117" s="14"/>
      <c r="CE117" s="10" t="str">
        <f t="shared" si="297"/>
        <v xml:space="preserve"> </v>
      </c>
      <c r="CF117" s="10" t="str">
        <f t="shared" si="297"/>
        <v xml:space="preserve"> </v>
      </c>
      <c r="CG117" s="10" t="str">
        <f t="shared" si="297"/>
        <v xml:space="preserve"> </v>
      </c>
      <c r="CH117" s="10" t="str">
        <f t="shared" si="297"/>
        <v xml:space="preserve"> </v>
      </c>
      <c r="CI117" s="10" t="str">
        <f t="shared" si="297"/>
        <v xml:space="preserve"> </v>
      </c>
      <c r="CJ117" s="14"/>
      <c r="CK117" s="14"/>
      <c r="CL117" s="10" t="str">
        <f t="shared" si="298"/>
        <v xml:space="preserve"> </v>
      </c>
      <c r="CM117" s="10" t="str">
        <f t="shared" si="298"/>
        <v xml:space="preserve"> </v>
      </c>
      <c r="CN117" s="10" t="str">
        <f t="shared" si="298"/>
        <v xml:space="preserve"> </v>
      </c>
      <c r="CO117" s="10" t="str">
        <f t="shared" si="298"/>
        <v xml:space="preserve"> </v>
      </c>
      <c r="CP117" s="10" t="str">
        <f t="shared" si="298"/>
        <v xml:space="preserve"> </v>
      </c>
      <c r="CQ117" s="14"/>
      <c r="CR117" s="14"/>
      <c r="CS117" s="10" t="str">
        <f t="shared" si="299"/>
        <v xml:space="preserve"> </v>
      </c>
      <c r="CT117" s="10" t="str">
        <f t="shared" si="299"/>
        <v xml:space="preserve"> </v>
      </c>
      <c r="CU117" s="10" t="str">
        <f t="shared" si="299"/>
        <v xml:space="preserve"> </v>
      </c>
      <c r="CV117" s="10" t="str">
        <f t="shared" si="299"/>
        <v xml:space="preserve"> </v>
      </c>
      <c r="CW117" s="10" t="str">
        <f t="shared" si="299"/>
        <v xml:space="preserve"> </v>
      </c>
      <c r="CZ117" s="10" t="str">
        <f t="shared" si="300"/>
        <v xml:space="preserve"> </v>
      </c>
      <c r="DA117" s="10" t="str">
        <f t="shared" si="300"/>
        <v xml:space="preserve"> </v>
      </c>
      <c r="DB117" s="10" t="str">
        <f t="shared" si="300"/>
        <v xml:space="preserve"> </v>
      </c>
      <c r="DC117" s="10" t="str">
        <f t="shared" si="300"/>
        <v xml:space="preserve"> </v>
      </c>
      <c r="DD117" s="10" t="str">
        <f t="shared" si="300"/>
        <v xml:space="preserve"> </v>
      </c>
      <c r="DG117" s="10" t="str">
        <f t="shared" si="301"/>
        <v xml:space="preserve"> </v>
      </c>
      <c r="DH117" s="10" t="str">
        <f t="shared" si="301"/>
        <v xml:space="preserve"> </v>
      </c>
      <c r="DI117" s="10" t="str">
        <f t="shared" si="301"/>
        <v xml:space="preserve"> </v>
      </c>
      <c r="DJ117" s="10" t="str">
        <f t="shared" si="301"/>
        <v xml:space="preserve"> </v>
      </c>
      <c r="DK117" s="10" t="str">
        <f t="shared" si="301"/>
        <v xml:space="preserve"> </v>
      </c>
      <c r="DN117" s="10" t="str">
        <f t="shared" si="302"/>
        <v xml:space="preserve"> </v>
      </c>
      <c r="DO117" s="10" t="str">
        <f t="shared" si="302"/>
        <v xml:space="preserve"> </v>
      </c>
      <c r="DP117" s="10" t="str">
        <f t="shared" si="302"/>
        <v xml:space="preserve"> </v>
      </c>
      <c r="DQ117" s="10" t="str">
        <f t="shared" si="302"/>
        <v xml:space="preserve"> </v>
      </c>
      <c r="DR117" s="10" t="str">
        <f t="shared" si="302"/>
        <v xml:space="preserve"> </v>
      </c>
      <c r="DU117" s="10" t="str">
        <f t="shared" si="303"/>
        <v xml:space="preserve"> </v>
      </c>
      <c r="DV117" s="10" t="str">
        <f t="shared" si="303"/>
        <v xml:space="preserve"> </v>
      </c>
      <c r="DW117" s="10" t="str">
        <f t="shared" si="303"/>
        <v xml:space="preserve"> </v>
      </c>
      <c r="DX117" s="10" t="str">
        <f t="shared" si="303"/>
        <v xml:space="preserve"> </v>
      </c>
      <c r="DY117" s="10" t="str">
        <f t="shared" si="303"/>
        <v xml:space="preserve"> </v>
      </c>
      <c r="EB117" s="10" t="str">
        <f t="shared" si="304"/>
        <v xml:space="preserve"> </v>
      </c>
      <c r="EC117" s="10" t="str">
        <f t="shared" si="304"/>
        <v xml:space="preserve"> </v>
      </c>
      <c r="ED117" s="10" t="str">
        <f t="shared" si="304"/>
        <v xml:space="preserve"> </v>
      </c>
      <c r="EE117" s="10" t="str">
        <f t="shared" si="304"/>
        <v xml:space="preserve"> </v>
      </c>
      <c r="EF117" s="10" t="str">
        <f t="shared" si="304"/>
        <v xml:space="preserve"> </v>
      </c>
      <c r="EI117" s="10" t="str">
        <f t="shared" si="305"/>
        <v xml:space="preserve"> </v>
      </c>
      <c r="EJ117" s="10" t="str">
        <f t="shared" si="305"/>
        <v xml:space="preserve"> </v>
      </c>
      <c r="EK117" s="10" t="str">
        <f t="shared" si="305"/>
        <v xml:space="preserve"> </v>
      </c>
      <c r="EL117" s="10" t="str">
        <f t="shared" si="305"/>
        <v xml:space="preserve"> </v>
      </c>
      <c r="EM117" s="10" t="str">
        <f t="shared" si="305"/>
        <v xml:space="preserve"> </v>
      </c>
      <c r="EP117" s="10" t="str">
        <f t="shared" si="306"/>
        <v xml:space="preserve"> </v>
      </c>
      <c r="EQ117" s="10" t="str">
        <f t="shared" si="306"/>
        <v xml:space="preserve"> </v>
      </c>
      <c r="ER117" s="10" t="str">
        <f t="shared" si="306"/>
        <v xml:space="preserve"> </v>
      </c>
      <c r="ES117" s="10" t="str">
        <f t="shared" si="306"/>
        <v xml:space="preserve"> </v>
      </c>
      <c r="ET117" s="10" t="str">
        <f t="shared" si="306"/>
        <v xml:space="preserve"> </v>
      </c>
      <c r="EW117" s="10" t="str">
        <f t="shared" si="307"/>
        <v xml:space="preserve"> </v>
      </c>
      <c r="EX117" s="10" t="str">
        <f t="shared" si="307"/>
        <v xml:space="preserve"> </v>
      </c>
      <c r="EY117" s="10" t="str">
        <f t="shared" si="307"/>
        <v xml:space="preserve"> </v>
      </c>
      <c r="EZ117" s="10" t="str">
        <f t="shared" si="307"/>
        <v xml:space="preserve"> </v>
      </c>
      <c r="FA117" s="10" t="str">
        <f t="shared" si="307"/>
        <v xml:space="preserve"> </v>
      </c>
      <c r="FD117" s="10" t="str">
        <f t="shared" si="308"/>
        <v xml:space="preserve"> </v>
      </c>
      <c r="FE117" s="10" t="str">
        <f t="shared" si="308"/>
        <v xml:space="preserve"> </v>
      </c>
      <c r="FF117" s="10" t="str">
        <f t="shared" si="308"/>
        <v xml:space="preserve"> </v>
      </c>
      <c r="FG117" s="10" t="str">
        <f t="shared" si="308"/>
        <v xml:space="preserve"> </v>
      </c>
      <c r="FH117" s="10" t="str">
        <f t="shared" si="308"/>
        <v xml:space="preserve"> </v>
      </c>
      <c r="FK117" s="10" t="str">
        <f t="shared" si="309"/>
        <v xml:space="preserve"> </v>
      </c>
      <c r="FL117" s="10" t="str">
        <f t="shared" si="309"/>
        <v xml:space="preserve"> </v>
      </c>
      <c r="FM117" s="10" t="str">
        <f t="shared" si="309"/>
        <v xml:space="preserve"> </v>
      </c>
      <c r="FN117" s="10" t="str">
        <f t="shared" si="309"/>
        <v xml:space="preserve"> </v>
      </c>
      <c r="FO117" s="10" t="str">
        <f t="shared" si="309"/>
        <v xml:space="preserve"> </v>
      </c>
      <c r="FR117" s="10" t="str">
        <f t="shared" si="310"/>
        <v xml:space="preserve"> </v>
      </c>
      <c r="FS117" s="10" t="str">
        <f t="shared" si="310"/>
        <v xml:space="preserve"> </v>
      </c>
      <c r="FT117" s="10" t="str">
        <f t="shared" si="310"/>
        <v xml:space="preserve"> </v>
      </c>
      <c r="FU117" s="10" t="str">
        <f t="shared" si="310"/>
        <v xml:space="preserve"> </v>
      </c>
      <c r="FV117" s="10" t="str">
        <f t="shared" si="310"/>
        <v xml:space="preserve"> </v>
      </c>
      <c r="FY117" s="10" t="str">
        <f t="shared" si="311"/>
        <v xml:space="preserve"> </v>
      </c>
      <c r="FZ117" s="10" t="str">
        <f t="shared" si="311"/>
        <v xml:space="preserve"> </v>
      </c>
      <c r="GA117" s="10" t="str">
        <f t="shared" si="311"/>
        <v xml:space="preserve"> </v>
      </c>
      <c r="GB117" s="10" t="str">
        <f t="shared" si="311"/>
        <v xml:space="preserve"> </v>
      </c>
      <c r="GC117" s="10" t="str">
        <f t="shared" si="311"/>
        <v xml:space="preserve"> </v>
      </c>
      <c r="GF117" s="10" t="str">
        <f t="shared" si="312"/>
        <v xml:space="preserve"> </v>
      </c>
      <c r="GG117" s="10" t="str">
        <f t="shared" si="312"/>
        <v xml:space="preserve"> </v>
      </c>
      <c r="GH117" s="10" t="str">
        <f t="shared" si="312"/>
        <v xml:space="preserve"> </v>
      </c>
      <c r="GI117" s="10" t="str">
        <f t="shared" si="312"/>
        <v xml:space="preserve"> </v>
      </c>
      <c r="GJ117" s="10" t="str">
        <f t="shared" si="312"/>
        <v xml:space="preserve"> </v>
      </c>
      <c r="GM117" s="10" t="str">
        <f t="shared" si="313"/>
        <v xml:space="preserve"> </v>
      </c>
      <c r="GN117" s="10" t="str">
        <f t="shared" si="313"/>
        <v xml:space="preserve"> </v>
      </c>
      <c r="GO117" s="10" t="str">
        <f t="shared" si="313"/>
        <v xml:space="preserve"> </v>
      </c>
      <c r="GP117" s="10" t="str">
        <f t="shared" si="313"/>
        <v xml:space="preserve"> </v>
      </c>
      <c r="GQ117" s="10" t="str">
        <f t="shared" si="313"/>
        <v xml:space="preserve"> </v>
      </c>
      <c r="GT117" s="10" t="str">
        <f t="shared" si="314"/>
        <v xml:space="preserve"> </v>
      </c>
      <c r="GU117" s="10" t="str">
        <f t="shared" si="314"/>
        <v xml:space="preserve"> </v>
      </c>
      <c r="GV117" s="10" t="str">
        <f t="shared" si="314"/>
        <v xml:space="preserve"> </v>
      </c>
      <c r="GW117" s="10" t="str">
        <f t="shared" si="314"/>
        <v xml:space="preserve"> </v>
      </c>
      <c r="GX117" s="10" t="str">
        <f t="shared" si="314"/>
        <v xml:space="preserve"> </v>
      </c>
      <c r="HA117" s="10" t="str">
        <f t="shared" si="315"/>
        <v xml:space="preserve"> </v>
      </c>
      <c r="HB117" s="10" t="str">
        <f t="shared" si="315"/>
        <v xml:space="preserve"> </v>
      </c>
      <c r="HC117" s="10" t="str">
        <f t="shared" si="315"/>
        <v xml:space="preserve"> </v>
      </c>
      <c r="HD117" s="10" t="str">
        <f t="shared" si="315"/>
        <v xml:space="preserve"> </v>
      </c>
      <c r="HE117" s="10" t="str">
        <f t="shared" si="315"/>
        <v xml:space="preserve"> </v>
      </c>
      <c r="HH117" s="10" t="str">
        <f t="shared" si="316"/>
        <v xml:space="preserve"> </v>
      </c>
      <c r="HI117" s="10" t="str">
        <f t="shared" si="316"/>
        <v xml:space="preserve"> </v>
      </c>
      <c r="HJ117" s="10" t="str">
        <f t="shared" si="316"/>
        <v xml:space="preserve"> </v>
      </c>
      <c r="HK117" s="10" t="str">
        <f t="shared" si="316"/>
        <v xml:space="preserve"> </v>
      </c>
      <c r="HL117" s="10" t="str">
        <f t="shared" si="316"/>
        <v xml:space="preserve"> </v>
      </c>
      <c r="HO117" s="10" t="str">
        <f t="shared" si="317"/>
        <v xml:space="preserve"> </v>
      </c>
      <c r="HP117" s="10" t="str">
        <f t="shared" si="317"/>
        <v xml:space="preserve"> </v>
      </c>
      <c r="HQ117" s="10" t="str">
        <f t="shared" si="317"/>
        <v xml:space="preserve"> </v>
      </c>
      <c r="HR117" s="10" t="str">
        <f t="shared" si="317"/>
        <v xml:space="preserve"> </v>
      </c>
      <c r="HS117" s="10" t="str">
        <f t="shared" si="317"/>
        <v xml:space="preserve"> </v>
      </c>
      <c r="HV117" s="10" t="str">
        <f t="shared" si="318"/>
        <v xml:space="preserve"> </v>
      </c>
      <c r="HW117" s="10" t="str">
        <f t="shared" si="318"/>
        <v xml:space="preserve"> </v>
      </c>
      <c r="HX117" s="10" t="str">
        <f t="shared" si="318"/>
        <v xml:space="preserve"> </v>
      </c>
      <c r="HY117" s="10" t="str">
        <f t="shared" si="318"/>
        <v xml:space="preserve"> </v>
      </c>
      <c r="HZ117" s="10" t="str">
        <f t="shared" si="318"/>
        <v xml:space="preserve"> </v>
      </c>
      <c r="IC117" s="10" t="str">
        <f t="shared" si="319"/>
        <v xml:space="preserve"> </v>
      </c>
      <c r="ID117" s="10" t="str">
        <f t="shared" si="319"/>
        <v xml:space="preserve"> </v>
      </c>
      <c r="IE117" s="10" t="str">
        <f t="shared" si="319"/>
        <v xml:space="preserve"> </v>
      </c>
      <c r="IF117" s="10" t="str">
        <f t="shared" si="319"/>
        <v xml:space="preserve"> </v>
      </c>
      <c r="IG117" s="10" t="str">
        <f t="shared" si="319"/>
        <v xml:space="preserve"> </v>
      </c>
      <c r="IJ117" s="10" t="str">
        <f t="shared" si="320"/>
        <v xml:space="preserve"> </v>
      </c>
      <c r="IK117" s="10" t="str">
        <f t="shared" si="320"/>
        <v xml:space="preserve"> </v>
      </c>
      <c r="IL117" s="10" t="str">
        <f t="shared" si="320"/>
        <v xml:space="preserve"> </v>
      </c>
      <c r="IM117" s="10" t="str">
        <f t="shared" si="320"/>
        <v xml:space="preserve"> </v>
      </c>
      <c r="IN117" s="10" t="str">
        <f t="shared" si="320"/>
        <v xml:space="preserve"> </v>
      </c>
      <c r="IQ117" s="10" t="str">
        <f t="shared" si="321"/>
        <v xml:space="preserve"> </v>
      </c>
      <c r="IR117" s="10" t="str">
        <f t="shared" si="321"/>
        <v xml:space="preserve"> </v>
      </c>
      <c r="IS117" s="10" t="str">
        <f t="shared" si="321"/>
        <v xml:space="preserve"> </v>
      </c>
      <c r="IT117" s="10" t="str">
        <f t="shared" si="321"/>
        <v xml:space="preserve"> </v>
      </c>
      <c r="IU117" s="10" t="str">
        <f t="shared" si="321"/>
        <v xml:space="preserve"> </v>
      </c>
      <c r="IX117" s="10" t="str">
        <f t="shared" si="322"/>
        <v xml:space="preserve"> </v>
      </c>
      <c r="IY117" s="10" t="str">
        <f t="shared" si="322"/>
        <v xml:space="preserve"> </v>
      </c>
      <c r="IZ117" s="10" t="str">
        <f t="shared" si="322"/>
        <v xml:space="preserve"> </v>
      </c>
      <c r="JA117" s="10" t="str">
        <f t="shared" si="322"/>
        <v xml:space="preserve"> </v>
      </c>
      <c r="JB117" s="10" t="str">
        <f t="shared" si="322"/>
        <v xml:space="preserve"> </v>
      </c>
      <c r="JE117" s="10" t="str">
        <f t="shared" si="323"/>
        <v xml:space="preserve"> </v>
      </c>
      <c r="JF117" s="10" t="str">
        <f t="shared" si="323"/>
        <v xml:space="preserve"> </v>
      </c>
      <c r="JG117" s="10" t="str">
        <f t="shared" si="323"/>
        <v xml:space="preserve"> </v>
      </c>
      <c r="JH117" s="10" t="str">
        <f t="shared" si="323"/>
        <v xml:space="preserve"> </v>
      </c>
      <c r="JI117" s="10" t="str">
        <f t="shared" si="323"/>
        <v xml:space="preserve"> </v>
      </c>
    </row>
    <row r="118" spans="13:269">
      <c r="M118" s="10" t="str">
        <f t="shared" si="324"/>
        <v xml:space="preserve"> </v>
      </c>
      <c r="N118" s="10" t="str">
        <f t="shared" si="324"/>
        <v xml:space="preserve"> </v>
      </c>
      <c r="O118" s="10" t="str">
        <f t="shared" si="324"/>
        <v xml:space="preserve"> </v>
      </c>
      <c r="P118" s="10" t="str">
        <f t="shared" si="324"/>
        <v xml:space="preserve"> </v>
      </c>
      <c r="Q118" s="10" t="str">
        <f t="shared" si="324"/>
        <v xml:space="preserve"> </v>
      </c>
      <c r="R118" s="14"/>
      <c r="S118" s="14"/>
      <c r="T118" s="10" t="str">
        <f t="shared" si="288"/>
        <v xml:space="preserve"> </v>
      </c>
      <c r="U118" s="10" t="str">
        <f t="shared" si="288"/>
        <v xml:space="preserve"> </v>
      </c>
      <c r="V118" s="10" t="str">
        <f t="shared" si="288"/>
        <v xml:space="preserve"> </v>
      </c>
      <c r="W118" s="10" t="str">
        <f t="shared" si="288"/>
        <v xml:space="preserve"> </v>
      </c>
      <c r="X118" s="10" t="str">
        <f t="shared" si="288"/>
        <v xml:space="preserve"> </v>
      </c>
      <c r="Y118" s="14"/>
      <c r="Z118" s="14"/>
      <c r="AA118" s="10" t="str">
        <f t="shared" si="289"/>
        <v xml:space="preserve"> </v>
      </c>
      <c r="AB118" s="10" t="str">
        <f t="shared" si="289"/>
        <v xml:space="preserve"> </v>
      </c>
      <c r="AC118" s="10" t="str">
        <f t="shared" si="289"/>
        <v xml:space="preserve"> </v>
      </c>
      <c r="AD118" s="10" t="str">
        <f t="shared" si="289"/>
        <v xml:space="preserve"> </v>
      </c>
      <c r="AE118" s="10" t="str">
        <f t="shared" si="289"/>
        <v xml:space="preserve"> </v>
      </c>
      <c r="AF118" s="14"/>
      <c r="AG118" s="14"/>
      <c r="AH118" s="10" t="str">
        <f t="shared" si="290"/>
        <v xml:space="preserve"> </v>
      </c>
      <c r="AI118" s="10" t="str">
        <f t="shared" si="290"/>
        <v xml:space="preserve"> </v>
      </c>
      <c r="AJ118" s="10" t="str">
        <f t="shared" si="290"/>
        <v xml:space="preserve"> </v>
      </c>
      <c r="AK118" s="10" t="str">
        <f t="shared" si="290"/>
        <v xml:space="preserve"> </v>
      </c>
      <c r="AL118" s="10" t="str">
        <f t="shared" si="290"/>
        <v xml:space="preserve"> </v>
      </c>
      <c r="AM118" s="14"/>
      <c r="AN118" s="14"/>
      <c r="AO118" s="10" t="str">
        <f t="shared" si="291"/>
        <v xml:space="preserve"> </v>
      </c>
      <c r="AP118" s="10" t="str">
        <f t="shared" si="291"/>
        <v xml:space="preserve"> </v>
      </c>
      <c r="AQ118" s="10" t="str">
        <f t="shared" si="291"/>
        <v xml:space="preserve"> </v>
      </c>
      <c r="AR118" s="10" t="str">
        <f t="shared" si="291"/>
        <v xml:space="preserve"> </v>
      </c>
      <c r="AS118" s="10" t="str">
        <f t="shared" si="291"/>
        <v xml:space="preserve"> </v>
      </c>
      <c r="AT118" s="14"/>
      <c r="AU118" s="14"/>
      <c r="AV118" s="10" t="str">
        <f t="shared" si="292"/>
        <v xml:space="preserve"> </v>
      </c>
      <c r="AW118" s="10" t="str">
        <f t="shared" si="292"/>
        <v xml:space="preserve"> </v>
      </c>
      <c r="AX118" s="10" t="str">
        <f t="shared" si="292"/>
        <v xml:space="preserve"> </v>
      </c>
      <c r="AY118" s="10" t="str">
        <f t="shared" si="292"/>
        <v xml:space="preserve"> </v>
      </c>
      <c r="AZ118" s="10" t="str">
        <f t="shared" si="292"/>
        <v xml:space="preserve"> </v>
      </c>
      <c r="BA118" s="14"/>
      <c r="BB118" s="14"/>
      <c r="BC118" s="10" t="str">
        <f t="shared" si="293"/>
        <v xml:space="preserve"> </v>
      </c>
      <c r="BD118" s="10" t="str">
        <f t="shared" si="293"/>
        <v xml:space="preserve"> </v>
      </c>
      <c r="BE118" s="10" t="str">
        <f t="shared" si="293"/>
        <v xml:space="preserve"> </v>
      </c>
      <c r="BF118" s="10" t="str">
        <f t="shared" si="293"/>
        <v xml:space="preserve"> </v>
      </c>
      <c r="BG118" s="10" t="str">
        <f t="shared" si="293"/>
        <v xml:space="preserve"> </v>
      </c>
      <c r="BH118" s="14"/>
      <c r="BI118" s="14"/>
      <c r="BJ118" s="10" t="str">
        <f t="shared" si="294"/>
        <v xml:space="preserve"> </v>
      </c>
      <c r="BK118" s="10" t="str">
        <f t="shared" si="294"/>
        <v xml:space="preserve"> </v>
      </c>
      <c r="BL118" s="10" t="str">
        <f t="shared" si="294"/>
        <v xml:space="preserve"> </v>
      </c>
      <c r="BM118" s="10" t="str">
        <f t="shared" si="294"/>
        <v xml:space="preserve"> </v>
      </c>
      <c r="BN118" s="10" t="str">
        <f t="shared" si="294"/>
        <v xml:space="preserve"> </v>
      </c>
      <c r="BO118" s="14"/>
      <c r="BP118" s="14"/>
      <c r="BQ118" s="10" t="str">
        <f t="shared" si="295"/>
        <v xml:space="preserve"> </v>
      </c>
      <c r="BR118" s="10" t="str">
        <f t="shared" si="295"/>
        <v xml:space="preserve"> </v>
      </c>
      <c r="BS118" s="10" t="str">
        <f t="shared" si="295"/>
        <v xml:space="preserve"> </v>
      </c>
      <c r="BT118" s="10" t="str">
        <f t="shared" si="295"/>
        <v xml:space="preserve"> </v>
      </c>
      <c r="BU118" s="10" t="str">
        <f t="shared" si="295"/>
        <v xml:space="preserve"> </v>
      </c>
      <c r="BV118" s="14"/>
      <c r="BW118" s="14"/>
      <c r="BX118" s="10" t="str">
        <f t="shared" si="296"/>
        <v xml:space="preserve"> </v>
      </c>
      <c r="BY118" s="10" t="str">
        <f t="shared" si="296"/>
        <v xml:space="preserve"> </v>
      </c>
      <c r="BZ118" s="10" t="str">
        <f t="shared" si="296"/>
        <v xml:space="preserve"> </v>
      </c>
      <c r="CA118" s="10" t="str">
        <f t="shared" si="296"/>
        <v xml:space="preserve"> </v>
      </c>
      <c r="CB118" s="10" t="str">
        <f t="shared" si="296"/>
        <v xml:space="preserve"> </v>
      </c>
      <c r="CC118" s="14"/>
      <c r="CD118" s="14"/>
      <c r="CE118" s="10" t="str">
        <f t="shared" si="297"/>
        <v xml:space="preserve"> </v>
      </c>
      <c r="CF118" s="10" t="str">
        <f t="shared" si="297"/>
        <v xml:space="preserve"> </v>
      </c>
      <c r="CG118" s="10" t="str">
        <f t="shared" si="297"/>
        <v xml:space="preserve"> </v>
      </c>
      <c r="CH118" s="10" t="str">
        <f t="shared" si="297"/>
        <v xml:space="preserve"> </v>
      </c>
      <c r="CI118" s="10" t="str">
        <f t="shared" si="297"/>
        <v xml:space="preserve"> </v>
      </c>
      <c r="CJ118" s="14"/>
      <c r="CK118" s="14"/>
      <c r="CL118" s="10" t="str">
        <f t="shared" si="298"/>
        <v xml:space="preserve"> </v>
      </c>
      <c r="CM118" s="10" t="str">
        <f t="shared" si="298"/>
        <v xml:space="preserve"> </v>
      </c>
      <c r="CN118" s="10" t="str">
        <f t="shared" si="298"/>
        <v xml:space="preserve"> </v>
      </c>
      <c r="CO118" s="10" t="str">
        <f t="shared" si="298"/>
        <v xml:space="preserve"> </v>
      </c>
      <c r="CP118" s="10" t="str">
        <f t="shared" si="298"/>
        <v xml:space="preserve"> </v>
      </c>
      <c r="CQ118" s="14"/>
      <c r="CR118" s="14"/>
      <c r="CS118" s="10" t="str">
        <f t="shared" si="299"/>
        <v xml:space="preserve"> </v>
      </c>
      <c r="CT118" s="10" t="str">
        <f t="shared" si="299"/>
        <v xml:space="preserve"> </v>
      </c>
      <c r="CU118" s="10" t="str">
        <f t="shared" si="299"/>
        <v xml:space="preserve"> </v>
      </c>
      <c r="CV118" s="10" t="str">
        <f t="shared" si="299"/>
        <v xml:space="preserve"> </v>
      </c>
      <c r="CW118" s="10" t="str">
        <f t="shared" si="299"/>
        <v xml:space="preserve"> </v>
      </c>
      <c r="CZ118" s="10" t="str">
        <f t="shared" si="300"/>
        <v xml:space="preserve"> </v>
      </c>
      <c r="DA118" s="10" t="str">
        <f t="shared" si="300"/>
        <v xml:space="preserve"> </v>
      </c>
      <c r="DB118" s="10" t="str">
        <f t="shared" si="300"/>
        <v xml:space="preserve"> </v>
      </c>
      <c r="DC118" s="10" t="str">
        <f t="shared" si="300"/>
        <v xml:space="preserve"> </v>
      </c>
      <c r="DD118" s="10" t="str">
        <f t="shared" si="300"/>
        <v xml:space="preserve"> </v>
      </c>
      <c r="DG118" s="10" t="str">
        <f t="shared" si="301"/>
        <v xml:space="preserve"> </v>
      </c>
      <c r="DH118" s="10" t="str">
        <f t="shared" si="301"/>
        <v xml:space="preserve"> </v>
      </c>
      <c r="DI118" s="10" t="str">
        <f t="shared" si="301"/>
        <v xml:space="preserve"> </v>
      </c>
      <c r="DJ118" s="10" t="str">
        <f t="shared" si="301"/>
        <v xml:space="preserve"> </v>
      </c>
      <c r="DK118" s="10" t="str">
        <f t="shared" si="301"/>
        <v xml:space="preserve"> </v>
      </c>
      <c r="DN118" s="10" t="str">
        <f t="shared" si="302"/>
        <v xml:space="preserve"> </v>
      </c>
      <c r="DO118" s="10" t="str">
        <f t="shared" si="302"/>
        <v xml:space="preserve"> </v>
      </c>
      <c r="DP118" s="10" t="str">
        <f t="shared" si="302"/>
        <v xml:space="preserve"> </v>
      </c>
      <c r="DQ118" s="10" t="str">
        <f t="shared" si="302"/>
        <v xml:space="preserve"> </v>
      </c>
      <c r="DR118" s="10" t="str">
        <f t="shared" si="302"/>
        <v xml:space="preserve"> </v>
      </c>
      <c r="DU118" s="10" t="str">
        <f t="shared" si="303"/>
        <v xml:space="preserve"> </v>
      </c>
      <c r="DV118" s="10" t="str">
        <f t="shared" si="303"/>
        <v xml:space="preserve"> </v>
      </c>
      <c r="DW118" s="10" t="str">
        <f t="shared" si="303"/>
        <v xml:space="preserve"> </v>
      </c>
      <c r="DX118" s="10" t="str">
        <f t="shared" si="303"/>
        <v xml:space="preserve"> </v>
      </c>
      <c r="DY118" s="10" t="str">
        <f t="shared" si="303"/>
        <v xml:space="preserve"> </v>
      </c>
      <c r="EB118" s="10" t="str">
        <f t="shared" si="304"/>
        <v xml:space="preserve"> </v>
      </c>
      <c r="EC118" s="10" t="str">
        <f t="shared" si="304"/>
        <v xml:space="preserve"> </v>
      </c>
      <c r="ED118" s="10" t="str">
        <f t="shared" si="304"/>
        <v xml:space="preserve"> </v>
      </c>
      <c r="EE118" s="10" t="str">
        <f t="shared" si="304"/>
        <v xml:space="preserve"> </v>
      </c>
      <c r="EF118" s="10" t="str">
        <f t="shared" si="304"/>
        <v xml:space="preserve"> </v>
      </c>
      <c r="EI118" s="10" t="str">
        <f t="shared" si="305"/>
        <v xml:space="preserve"> </v>
      </c>
      <c r="EJ118" s="10" t="str">
        <f t="shared" si="305"/>
        <v xml:space="preserve"> </v>
      </c>
      <c r="EK118" s="10" t="str">
        <f t="shared" si="305"/>
        <v xml:space="preserve"> </v>
      </c>
      <c r="EL118" s="10" t="str">
        <f t="shared" si="305"/>
        <v xml:space="preserve"> </v>
      </c>
      <c r="EM118" s="10" t="str">
        <f t="shared" si="305"/>
        <v xml:space="preserve"> </v>
      </c>
      <c r="EP118" s="10" t="str">
        <f t="shared" si="306"/>
        <v xml:space="preserve"> </v>
      </c>
      <c r="EQ118" s="10" t="str">
        <f t="shared" si="306"/>
        <v xml:space="preserve"> </v>
      </c>
      <c r="ER118" s="10" t="str">
        <f t="shared" si="306"/>
        <v xml:space="preserve"> </v>
      </c>
      <c r="ES118" s="10" t="str">
        <f t="shared" si="306"/>
        <v xml:space="preserve"> </v>
      </c>
      <c r="ET118" s="10" t="str">
        <f t="shared" si="306"/>
        <v xml:space="preserve"> </v>
      </c>
      <c r="EW118" s="10" t="str">
        <f t="shared" si="307"/>
        <v xml:space="preserve"> </v>
      </c>
      <c r="EX118" s="10" t="str">
        <f t="shared" si="307"/>
        <v xml:space="preserve"> </v>
      </c>
      <c r="EY118" s="10" t="str">
        <f t="shared" si="307"/>
        <v xml:space="preserve"> </v>
      </c>
      <c r="EZ118" s="10" t="str">
        <f t="shared" si="307"/>
        <v xml:space="preserve"> </v>
      </c>
      <c r="FA118" s="10" t="str">
        <f t="shared" si="307"/>
        <v xml:space="preserve"> </v>
      </c>
      <c r="FD118" s="10" t="str">
        <f t="shared" si="308"/>
        <v xml:space="preserve"> </v>
      </c>
      <c r="FE118" s="10" t="str">
        <f t="shared" si="308"/>
        <v xml:space="preserve"> </v>
      </c>
      <c r="FF118" s="10" t="str">
        <f t="shared" si="308"/>
        <v xml:space="preserve"> </v>
      </c>
      <c r="FG118" s="10" t="str">
        <f t="shared" si="308"/>
        <v xml:space="preserve"> </v>
      </c>
      <c r="FH118" s="10" t="str">
        <f t="shared" si="308"/>
        <v xml:space="preserve"> </v>
      </c>
      <c r="FK118" s="10" t="str">
        <f t="shared" si="309"/>
        <v xml:space="preserve"> </v>
      </c>
      <c r="FL118" s="10" t="str">
        <f t="shared" si="309"/>
        <v xml:space="preserve"> </v>
      </c>
      <c r="FM118" s="10" t="str">
        <f t="shared" si="309"/>
        <v xml:space="preserve"> </v>
      </c>
      <c r="FN118" s="10" t="str">
        <f t="shared" si="309"/>
        <v xml:space="preserve"> </v>
      </c>
      <c r="FO118" s="10" t="str">
        <f t="shared" si="309"/>
        <v xml:space="preserve"> </v>
      </c>
      <c r="FR118" s="10" t="str">
        <f t="shared" si="310"/>
        <v xml:space="preserve"> </v>
      </c>
      <c r="FS118" s="10" t="str">
        <f t="shared" si="310"/>
        <v xml:space="preserve"> </v>
      </c>
      <c r="FT118" s="10" t="str">
        <f t="shared" si="310"/>
        <v xml:space="preserve"> </v>
      </c>
      <c r="FU118" s="10" t="str">
        <f t="shared" si="310"/>
        <v xml:space="preserve"> </v>
      </c>
      <c r="FV118" s="10" t="str">
        <f t="shared" si="310"/>
        <v xml:space="preserve"> </v>
      </c>
      <c r="FY118" s="10" t="str">
        <f t="shared" si="311"/>
        <v xml:space="preserve"> </v>
      </c>
      <c r="FZ118" s="10" t="str">
        <f t="shared" si="311"/>
        <v xml:space="preserve"> </v>
      </c>
      <c r="GA118" s="10" t="str">
        <f t="shared" si="311"/>
        <v xml:space="preserve"> </v>
      </c>
      <c r="GB118" s="10" t="str">
        <f t="shared" si="311"/>
        <v xml:space="preserve"> </v>
      </c>
      <c r="GC118" s="10" t="str">
        <f t="shared" si="311"/>
        <v xml:space="preserve"> </v>
      </c>
      <c r="GF118" s="10" t="str">
        <f t="shared" si="312"/>
        <v xml:space="preserve"> </v>
      </c>
      <c r="GG118" s="10" t="str">
        <f t="shared" si="312"/>
        <v xml:space="preserve"> </v>
      </c>
      <c r="GH118" s="10" t="str">
        <f t="shared" si="312"/>
        <v xml:space="preserve"> </v>
      </c>
      <c r="GI118" s="10" t="str">
        <f t="shared" si="312"/>
        <v xml:space="preserve"> </v>
      </c>
      <c r="GJ118" s="10" t="str">
        <f t="shared" si="312"/>
        <v xml:space="preserve"> </v>
      </c>
      <c r="GM118" s="10" t="str">
        <f t="shared" si="313"/>
        <v xml:space="preserve"> </v>
      </c>
      <c r="GN118" s="10" t="str">
        <f t="shared" si="313"/>
        <v xml:space="preserve"> </v>
      </c>
      <c r="GO118" s="10" t="str">
        <f t="shared" si="313"/>
        <v xml:space="preserve"> </v>
      </c>
      <c r="GP118" s="10" t="str">
        <f t="shared" si="313"/>
        <v xml:space="preserve"> </v>
      </c>
      <c r="GQ118" s="10" t="str">
        <f t="shared" si="313"/>
        <v xml:space="preserve"> </v>
      </c>
      <c r="GT118" s="10" t="str">
        <f t="shared" si="314"/>
        <v xml:space="preserve"> </v>
      </c>
      <c r="GU118" s="10" t="str">
        <f t="shared" si="314"/>
        <v xml:space="preserve"> </v>
      </c>
      <c r="GV118" s="10" t="str">
        <f t="shared" si="314"/>
        <v xml:space="preserve"> </v>
      </c>
      <c r="GW118" s="10" t="str">
        <f t="shared" si="314"/>
        <v xml:space="preserve"> </v>
      </c>
      <c r="GX118" s="10" t="str">
        <f t="shared" si="314"/>
        <v xml:space="preserve"> </v>
      </c>
      <c r="HA118" s="10" t="str">
        <f t="shared" si="315"/>
        <v xml:space="preserve"> </v>
      </c>
      <c r="HB118" s="10" t="str">
        <f t="shared" si="315"/>
        <v xml:space="preserve"> </v>
      </c>
      <c r="HC118" s="10" t="str">
        <f t="shared" si="315"/>
        <v xml:space="preserve"> </v>
      </c>
      <c r="HD118" s="10" t="str">
        <f t="shared" si="315"/>
        <v xml:space="preserve"> </v>
      </c>
      <c r="HE118" s="10" t="str">
        <f t="shared" si="315"/>
        <v xml:space="preserve"> </v>
      </c>
      <c r="HH118" s="10" t="str">
        <f t="shared" si="316"/>
        <v xml:space="preserve"> </v>
      </c>
      <c r="HI118" s="10" t="str">
        <f t="shared" si="316"/>
        <v xml:space="preserve"> </v>
      </c>
      <c r="HJ118" s="10" t="str">
        <f t="shared" si="316"/>
        <v xml:space="preserve"> </v>
      </c>
      <c r="HK118" s="10" t="str">
        <f t="shared" si="316"/>
        <v xml:space="preserve"> </v>
      </c>
      <c r="HL118" s="10" t="str">
        <f t="shared" si="316"/>
        <v xml:space="preserve"> </v>
      </c>
      <c r="HO118" s="10" t="str">
        <f t="shared" si="317"/>
        <v xml:space="preserve"> </v>
      </c>
      <c r="HP118" s="10" t="str">
        <f t="shared" si="317"/>
        <v xml:space="preserve"> </v>
      </c>
      <c r="HQ118" s="10" t="str">
        <f t="shared" si="317"/>
        <v xml:space="preserve"> </v>
      </c>
      <c r="HR118" s="10" t="str">
        <f t="shared" si="317"/>
        <v xml:space="preserve"> </v>
      </c>
      <c r="HS118" s="10" t="str">
        <f t="shared" si="317"/>
        <v xml:space="preserve"> </v>
      </c>
      <c r="HV118" s="10" t="str">
        <f t="shared" si="318"/>
        <v xml:space="preserve"> </v>
      </c>
      <c r="HW118" s="10" t="str">
        <f t="shared" si="318"/>
        <v xml:space="preserve"> </v>
      </c>
      <c r="HX118" s="10" t="str">
        <f t="shared" si="318"/>
        <v xml:space="preserve"> </v>
      </c>
      <c r="HY118" s="10" t="str">
        <f t="shared" si="318"/>
        <v xml:space="preserve"> </v>
      </c>
      <c r="HZ118" s="10" t="str">
        <f t="shared" si="318"/>
        <v xml:space="preserve"> </v>
      </c>
      <c r="IC118" s="10" t="str">
        <f t="shared" si="319"/>
        <v xml:space="preserve"> </v>
      </c>
      <c r="ID118" s="10" t="str">
        <f t="shared" si="319"/>
        <v xml:space="preserve"> </v>
      </c>
      <c r="IE118" s="10" t="str">
        <f t="shared" si="319"/>
        <v xml:space="preserve"> </v>
      </c>
      <c r="IF118" s="10" t="str">
        <f t="shared" si="319"/>
        <v xml:space="preserve"> </v>
      </c>
      <c r="IG118" s="10" t="str">
        <f t="shared" si="319"/>
        <v xml:space="preserve"> </v>
      </c>
      <c r="IJ118" s="10" t="str">
        <f t="shared" si="320"/>
        <v xml:space="preserve"> </v>
      </c>
      <c r="IK118" s="10" t="str">
        <f t="shared" si="320"/>
        <v xml:space="preserve"> </v>
      </c>
      <c r="IL118" s="10" t="str">
        <f t="shared" si="320"/>
        <v xml:space="preserve"> </v>
      </c>
      <c r="IM118" s="10" t="str">
        <f t="shared" si="320"/>
        <v xml:space="preserve"> </v>
      </c>
      <c r="IN118" s="10" t="str">
        <f t="shared" si="320"/>
        <v xml:space="preserve"> </v>
      </c>
      <c r="IQ118" s="10" t="str">
        <f t="shared" si="321"/>
        <v xml:space="preserve"> </v>
      </c>
      <c r="IR118" s="10" t="str">
        <f t="shared" si="321"/>
        <v xml:space="preserve"> </v>
      </c>
      <c r="IS118" s="10" t="str">
        <f t="shared" si="321"/>
        <v xml:space="preserve"> </v>
      </c>
      <c r="IT118" s="10" t="str">
        <f t="shared" si="321"/>
        <v xml:space="preserve"> </v>
      </c>
      <c r="IU118" s="10" t="str">
        <f t="shared" si="321"/>
        <v xml:space="preserve"> </v>
      </c>
      <c r="IX118" s="10" t="str">
        <f t="shared" si="322"/>
        <v xml:space="preserve"> </v>
      </c>
      <c r="IY118" s="10" t="str">
        <f t="shared" si="322"/>
        <v xml:space="preserve"> </v>
      </c>
      <c r="IZ118" s="10" t="str">
        <f t="shared" si="322"/>
        <v xml:space="preserve"> </v>
      </c>
      <c r="JA118" s="10" t="str">
        <f t="shared" si="322"/>
        <v xml:space="preserve"> </v>
      </c>
      <c r="JB118" s="10" t="str">
        <f t="shared" si="322"/>
        <v xml:space="preserve"> </v>
      </c>
      <c r="JE118" s="10" t="str">
        <f t="shared" si="323"/>
        <v xml:space="preserve"> </v>
      </c>
      <c r="JF118" s="10" t="str">
        <f t="shared" si="323"/>
        <v xml:space="preserve"> </v>
      </c>
      <c r="JG118" s="10" t="str">
        <f t="shared" si="323"/>
        <v xml:space="preserve"> </v>
      </c>
      <c r="JH118" s="10" t="str">
        <f t="shared" si="323"/>
        <v xml:space="preserve"> </v>
      </c>
      <c r="JI118" s="10" t="str">
        <f t="shared" si="323"/>
        <v xml:space="preserve"> </v>
      </c>
    </row>
    <row r="119" spans="13:269">
      <c r="M119" s="10" t="str">
        <f t="shared" si="324"/>
        <v xml:space="preserve"> </v>
      </c>
      <c r="N119" s="10" t="str">
        <f t="shared" si="324"/>
        <v xml:space="preserve"> </v>
      </c>
      <c r="O119" s="10" t="str">
        <f t="shared" si="324"/>
        <v xml:space="preserve"> </v>
      </c>
      <c r="P119" s="10" t="str">
        <f t="shared" si="324"/>
        <v xml:space="preserve"> </v>
      </c>
      <c r="Q119" s="10" t="str">
        <f t="shared" si="324"/>
        <v xml:space="preserve"> </v>
      </c>
      <c r="R119" s="14"/>
      <c r="S119" s="14"/>
      <c r="T119" s="10" t="str">
        <f t="shared" si="288"/>
        <v xml:space="preserve"> </v>
      </c>
      <c r="U119" s="10" t="str">
        <f t="shared" si="288"/>
        <v xml:space="preserve"> </v>
      </c>
      <c r="V119" s="10" t="str">
        <f t="shared" si="288"/>
        <v xml:space="preserve"> </v>
      </c>
      <c r="W119" s="10" t="str">
        <f t="shared" si="288"/>
        <v xml:space="preserve"> </v>
      </c>
      <c r="X119" s="10" t="str">
        <f t="shared" si="288"/>
        <v xml:space="preserve"> </v>
      </c>
      <c r="Y119" s="14"/>
      <c r="Z119" s="14"/>
      <c r="AA119" s="10" t="str">
        <f t="shared" si="289"/>
        <v xml:space="preserve"> </v>
      </c>
      <c r="AB119" s="10" t="str">
        <f t="shared" si="289"/>
        <v xml:space="preserve"> </v>
      </c>
      <c r="AC119" s="10" t="str">
        <f t="shared" si="289"/>
        <v xml:space="preserve"> </v>
      </c>
      <c r="AD119" s="10" t="str">
        <f t="shared" si="289"/>
        <v xml:space="preserve"> </v>
      </c>
      <c r="AE119" s="10" t="str">
        <f t="shared" si="289"/>
        <v xml:space="preserve"> </v>
      </c>
      <c r="AF119" s="14"/>
      <c r="AG119" s="14"/>
      <c r="AH119" s="10" t="str">
        <f t="shared" si="290"/>
        <v xml:space="preserve"> </v>
      </c>
      <c r="AI119" s="10" t="str">
        <f t="shared" si="290"/>
        <v xml:space="preserve"> </v>
      </c>
      <c r="AJ119" s="10" t="str">
        <f t="shared" si="290"/>
        <v xml:space="preserve"> </v>
      </c>
      <c r="AK119" s="10" t="str">
        <f t="shared" si="290"/>
        <v xml:space="preserve"> </v>
      </c>
      <c r="AL119" s="10" t="str">
        <f t="shared" si="290"/>
        <v xml:space="preserve"> </v>
      </c>
      <c r="AM119" s="14"/>
      <c r="AN119" s="14"/>
      <c r="AO119" s="10" t="str">
        <f t="shared" si="291"/>
        <v xml:space="preserve"> </v>
      </c>
      <c r="AP119" s="10" t="str">
        <f t="shared" si="291"/>
        <v xml:space="preserve"> </v>
      </c>
      <c r="AQ119" s="10" t="str">
        <f t="shared" si="291"/>
        <v xml:space="preserve"> </v>
      </c>
      <c r="AR119" s="10" t="str">
        <f t="shared" si="291"/>
        <v xml:space="preserve"> </v>
      </c>
      <c r="AS119" s="10" t="str">
        <f t="shared" si="291"/>
        <v xml:space="preserve"> </v>
      </c>
      <c r="AT119" s="14"/>
      <c r="AU119" s="14"/>
      <c r="AV119" s="10" t="str">
        <f t="shared" si="292"/>
        <v xml:space="preserve"> </v>
      </c>
      <c r="AW119" s="10" t="str">
        <f t="shared" si="292"/>
        <v xml:space="preserve"> </v>
      </c>
      <c r="AX119" s="10" t="str">
        <f t="shared" si="292"/>
        <v xml:space="preserve"> </v>
      </c>
      <c r="AY119" s="10" t="str">
        <f t="shared" si="292"/>
        <v xml:space="preserve"> </v>
      </c>
      <c r="AZ119" s="10" t="str">
        <f t="shared" si="292"/>
        <v xml:space="preserve"> </v>
      </c>
      <c r="BA119" s="14"/>
      <c r="BB119" s="14"/>
      <c r="BC119" s="10" t="str">
        <f t="shared" si="293"/>
        <v xml:space="preserve"> </v>
      </c>
      <c r="BD119" s="10" t="str">
        <f t="shared" si="293"/>
        <v xml:space="preserve"> </v>
      </c>
      <c r="BE119" s="10" t="str">
        <f t="shared" si="293"/>
        <v xml:space="preserve"> </v>
      </c>
      <c r="BF119" s="10" t="str">
        <f t="shared" si="293"/>
        <v xml:space="preserve"> </v>
      </c>
      <c r="BG119" s="10" t="str">
        <f t="shared" si="293"/>
        <v xml:space="preserve"> </v>
      </c>
      <c r="BH119" s="14"/>
      <c r="BI119" s="14"/>
      <c r="BJ119" s="10" t="str">
        <f t="shared" si="294"/>
        <v xml:space="preserve"> </v>
      </c>
      <c r="BK119" s="10" t="str">
        <f t="shared" si="294"/>
        <v xml:space="preserve"> </v>
      </c>
      <c r="BL119" s="10" t="str">
        <f t="shared" si="294"/>
        <v xml:space="preserve"> </v>
      </c>
      <c r="BM119" s="10" t="str">
        <f t="shared" si="294"/>
        <v xml:space="preserve"> </v>
      </c>
      <c r="BN119" s="10" t="str">
        <f t="shared" si="294"/>
        <v xml:space="preserve"> </v>
      </c>
      <c r="BO119" s="14"/>
      <c r="BP119" s="14"/>
      <c r="BQ119" s="10" t="str">
        <f t="shared" si="295"/>
        <v xml:space="preserve"> </v>
      </c>
      <c r="BR119" s="10" t="str">
        <f t="shared" si="295"/>
        <v xml:space="preserve"> </v>
      </c>
      <c r="BS119" s="10" t="str">
        <f t="shared" si="295"/>
        <v xml:space="preserve"> </v>
      </c>
      <c r="BT119" s="10" t="str">
        <f t="shared" si="295"/>
        <v xml:space="preserve"> </v>
      </c>
      <c r="BU119" s="10" t="str">
        <f t="shared" si="295"/>
        <v xml:space="preserve"> </v>
      </c>
      <c r="BV119" s="14"/>
      <c r="BW119" s="14"/>
      <c r="BX119" s="10" t="str">
        <f t="shared" si="296"/>
        <v xml:space="preserve"> </v>
      </c>
      <c r="BY119" s="10" t="str">
        <f t="shared" si="296"/>
        <v xml:space="preserve"> </v>
      </c>
      <c r="BZ119" s="10" t="str">
        <f t="shared" si="296"/>
        <v xml:space="preserve"> </v>
      </c>
      <c r="CA119" s="10" t="str">
        <f t="shared" si="296"/>
        <v xml:space="preserve"> </v>
      </c>
      <c r="CB119" s="10" t="str">
        <f t="shared" si="296"/>
        <v xml:space="preserve"> </v>
      </c>
      <c r="CC119" s="14"/>
      <c r="CD119" s="14"/>
      <c r="CE119" s="10" t="str">
        <f t="shared" si="297"/>
        <v xml:space="preserve"> </v>
      </c>
      <c r="CF119" s="10" t="str">
        <f t="shared" si="297"/>
        <v xml:space="preserve"> </v>
      </c>
      <c r="CG119" s="10" t="str">
        <f t="shared" si="297"/>
        <v xml:space="preserve"> </v>
      </c>
      <c r="CH119" s="10" t="str">
        <f t="shared" si="297"/>
        <v xml:space="preserve"> </v>
      </c>
      <c r="CI119" s="10" t="str">
        <f t="shared" si="297"/>
        <v xml:space="preserve"> </v>
      </c>
      <c r="CJ119" s="14"/>
      <c r="CK119" s="14"/>
      <c r="CL119" s="10" t="str">
        <f t="shared" si="298"/>
        <v xml:space="preserve"> </v>
      </c>
      <c r="CM119" s="10" t="str">
        <f t="shared" si="298"/>
        <v xml:space="preserve"> </v>
      </c>
      <c r="CN119" s="10" t="str">
        <f t="shared" si="298"/>
        <v xml:space="preserve"> </v>
      </c>
      <c r="CO119" s="10" t="str">
        <f t="shared" si="298"/>
        <v xml:space="preserve"> </v>
      </c>
      <c r="CP119" s="10" t="str">
        <f t="shared" si="298"/>
        <v xml:space="preserve"> </v>
      </c>
      <c r="CQ119" s="14"/>
      <c r="CR119" s="14"/>
      <c r="CS119" s="10" t="str">
        <f t="shared" si="299"/>
        <v xml:space="preserve"> </v>
      </c>
      <c r="CT119" s="10" t="str">
        <f t="shared" si="299"/>
        <v xml:space="preserve"> </v>
      </c>
      <c r="CU119" s="10" t="str">
        <f t="shared" si="299"/>
        <v xml:space="preserve"> </v>
      </c>
      <c r="CV119" s="10" t="str">
        <f t="shared" si="299"/>
        <v xml:space="preserve"> </v>
      </c>
      <c r="CW119" s="10" t="str">
        <f t="shared" si="299"/>
        <v xml:space="preserve"> </v>
      </c>
      <c r="CZ119" s="10" t="str">
        <f t="shared" si="300"/>
        <v xml:space="preserve"> </v>
      </c>
      <c r="DA119" s="10" t="str">
        <f t="shared" si="300"/>
        <v xml:space="preserve"> </v>
      </c>
      <c r="DB119" s="10" t="str">
        <f t="shared" si="300"/>
        <v xml:space="preserve"> </v>
      </c>
      <c r="DC119" s="10" t="str">
        <f t="shared" si="300"/>
        <v xml:space="preserve"> </v>
      </c>
      <c r="DD119" s="10" t="str">
        <f t="shared" si="300"/>
        <v xml:space="preserve"> </v>
      </c>
      <c r="DG119" s="10" t="str">
        <f t="shared" si="301"/>
        <v xml:space="preserve"> </v>
      </c>
      <c r="DH119" s="10" t="str">
        <f t="shared" si="301"/>
        <v xml:space="preserve"> </v>
      </c>
      <c r="DI119" s="10" t="str">
        <f t="shared" si="301"/>
        <v xml:space="preserve"> </v>
      </c>
      <c r="DJ119" s="10" t="str">
        <f t="shared" si="301"/>
        <v xml:space="preserve"> </v>
      </c>
      <c r="DK119" s="10" t="str">
        <f t="shared" si="301"/>
        <v xml:space="preserve"> </v>
      </c>
      <c r="DN119" s="10" t="str">
        <f t="shared" si="302"/>
        <v xml:space="preserve"> </v>
      </c>
      <c r="DO119" s="10" t="str">
        <f t="shared" si="302"/>
        <v xml:space="preserve"> </v>
      </c>
      <c r="DP119" s="10" t="str">
        <f t="shared" si="302"/>
        <v xml:space="preserve"> </v>
      </c>
      <c r="DQ119" s="10" t="str">
        <f t="shared" si="302"/>
        <v xml:space="preserve"> </v>
      </c>
      <c r="DR119" s="10" t="str">
        <f t="shared" si="302"/>
        <v xml:space="preserve"> </v>
      </c>
      <c r="DU119" s="10" t="str">
        <f t="shared" si="303"/>
        <v xml:space="preserve"> </v>
      </c>
      <c r="DV119" s="10" t="str">
        <f t="shared" si="303"/>
        <v xml:space="preserve"> </v>
      </c>
      <c r="DW119" s="10" t="str">
        <f t="shared" si="303"/>
        <v xml:space="preserve"> </v>
      </c>
      <c r="DX119" s="10" t="str">
        <f t="shared" si="303"/>
        <v xml:space="preserve"> </v>
      </c>
      <c r="DY119" s="10" t="str">
        <f t="shared" si="303"/>
        <v xml:space="preserve"> </v>
      </c>
      <c r="EB119" s="10" t="str">
        <f t="shared" si="304"/>
        <v xml:space="preserve"> </v>
      </c>
      <c r="EC119" s="10" t="str">
        <f t="shared" si="304"/>
        <v xml:space="preserve"> </v>
      </c>
      <c r="ED119" s="10" t="str">
        <f t="shared" si="304"/>
        <v xml:space="preserve"> </v>
      </c>
      <c r="EE119" s="10" t="str">
        <f t="shared" si="304"/>
        <v xml:space="preserve"> </v>
      </c>
      <c r="EF119" s="10" t="str">
        <f t="shared" si="304"/>
        <v xml:space="preserve"> </v>
      </c>
      <c r="EI119" s="10" t="str">
        <f t="shared" si="305"/>
        <v xml:space="preserve"> </v>
      </c>
      <c r="EJ119" s="10" t="str">
        <f t="shared" si="305"/>
        <v xml:space="preserve"> </v>
      </c>
      <c r="EK119" s="10" t="str">
        <f t="shared" si="305"/>
        <v xml:space="preserve"> </v>
      </c>
      <c r="EL119" s="10" t="str">
        <f t="shared" si="305"/>
        <v xml:space="preserve"> </v>
      </c>
      <c r="EM119" s="10" t="str">
        <f t="shared" si="305"/>
        <v xml:space="preserve"> </v>
      </c>
      <c r="EP119" s="10" t="str">
        <f t="shared" si="306"/>
        <v xml:space="preserve"> </v>
      </c>
      <c r="EQ119" s="10" t="str">
        <f t="shared" si="306"/>
        <v xml:space="preserve"> </v>
      </c>
      <c r="ER119" s="10" t="str">
        <f t="shared" si="306"/>
        <v xml:space="preserve"> </v>
      </c>
      <c r="ES119" s="10" t="str">
        <f t="shared" si="306"/>
        <v xml:space="preserve"> </v>
      </c>
      <c r="ET119" s="10" t="str">
        <f t="shared" si="306"/>
        <v xml:space="preserve"> </v>
      </c>
      <c r="EW119" s="10" t="str">
        <f t="shared" si="307"/>
        <v xml:space="preserve"> </v>
      </c>
      <c r="EX119" s="10" t="str">
        <f t="shared" si="307"/>
        <v xml:space="preserve"> </v>
      </c>
      <c r="EY119" s="10" t="str">
        <f t="shared" si="307"/>
        <v xml:space="preserve"> </v>
      </c>
      <c r="EZ119" s="10" t="str">
        <f t="shared" si="307"/>
        <v xml:space="preserve"> </v>
      </c>
      <c r="FA119" s="10" t="str">
        <f t="shared" si="307"/>
        <v xml:space="preserve"> </v>
      </c>
      <c r="FD119" s="10" t="str">
        <f t="shared" si="308"/>
        <v xml:space="preserve"> </v>
      </c>
      <c r="FE119" s="10" t="str">
        <f t="shared" si="308"/>
        <v xml:space="preserve"> </v>
      </c>
      <c r="FF119" s="10" t="str">
        <f t="shared" si="308"/>
        <v xml:space="preserve"> </v>
      </c>
      <c r="FG119" s="10" t="str">
        <f t="shared" si="308"/>
        <v xml:space="preserve"> </v>
      </c>
      <c r="FH119" s="10" t="str">
        <f t="shared" si="308"/>
        <v xml:space="preserve"> </v>
      </c>
      <c r="FK119" s="10" t="str">
        <f t="shared" si="309"/>
        <v xml:space="preserve"> </v>
      </c>
      <c r="FL119" s="10" t="str">
        <f t="shared" si="309"/>
        <v xml:space="preserve"> </v>
      </c>
      <c r="FM119" s="10" t="str">
        <f t="shared" si="309"/>
        <v xml:space="preserve"> </v>
      </c>
      <c r="FN119" s="10" t="str">
        <f t="shared" si="309"/>
        <v xml:space="preserve"> </v>
      </c>
      <c r="FO119" s="10" t="str">
        <f t="shared" si="309"/>
        <v xml:space="preserve"> </v>
      </c>
      <c r="FR119" s="10" t="str">
        <f t="shared" si="310"/>
        <v xml:space="preserve"> </v>
      </c>
      <c r="FS119" s="10" t="str">
        <f t="shared" si="310"/>
        <v xml:space="preserve"> </v>
      </c>
      <c r="FT119" s="10" t="str">
        <f t="shared" si="310"/>
        <v xml:space="preserve"> </v>
      </c>
      <c r="FU119" s="10" t="str">
        <f t="shared" si="310"/>
        <v xml:space="preserve"> </v>
      </c>
      <c r="FV119" s="10" t="str">
        <f t="shared" si="310"/>
        <v xml:space="preserve"> </v>
      </c>
      <c r="FY119" s="10" t="str">
        <f t="shared" si="311"/>
        <v xml:space="preserve"> </v>
      </c>
      <c r="FZ119" s="10" t="str">
        <f t="shared" si="311"/>
        <v xml:space="preserve"> </v>
      </c>
      <c r="GA119" s="10" t="str">
        <f t="shared" si="311"/>
        <v xml:space="preserve"> </v>
      </c>
      <c r="GB119" s="10" t="str">
        <f t="shared" si="311"/>
        <v xml:space="preserve"> </v>
      </c>
      <c r="GC119" s="10" t="str">
        <f t="shared" si="311"/>
        <v xml:space="preserve"> </v>
      </c>
      <c r="GF119" s="10" t="str">
        <f t="shared" si="312"/>
        <v xml:space="preserve"> </v>
      </c>
      <c r="GG119" s="10" t="str">
        <f t="shared" si="312"/>
        <v xml:space="preserve"> </v>
      </c>
      <c r="GH119" s="10" t="str">
        <f t="shared" si="312"/>
        <v xml:space="preserve"> </v>
      </c>
      <c r="GI119" s="10" t="str">
        <f t="shared" si="312"/>
        <v xml:space="preserve"> </v>
      </c>
      <c r="GJ119" s="10" t="str">
        <f t="shared" si="312"/>
        <v xml:space="preserve"> </v>
      </c>
      <c r="GM119" s="10" t="str">
        <f t="shared" si="313"/>
        <v xml:space="preserve"> </v>
      </c>
      <c r="GN119" s="10" t="str">
        <f t="shared" si="313"/>
        <v xml:space="preserve"> </v>
      </c>
      <c r="GO119" s="10" t="str">
        <f t="shared" si="313"/>
        <v xml:space="preserve"> </v>
      </c>
      <c r="GP119" s="10" t="str">
        <f t="shared" si="313"/>
        <v xml:space="preserve"> </v>
      </c>
      <c r="GQ119" s="10" t="str">
        <f t="shared" si="313"/>
        <v xml:space="preserve"> </v>
      </c>
      <c r="GT119" s="10" t="str">
        <f t="shared" si="314"/>
        <v xml:space="preserve"> </v>
      </c>
      <c r="GU119" s="10" t="str">
        <f t="shared" si="314"/>
        <v xml:space="preserve"> </v>
      </c>
      <c r="GV119" s="10" t="str">
        <f t="shared" si="314"/>
        <v xml:space="preserve"> </v>
      </c>
      <c r="GW119" s="10" t="str">
        <f t="shared" si="314"/>
        <v xml:space="preserve"> </v>
      </c>
      <c r="GX119" s="10" t="str">
        <f t="shared" si="314"/>
        <v xml:space="preserve"> </v>
      </c>
      <c r="HA119" s="10" t="str">
        <f t="shared" si="315"/>
        <v xml:space="preserve"> </v>
      </c>
      <c r="HB119" s="10" t="str">
        <f t="shared" si="315"/>
        <v xml:space="preserve"> </v>
      </c>
      <c r="HC119" s="10" t="str">
        <f t="shared" si="315"/>
        <v xml:space="preserve"> </v>
      </c>
      <c r="HD119" s="10" t="str">
        <f t="shared" si="315"/>
        <v xml:space="preserve"> </v>
      </c>
      <c r="HE119" s="10" t="str">
        <f t="shared" si="315"/>
        <v xml:space="preserve"> </v>
      </c>
      <c r="HH119" s="10" t="str">
        <f t="shared" si="316"/>
        <v xml:space="preserve"> </v>
      </c>
      <c r="HI119" s="10" t="str">
        <f t="shared" si="316"/>
        <v xml:space="preserve"> </v>
      </c>
      <c r="HJ119" s="10" t="str">
        <f t="shared" si="316"/>
        <v xml:space="preserve"> </v>
      </c>
      <c r="HK119" s="10" t="str">
        <f t="shared" si="316"/>
        <v xml:space="preserve"> </v>
      </c>
      <c r="HL119" s="10" t="str">
        <f t="shared" si="316"/>
        <v xml:space="preserve"> </v>
      </c>
      <c r="HO119" s="10" t="str">
        <f t="shared" si="317"/>
        <v xml:space="preserve"> </v>
      </c>
      <c r="HP119" s="10" t="str">
        <f t="shared" si="317"/>
        <v xml:space="preserve"> </v>
      </c>
      <c r="HQ119" s="10" t="str">
        <f t="shared" si="317"/>
        <v xml:space="preserve"> </v>
      </c>
      <c r="HR119" s="10" t="str">
        <f t="shared" si="317"/>
        <v xml:space="preserve"> </v>
      </c>
      <c r="HS119" s="10" t="str">
        <f t="shared" si="317"/>
        <v xml:space="preserve"> </v>
      </c>
      <c r="HV119" s="10" t="str">
        <f t="shared" si="318"/>
        <v xml:space="preserve"> </v>
      </c>
      <c r="HW119" s="10" t="str">
        <f t="shared" si="318"/>
        <v xml:space="preserve"> </v>
      </c>
      <c r="HX119" s="10" t="str">
        <f t="shared" si="318"/>
        <v xml:space="preserve"> </v>
      </c>
      <c r="HY119" s="10" t="str">
        <f t="shared" si="318"/>
        <v xml:space="preserve"> </v>
      </c>
      <c r="HZ119" s="10" t="str">
        <f t="shared" si="318"/>
        <v xml:space="preserve"> </v>
      </c>
      <c r="IC119" s="10" t="str">
        <f t="shared" si="319"/>
        <v xml:space="preserve"> </v>
      </c>
      <c r="ID119" s="10" t="str">
        <f t="shared" si="319"/>
        <v xml:space="preserve"> </v>
      </c>
      <c r="IE119" s="10" t="str">
        <f t="shared" si="319"/>
        <v xml:space="preserve"> </v>
      </c>
      <c r="IF119" s="10" t="str">
        <f t="shared" si="319"/>
        <v xml:space="preserve"> </v>
      </c>
      <c r="IG119" s="10" t="str">
        <f t="shared" si="319"/>
        <v xml:space="preserve"> </v>
      </c>
      <c r="IJ119" s="10" t="str">
        <f t="shared" si="320"/>
        <v xml:space="preserve"> </v>
      </c>
      <c r="IK119" s="10" t="str">
        <f t="shared" si="320"/>
        <v xml:space="preserve"> </v>
      </c>
      <c r="IL119" s="10" t="str">
        <f t="shared" si="320"/>
        <v xml:space="preserve"> </v>
      </c>
      <c r="IM119" s="10" t="str">
        <f t="shared" si="320"/>
        <v xml:space="preserve"> </v>
      </c>
      <c r="IN119" s="10" t="str">
        <f t="shared" si="320"/>
        <v xml:space="preserve"> </v>
      </c>
      <c r="IQ119" s="10" t="str">
        <f t="shared" si="321"/>
        <v xml:space="preserve"> </v>
      </c>
      <c r="IR119" s="10" t="str">
        <f t="shared" si="321"/>
        <v xml:space="preserve"> </v>
      </c>
      <c r="IS119" s="10" t="str">
        <f t="shared" si="321"/>
        <v xml:space="preserve"> </v>
      </c>
      <c r="IT119" s="10" t="str">
        <f t="shared" si="321"/>
        <v xml:space="preserve"> </v>
      </c>
      <c r="IU119" s="10" t="str">
        <f t="shared" si="321"/>
        <v xml:space="preserve"> </v>
      </c>
      <c r="IX119" s="10" t="str">
        <f t="shared" si="322"/>
        <v xml:space="preserve"> </v>
      </c>
      <c r="IY119" s="10" t="str">
        <f t="shared" si="322"/>
        <v xml:space="preserve"> </v>
      </c>
      <c r="IZ119" s="10" t="str">
        <f t="shared" si="322"/>
        <v xml:space="preserve"> </v>
      </c>
      <c r="JA119" s="10" t="str">
        <f t="shared" si="322"/>
        <v xml:space="preserve"> </v>
      </c>
      <c r="JB119" s="10" t="str">
        <f t="shared" si="322"/>
        <v xml:space="preserve"> </v>
      </c>
      <c r="JE119" s="10" t="str">
        <f t="shared" si="323"/>
        <v xml:space="preserve"> </v>
      </c>
      <c r="JF119" s="10" t="str">
        <f t="shared" si="323"/>
        <v xml:space="preserve"> </v>
      </c>
      <c r="JG119" s="10" t="str">
        <f t="shared" si="323"/>
        <v xml:space="preserve"> </v>
      </c>
      <c r="JH119" s="10" t="str">
        <f t="shared" si="323"/>
        <v xml:space="preserve"> </v>
      </c>
      <c r="JI119" s="10" t="str">
        <f t="shared" si="323"/>
        <v xml:space="preserve"> </v>
      </c>
    </row>
    <row r="120" spans="13:269">
      <c r="M120" s="10" t="str">
        <f t="shared" si="324"/>
        <v xml:space="preserve"> </v>
      </c>
      <c r="N120" s="10" t="str">
        <f t="shared" si="324"/>
        <v xml:space="preserve"> </v>
      </c>
      <c r="O120" s="10" t="str">
        <f t="shared" si="324"/>
        <v xml:space="preserve"> </v>
      </c>
      <c r="P120" s="10" t="str">
        <f t="shared" si="324"/>
        <v xml:space="preserve"> </v>
      </c>
      <c r="Q120" s="10" t="str">
        <f t="shared" si="324"/>
        <v xml:space="preserve"> </v>
      </c>
      <c r="R120" s="14"/>
      <c r="S120" s="14"/>
      <c r="T120" s="10" t="str">
        <f t="shared" si="288"/>
        <v xml:space="preserve"> </v>
      </c>
      <c r="U120" s="10" t="str">
        <f t="shared" si="288"/>
        <v xml:space="preserve"> </v>
      </c>
      <c r="V120" s="10" t="str">
        <f t="shared" si="288"/>
        <v xml:space="preserve"> </v>
      </c>
      <c r="W120" s="10" t="str">
        <f t="shared" si="288"/>
        <v xml:space="preserve"> </v>
      </c>
      <c r="X120" s="10" t="str">
        <f t="shared" si="288"/>
        <v xml:space="preserve"> </v>
      </c>
      <c r="Y120" s="14"/>
      <c r="Z120" s="14"/>
      <c r="AA120" s="10" t="str">
        <f t="shared" si="289"/>
        <v xml:space="preserve"> </v>
      </c>
      <c r="AB120" s="10" t="str">
        <f t="shared" si="289"/>
        <v xml:space="preserve"> </v>
      </c>
      <c r="AC120" s="10" t="str">
        <f t="shared" si="289"/>
        <v xml:space="preserve"> </v>
      </c>
      <c r="AD120" s="10" t="str">
        <f t="shared" si="289"/>
        <v xml:space="preserve"> </v>
      </c>
      <c r="AE120" s="10" t="str">
        <f t="shared" si="289"/>
        <v xml:space="preserve"> </v>
      </c>
      <c r="AF120" s="14"/>
      <c r="AG120" s="14"/>
      <c r="AH120" s="10" t="str">
        <f t="shared" si="290"/>
        <v xml:space="preserve"> </v>
      </c>
      <c r="AI120" s="10" t="str">
        <f t="shared" si="290"/>
        <v xml:space="preserve"> </v>
      </c>
      <c r="AJ120" s="10" t="str">
        <f t="shared" si="290"/>
        <v xml:space="preserve"> </v>
      </c>
      <c r="AK120" s="10" t="str">
        <f t="shared" si="290"/>
        <v xml:space="preserve"> </v>
      </c>
      <c r="AL120" s="10" t="str">
        <f t="shared" si="290"/>
        <v xml:space="preserve"> </v>
      </c>
      <c r="AM120" s="14"/>
      <c r="AN120" s="14"/>
      <c r="AO120" s="10" t="str">
        <f t="shared" si="291"/>
        <v xml:space="preserve"> </v>
      </c>
      <c r="AP120" s="10" t="str">
        <f t="shared" si="291"/>
        <v xml:space="preserve"> </v>
      </c>
      <c r="AQ120" s="10" t="str">
        <f t="shared" si="291"/>
        <v xml:space="preserve"> </v>
      </c>
      <c r="AR120" s="10" t="str">
        <f t="shared" si="291"/>
        <v xml:space="preserve"> </v>
      </c>
      <c r="AS120" s="10" t="str">
        <f t="shared" si="291"/>
        <v xml:space="preserve"> </v>
      </c>
      <c r="AT120" s="14"/>
      <c r="AU120" s="14"/>
      <c r="AV120" s="10" t="str">
        <f t="shared" si="292"/>
        <v xml:space="preserve"> </v>
      </c>
      <c r="AW120" s="10" t="str">
        <f t="shared" si="292"/>
        <v xml:space="preserve"> </v>
      </c>
      <c r="AX120" s="10" t="str">
        <f t="shared" si="292"/>
        <v xml:space="preserve"> </v>
      </c>
      <c r="AY120" s="10" t="str">
        <f t="shared" si="292"/>
        <v xml:space="preserve"> </v>
      </c>
      <c r="AZ120" s="10" t="str">
        <f t="shared" si="292"/>
        <v xml:space="preserve"> </v>
      </c>
      <c r="BA120" s="14"/>
      <c r="BB120" s="14"/>
      <c r="BC120" s="10" t="str">
        <f t="shared" si="293"/>
        <v xml:space="preserve"> </v>
      </c>
      <c r="BD120" s="10" t="str">
        <f t="shared" si="293"/>
        <v xml:space="preserve"> </v>
      </c>
      <c r="BE120" s="10" t="str">
        <f t="shared" si="293"/>
        <v xml:space="preserve"> </v>
      </c>
      <c r="BF120" s="10" t="str">
        <f t="shared" si="293"/>
        <v xml:space="preserve"> </v>
      </c>
      <c r="BG120" s="10" t="str">
        <f t="shared" si="293"/>
        <v xml:space="preserve"> </v>
      </c>
      <c r="BH120" s="14"/>
      <c r="BI120" s="14"/>
      <c r="BJ120" s="10" t="str">
        <f t="shared" si="294"/>
        <v xml:space="preserve"> </v>
      </c>
      <c r="BK120" s="10" t="str">
        <f t="shared" si="294"/>
        <v xml:space="preserve"> </v>
      </c>
      <c r="BL120" s="10" t="str">
        <f t="shared" si="294"/>
        <v xml:space="preserve"> </v>
      </c>
      <c r="BM120" s="10" t="str">
        <f t="shared" si="294"/>
        <v xml:space="preserve"> </v>
      </c>
      <c r="BN120" s="10" t="str">
        <f t="shared" si="294"/>
        <v xml:space="preserve"> </v>
      </c>
      <c r="BO120" s="14"/>
      <c r="BP120" s="14"/>
      <c r="BQ120" s="10" t="str">
        <f t="shared" si="295"/>
        <v xml:space="preserve"> </v>
      </c>
      <c r="BR120" s="10" t="str">
        <f t="shared" si="295"/>
        <v xml:space="preserve"> </v>
      </c>
      <c r="BS120" s="10" t="str">
        <f t="shared" si="295"/>
        <v xml:space="preserve"> </v>
      </c>
      <c r="BT120" s="10" t="str">
        <f t="shared" si="295"/>
        <v xml:space="preserve"> </v>
      </c>
      <c r="BU120" s="10" t="str">
        <f t="shared" si="295"/>
        <v xml:space="preserve"> </v>
      </c>
      <c r="BV120" s="14"/>
      <c r="BW120" s="14"/>
      <c r="BX120" s="10" t="str">
        <f t="shared" si="296"/>
        <v xml:space="preserve"> </v>
      </c>
      <c r="BY120" s="10" t="str">
        <f t="shared" si="296"/>
        <v xml:space="preserve"> </v>
      </c>
      <c r="BZ120" s="10" t="str">
        <f t="shared" si="296"/>
        <v xml:space="preserve"> </v>
      </c>
      <c r="CA120" s="10" t="str">
        <f t="shared" si="296"/>
        <v xml:space="preserve"> </v>
      </c>
      <c r="CB120" s="10" t="str">
        <f t="shared" si="296"/>
        <v xml:space="preserve"> </v>
      </c>
      <c r="CC120" s="14"/>
      <c r="CD120" s="14"/>
      <c r="CE120" s="10" t="str">
        <f t="shared" si="297"/>
        <v xml:space="preserve"> </v>
      </c>
      <c r="CF120" s="10" t="str">
        <f t="shared" si="297"/>
        <v xml:space="preserve"> </v>
      </c>
      <c r="CG120" s="10" t="str">
        <f t="shared" si="297"/>
        <v xml:space="preserve"> </v>
      </c>
      <c r="CH120" s="10" t="str">
        <f t="shared" si="297"/>
        <v xml:space="preserve"> </v>
      </c>
      <c r="CI120" s="10" t="str">
        <f t="shared" si="297"/>
        <v xml:space="preserve"> </v>
      </c>
      <c r="CJ120" s="14"/>
      <c r="CK120" s="14"/>
      <c r="CL120" s="10" t="str">
        <f t="shared" si="298"/>
        <v xml:space="preserve"> </v>
      </c>
      <c r="CM120" s="10" t="str">
        <f t="shared" si="298"/>
        <v xml:space="preserve"> </v>
      </c>
      <c r="CN120" s="10" t="str">
        <f t="shared" si="298"/>
        <v xml:space="preserve"> </v>
      </c>
      <c r="CO120" s="10" t="str">
        <f t="shared" si="298"/>
        <v xml:space="preserve"> </v>
      </c>
      <c r="CP120" s="10" t="str">
        <f t="shared" si="298"/>
        <v xml:space="preserve"> </v>
      </c>
      <c r="CQ120" s="14"/>
      <c r="CR120" s="14"/>
      <c r="CS120" s="10" t="str">
        <f t="shared" si="299"/>
        <v xml:space="preserve"> </v>
      </c>
      <c r="CT120" s="10" t="str">
        <f t="shared" si="299"/>
        <v xml:space="preserve"> </v>
      </c>
      <c r="CU120" s="10" t="str">
        <f t="shared" si="299"/>
        <v xml:space="preserve"> </v>
      </c>
      <c r="CV120" s="10" t="str">
        <f t="shared" si="299"/>
        <v xml:space="preserve"> </v>
      </c>
      <c r="CW120" s="10" t="str">
        <f t="shared" si="299"/>
        <v xml:space="preserve"> </v>
      </c>
      <c r="CZ120" s="10" t="str">
        <f t="shared" si="300"/>
        <v xml:space="preserve"> </v>
      </c>
      <c r="DA120" s="10" t="str">
        <f t="shared" si="300"/>
        <v xml:space="preserve"> </v>
      </c>
      <c r="DB120" s="10" t="str">
        <f t="shared" si="300"/>
        <v xml:space="preserve"> </v>
      </c>
      <c r="DC120" s="10" t="str">
        <f t="shared" si="300"/>
        <v xml:space="preserve"> </v>
      </c>
      <c r="DD120" s="10" t="str">
        <f t="shared" si="300"/>
        <v xml:space="preserve"> </v>
      </c>
      <c r="DG120" s="10" t="str">
        <f t="shared" si="301"/>
        <v xml:space="preserve"> </v>
      </c>
      <c r="DH120" s="10" t="str">
        <f t="shared" si="301"/>
        <v xml:space="preserve"> </v>
      </c>
      <c r="DI120" s="10" t="str">
        <f t="shared" si="301"/>
        <v xml:space="preserve"> </v>
      </c>
      <c r="DJ120" s="10" t="str">
        <f t="shared" si="301"/>
        <v xml:space="preserve"> </v>
      </c>
      <c r="DK120" s="10" t="str">
        <f t="shared" si="301"/>
        <v xml:space="preserve"> </v>
      </c>
      <c r="DN120" s="10" t="str">
        <f t="shared" si="302"/>
        <v xml:space="preserve"> </v>
      </c>
      <c r="DO120" s="10" t="str">
        <f t="shared" si="302"/>
        <v xml:space="preserve"> </v>
      </c>
      <c r="DP120" s="10" t="str">
        <f t="shared" si="302"/>
        <v xml:space="preserve"> </v>
      </c>
      <c r="DQ120" s="10" t="str">
        <f t="shared" si="302"/>
        <v xml:space="preserve"> </v>
      </c>
      <c r="DR120" s="10" t="str">
        <f t="shared" si="302"/>
        <v xml:space="preserve"> </v>
      </c>
      <c r="DU120" s="10" t="str">
        <f t="shared" si="303"/>
        <v xml:space="preserve"> </v>
      </c>
      <c r="DV120" s="10" t="str">
        <f t="shared" si="303"/>
        <v xml:space="preserve"> </v>
      </c>
      <c r="DW120" s="10" t="str">
        <f t="shared" si="303"/>
        <v xml:space="preserve"> </v>
      </c>
      <c r="DX120" s="10" t="str">
        <f t="shared" si="303"/>
        <v xml:space="preserve"> </v>
      </c>
      <c r="DY120" s="10" t="str">
        <f t="shared" si="303"/>
        <v xml:space="preserve"> </v>
      </c>
      <c r="EB120" s="10" t="str">
        <f t="shared" si="304"/>
        <v xml:space="preserve"> </v>
      </c>
      <c r="EC120" s="10" t="str">
        <f t="shared" si="304"/>
        <v xml:space="preserve"> </v>
      </c>
      <c r="ED120" s="10" t="str">
        <f t="shared" si="304"/>
        <v xml:space="preserve"> </v>
      </c>
      <c r="EE120" s="10" t="str">
        <f t="shared" si="304"/>
        <v xml:space="preserve"> </v>
      </c>
      <c r="EF120" s="10" t="str">
        <f t="shared" si="304"/>
        <v xml:space="preserve"> </v>
      </c>
      <c r="EI120" s="10" t="str">
        <f t="shared" si="305"/>
        <v xml:space="preserve"> </v>
      </c>
      <c r="EJ120" s="10" t="str">
        <f t="shared" si="305"/>
        <v xml:space="preserve"> </v>
      </c>
      <c r="EK120" s="10" t="str">
        <f t="shared" si="305"/>
        <v xml:space="preserve"> </v>
      </c>
      <c r="EL120" s="10" t="str">
        <f t="shared" si="305"/>
        <v xml:space="preserve"> </v>
      </c>
      <c r="EM120" s="10" t="str">
        <f t="shared" si="305"/>
        <v xml:space="preserve"> </v>
      </c>
      <c r="EP120" s="10" t="str">
        <f t="shared" si="306"/>
        <v xml:space="preserve"> </v>
      </c>
      <c r="EQ120" s="10" t="str">
        <f t="shared" si="306"/>
        <v xml:space="preserve"> </v>
      </c>
      <c r="ER120" s="10" t="str">
        <f t="shared" si="306"/>
        <v xml:space="preserve"> </v>
      </c>
      <c r="ES120" s="10" t="str">
        <f t="shared" si="306"/>
        <v xml:space="preserve"> </v>
      </c>
      <c r="ET120" s="10" t="str">
        <f t="shared" si="306"/>
        <v xml:space="preserve"> </v>
      </c>
      <c r="EW120" s="10" t="str">
        <f t="shared" si="307"/>
        <v xml:space="preserve"> </v>
      </c>
      <c r="EX120" s="10" t="str">
        <f t="shared" si="307"/>
        <v xml:space="preserve"> </v>
      </c>
      <c r="EY120" s="10" t="str">
        <f t="shared" si="307"/>
        <v xml:space="preserve"> </v>
      </c>
      <c r="EZ120" s="10" t="str">
        <f t="shared" si="307"/>
        <v xml:space="preserve"> </v>
      </c>
      <c r="FA120" s="10" t="str">
        <f t="shared" si="307"/>
        <v xml:space="preserve"> </v>
      </c>
      <c r="FD120" s="10" t="str">
        <f t="shared" si="308"/>
        <v xml:space="preserve"> </v>
      </c>
      <c r="FE120" s="10" t="str">
        <f t="shared" si="308"/>
        <v xml:space="preserve"> </v>
      </c>
      <c r="FF120" s="10" t="str">
        <f t="shared" si="308"/>
        <v xml:space="preserve"> </v>
      </c>
      <c r="FG120" s="10" t="str">
        <f t="shared" si="308"/>
        <v xml:space="preserve"> </v>
      </c>
      <c r="FH120" s="10" t="str">
        <f t="shared" si="308"/>
        <v xml:space="preserve"> </v>
      </c>
      <c r="FK120" s="10" t="str">
        <f t="shared" si="309"/>
        <v xml:space="preserve"> </v>
      </c>
      <c r="FL120" s="10" t="str">
        <f t="shared" si="309"/>
        <v xml:space="preserve"> </v>
      </c>
      <c r="FM120" s="10" t="str">
        <f t="shared" si="309"/>
        <v xml:space="preserve"> </v>
      </c>
      <c r="FN120" s="10" t="str">
        <f t="shared" si="309"/>
        <v xml:space="preserve"> </v>
      </c>
      <c r="FO120" s="10" t="str">
        <f t="shared" si="309"/>
        <v xml:space="preserve"> </v>
      </c>
      <c r="FR120" s="10" t="str">
        <f t="shared" si="310"/>
        <v xml:space="preserve"> </v>
      </c>
      <c r="FS120" s="10" t="str">
        <f t="shared" si="310"/>
        <v xml:space="preserve"> </v>
      </c>
      <c r="FT120" s="10" t="str">
        <f t="shared" si="310"/>
        <v xml:space="preserve"> </v>
      </c>
      <c r="FU120" s="10" t="str">
        <f t="shared" si="310"/>
        <v xml:space="preserve"> </v>
      </c>
      <c r="FV120" s="10" t="str">
        <f t="shared" si="310"/>
        <v xml:space="preserve"> </v>
      </c>
      <c r="FY120" s="10" t="str">
        <f t="shared" si="311"/>
        <v xml:space="preserve"> </v>
      </c>
      <c r="FZ120" s="10" t="str">
        <f t="shared" si="311"/>
        <v xml:space="preserve"> </v>
      </c>
      <c r="GA120" s="10" t="str">
        <f t="shared" si="311"/>
        <v xml:space="preserve"> </v>
      </c>
      <c r="GB120" s="10" t="str">
        <f t="shared" si="311"/>
        <v xml:space="preserve"> </v>
      </c>
      <c r="GC120" s="10" t="str">
        <f t="shared" si="311"/>
        <v xml:space="preserve"> </v>
      </c>
      <c r="GF120" s="10" t="str">
        <f t="shared" si="312"/>
        <v xml:space="preserve"> </v>
      </c>
      <c r="GG120" s="10" t="str">
        <f t="shared" si="312"/>
        <v xml:space="preserve"> </v>
      </c>
      <c r="GH120" s="10" t="str">
        <f t="shared" si="312"/>
        <v xml:space="preserve"> </v>
      </c>
      <c r="GI120" s="10" t="str">
        <f t="shared" si="312"/>
        <v xml:space="preserve"> </v>
      </c>
      <c r="GJ120" s="10" t="str">
        <f t="shared" si="312"/>
        <v xml:space="preserve"> </v>
      </c>
      <c r="GM120" s="10" t="str">
        <f t="shared" si="313"/>
        <v xml:space="preserve"> </v>
      </c>
      <c r="GN120" s="10" t="str">
        <f t="shared" si="313"/>
        <v xml:space="preserve"> </v>
      </c>
      <c r="GO120" s="10" t="str">
        <f t="shared" si="313"/>
        <v xml:space="preserve"> </v>
      </c>
      <c r="GP120" s="10" t="str">
        <f t="shared" si="313"/>
        <v xml:space="preserve"> </v>
      </c>
      <c r="GQ120" s="10" t="str">
        <f t="shared" si="313"/>
        <v xml:space="preserve"> </v>
      </c>
      <c r="GT120" s="10" t="str">
        <f t="shared" si="314"/>
        <v xml:space="preserve"> </v>
      </c>
      <c r="GU120" s="10" t="str">
        <f t="shared" si="314"/>
        <v xml:space="preserve"> </v>
      </c>
      <c r="GV120" s="10" t="str">
        <f t="shared" si="314"/>
        <v xml:space="preserve"> </v>
      </c>
      <c r="GW120" s="10" t="str">
        <f t="shared" si="314"/>
        <v xml:space="preserve"> </v>
      </c>
      <c r="GX120" s="10" t="str">
        <f t="shared" si="314"/>
        <v xml:space="preserve"> </v>
      </c>
      <c r="HA120" s="10" t="str">
        <f t="shared" si="315"/>
        <v xml:space="preserve"> </v>
      </c>
      <c r="HB120" s="10" t="str">
        <f t="shared" si="315"/>
        <v xml:space="preserve"> </v>
      </c>
      <c r="HC120" s="10" t="str">
        <f t="shared" si="315"/>
        <v xml:space="preserve"> </v>
      </c>
      <c r="HD120" s="10" t="str">
        <f t="shared" si="315"/>
        <v xml:space="preserve"> </v>
      </c>
      <c r="HE120" s="10" t="str">
        <f t="shared" si="315"/>
        <v xml:space="preserve"> </v>
      </c>
      <c r="HH120" s="10" t="str">
        <f t="shared" si="316"/>
        <v xml:space="preserve"> </v>
      </c>
      <c r="HI120" s="10" t="str">
        <f t="shared" si="316"/>
        <v xml:space="preserve"> </v>
      </c>
      <c r="HJ120" s="10" t="str">
        <f t="shared" si="316"/>
        <v xml:space="preserve"> </v>
      </c>
      <c r="HK120" s="10" t="str">
        <f t="shared" si="316"/>
        <v xml:space="preserve"> </v>
      </c>
      <c r="HL120" s="10" t="str">
        <f t="shared" si="316"/>
        <v xml:space="preserve"> </v>
      </c>
      <c r="HO120" s="10" t="str">
        <f t="shared" si="317"/>
        <v xml:space="preserve"> </v>
      </c>
      <c r="HP120" s="10" t="str">
        <f t="shared" si="317"/>
        <v xml:space="preserve"> </v>
      </c>
      <c r="HQ120" s="10" t="str">
        <f t="shared" si="317"/>
        <v xml:space="preserve"> </v>
      </c>
      <c r="HR120" s="10" t="str">
        <f t="shared" si="317"/>
        <v xml:space="preserve"> </v>
      </c>
      <c r="HS120" s="10" t="str">
        <f t="shared" si="317"/>
        <v xml:space="preserve"> </v>
      </c>
      <c r="HV120" s="10" t="str">
        <f t="shared" si="318"/>
        <v xml:space="preserve"> </v>
      </c>
      <c r="HW120" s="10" t="str">
        <f t="shared" si="318"/>
        <v xml:space="preserve"> </v>
      </c>
      <c r="HX120" s="10" t="str">
        <f t="shared" si="318"/>
        <v xml:space="preserve"> </v>
      </c>
      <c r="HY120" s="10" t="str">
        <f t="shared" si="318"/>
        <v xml:space="preserve"> </v>
      </c>
      <c r="HZ120" s="10" t="str">
        <f t="shared" si="318"/>
        <v xml:space="preserve"> </v>
      </c>
      <c r="IC120" s="10" t="str">
        <f t="shared" si="319"/>
        <v xml:space="preserve"> </v>
      </c>
      <c r="ID120" s="10" t="str">
        <f t="shared" si="319"/>
        <v xml:space="preserve"> </v>
      </c>
      <c r="IE120" s="10" t="str">
        <f t="shared" si="319"/>
        <v xml:space="preserve"> </v>
      </c>
      <c r="IF120" s="10" t="str">
        <f t="shared" si="319"/>
        <v xml:space="preserve"> </v>
      </c>
      <c r="IG120" s="10" t="str">
        <f t="shared" si="319"/>
        <v xml:space="preserve"> </v>
      </c>
      <c r="IJ120" s="10" t="str">
        <f t="shared" si="320"/>
        <v xml:space="preserve"> </v>
      </c>
      <c r="IK120" s="10" t="str">
        <f t="shared" si="320"/>
        <v xml:space="preserve"> </v>
      </c>
      <c r="IL120" s="10" t="str">
        <f t="shared" si="320"/>
        <v xml:space="preserve"> </v>
      </c>
      <c r="IM120" s="10" t="str">
        <f t="shared" si="320"/>
        <v xml:space="preserve"> </v>
      </c>
      <c r="IN120" s="10" t="str">
        <f t="shared" si="320"/>
        <v xml:space="preserve"> </v>
      </c>
      <c r="IQ120" s="10" t="str">
        <f t="shared" si="321"/>
        <v xml:space="preserve"> </v>
      </c>
      <c r="IR120" s="10" t="str">
        <f t="shared" si="321"/>
        <v xml:space="preserve"> </v>
      </c>
      <c r="IS120" s="10" t="str">
        <f t="shared" si="321"/>
        <v xml:space="preserve"> </v>
      </c>
      <c r="IT120" s="10" t="str">
        <f t="shared" si="321"/>
        <v xml:space="preserve"> </v>
      </c>
      <c r="IU120" s="10" t="str">
        <f t="shared" si="321"/>
        <v xml:space="preserve"> </v>
      </c>
      <c r="IX120" s="10" t="str">
        <f t="shared" si="322"/>
        <v xml:space="preserve"> </v>
      </c>
      <c r="IY120" s="10" t="str">
        <f t="shared" si="322"/>
        <v xml:space="preserve"> </v>
      </c>
      <c r="IZ120" s="10" t="str">
        <f t="shared" si="322"/>
        <v xml:space="preserve"> </v>
      </c>
      <c r="JA120" s="10" t="str">
        <f t="shared" si="322"/>
        <v xml:space="preserve"> </v>
      </c>
      <c r="JB120" s="10" t="str">
        <f t="shared" si="322"/>
        <v xml:space="preserve"> </v>
      </c>
      <c r="JE120" s="10" t="str">
        <f t="shared" si="323"/>
        <v xml:space="preserve"> </v>
      </c>
      <c r="JF120" s="10" t="str">
        <f t="shared" si="323"/>
        <v xml:space="preserve"> </v>
      </c>
      <c r="JG120" s="10" t="str">
        <f t="shared" si="323"/>
        <v xml:space="preserve"> </v>
      </c>
      <c r="JH120" s="10" t="str">
        <f t="shared" si="323"/>
        <v xml:space="preserve"> </v>
      </c>
      <c r="JI120" s="10" t="str">
        <f t="shared" si="323"/>
        <v xml:space="preserve"> </v>
      </c>
    </row>
    <row r="121" spans="13:269">
      <c r="M121" s="10" t="str">
        <f t="shared" si="324"/>
        <v xml:space="preserve"> </v>
      </c>
      <c r="N121" s="10" t="str">
        <f t="shared" si="324"/>
        <v xml:space="preserve"> </v>
      </c>
      <c r="O121" s="10" t="str">
        <f t="shared" si="324"/>
        <v xml:space="preserve"> </v>
      </c>
      <c r="P121" s="10" t="str">
        <f t="shared" si="324"/>
        <v xml:space="preserve"> </v>
      </c>
      <c r="Q121" s="10" t="str">
        <f t="shared" si="324"/>
        <v xml:space="preserve"> </v>
      </c>
      <c r="R121" s="14"/>
      <c r="S121" s="14"/>
      <c r="T121" s="10" t="str">
        <f t="shared" ref="T121:X171" si="325">IF(AND(T$6&gt;=$F121,T$6&lt;=$G121),"."," ")</f>
        <v xml:space="preserve"> </v>
      </c>
      <c r="U121" s="10" t="str">
        <f t="shared" si="325"/>
        <v xml:space="preserve"> </v>
      </c>
      <c r="V121" s="10" t="str">
        <f t="shared" si="325"/>
        <v xml:space="preserve"> </v>
      </c>
      <c r="W121" s="10" t="str">
        <f t="shared" si="325"/>
        <v xml:space="preserve"> </v>
      </c>
      <c r="X121" s="10" t="str">
        <f t="shared" si="325"/>
        <v xml:space="preserve"> </v>
      </c>
      <c r="Y121" s="14"/>
      <c r="Z121" s="14"/>
      <c r="AA121" s="10" t="str">
        <f t="shared" ref="AA121:AE171" si="326">IF(AND(AA$6&gt;=$F121,AA$6&lt;=$G121),"."," ")</f>
        <v xml:space="preserve"> </v>
      </c>
      <c r="AB121" s="10" t="str">
        <f t="shared" si="326"/>
        <v xml:space="preserve"> </v>
      </c>
      <c r="AC121" s="10" t="str">
        <f t="shared" si="326"/>
        <v xml:space="preserve"> </v>
      </c>
      <c r="AD121" s="10" t="str">
        <f t="shared" si="326"/>
        <v xml:space="preserve"> </v>
      </c>
      <c r="AE121" s="10" t="str">
        <f t="shared" si="326"/>
        <v xml:space="preserve"> </v>
      </c>
      <c r="AF121" s="14"/>
      <c r="AG121" s="14"/>
      <c r="AH121" s="10" t="str">
        <f t="shared" ref="AH121:AL171" si="327">IF(AND(AH$6&gt;=$F121,AH$6&lt;=$G121),"."," ")</f>
        <v xml:space="preserve"> </v>
      </c>
      <c r="AI121" s="10" t="str">
        <f t="shared" si="327"/>
        <v xml:space="preserve"> </v>
      </c>
      <c r="AJ121" s="10" t="str">
        <f t="shared" si="327"/>
        <v xml:space="preserve"> </v>
      </c>
      <c r="AK121" s="10" t="str">
        <f t="shared" si="327"/>
        <v xml:space="preserve"> </v>
      </c>
      <c r="AL121" s="10" t="str">
        <f t="shared" si="327"/>
        <v xml:space="preserve"> </v>
      </c>
      <c r="AM121" s="14"/>
      <c r="AN121" s="14"/>
      <c r="AO121" s="10" t="str">
        <f t="shared" ref="AO121:AS171" si="328">IF(AND(AO$6&gt;=$F121,AO$6&lt;=$G121),"."," ")</f>
        <v xml:space="preserve"> </v>
      </c>
      <c r="AP121" s="10" t="str">
        <f t="shared" si="328"/>
        <v xml:space="preserve"> </v>
      </c>
      <c r="AQ121" s="10" t="str">
        <f t="shared" si="328"/>
        <v xml:space="preserve"> </v>
      </c>
      <c r="AR121" s="10" t="str">
        <f t="shared" si="328"/>
        <v xml:space="preserve"> </v>
      </c>
      <c r="AS121" s="10" t="str">
        <f t="shared" si="328"/>
        <v xml:space="preserve"> </v>
      </c>
      <c r="AT121" s="14"/>
      <c r="AU121" s="14"/>
      <c r="AV121" s="10" t="str">
        <f t="shared" ref="AV121:AZ171" si="329">IF(AND(AV$6&gt;=$F121,AV$6&lt;=$G121),"."," ")</f>
        <v xml:space="preserve"> </v>
      </c>
      <c r="AW121" s="10" t="str">
        <f t="shared" si="329"/>
        <v xml:space="preserve"> </v>
      </c>
      <c r="AX121" s="10" t="str">
        <f t="shared" si="329"/>
        <v xml:space="preserve"> </v>
      </c>
      <c r="AY121" s="10" t="str">
        <f t="shared" si="329"/>
        <v xml:space="preserve"> </v>
      </c>
      <c r="AZ121" s="10" t="str">
        <f t="shared" si="329"/>
        <v xml:space="preserve"> </v>
      </c>
      <c r="BA121" s="14"/>
      <c r="BB121" s="14"/>
      <c r="BC121" s="10" t="str">
        <f t="shared" ref="BC121:BG171" si="330">IF(AND(BC$6&gt;=$F121,BC$6&lt;=$G121),"."," ")</f>
        <v xml:space="preserve"> </v>
      </c>
      <c r="BD121" s="10" t="str">
        <f t="shared" si="330"/>
        <v xml:space="preserve"> </v>
      </c>
      <c r="BE121" s="10" t="str">
        <f t="shared" si="330"/>
        <v xml:space="preserve"> </v>
      </c>
      <c r="BF121" s="10" t="str">
        <f t="shared" si="330"/>
        <v xml:space="preserve"> </v>
      </c>
      <c r="BG121" s="10" t="str">
        <f t="shared" si="330"/>
        <v xml:space="preserve"> </v>
      </c>
      <c r="BH121" s="14"/>
      <c r="BI121" s="14"/>
      <c r="BJ121" s="10" t="str">
        <f t="shared" ref="BJ121:BN171" si="331">IF(AND(BJ$6&gt;=$F121,BJ$6&lt;=$G121),"."," ")</f>
        <v xml:space="preserve"> </v>
      </c>
      <c r="BK121" s="10" t="str">
        <f t="shared" si="331"/>
        <v xml:space="preserve"> </v>
      </c>
      <c r="BL121" s="10" t="str">
        <f t="shared" si="331"/>
        <v xml:space="preserve"> </v>
      </c>
      <c r="BM121" s="10" t="str">
        <f t="shared" si="331"/>
        <v xml:space="preserve"> </v>
      </c>
      <c r="BN121" s="10" t="str">
        <f t="shared" si="331"/>
        <v xml:space="preserve"> </v>
      </c>
      <c r="BO121" s="14"/>
      <c r="BP121" s="14"/>
      <c r="BQ121" s="10" t="str">
        <f t="shared" ref="BQ121:BU171" si="332">IF(AND(BQ$6&gt;=$F121,BQ$6&lt;=$G121),"."," ")</f>
        <v xml:space="preserve"> </v>
      </c>
      <c r="BR121" s="10" t="str">
        <f t="shared" si="332"/>
        <v xml:space="preserve"> </v>
      </c>
      <c r="BS121" s="10" t="str">
        <f t="shared" si="332"/>
        <v xml:space="preserve"> </v>
      </c>
      <c r="BT121" s="10" t="str">
        <f t="shared" si="332"/>
        <v xml:space="preserve"> </v>
      </c>
      <c r="BU121" s="10" t="str">
        <f t="shared" si="332"/>
        <v xml:space="preserve"> </v>
      </c>
      <c r="BV121" s="14"/>
      <c r="BW121" s="14"/>
      <c r="BX121" s="10" t="str">
        <f t="shared" ref="BX121:CB171" si="333">IF(AND(BX$6&gt;=$F121,BX$6&lt;=$G121),"."," ")</f>
        <v xml:space="preserve"> </v>
      </c>
      <c r="BY121" s="10" t="str">
        <f t="shared" si="333"/>
        <v xml:space="preserve"> </v>
      </c>
      <c r="BZ121" s="10" t="str">
        <f t="shared" si="333"/>
        <v xml:space="preserve"> </v>
      </c>
      <c r="CA121" s="10" t="str">
        <f t="shared" si="333"/>
        <v xml:space="preserve"> </v>
      </c>
      <c r="CB121" s="10" t="str">
        <f t="shared" si="333"/>
        <v xml:space="preserve"> </v>
      </c>
      <c r="CC121" s="14"/>
      <c r="CD121" s="14"/>
      <c r="CE121" s="10" t="str">
        <f t="shared" ref="CE121:CI171" si="334">IF(AND(CE$6&gt;=$F121,CE$6&lt;=$G121),"."," ")</f>
        <v xml:space="preserve"> </v>
      </c>
      <c r="CF121" s="10" t="str">
        <f t="shared" si="334"/>
        <v xml:space="preserve"> </v>
      </c>
      <c r="CG121" s="10" t="str">
        <f t="shared" si="334"/>
        <v xml:space="preserve"> </v>
      </c>
      <c r="CH121" s="10" t="str">
        <f t="shared" si="334"/>
        <v xml:space="preserve"> </v>
      </c>
      <c r="CI121" s="10" t="str">
        <f t="shared" si="334"/>
        <v xml:space="preserve"> </v>
      </c>
      <c r="CJ121" s="14"/>
      <c r="CK121" s="14"/>
      <c r="CL121" s="10" t="str">
        <f t="shared" ref="CL121:CP171" si="335">IF(AND(CL$6&gt;=$F121,CL$6&lt;=$G121),"."," ")</f>
        <v xml:space="preserve"> </v>
      </c>
      <c r="CM121" s="10" t="str">
        <f t="shared" si="335"/>
        <v xml:space="preserve"> </v>
      </c>
      <c r="CN121" s="10" t="str">
        <f t="shared" si="335"/>
        <v xml:space="preserve"> </v>
      </c>
      <c r="CO121" s="10" t="str">
        <f t="shared" si="335"/>
        <v xml:space="preserve"> </v>
      </c>
      <c r="CP121" s="10" t="str">
        <f t="shared" si="335"/>
        <v xml:space="preserve"> </v>
      </c>
      <c r="CQ121" s="14"/>
      <c r="CR121" s="14"/>
      <c r="CS121" s="10" t="str">
        <f t="shared" ref="CS121:CW171" si="336">IF(AND(CS$6&gt;=$F121,CS$6&lt;=$G121),"."," ")</f>
        <v xml:space="preserve"> </v>
      </c>
      <c r="CT121" s="10" t="str">
        <f t="shared" si="336"/>
        <v xml:space="preserve"> </v>
      </c>
      <c r="CU121" s="10" t="str">
        <f t="shared" si="336"/>
        <v xml:space="preserve"> </v>
      </c>
      <c r="CV121" s="10" t="str">
        <f t="shared" si="336"/>
        <v xml:space="preserve"> </v>
      </c>
      <c r="CW121" s="10" t="str">
        <f t="shared" si="336"/>
        <v xml:space="preserve"> </v>
      </c>
      <c r="CZ121" s="10" t="str">
        <f t="shared" ref="CZ121:DD171" si="337">IF(AND(CZ$6&gt;=$F121,CZ$6&lt;=$G121),"."," ")</f>
        <v xml:space="preserve"> </v>
      </c>
      <c r="DA121" s="10" t="str">
        <f t="shared" si="337"/>
        <v xml:space="preserve"> </v>
      </c>
      <c r="DB121" s="10" t="str">
        <f t="shared" si="337"/>
        <v xml:space="preserve"> </v>
      </c>
      <c r="DC121" s="10" t="str">
        <f t="shared" si="337"/>
        <v xml:space="preserve"> </v>
      </c>
      <c r="DD121" s="10" t="str">
        <f t="shared" si="337"/>
        <v xml:space="preserve"> </v>
      </c>
      <c r="DG121" s="10" t="str">
        <f t="shared" ref="DG121:DK171" si="338">IF(AND(DG$6&gt;=$F121,DG$6&lt;=$G121),"."," ")</f>
        <v xml:space="preserve"> </v>
      </c>
      <c r="DH121" s="10" t="str">
        <f t="shared" si="338"/>
        <v xml:space="preserve"> </v>
      </c>
      <c r="DI121" s="10" t="str">
        <f t="shared" si="338"/>
        <v xml:space="preserve"> </v>
      </c>
      <c r="DJ121" s="10" t="str">
        <f t="shared" si="338"/>
        <v xml:space="preserve"> </v>
      </c>
      <c r="DK121" s="10" t="str">
        <f t="shared" si="338"/>
        <v xml:space="preserve"> </v>
      </c>
      <c r="DN121" s="10" t="str">
        <f t="shared" ref="DN121:DR171" si="339">IF(AND(DN$6&gt;=$F121,DN$6&lt;=$G121),"."," ")</f>
        <v xml:space="preserve"> </v>
      </c>
      <c r="DO121" s="10" t="str">
        <f t="shared" si="339"/>
        <v xml:space="preserve"> </v>
      </c>
      <c r="DP121" s="10" t="str">
        <f t="shared" si="339"/>
        <v xml:space="preserve"> </v>
      </c>
      <c r="DQ121" s="10" t="str">
        <f t="shared" si="339"/>
        <v xml:space="preserve"> </v>
      </c>
      <c r="DR121" s="10" t="str">
        <f t="shared" si="339"/>
        <v xml:space="preserve"> </v>
      </c>
      <c r="DU121" s="10" t="str">
        <f t="shared" ref="DU121:DY171" si="340">IF(AND(DU$6&gt;=$F121,DU$6&lt;=$G121),"."," ")</f>
        <v xml:space="preserve"> </v>
      </c>
      <c r="DV121" s="10" t="str">
        <f t="shared" si="340"/>
        <v xml:space="preserve"> </v>
      </c>
      <c r="DW121" s="10" t="str">
        <f t="shared" si="340"/>
        <v xml:space="preserve"> </v>
      </c>
      <c r="DX121" s="10" t="str">
        <f t="shared" si="340"/>
        <v xml:space="preserve"> </v>
      </c>
      <c r="DY121" s="10" t="str">
        <f t="shared" si="340"/>
        <v xml:space="preserve"> </v>
      </c>
      <c r="EB121" s="10" t="str">
        <f t="shared" ref="EB121:EF171" si="341">IF(AND(EB$6&gt;=$F121,EB$6&lt;=$G121),"."," ")</f>
        <v xml:space="preserve"> </v>
      </c>
      <c r="EC121" s="10" t="str">
        <f t="shared" si="341"/>
        <v xml:space="preserve"> </v>
      </c>
      <c r="ED121" s="10" t="str">
        <f t="shared" si="341"/>
        <v xml:space="preserve"> </v>
      </c>
      <c r="EE121" s="10" t="str">
        <f t="shared" si="341"/>
        <v xml:space="preserve"> </v>
      </c>
      <c r="EF121" s="10" t="str">
        <f t="shared" si="341"/>
        <v xml:space="preserve"> </v>
      </c>
      <c r="EI121" s="10" t="str">
        <f t="shared" ref="EI121:EM171" si="342">IF(AND(EI$6&gt;=$F121,EI$6&lt;=$G121),"."," ")</f>
        <v xml:space="preserve"> </v>
      </c>
      <c r="EJ121" s="10" t="str">
        <f t="shared" si="342"/>
        <v xml:space="preserve"> </v>
      </c>
      <c r="EK121" s="10" t="str">
        <f t="shared" si="342"/>
        <v xml:space="preserve"> </v>
      </c>
      <c r="EL121" s="10" t="str">
        <f t="shared" si="342"/>
        <v xml:space="preserve"> </v>
      </c>
      <c r="EM121" s="10" t="str">
        <f t="shared" si="342"/>
        <v xml:space="preserve"> </v>
      </c>
      <c r="EP121" s="10" t="str">
        <f t="shared" ref="EP121:ET171" si="343">IF(AND(EP$6&gt;=$F121,EP$6&lt;=$G121),"."," ")</f>
        <v xml:space="preserve"> </v>
      </c>
      <c r="EQ121" s="10" t="str">
        <f t="shared" si="343"/>
        <v xml:space="preserve"> </v>
      </c>
      <c r="ER121" s="10" t="str">
        <f t="shared" si="343"/>
        <v xml:space="preserve"> </v>
      </c>
      <c r="ES121" s="10" t="str">
        <f t="shared" si="343"/>
        <v xml:space="preserve"> </v>
      </c>
      <c r="ET121" s="10" t="str">
        <f t="shared" si="343"/>
        <v xml:space="preserve"> </v>
      </c>
      <c r="EW121" s="10" t="str">
        <f t="shared" ref="EW121:FA171" si="344">IF(AND(EW$6&gt;=$F121,EW$6&lt;=$G121),"."," ")</f>
        <v xml:space="preserve"> </v>
      </c>
      <c r="EX121" s="10" t="str">
        <f t="shared" si="344"/>
        <v xml:space="preserve"> </v>
      </c>
      <c r="EY121" s="10" t="str">
        <f t="shared" si="344"/>
        <v xml:space="preserve"> </v>
      </c>
      <c r="EZ121" s="10" t="str">
        <f t="shared" si="344"/>
        <v xml:space="preserve"> </v>
      </c>
      <c r="FA121" s="10" t="str">
        <f t="shared" si="344"/>
        <v xml:space="preserve"> </v>
      </c>
      <c r="FD121" s="10" t="str">
        <f t="shared" ref="FD121:FH171" si="345">IF(AND(FD$6&gt;=$F121,FD$6&lt;=$G121),"."," ")</f>
        <v xml:space="preserve"> </v>
      </c>
      <c r="FE121" s="10" t="str">
        <f t="shared" si="345"/>
        <v xml:space="preserve"> </v>
      </c>
      <c r="FF121" s="10" t="str">
        <f t="shared" si="345"/>
        <v xml:space="preserve"> </v>
      </c>
      <c r="FG121" s="10" t="str">
        <f t="shared" si="345"/>
        <v xml:space="preserve"> </v>
      </c>
      <c r="FH121" s="10" t="str">
        <f t="shared" si="345"/>
        <v xml:space="preserve"> </v>
      </c>
      <c r="FK121" s="10" t="str">
        <f t="shared" ref="FK121:FO171" si="346">IF(AND(FK$6&gt;=$F121,FK$6&lt;=$G121),"."," ")</f>
        <v xml:space="preserve"> </v>
      </c>
      <c r="FL121" s="10" t="str">
        <f t="shared" si="346"/>
        <v xml:space="preserve"> </v>
      </c>
      <c r="FM121" s="10" t="str">
        <f t="shared" si="346"/>
        <v xml:space="preserve"> </v>
      </c>
      <c r="FN121" s="10" t="str">
        <f t="shared" si="346"/>
        <v xml:space="preserve"> </v>
      </c>
      <c r="FO121" s="10" t="str">
        <f t="shared" si="346"/>
        <v xml:space="preserve"> </v>
      </c>
      <c r="FR121" s="10" t="str">
        <f t="shared" ref="FR121:FV171" si="347">IF(AND(FR$6&gt;=$F121,FR$6&lt;=$G121),"."," ")</f>
        <v xml:space="preserve"> </v>
      </c>
      <c r="FS121" s="10" t="str">
        <f t="shared" si="347"/>
        <v xml:space="preserve"> </v>
      </c>
      <c r="FT121" s="10" t="str">
        <f t="shared" si="347"/>
        <v xml:space="preserve"> </v>
      </c>
      <c r="FU121" s="10" t="str">
        <f t="shared" si="347"/>
        <v xml:space="preserve"> </v>
      </c>
      <c r="FV121" s="10" t="str">
        <f t="shared" si="347"/>
        <v xml:space="preserve"> </v>
      </c>
      <c r="FY121" s="10" t="str">
        <f t="shared" ref="FY121:GC171" si="348">IF(AND(FY$6&gt;=$F121,FY$6&lt;=$G121),"."," ")</f>
        <v xml:space="preserve"> </v>
      </c>
      <c r="FZ121" s="10" t="str">
        <f t="shared" si="348"/>
        <v xml:space="preserve"> </v>
      </c>
      <c r="GA121" s="10" t="str">
        <f t="shared" si="348"/>
        <v xml:space="preserve"> </v>
      </c>
      <c r="GB121" s="10" t="str">
        <f t="shared" si="348"/>
        <v xml:space="preserve"> </v>
      </c>
      <c r="GC121" s="10" t="str">
        <f t="shared" si="348"/>
        <v xml:space="preserve"> </v>
      </c>
      <c r="GF121" s="10" t="str">
        <f t="shared" ref="GF121:GJ171" si="349">IF(AND(GF$6&gt;=$F121,GF$6&lt;=$G121),"."," ")</f>
        <v xml:space="preserve"> </v>
      </c>
      <c r="GG121" s="10" t="str">
        <f t="shared" si="349"/>
        <v xml:space="preserve"> </v>
      </c>
      <c r="GH121" s="10" t="str">
        <f t="shared" si="349"/>
        <v xml:space="preserve"> </v>
      </c>
      <c r="GI121" s="10" t="str">
        <f t="shared" si="349"/>
        <v xml:space="preserve"> </v>
      </c>
      <c r="GJ121" s="10" t="str">
        <f t="shared" si="349"/>
        <v xml:space="preserve"> </v>
      </c>
      <c r="GM121" s="10" t="str">
        <f t="shared" ref="GM121:GQ171" si="350">IF(AND(GM$6&gt;=$F121,GM$6&lt;=$G121),"."," ")</f>
        <v xml:space="preserve"> </v>
      </c>
      <c r="GN121" s="10" t="str">
        <f t="shared" si="350"/>
        <v xml:space="preserve"> </v>
      </c>
      <c r="GO121" s="10" t="str">
        <f t="shared" si="350"/>
        <v xml:space="preserve"> </v>
      </c>
      <c r="GP121" s="10" t="str">
        <f t="shared" si="350"/>
        <v xml:space="preserve"> </v>
      </c>
      <c r="GQ121" s="10" t="str">
        <f t="shared" si="350"/>
        <v xml:space="preserve"> </v>
      </c>
      <c r="GT121" s="10" t="str">
        <f t="shared" ref="GT121:GX171" si="351">IF(AND(GT$6&gt;=$F121,GT$6&lt;=$G121),"."," ")</f>
        <v xml:space="preserve"> </v>
      </c>
      <c r="GU121" s="10" t="str">
        <f t="shared" si="351"/>
        <v xml:space="preserve"> </v>
      </c>
      <c r="GV121" s="10" t="str">
        <f t="shared" si="351"/>
        <v xml:space="preserve"> </v>
      </c>
      <c r="GW121" s="10" t="str">
        <f t="shared" si="351"/>
        <v xml:space="preserve"> </v>
      </c>
      <c r="GX121" s="10" t="str">
        <f t="shared" si="351"/>
        <v xml:space="preserve"> </v>
      </c>
      <c r="HA121" s="10" t="str">
        <f t="shared" ref="HA121:HE171" si="352">IF(AND(HA$6&gt;=$F121,HA$6&lt;=$G121),"."," ")</f>
        <v xml:space="preserve"> </v>
      </c>
      <c r="HB121" s="10" t="str">
        <f t="shared" si="352"/>
        <v xml:space="preserve"> </v>
      </c>
      <c r="HC121" s="10" t="str">
        <f t="shared" si="352"/>
        <v xml:space="preserve"> </v>
      </c>
      <c r="HD121" s="10" t="str">
        <f t="shared" si="352"/>
        <v xml:space="preserve"> </v>
      </c>
      <c r="HE121" s="10" t="str">
        <f t="shared" si="352"/>
        <v xml:space="preserve"> </v>
      </c>
      <c r="HH121" s="10" t="str">
        <f t="shared" ref="HH121:HL171" si="353">IF(AND(HH$6&gt;=$F121,HH$6&lt;=$G121),"."," ")</f>
        <v xml:space="preserve"> </v>
      </c>
      <c r="HI121" s="10" t="str">
        <f t="shared" si="353"/>
        <v xml:space="preserve"> </v>
      </c>
      <c r="HJ121" s="10" t="str">
        <f t="shared" si="353"/>
        <v xml:space="preserve"> </v>
      </c>
      <c r="HK121" s="10" t="str">
        <f t="shared" si="353"/>
        <v xml:space="preserve"> </v>
      </c>
      <c r="HL121" s="10" t="str">
        <f t="shared" si="353"/>
        <v xml:space="preserve"> </v>
      </c>
      <c r="HO121" s="10" t="str">
        <f t="shared" ref="HO121:HS171" si="354">IF(AND(HO$6&gt;=$F121,HO$6&lt;=$G121),"."," ")</f>
        <v xml:space="preserve"> </v>
      </c>
      <c r="HP121" s="10" t="str">
        <f t="shared" si="354"/>
        <v xml:space="preserve"> </v>
      </c>
      <c r="HQ121" s="10" t="str">
        <f t="shared" si="354"/>
        <v xml:space="preserve"> </v>
      </c>
      <c r="HR121" s="10" t="str">
        <f t="shared" si="354"/>
        <v xml:space="preserve"> </v>
      </c>
      <c r="HS121" s="10" t="str">
        <f t="shared" si="354"/>
        <v xml:space="preserve"> </v>
      </c>
      <c r="HV121" s="10" t="str">
        <f t="shared" ref="HV121:HZ171" si="355">IF(AND(HV$6&gt;=$F121,HV$6&lt;=$G121),"."," ")</f>
        <v xml:space="preserve"> </v>
      </c>
      <c r="HW121" s="10" t="str">
        <f t="shared" si="355"/>
        <v xml:space="preserve"> </v>
      </c>
      <c r="HX121" s="10" t="str">
        <f t="shared" si="355"/>
        <v xml:space="preserve"> </v>
      </c>
      <c r="HY121" s="10" t="str">
        <f t="shared" si="355"/>
        <v xml:space="preserve"> </v>
      </c>
      <c r="HZ121" s="10" t="str">
        <f t="shared" si="355"/>
        <v xml:space="preserve"> </v>
      </c>
      <c r="IC121" s="10" t="str">
        <f t="shared" ref="IC121:IG171" si="356">IF(AND(IC$6&gt;=$F121,IC$6&lt;=$G121),"."," ")</f>
        <v xml:space="preserve"> </v>
      </c>
      <c r="ID121" s="10" t="str">
        <f t="shared" si="356"/>
        <v xml:space="preserve"> </v>
      </c>
      <c r="IE121" s="10" t="str">
        <f t="shared" si="356"/>
        <v xml:space="preserve"> </v>
      </c>
      <c r="IF121" s="10" t="str">
        <f t="shared" si="356"/>
        <v xml:space="preserve"> </v>
      </c>
      <c r="IG121" s="10" t="str">
        <f t="shared" si="356"/>
        <v xml:space="preserve"> </v>
      </c>
      <c r="IJ121" s="10" t="str">
        <f t="shared" ref="IJ121:IN171" si="357">IF(AND(IJ$6&gt;=$F121,IJ$6&lt;=$G121),"."," ")</f>
        <v xml:space="preserve"> </v>
      </c>
      <c r="IK121" s="10" t="str">
        <f t="shared" si="357"/>
        <v xml:space="preserve"> </v>
      </c>
      <c r="IL121" s="10" t="str">
        <f t="shared" si="357"/>
        <v xml:space="preserve"> </v>
      </c>
      <c r="IM121" s="10" t="str">
        <f t="shared" si="357"/>
        <v xml:space="preserve"> </v>
      </c>
      <c r="IN121" s="10" t="str">
        <f t="shared" si="357"/>
        <v xml:space="preserve"> </v>
      </c>
      <c r="IQ121" s="10" t="str">
        <f t="shared" ref="IQ121:IU171" si="358">IF(AND(IQ$6&gt;=$F121,IQ$6&lt;=$G121),"."," ")</f>
        <v xml:space="preserve"> </v>
      </c>
      <c r="IR121" s="10" t="str">
        <f t="shared" si="358"/>
        <v xml:space="preserve"> </v>
      </c>
      <c r="IS121" s="10" t="str">
        <f t="shared" si="358"/>
        <v xml:space="preserve"> </v>
      </c>
      <c r="IT121" s="10" t="str">
        <f t="shared" si="358"/>
        <v xml:space="preserve"> </v>
      </c>
      <c r="IU121" s="10" t="str">
        <f t="shared" si="358"/>
        <v xml:space="preserve"> </v>
      </c>
      <c r="IX121" s="10" t="str">
        <f t="shared" ref="IX121:JB171" si="359">IF(AND(IX$6&gt;=$F121,IX$6&lt;=$G121),"."," ")</f>
        <v xml:space="preserve"> </v>
      </c>
      <c r="IY121" s="10" t="str">
        <f t="shared" si="359"/>
        <v xml:space="preserve"> </v>
      </c>
      <c r="IZ121" s="10" t="str">
        <f t="shared" si="359"/>
        <v xml:space="preserve"> </v>
      </c>
      <c r="JA121" s="10" t="str">
        <f t="shared" si="359"/>
        <v xml:space="preserve"> </v>
      </c>
      <c r="JB121" s="10" t="str">
        <f t="shared" si="359"/>
        <v xml:space="preserve"> </v>
      </c>
      <c r="JE121" s="10" t="str">
        <f t="shared" ref="JE121:JI171" si="360">IF(AND(JE$6&gt;=$F121,JE$6&lt;=$G121),"."," ")</f>
        <v xml:space="preserve"> </v>
      </c>
      <c r="JF121" s="10" t="str">
        <f t="shared" si="360"/>
        <v xml:space="preserve"> </v>
      </c>
      <c r="JG121" s="10" t="str">
        <f t="shared" si="360"/>
        <v xml:space="preserve"> </v>
      </c>
      <c r="JH121" s="10" t="str">
        <f t="shared" si="360"/>
        <v xml:space="preserve"> </v>
      </c>
      <c r="JI121" s="10" t="str">
        <f t="shared" si="360"/>
        <v xml:space="preserve"> </v>
      </c>
    </row>
    <row r="122" spans="13:269">
      <c r="M122" s="10" t="str">
        <f t="shared" si="324"/>
        <v xml:space="preserve"> </v>
      </c>
      <c r="N122" s="10" t="str">
        <f t="shared" si="324"/>
        <v xml:space="preserve"> </v>
      </c>
      <c r="O122" s="10" t="str">
        <f t="shared" si="324"/>
        <v xml:space="preserve"> </v>
      </c>
      <c r="P122" s="10" t="str">
        <f t="shared" si="324"/>
        <v xml:space="preserve"> </v>
      </c>
      <c r="Q122" s="10" t="str">
        <f t="shared" si="324"/>
        <v xml:space="preserve"> </v>
      </c>
      <c r="R122" s="14"/>
      <c r="S122" s="14"/>
      <c r="T122" s="10" t="str">
        <f t="shared" si="325"/>
        <v xml:space="preserve"> </v>
      </c>
      <c r="U122" s="10" t="str">
        <f t="shared" si="325"/>
        <v xml:space="preserve"> </v>
      </c>
      <c r="V122" s="10" t="str">
        <f t="shared" si="325"/>
        <v xml:space="preserve"> </v>
      </c>
      <c r="W122" s="10" t="str">
        <f t="shared" si="325"/>
        <v xml:space="preserve"> </v>
      </c>
      <c r="X122" s="10" t="str">
        <f t="shared" si="325"/>
        <v xml:space="preserve"> </v>
      </c>
      <c r="Y122" s="14"/>
      <c r="Z122" s="14"/>
      <c r="AA122" s="10" t="str">
        <f t="shared" si="326"/>
        <v xml:space="preserve"> </v>
      </c>
      <c r="AB122" s="10" t="str">
        <f t="shared" si="326"/>
        <v xml:space="preserve"> </v>
      </c>
      <c r="AC122" s="10" t="str">
        <f t="shared" si="326"/>
        <v xml:space="preserve"> </v>
      </c>
      <c r="AD122" s="10" t="str">
        <f t="shared" si="326"/>
        <v xml:space="preserve"> </v>
      </c>
      <c r="AE122" s="10" t="str">
        <f t="shared" si="326"/>
        <v xml:space="preserve"> </v>
      </c>
      <c r="AF122" s="14"/>
      <c r="AG122" s="14"/>
      <c r="AH122" s="10" t="str">
        <f t="shared" si="327"/>
        <v xml:space="preserve"> </v>
      </c>
      <c r="AI122" s="10" t="str">
        <f t="shared" si="327"/>
        <v xml:space="preserve"> </v>
      </c>
      <c r="AJ122" s="10" t="str">
        <f t="shared" si="327"/>
        <v xml:space="preserve"> </v>
      </c>
      <c r="AK122" s="10" t="str">
        <f t="shared" si="327"/>
        <v xml:space="preserve"> </v>
      </c>
      <c r="AL122" s="10" t="str">
        <f t="shared" si="327"/>
        <v xml:space="preserve"> </v>
      </c>
      <c r="AM122" s="14"/>
      <c r="AN122" s="14"/>
      <c r="AO122" s="10" t="str">
        <f t="shared" si="328"/>
        <v xml:space="preserve"> </v>
      </c>
      <c r="AP122" s="10" t="str">
        <f t="shared" si="328"/>
        <v xml:space="preserve"> </v>
      </c>
      <c r="AQ122" s="10" t="str">
        <f t="shared" si="328"/>
        <v xml:space="preserve"> </v>
      </c>
      <c r="AR122" s="10" t="str">
        <f t="shared" si="328"/>
        <v xml:space="preserve"> </v>
      </c>
      <c r="AS122" s="10" t="str">
        <f t="shared" si="328"/>
        <v xml:space="preserve"> </v>
      </c>
      <c r="AT122" s="14"/>
      <c r="AU122" s="14"/>
      <c r="AV122" s="10" t="str">
        <f t="shared" si="329"/>
        <v xml:space="preserve"> </v>
      </c>
      <c r="AW122" s="10" t="str">
        <f t="shared" si="329"/>
        <v xml:space="preserve"> </v>
      </c>
      <c r="AX122" s="10" t="str">
        <f t="shared" si="329"/>
        <v xml:space="preserve"> </v>
      </c>
      <c r="AY122" s="10" t="str">
        <f t="shared" si="329"/>
        <v xml:space="preserve"> </v>
      </c>
      <c r="AZ122" s="10" t="str">
        <f t="shared" si="329"/>
        <v xml:space="preserve"> </v>
      </c>
      <c r="BA122" s="14"/>
      <c r="BB122" s="14"/>
      <c r="BC122" s="10" t="str">
        <f t="shared" si="330"/>
        <v xml:space="preserve"> </v>
      </c>
      <c r="BD122" s="10" t="str">
        <f t="shared" si="330"/>
        <v xml:space="preserve"> </v>
      </c>
      <c r="BE122" s="10" t="str">
        <f t="shared" si="330"/>
        <v xml:space="preserve"> </v>
      </c>
      <c r="BF122" s="10" t="str">
        <f t="shared" si="330"/>
        <v xml:space="preserve"> </v>
      </c>
      <c r="BG122" s="10" t="str">
        <f t="shared" si="330"/>
        <v xml:space="preserve"> </v>
      </c>
      <c r="BH122" s="14"/>
      <c r="BI122" s="14"/>
      <c r="BJ122" s="10" t="str">
        <f t="shared" si="331"/>
        <v xml:space="preserve"> </v>
      </c>
      <c r="BK122" s="10" t="str">
        <f t="shared" si="331"/>
        <v xml:space="preserve"> </v>
      </c>
      <c r="BL122" s="10" t="str">
        <f t="shared" si="331"/>
        <v xml:space="preserve"> </v>
      </c>
      <c r="BM122" s="10" t="str">
        <f t="shared" si="331"/>
        <v xml:space="preserve"> </v>
      </c>
      <c r="BN122" s="10" t="str">
        <f t="shared" si="331"/>
        <v xml:space="preserve"> </v>
      </c>
      <c r="BO122" s="14"/>
      <c r="BP122" s="14"/>
      <c r="BQ122" s="10" t="str">
        <f t="shared" si="332"/>
        <v xml:space="preserve"> </v>
      </c>
      <c r="BR122" s="10" t="str">
        <f t="shared" si="332"/>
        <v xml:space="preserve"> </v>
      </c>
      <c r="BS122" s="10" t="str">
        <f t="shared" si="332"/>
        <v xml:space="preserve"> </v>
      </c>
      <c r="BT122" s="10" t="str">
        <f t="shared" si="332"/>
        <v xml:space="preserve"> </v>
      </c>
      <c r="BU122" s="10" t="str">
        <f t="shared" si="332"/>
        <v xml:space="preserve"> </v>
      </c>
      <c r="BV122" s="14"/>
      <c r="BW122" s="14"/>
      <c r="BX122" s="10" t="str">
        <f t="shared" si="333"/>
        <v xml:space="preserve"> </v>
      </c>
      <c r="BY122" s="10" t="str">
        <f t="shared" si="333"/>
        <v xml:space="preserve"> </v>
      </c>
      <c r="BZ122" s="10" t="str">
        <f t="shared" si="333"/>
        <v xml:space="preserve"> </v>
      </c>
      <c r="CA122" s="10" t="str">
        <f t="shared" si="333"/>
        <v xml:space="preserve"> </v>
      </c>
      <c r="CB122" s="10" t="str">
        <f t="shared" si="333"/>
        <v xml:space="preserve"> </v>
      </c>
      <c r="CC122" s="14"/>
      <c r="CD122" s="14"/>
      <c r="CE122" s="10" t="str">
        <f t="shared" si="334"/>
        <v xml:space="preserve"> </v>
      </c>
      <c r="CF122" s="10" t="str">
        <f t="shared" si="334"/>
        <v xml:space="preserve"> </v>
      </c>
      <c r="CG122" s="10" t="str">
        <f t="shared" si="334"/>
        <v xml:space="preserve"> </v>
      </c>
      <c r="CH122" s="10" t="str">
        <f t="shared" si="334"/>
        <v xml:space="preserve"> </v>
      </c>
      <c r="CI122" s="10" t="str">
        <f t="shared" si="334"/>
        <v xml:space="preserve"> </v>
      </c>
      <c r="CJ122" s="14"/>
      <c r="CK122" s="14"/>
      <c r="CL122" s="10" t="str">
        <f t="shared" si="335"/>
        <v xml:space="preserve"> </v>
      </c>
      <c r="CM122" s="10" t="str">
        <f t="shared" si="335"/>
        <v xml:space="preserve"> </v>
      </c>
      <c r="CN122" s="10" t="str">
        <f t="shared" si="335"/>
        <v xml:space="preserve"> </v>
      </c>
      <c r="CO122" s="10" t="str">
        <f t="shared" si="335"/>
        <v xml:space="preserve"> </v>
      </c>
      <c r="CP122" s="10" t="str">
        <f t="shared" si="335"/>
        <v xml:space="preserve"> </v>
      </c>
      <c r="CQ122" s="14"/>
      <c r="CR122" s="14"/>
      <c r="CS122" s="10" t="str">
        <f t="shared" si="336"/>
        <v xml:space="preserve"> </v>
      </c>
      <c r="CT122" s="10" t="str">
        <f t="shared" si="336"/>
        <v xml:space="preserve"> </v>
      </c>
      <c r="CU122" s="10" t="str">
        <f t="shared" si="336"/>
        <v xml:space="preserve"> </v>
      </c>
      <c r="CV122" s="10" t="str">
        <f t="shared" si="336"/>
        <v xml:space="preserve"> </v>
      </c>
      <c r="CW122" s="10" t="str">
        <f t="shared" si="336"/>
        <v xml:space="preserve"> </v>
      </c>
      <c r="CZ122" s="10" t="str">
        <f t="shared" si="337"/>
        <v xml:space="preserve"> </v>
      </c>
      <c r="DA122" s="10" t="str">
        <f t="shared" si="337"/>
        <v xml:space="preserve"> </v>
      </c>
      <c r="DB122" s="10" t="str">
        <f t="shared" si="337"/>
        <v xml:space="preserve"> </v>
      </c>
      <c r="DC122" s="10" t="str">
        <f t="shared" si="337"/>
        <v xml:space="preserve"> </v>
      </c>
      <c r="DD122" s="10" t="str">
        <f t="shared" si="337"/>
        <v xml:space="preserve"> </v>
      </c>
      <c r="DG122" s="10" t="str">
        <f t="shared" si="338"/>
        <v xml:space="preserve"> </v>
      </c>
      <c r="DH122" s="10" t="str">
        <f t="shared" si="338"/>
        <v xml:space="preserve"> </v>
      </c>
      <c r="DI122" s="10" t="str">
        <f t="shared" si="338"/>
        <v xml:space="preserve"> </v>
      </c>
      <c r="DJ122" s="10" t="str">
        <f t="shared" si="338"/>
        <v xml:space="preserve"> </v>
      </c>
      <c r="DK122" s="10" t="str">
        <f t="shared" si="338"/>
        <v xml:space="preserve"> </v>
      </c>
      <c r="DN122" s="10" t="str">
        <f t="shared" si="339"/>
        <v xml:space="preserve"> </v>
      </c>
      <c r="DO122" s="10" t="str">
        <f t="shared" si="339"/>
        <v xml:space="preserve"> </v>
      </c>
      <c r="DP122" s="10" t="str">
        <f t="shared" si="339"/>
        <v xml:space="preserve"> </v>
      </c>
      <c r="DQ122" s="10" t="str">
        <f t="shared" si="339"/>
        <v xml:space="preserve"> </v>
      </c>
      <c r="DR122" s="10" t="str">
        <f t="shared" si="339"/>
        <v xml:space="preserve"> </v>
      </c>
      <c r="DU122" s="10" t="str">
        <f t="shared" si="340"/>
        <v xml:space="preserve"> </v>
      </c>
      <c r="DV122" s="10" t="str">
        <f t="shared" si="340"/>
        <v xml:space="preserve"> </v>
      </c>
      <c r="DW122" s="10" t="str">
        <f t="shared" si="340"/>
        <v xml:space="preserve"> </v>
      </c>
      <c r="DX122" s="10" t="str">
        <f t="shared" si="340"/>
        <v xml:space="preserve"> </v>
      </c>
      <c r="DY122" s="10" t="str">
        <f t="shared" si="340"/>
        <v xml:space="preserve"> </v>
      </c>
      <c r="EB122" s="10" t="str">
        <f t="shared" si="341"/>
        <v xml:space="preserve"> </v>
      </c>
      <c r="EC122" s="10" t="str">
        <f t="shared" si="341"/>
        <v xml:space="preserve"> </v>
      </c>
      <c r="ED122" s="10" t="str">
        <f t="shared" si="341"/>
        <v xml:space="preserve"> </v>
      </c>
      <c r="EE122" s="10" t="str">
        <f t="shared" si="341"/>
        <v xml:space="preserve"> </v>
      </c>
      <c r="EF122" s="10" t="str">
        <f t="shared" si="341"/>
        <v xml:space="preserve"> </v>
      </c>
      <c r="EI122" s="10" t="str">
        <f t="shared" si="342"/>
        <v xml:space="preserve"> </v>
      </c>
      <c r="EJ122" s="10" t="str">
        <f t="shared" si="342"/>
        <v xml:space="preserve"> </v>
      </c>
      <c r="EK122" s="10" t="str">
        <f t="shared" si="342"/>
        <v xml:space="preserve"> </v>
      </c>
      <c r="EL122" s="10" t="str">
        <f t="shared" si="342"/>
        <v xml:space="preserve"> </v>
      </c>
      <c r="EM122" s="10" t="str">
        <f t="shared" si="342"/>
        <v xml:space="preserve"> </v>
      </c>
      <c r="EP122" s="10" t="str">
        <f t="shared" si="343"/>
        <v xml:space="preserve"> </v>
      </c>
      <c r="EQ122" s="10" t="str">
        <f t="shared" si="343"/>
        <v xml:space="preserve"> </v>
      </c>
      <c r="ER122" s="10" t="str">
        <f t="shared" si="343"/>
        <v xml:space="preserve"> </v>
      </c>
      <c r="ES122" s="10" t="str">
        <f t="shared" si="343"/>
        <v xml:space="preserve"> </v>
      </c>
      <c r="ET122" s="10" t="str">
        <f t="shared" si="343"/>
        <v xml:space="preserve"> </v>
      </c>
      <c r="EW122" s="10" t="str">
        <f t="shared" si="344"/>
        <v xml:space="preserve"> </v>
      </c>
      <c r="EX122" s="10" t="str">
        <f t="shared" si="344"/>
        <v xml:space="preserve"> </v>
      </c>
      <c r="EY122" s="10" t="str">
        <f t="shared" si="344"/>
        <v xml:space="preserve"> </v>
      </c>
      <c r="EZ122" s="10" t="str">
        <f t="shared" si="344"/>
        <v xml:space="preserve"> </v>
      </c>
      <c r="FA122" s="10" t="str">
        <f t="shared" si="344"/>
        <v xml:space="preserve"> </v>
      </c>
      <c r="FD122" s="10" t="str">
        <f t="shared" si="345"/>
        <v xml:space="preserve"> </v>
      </c>
      <c r="FE122" s="10" t="str">
        <f t="shared" si="345"/>
        <v xml:space="preserve"> </v>
      </c>
      <c r="FF122" s="10" t="str">
        <f t="shared" si="345"/>
        <v xml:space="preserve"> </v>
      </c>
      <c r="FG122" s="10" t="str">
        <f t="shared" si="345"/>
        <v xml:space="preserve"> </v>
      </c>
      <c r="FH122" s="10" t="str">
        <f t="shared" si="345"/>
        <v xml:space="preserve"> </v>
      </c>
      <c r="FK122" s="10" t="str">
        <f t="shared" si="346"/>
        <v xml:space="preserve"> </v>
      </c>
      <c r="FL122" s="10" t="str">
        <f t="shared" si="346"/>
        <v xml:space="preserve"> </v>
      </c>
      <c r="FM122" s="10" t="str">
        <f t="shared" si="346"/>
        <v xml:space="preserve"> </v>
      </c>
      <c r="FN122" s="10" t="str">
        <f t="shared" si="346"/>
        <v xml:space="preserve"> </v>
      </c>
      <c r="FO122" s="10" t="str">
        <f t="shared" si="346"/>
        <v xml:space="preserve"> </v>
      </c>
      <c r="FR122" s="10" t="str">
        <f t="shared" si="347"/>
        <v xml:space="preserve"> </v>
      </c>
      <c r="FS122" s="10" t="str">
        <f t="shared" si="347"/>
        <v xml:space="preserve"> </v>
      </c>
      <c r="FT122" s="10" t="str">
        <f t="shared" si="347"/>
        <v xml:space="preserve"> </v>
      </c>
      <c r="FU122" s="10" t="str">
        <f t="shared" si="347"/>
        <v xml:space="preserve"> </v>
      </c>
      <c r="FV122" s="10" t="str">
        <f t="shared" si="347"/>
        <v xml:space="preserve"> </v>
      </c>
      <c r="FY122" s="10" t="str">
        <f t="shared" si="348"/>
        <v xml:space="preserve"> </v>
      </c>
      <c r="FZ122" s="10" t="str">
        <f t="shared" si="348"/>
        <v xml:space="preserve"> </v>
      </c>
      <c r="GA122" s="10" t="str">
        <f t="shared" si="348"/>
        <v xml:space="preserve"> </v>
      </c>
      <c r="GB122" s="10" t="str">
        <f t="shared" si="348"/>
        <v xml:space="preserve"> </v>
      </c>
      <c r="GC122" s="10" t="str">
        <f t="shared" si="348"/>
        <v xml:space="preserve"> </v>
      </c>
      <c r="GF122" s="10" t="str">
        <f t="shared" si="349"/>
        <v xml:space="preserve"> </v>
      </c>
      <c r="GG122" s="10" t="str">
        <f t="shared" si="349"/>
        <v xml:space="preserve"> </v>
      </c>
      <c r="GH122" s="10" t="str">
        <f t="shared" si="349"/>
        <v xml:space="preserve"> </v>
      </c>
      <c r="GI122" s="10" t="str">
        <f t="shared" si="349"/>
        <v xml:space="preserve"> </v>
      </c>
      <c r="GJ122" s="10" t="str">
        <f t="shared" si="349"/>
        <v xml:space="preserve"> </v>
      </c>
      <c r="GM122" s="10" t="str">
        <f t="shared" si="350"/>
        <v xml:space="preserve"> </v>
      </c>
      <c r="GN122" s="10" t="str">
        <f t="shared" si="350"/>
        <v xml:space="preserve"> </v>
      </c>
      <c r="GO122" s="10" t="str">
        <f t="shared" si="350"/>
        <v xml:space="preserve"> </v>
      </c>
      <c r="GP122" s="10" t="str">
        <f t="shared" si="350"/>
        <v xml:space="preserve"> </v>
      </c>
      <c r="GQ122" s="10" t="str">
        <f t="shared" si="350"/>
        <v xml:space="preserve"> </v>
      </c>
      <c r="GT122" s="10" t="str">
        <f t="shared" si="351"/>
        <v xml:space="preserve"> </v>
      </c>
      <c r="GU122" s="10" t="str">
        <f t="shared" si="351"/>
        <v xml:space="preserve"> </v>
      </c>
      <c r="GV122" s="10" t="str">
        <f t="shared" si="351"/>
        <v xml:space="preserve"> </v>
      </c>
      <c r="GW122" s="10" t="str">
        <f t="shared" si="351"/>
        <v xml:space="preserve"> </v>
      </c>
      <c r="GX122" s="10" t="str">
        <f t="shared" si="351"/>
        <v xml:space="preserve"> </v>
      </c>
      <c r="HA122" s="10" t="str">
        <f t="shared" si="352"/>
        <v xml:space="preserve"> </v>
      </c>
      <c r="HB122" s="10" t="str">
        <f t="shared" si="352"/>
        <v xml:space="preserve"> </v>
      </c>
      <c r="HC122" s="10" t="str">
        <f t="shared" si="352"/>
        <v xml:space="preserve"> </v>
      </c>
      <c r="HD122" s="10" t="str">
        <f t="shared" si="352"/>
        <v xml:space="preserve"> </v>
      </c>
      <c r="HE122" s="10" t="str">
        <f t="shared" si="352"/>
        <v xml:space="preserve"> </v>
      </c>
      <c r="HH122" s="10" t="str">
        <f t="shared" si="353"/>
        <v xml:space="preserve"> </v>
      </c>
      <c r="HI122" s="10" t="str">
        <f t="shared" si="353"/>
        <v xml:space="preserve"> </v>
      </c>
      <c r="HJ122" s="10" t="str">
        <f t="shared" si="353"/>
        <v xml:space="preserve"> </v>
      </c>
      <c r="HK122" s="10" t="str">
        <f t="shared" si="353"/>
        <v xml:space="preserve"> </v>
      </c>
      <c r="HL122" s="10" t="str">
        <f t="shared" si="353"/>
        <v xml:space="preserve"> </v>
      </c>
      <c r="HO122" s="10" t="str">
        <f t="shared" si="354"/>
        <v xml:space="preserve"> </v>
      </c>
      <c r="HP122" s="10" t="str">
        <f t="shared" si="354"/>
        <v xml:space="preserve"> </v>
      </c>
      <c r="HQ122" s="10" t="str">
        <f t="shared" si="354"/>
        <v xml:space="preserve"> </v>
      </c>
      <c r="HR122" s="10" t="str">
        <f t="shared" si="354"/>
        <v xml:space="preserve"> </v>
      </c>
      <c r="HS122" s="10" t="str">
        <f t="shared" si="354"/>
        <v xml:space="preserve"> </v>
      </c>
      <c r="HV122" s="10" t="str">
        <f t="shared" si="355"/>
        <v xml:space="preserve"> </v>
      </c>
      <c r="HW122" s="10" t="str">
        <f t="shared" si="355"/>
        <v xml:space="preserve"> </v>
      </c>
      <c r="HX122" s="10" t="str">
        <f t="shared" si="355"/>
        <v xml:space="preserve"> </v>
      </c>
      <c r="HY122" s="10" t="str">
        <f t="shared" si="355"/>
        <v xml:space="preserve"> </v>
      </c>
      <c r="HZ122" s="10" t="str">
        <f t="shared" si="355"/>
        <v xml:space="preserve"> </v>
      </c>
      <c r="IC122" s="10" t="str">
        <f t="shared" si="356"/>
        <v xml:space="preserve"> </v>
      </c>
      <c r="ID122" s="10" t="str">
        <f t="shared" si="356"/>
        <v xml:space="preserve"> </v>
      </c>
      <c r="IE122" s="10" t="str">
        <f t="shared" si="356"/>
        <v xml:space="preserve"> </v>
      </c>
      <c r="IF122" s="10" t="str">
        <f t="shared" si="356"/>
        <v xml:space="preserve"> </v>
      </c>
      <c r="IG122" s="10" t="str">
        <f t="shared" si="356"/>
        <v xml:space="preserve"> </v>
      </c>
      <c r="IJ122" s="10" t="str">
        <f t="shared" si="357"/>
        <v xml:space="preserve"> </v>
      </c>
      <c r="IK122" s="10" t="str">
        <f t="shared" si="357"/>
        <v xml:space="preserve"> </v>
      </c>
      <c r="IL122" s="10" t="str">
        <f t="shared" si="357"/>
        <v xml:space="preserve"> </v>
      </c>
      <c r="IM122" s="10" t="str">
        <f t="shared" si="357"/>
        <v xml:space="preserve"> </v>
      </c>
      <c r="IN122" s="10" t="str">
        <f t="shared" si="357"/>
        <v xml:space="preserve"> </v>
      </c>
      <c r="IQ122" s="10" t="str">
        <f t="shared" si="358"/>
        <v xml:space="preserve"> </v>
      </c>
      <c r="IR122" s="10" t="str">
        <f t="shared" si="358"/>
        <v xml:space="preserve"> </v>
      </c>
      <c r="IS122" s="10" t="str">
        <f t="shared" si="358"/>
        <v xml:space="preserve"> </v>
      </c>
      <c r="IT122" s="10" t="str">
        <f t="shared" si="358"/>
        <v xml:space="preserve"> </v>
      </c>
      <c r="IU122" s="10" t="str">
        <f t="shared" si="358"/>
        <v xml:space="preserve"> </v>
      </c>
      <c r="IX122" s="10" t="str">
        <f t="shared" si="359"/>
        <v xml:space="preserve"> </v>
      </c>
      <c r="IY122" s="10" t="str">
        <f t="shared" si="359"/>
        <v xml:space="preserve"> </v>
      </c>
      <c r="IZ122" s="10" t="str">
        <f t="shared" si="359"/>
        <v xml:space="preserve"> </v>
      </c>
      <c r="JA122" s="10" t="str">
        <f t="shared" si="359"/>
        <v xml:space="preserve"> </v>
      </c>
      <c r="JB122" s="10" t="str">
        <f t="shared" si="359"/>
        <v xml:space="preserve"> </v>
      </c>
      <c r="JE122" s="10" t="str">
        <f t="shared" si="360"/>
        <v xml:space="preserve"> </v>
      </c>
      <c r="JF122" s="10" t="str">
        <f t="shared" si="360"/>
        <v xml:space="preserve"> </v>
      </c>
      <c r="JG122" s="10" t="str">
        <f t="shared" si="360"/>
        <v xml:space="preserve"> </v>
      </c>
      <c r="JH122" s="10" t="str">
        <f t="shared" si="360"/>
        <v xml:space="preserve"> </v>
      </c>
      <c r="JI122" s="10" t="str">
        <f t="shared" si="360"/>
        <v xml:space="preserve"> </v>
      </c>
    </row>
    <row r="123" spans="13:269">
      <c r="M123" s="10" t="str">
        <f t="shared" si="324"/>
        <v xml:space="preserve"> </v>
      </c>
      <c r="N123" s="10" t="str">
        <f t="shared" si="324"/>
        <v xml:space="preserve"> </v>
      </c>
      <c r="O123" s="10" t="str">
        <f t="shared" si="324"/>
        <v xml:space="preserve"> </v>
      </c>
      <c r="P123" s="10" t="str">
        <f t="shared" si="324"/>
        <v xml:space="preserve"> </v>
      </c>
      <c r="Q123" s="10" t="str">
        <f t="shared" si="324"/>
        <v xml:space="preserve"> </v>
      </c>
      <c r="R123" s="14"/>
      <c r="S123" s="14"/>
      <c r="T123" s="10" t="str">
        <f t="shared" si="325"/>
        <v xml:space="preserve"> </v>
      </c>
      <c r="U123" s="10" t="str">
        <f t="shared" si="325"/>
        <v xml:space="preserve"> </v>
      </c>
      <c r="V123" s="10" t="str">
        <f t="shared" si="325"/>
        <v xml:space="preserve"> </v>
      </c>
      <c r="W123" s="10" t="str">
        <f t="shared" si="325"/>
        <v xml:space="preserve"> </v>
      </c>
      <c r="X123" s="10" t="str">
        <f t="shared" si="325"/>
        <v xml:space="preserve"> </v>
      </c>
      <c r="Y123" s="14"/>
      <c r="Z123" s="14"/>
      <c r="AA123" s="10" t="str">
        <f t="shared" si="326"/>
        <v xml:space="preserve"> </v>
      </c>
      <c r="AB123" s="10" t="str">
        <f t="shared" si="326"/>
        <v xml:space="preserve"> </v>
      </c>
      <c r="AC123" s="10" t="str">
        <f t="shared" si="326"/>
        <v xml:space="preserve"> </v>
      </c>
      <c r="AD123" s="10" t="str">
        <f t="shared" si="326"/>
        <v xml:space="preserve"> </v>
      </c>
      <c r="AE123" s="10" t="str">
        <f t="shared" si="326"/>
        <v xml:space="preserve"> </v>
      </c>
      <c r="AF123" s="14"/>
      <c r="AG123" s="14"/>
      <c r="AH123" s="10" t="str">
        <f t="shared" si="327"/>
        <v xml:space="preserve"> </v>
      </c>
      <c r="AI123" s="10" t="str">
        <f t="shared" si="327"/>
        <v xml:space="preserve"> </v>
      </c>
      <c r="AJ123" s="10" t="str">
        <f t="shared" si="327"/>
        <v xml:space="preserve"> </v>
      </c>
      <c r="AK123" s="10" t="str">
        <f t="shared" si="327"/>
        <v xml:space="preserve"> </v>
      </c>
      <c r="AL123" s="10" t="str">
        <f t="shared" si="327"/>
        <v xml:space="preserve"> </v>
      </c>
      <c r="AM123" s="14"/>
      <c r="AN123" s="14"/>
      <c r="AO123" s="10" t="str">
        <f t="shared" si="328"/>
        <v xml:space="preserve"> </v>
      </c>
      <c r="AP123" s="10" t="str">
        <f t="shared" si="328"/>
        <v xml:space="preserve"> </v>
      </c>
      <c r="AQ123" s="10" t="str">
        <f t="shared" si="328"/>
        <v xml:space="preserve"> </v>
      </c>
      <c r="AR123" s="10" t="str">
        <f t="shared" si="328"/>
        <v xml:space="preserve"> </v>
      </c>
      <c r="AS123" s="10" t="str">
        <f t="shared" si="328"/>
        <v xml:space="preserve"> </v>
      </c>
      <c r="AT123" s="14"/>
      <c r="AU123" s="14"/>
      <c r="AV123" s="10" t="str">
        <f t="shared" si="329"/>
        <v xml:space="preserve"> </v>
      </c>
      <c r="AW123" s="10" t="str">
        <f t="shared" si="329"/>
        <v xml:space="preserve"> </v>
      </c>
      <c r="AX123" s="10" t="str">
        <f t="shared" si="329"/>
        <v xml:space="preserve"> </v>
      </c>
      <c r="AY123" s="10" t="str">
        <f t="shared" si="329"/>
        <v xml:space="preserve"> </v>
      </c>
      <c r="AZ123" s="10" t="str">
        <f t="shared" si="329"/>
        <v xml:space="preserve"> </v>
      </c>
      <c r="BA123" s="14"/>
      <c r="BB123" s="14"/>
      <c r="BC123" s="10" t="str">
        <f t="shared" si="330"/>
        <v xml:space="preserve"> </v>
      </c>
      <c r="BD123" s="10" t="str">
        <f t="shared" si="330"/>
        <v xml:space="preserve"> </v>
      </c>
      <c r="BE123" s="10" t="str">
        <f t="shared" si="330"/>
        <v xml:space="preserve"> </v>
      </c>
      <c r="BF123" s="10" t="str">
        <f t="shared" si="330"/>
        <v xml:space="preserve"> </v>
      </c>
      <c r="BG123" s="10" t="str">
        <f t="shared" si="330"/>
        <v xml:space="preserve"> </v>
      </c>
      <c r="BH123" s="14"/>
      <c r="BI123" s="14"/>
      <c r="BJ123" s="10" t="str">
        <f t="shared" si="331"/>
        <v xml:space="preserve"> </v>
      </c>
      <c r="BK123" s="10" t="str">
        <f t="shared" si="331"/>
        <v xml:space="preserve"> </v>
      </c>
      <c r="BL123" s="10" t="str">
        <f t="shared" si="331"/>
        <v xml:space="preserve"> </v>
      </c>
      <c r="BM123" s="10" t="str">
        <f t="shared" si="331"/>
        <v xml:space="preserve"> </v>
      </c>
      <c r="BN123" s="10" t="str">
        <f t="shared" si="331"/>
        <v xml:space="preserve"> </v>
      </c>
      <c r="BO123" s="14"/>
      <c r="BP123" s="14"/>
      <c r="BQ123" s="10" t="str">
        <f t="shared" si="332"/>
        <v xml:space="preserve"> </v>
      </c>
      <c r="BR123" s="10" t="str">
        <f t="shared" si="332"/>
        <v xml:space="preserve"> </v>
      </c>
      <c r="BS123" s="10" t="str">
        <f t="shared" si="332"/>
        <v xml:space="preserve"> </v>
      </c>
      <c r="BT123" s="10" t="str">
        <f t="shared" si="332"/>
        <v xml:space="preserve"> </v>
      </c>
      <c r="BU123" s="10" t="str">
        <f t="shared" si="332"/>
        <v xml:space="preserve"> </v>
      </c>
      <c r="BV123" s="14"/>
      <c r="BW123" s="14"/>
      <c r="BX123" s="10" t="str">
        <f t="shared" si="333"/>
        <v xml:space="preserve"> </v>
      </c>
      <c r="BY123" s="10" t="str">
        <f t="shared" si="333"/>
        <v xml:space="preserve"> </v>
      </c>
      <c r="BZ123" s="10" t="str">
        <f t="shared" si="333"/>
        <v xml:space="preserve"> </v>
      </c>
      <c r="CA123" s="10" t="str">
        <f t="shared" si="333"/>
        <v xml:space="preserve"> </v>
      </c>
      <c r="CB123" s="10" t="str">
        <f t="shared" si="333"/>
        <v xml:space="preserve"> </v>
      </c>
      <c r="CC123" s="14"/>
      <c r="CD123" s="14"/>
      <c r="CE123" s="10" t="str">
        <f t="shared" si="334"/>
        <v xml:space="preserve"> </v>
      </c>
      <c r="CF123" s="10" t="str">
        <f t="shared" si="334"/>
        <v xml:space="preserve"> </v>
      </c>
      <c r="CG123" s="10" t="str">
        <f t="shared" si="334"/>
        <v xml:space="preserve"> </v>
      </c>
      <c r="CH123" s="10" t="str">
        <f t="shared" si="334"/>
        <v xml:space="preserve"> </v>
      </c>
      <c r="CI123" s="10" t="str">
        <f t="shared" si="334"/>
        <v xml:space="preserve"> </v>
      </c>
      <c r="CJ123" s="14"/>
      <c r="CK123" s="14"/>
      <c r="CL123" s="10" t="str">
        <f t="shared" si="335"/>
        <v xml:space="preserve"> </v>
      </c>
      <c r="CM123" s="10" t="str">
        <f t="shared" si="335"/>
        <v xml:space="preserve"> </v>
      </c>
      <c r="CN123" s="10" t="str">
        <f t="shared" si="335"/>
        <v xml:space="preserve"> </v>
      </c>
      <c r="CO123" s="10" t="str">
        <f t="shared" si="335"/>
        <v xml:space="preserve"> </v>
      </c>
      <c r="CP123" s="10" t="str">
        <f t="shared" si="335"/>
        <v xml:space="preserve"> </v>
      </c>
      <c r="CQ123" s="14"/>
      <c r="CR123" s="14"/>
      <c r="CS123" s="10" t="str">
        <f t="shared" si="336"/>
        <v xml:space="preserve"> </v>
      </c>
      <c r="CT123" s="10" t="str">
        <f t="shared" si="336"/>
        <v xml:space="preserve"> </v>
      </c>
      <c r="CU123" s="10" t="str">
        <f t="shared" si="336"/>
        <v xml:space="preserve"> </v>
      </c>
      <c r="CV123" s="10" t="str">
        <f t="shared" si="336"/>
        <v xml:space="preserve"> </v>
      </c>
      <c r="CW123" s="10" t="str">
        <f t="shared" si="336"/>
        <v xml:space="preserve"> </v>
      </c>
      <c r="CZ123" s="10" t="str">
        <f t="shared" si="337"/>
        <v xml:space="preserve"> </v>
      </c>
      <c r="DA123" s="10" t="str">
        <f t="shared" si="337"/>
        <v xml:space="preserve"> </v>
      </c>
      <c r="DB123" s="10" t="str">
        <f t="shared" si="337"/>
        <v xml:space="preserve"> </v>
      </c>
      <c r="DC123" s="10" t="str">
        <f t="shared" si="337"/>
        <v xml:space="preserve"> </v>
      </c>
      <c r="DD123" s="10" t="str">
        <f t="shared" si="337"/>
        <v xml:space="preserve"> </v>
      </c>
      <c r="DG123" s="10" t="str">
        <f t="shared" si="338"/>
        <v xml:space="preserve"> </v>
      </c>
      <c r="DH123" s="10" t="str">
        <f t="shared" si="338"/>
        <v xml:space="preserve"> </v>
      </c>
      <c r="DI123" s="10" t="str">
        <f t="shared" si="338"/>
        <v xml:space="preserve"> </v>
      </c>
      <c r="DJ123" s="10" t="str">
        <f t="shared" si="338"/>
        <v xml:space="preserve"> </v>
      </c>
      <c r="DK123" s="10" t="str">
        <f t="shared" si="338"/>
        <v xml:space="preserve"> </v>
      </c>
      <c r="DN123" s="10" t="str">
        <f t="shared" si="339"/>
        <v xml:space="preserve"> </v>
      </c>
      <c r="DO123" s="10" t="str">
        <f t="shared" si="339"/>
        <v xml:space="preserve"> </v>
      </c>
      <c r="DP123" s="10" t="str">
        <f t="shared" si="339"/>
        <v xml:space="preserve"> </v>
      </c>
      <c r="DQ123" s="10" t="str">
        <f t="shared" si="339"/>
        <v xml:space="preserve"> </v>
      </c>
      <c r="DR123" s="10" t="str">
        <f t="shared" si="339"/>
        <v xml:space="preserve"> </v>
      </c>
      <c r="DU123" s="10" t="str">
        <f t="shared" si="340"/>
        <v xml:space="preserve"> </v>
      </c>
      <c r="DV123" s="10" t="str">
        <f t="shared" si="340"/>
        <v xml:space="preserve"> </v>
      </c>
      <c r="DW123" s="10" t="str">
        <f t="shared" si="340"/>
        <v xml:space="preserve"> </v>
      </c>
      <c r="DX123" s="10" t="str">
        <f t="shared" si="340"/>
        <v xml:space="preserve"> </v>
      </c>
      <c r="DY123" s="10" t="str">
        <f t="shared" si="340"/>
        <v xml:space="preserve"> </v>
      </c>
      <c r="EB123" s="10" t="str">
        <f t="shared" si="341"/>
        <v xml:space="preserve"> </v>
      </c>
      <c r="EC123" s="10" t="str">
        <f t="shared" si="341"/>
        <v xml:space="preserve"> </v>
      </c>
      <c r="ED123" s="10" t="str">
        <f t="shared" si="341"/>
        <v xml:space="preserve"> </v>
      </c>
      <c r="EE123" s="10" t="str">
        <f t="shared" si="341"/>
        <v xml:space="preserve"> </v>
      </c>
      <c r="EF123" s="10" t="str">
        <f t="shared" si="341"/>
        <v xml:space="preserve"> </v>
      </c>
      <c r="EI123" s="10" t="str">
        <f t="shared" si="342"/>
        <v xml:space="preserve"> </v>
      </c>
      <c r="EJ123" s="10" t="str">
        <f t="shared" si="342"/>
        <v xml:space="preserve"> </v>
      </c>
      <c r="EK123" s="10" t="str">
        <f t="shared" si="342"/>
        <v xml:space="preserve"> </v>
      </c>
      <c r="EL123" s="10" t="str">
        <f t="shared" si="342"/>
        <v xml:space="preserve"> </v>
      </c>
      <c r="EM123" s="10" t="str">
        <f t="shared" si="342"/>
        <v xml:space="preserve"> </v>
      </c>
      <c r="EP123" s="10" t="str">
        <f t="shared" si="343"/>
        <v xml:space="preserve"> </v>
      </c>
      <c r="EQ123" s="10" t="str">
        <f t="shared" si="343"/>
        <v xml:space="preserve"> </v>
      </c>
      <c r="ER123" s="10" t="str">
        <f t="shared" si="343"/>
        <v xml:space="preserve"> </v>
      </c>
      <c r="ES123" s="10" t="str">
        <f t="shared" si="343"/>
        <v xml:space="preserve"> </v>
      </c>
      <c r="ET123" s="10" t="str">
        <f t="shared" si="343"/>
        <v xml:space="preserve"> </v>
      </c>
      <c r="EW123" s="10" t="str">
        <f t="shared" si="344"/>
        <v xml:space="preserve"> </v>
      </c>
      <c r="EX123" s="10" t="str">
        <f t="shared" si="344"/>
        <v xml:space="preserve"> </v>
      </c>
      <c r="EY123" s="10" t="str">
        <f t="shared" si="344"/>
        <v xml:space="preserve"> </v>
      </c>
      <c r="EZ123" s="10" t="str">
        <f t="shared" si="344"/>
        <v xml:space="preserve"> </v>
      </c>
      <c r="FA123" s="10" t="str">
        <f t="shared" si="344"/>
        <v xml:space="preserve"> </v>
      </c>
      <c r="FD123" s="10" t="str">
        <f t="shared" si="345"/>
        <v xml:space="preserve"> </v>
      </c>
      <c r="FE123" s="10" t="str">
        <f t="shared" si="345"/>
        <v xml:space="preserve"> </v>
      </c>
      <c r="FF123" s="10" t="str">
        <f t="shared" si="345"/>
        <v xml:space="preserve"> </v>
      </c>
      <c r="FG123" s="10" t="str">
        <f t="shared" si="345"/>
        <v xml:space="preserve"> </v>
      </c>
      <c r="FH123" s="10" t="str">
        <f t="shared" si="345"/>
        <v xml:space="preserve"> </v>
      </c>
      <c r="FK123" s="10" t="str">
        <f t="shared" si="346"/>
        <v xml:space="preserve"> </v>
      </c>
      <c r="FL123" s="10" t="str">
        <f t="shared" si="346"/>
        <v xml:space="preserve"> </v>
      </c>
      <c r="FM123" s="10" t="str">
        <f t="shared" si="346"/>
        <v xml:space="preserve"> </v>
      </c>
      <c r="FN123" s="10" t="str">
        <f t="shared" si="346"/>
        <v xml:space="preserve"> </v>
      </c>
      <c r="FO123" s="10" t="str">
        <f t="shared" si="346"/>
        <v xml:space="preserve"> </v>
      </c>
      <c r="FR123" s="10" t="str">
        <f t="shared" si="347"/>
        <v xml:space="preserve"> </v>
      </c>
      <c r="FS123" s="10" t="str">
        <f t="shared" si="347"/>
        <v xml:space="preserve"> </v>
      </c>
      <c r="FT123" s="10" t="str">
        <f t="shared" si="347"/>
        <v xml:space="preserve"> </v>
      </c>
      <c r="FU123" s="10" t="str">
        <f t="shared" si="347"/>
        <v xml:space="preserve"> </v>
      </c>
      <c r="FV123" s="10" t="str">
        <f t="shared" si="347"/>
        <v xml:space="preserve"> </v>
      </c>
      <c r="FY123" s="10" t="str">
        <f t="shared" si="348"/>
        <v xml:space="preserve"> </v>
      </c>
      <c r="FZ123" s="10" t="str">
        <f t="shared" si="348"/>
        <v xml:space="preserve"> </v>
      </c>
      <c r="GA123" s="10" t="str">
        <f t="shared" si="348"/>
        <v xml:space="preserve"> </v>
      </c>
      <c r="GB123" s="10" t="str">
        <f t="shared" si="348"/>
        <v xml:space="preserve"> </v>
      </c>
      <c r="GC123" s="10" t="str">
        <f t="shared" si="348"/>
        <v xml:space="preserve"> </v>
      </c>
      <c r="GF123" s="10" t="str">
        <f t="shared" si="349"/>
        <v xml:space="preserve"> </v>
      </c>
      <c r="GG123" s="10" t="str">
        <f t="shared" si="349"/>
        <v xml:space="preserve"> </v>
      </c>
      <c r="GH123" s="10" t="str">
        <f t="shared" si="349"/>
        <v xml:space="preserve"> </v>
      </c>
      <c r="GI123" s="10" t="str">
        <f t="shared" si="349"/>
        <v xml:space="preserve"> </v>
      </c>
      <c r="GJ123" s="10" t="str">
        <f t="shared" si="349"/>
        <v xml:space="preserve"> </v>
      </c>
      <c r="GM123" s="10" t="str">
        <f t="shared" si="350"/>
        <v xml:space="preserve"> </v>
      </c>
      <c r="GN123" s="10" t="str">
        <f t="shared" si="350"/>
        <v xml:space="preserve"> </v>
      </c>
      <c r="GO123" s="10" t="str">
        <f t="shared" si="350"/>
        <v xml:space="preserve"> </v>
      </c>
      <c r="GP123" s="10" t="str">
        <f t="shared" si="350"/>
        <v xml:space="preserve"> </v>
      </c>
      <c r="GQ123" s="10" t="str">
        <f t="shared" si="350"/>
        <v xml:space="preserve"> </v>
      </c>
      <c r="GT123" s="10" t="str">
        <f t="shared" si="351"/>
        <v xml:space="preserve"> </v>
      </c>
      <c r="GU123" s="10" t="str">
        <f t="shared" si="351"/>
        <v xml:space="preserve"> </v>
      </c>
      <c r="GV123" s="10" t="str">
        <f t="shared" si="351"/>
        <v xml:space="preserve"> </v>
      </c>
      <c r="GW123" s="10" t="str">
        <f t="shared" si="351"/>
        <v xml:space="preserve"> </v>
      </c>
      <c r="GX123" s="10" t="str">
        <f t="shared" si="351"/>
        <v xml:space="preserve"> </v>
      </c>
      <c r="HA123" s="10" t="str">
        <f t="shared" si="352"/>
        <v xml:space="preserve"> </v>
      </c>
      <c r="HB123" s="10" t="str">
        <f t="shared" si="352"/>
        <v xml:space="preserve"> </v>
      </c>
      <c r="HC123" s="10" t="str">
        <f t="shared" si="352"/>
        <v xml:space="preserve"> </v>
      </c>
      <c r="HD123" s="10" t="str">
        <f t="shared" si="352"/>
        <v xml:space="preserve"> </v>
      </c>
      <c r="HE123" s="10" t="str">
        <f t="shared" si="352"/>
        <v xml:space="preserve"> </v>
      </c>
      <c r="HH123" s="10" t="str">
        <f t="shared" si="353"/>
        <v xml:space="preserve"> </v>
      </c>
      <c r="HI123" s="10" t="str">
        <f t="shared" si="353"/>
        <v xml:space="preserve"> </v>
      </c>
      <c r="HJ123" s="10" t="str">
        <f t="shared" si="353"/>
        <v xml:space="preserve"> </v>
      </c>
      <c r="HK123" s="10" t="str">
        <f t="shared" si="353"/>
        <v xml:space="preserve"> </v>
      </c>
      <c r="HL123" s="10" t="str">
        <f t="shared" si="353"/>
        <v xml:space="preserve"> </v>
      </c>
      <c r="HO123" s="10" t="str">
        <f t="shared" si="354"/>
        <v xml:space="preserve"> </v>
      </c>
      <c r="HP123" s="10" t="str">
        <f t="shared" si="354"/>
        <v xml:space="preserve"> </v>
      </c>
      <c r="HQ123" s="10" t="str">
        <f t="shared" si="354"/>
        <v xml:space="preserve"> </v>
      </c>
      <c r="HR123" s="10" t="str">
        <f t="shared" si="354"/>
        <v xml:space="preserve"> </v>
      </c>
      <c r="HS123" s="10" t="str">
        <f t="shared" si="354"/>
        <v xml:space="preserve"> </v>
      </c>
      <c r="HV123" s="10" t="str">
        <f t="shared" si="355"/>
        <v xml:space="preserve"> </v>
      </c>
      <c r="HW123" s="10" t="str">
        <f t="shared" si="355"/>
        <v xml:space="preserve"> </v>
      </c>
      <c r="HX123" s="10" t="str">
        <f t="shared" si="355"/>
        <v xml:space="preserve"> </v>
      </c>
      <c r="HY123" s="10" t="str">
        <f t="shared" si="355"/>
        <v xml:space="preserve"> </v>
      </c>
      <c r="HZ123" s="10" t="str">
        <f t="shared" si="355"/>
        <v xml:space="preserve"> </v>
      </c>
      <c r="IC123" s="10" t="str">
        <f t="shared" si="356"/>
        <v xml:space="preserve"> </v>
      </c>
      <c r="ID123" s="10" t="str">
        <f t="shared" si="356"/>
        <v xml:space="preserve"> </v>
      </c>
      <c r="IE123" s="10" t="str">
        <f t="shared" si="356"/>
        <v xml:space="preserve"> </v>
      </c>
      <c r="IF123" s="10" t="str">
        <f t="shared" si="356"/>
        <v xml:space="preserve"> </v>
      </c>
      <c r="IG123" s="10" t="str">
        <f t="shared" si="356"/>
        <v xml:space="preserve"> </v>
      </c>
      <c r="IJ123" s="10" t="str">
        <f t="shared" si="357"/>
        <v xml:space="preserve"> </v>
      </c>
      <c r="IK123" s="10" t="str">
        <f t="shared" si="357"/>
        <v xml:space="preserve"> </v>
      </c>
      <c r="IL123" s="10" t="str">
        <f t="shared" si="357"/>
        <v xml:space="preserve"> </v>
      </c>
      <c r="IM123" s="10" t="str">
        <f t="shared" si="357"/>
        <v xml:space="preserve"> </v>
      </c>
      <c r="IN123" s="10" t="str">
        <f t="shared" si="357"/>
        <v xml:space="preserve"> </v>
      </c>
      <c r="IQ123" s="10" t="str">
        <f t="shared" si="358"/>
        <v xml:space="preserve"> </v>
      </c>
      <c r="IR123" s="10" t="str">
        <f t="shared" si="358"/>
        <v xml:space="preserve"> </v>
      </c>
      <c r="IS123" s="10" t="str">
        <f t="shared" si="358"/>
        <v xml:space="preserve"> </v>
      </c>
      <c r="IT123" s="10" t="str">
        <f t="shared" si="358"/>
        <v xml:space="preserve"> </v>
      </c>
      <c r="IU123" s="10" t="str">
        <f t="shared" si="358"/>
        <v xml:space="preserve"> </v>
      </c>
      <c r="IX123" s="10" t="str">
        <f t="shared" si="359"/>
        <v xml:space="preserve"> </v>
      </c>
      <c r="IY123" s="10" t="str">
        <f t="shared" si="359"/>
        <v xml:space="preserve"> </v>
      </c>
      <c r="IZ123" s="10" t="str">
        <f t="shared" si="359"/>
        <v xml:space="preserve"> </v>
      </c>
      <c r="JA123" s="10" t="str">
        <f t="shared" si="359"/>
        <v xml:space="preserve"> </v>
      </c>
      <c r="JB123" s="10" t="str">
        <f t="shared" si="359"/>
        <v xml:space="preserve"> </v>
      </c>
      <c r="JE123" s="10" t="str">
        <f t="shared" si="360"/>
        <v xml:space="preserve"> </v>
      </c>
      <c r="JF123" s="10" t="str">
        <f t="shared" si="360"/>
        <v xml:space="preserve"> </v>
      </c>
      <c r="JG123" s="10" t="str">
        <f t="shared" si="360"/>
        <v xml:space="preserve"> </v>
      </c>
      <c r="JH123" s="10" t="str">
        <f t="shared" si="360"/>
        <v xml:space="preserve"> </v>
      </c>
      <c r="JI123" s="10" t="str">
        <f t="shared" si="360"/>
        <v xml:space="preserve"> </v>
      </c>
    </row>
    <row r="124" spans="13:269">
      <c r="M124" s="10" t="str">
        <f t="shared" si="324"/>
        <v xml:space="preserve"> </v>
      </c>
      <c r="N124" s="10" t="str">
        <f t="shared" si="324"/>
        <v xml:space="preserve"> </v>
      </c>
      <c r="O124" s="10" t="str">
        <f t="shared" si="324"/>
        <v xml:space="preserve"> </v>
      </c>
      <c r="P124" s="10" t="str">
        <f t="shared" si="324"/>
        <v xml:space="preserve"> </v>
      </c>
      <c r="Q124" s="10" t="str">
        <f t="shared" si="324"/>
        <v xml:space="preserve"> </v>
      </c>
      <c r="R124" s="14"/>
      <c r="S124" s="14"/>
      <c r="T124" s="10" t="str">
        <f t="shared" si="325"/>
        <v xml:space="preserve"> </v>
      </c>
      <c r="U124" s="10" t="str">
        <f t="shared" si="325"/>
        <v xml:space="preserve"> </v>
      </c>
      <c r="V124" s="10" t="str">
        <f t="shared" si="325"/>
        <v xml:space="preserve"> </v>
      </c>
      <c r="W124" s="10" t="str">
        <f t="shared" si="325"/>
        <v xml:space="preserve"> </v>
      </c>
      <c r="X124" s="10" t="str">
        <f t="shared" si="325"/>
        <v xml:space="preserve"> </v>
      </c>
      <c r="Y124" s="14"/>
      <c r="Z124" s="14"/>
      <c r="AA124" s="10" t="str">
        <f t="shared" si="326"/>
        <v xml:space="preserve"> </v>
      </c>
      <c r="AB124" s="10" t="str">
        <f t="shared" si="326"/>
        <v xml:space="preserve"> </v>
      </c>
      <c r="AC124" s="10" t="str">
        <f t="shared" si="326"/>
        <v xml:space="preserve"> </v>
      </c>
      <c r="AD124" s="10" t="str">
        <f t="shared" si="326"/>
        <v xml:space="preserve"> </v>
      </c>
      <c r="AE124" s="10" t="str">
        <f t="shared" si="326"/>
        <v xml:space="preserve"> </v>
      </c>
      <c r="AF124" s="14"/>
      <c r="AG124" s="14"/>
      <c r="AH124" s="10" t="str">
        <f t="shared" si="327"/>
        <v xml:space="preserve"> </v>
      </c>
      <c r="AI124" s="10" t="str">
        <f t="shared" si="327"/>
        <v xml:space="preserve"> </v>
      </c>
      <c r="AJ124" s="10" t="str">
        <f t="shared" si="327"/>
        <v xml:space="preserve"> </v>
      </c>
      <c r="AK124" s="10" t="str">
        <f t="shared" si="327"/>
        <v xml:space="preserve"> </v>
      </c>
      <c r="AL124" s="10" t="str">
        <f t="shared" si="327"/>
        <v xml:space="preserve"> </v>
      </c>
      <c r="AM124" s="14"/>
      <c r="AN124" s="14"/>
      <c r="AO124" s="10" t="str">
        <f t="shared" si="328"/>
        <v xml:space="preserve"> </v>
      </c>
      <c r="AP124" s="10" t="str">
        <f t="shared" si="328"/>
        <v xml:space="preserve"> </v>
      </c>
      <c r="AQ124" s="10" t="str">
        <f t="shared" si="328"/>
        <v xml:space="preserve"> </v>
      </c>
      <c r="AR124" s="10" t="str">
        <f t="shared" si="328"/>
        <v xml:space="preserve"> </v>
      </c>
      <c r="AS124" s="10" t="str">
        <f t="shared" si="328"/>
        <v xml:space="preserve"> </v>
      </c>
      <c r="AT124" s="14"/>
      <c r="AU124" s="14"/>
      <c r="AV124" s="10" t="str">
        <f t="shared" si="329"/>
        <v xml:space="preserve"> </v>
      </c>
      <c r="AW124" s="10" t="str">
        <f t="shared" si="329"/>
        <v xml:space="preserve"> </v>
      </c>
      <c r="AX124" s="10" t="str">
        <f t="shared" si="329"/>
        <v xml:space="preserve"> </v>
      </c>
      <c r="AY124" s="10" t="str">
        <f t="shared" si="329"/>
        <v xml:space="preserve"> </v>
      </c>
      <c r="AZ124" s="10" t="str">
        <f t="shared" si="329"/>
        <v xml:space="preserve"> </v>
      </c>
      <c r="BA124" s="14"/>
      <c r="BB124" s="14"/>
      <c r="BC124" s="10" t="str">
        <f t="shared" si="330"/>
        <v xml:space="preserve"> </v>
      </c>
      <c r="BD124" s="10" t="str">
        <f t="shared" si="330"/>
        <v xml:space="preserve"> </v>
      </c>
      <c r="BE124" s="10" t="str">
        <f t="shared" si="330"/>
        <v xml:space="preserve"> </v>
      </c>
      <c r="BF124" s="10" t="str">
        <f t="shared" si="330"/>
        <v xml:space="preserve"> </v>
      </c>
      <c r="BG124" s="10" t="str">
        <f t="shared" si="330"/>
        <v xml:space="preserve"> </v>
      </c>
      <c r="BH124" s="14"/>
      <c r="BI124" s="14"/>
      <c r="BJ124" s="10" t="str">
        <f t="shared" si="331"/>
        <v xml:space="preserve"> </v>
      </c>
      <c r="BK124" s="10" t="str">
        <f t="shared" si="331"/>
        <v xml:space="preserve"> </v>
      </c>
      <c r="BL124" s="10" t="str">
        <f t="shared" si="331"/>
        <v xml:space="preserve"> </v>
      </c>
      <c r="BM124" s="10" t="str">
        <f t="shared" si="331"/>
        <v xml:space="preserve"> </v>
      </c>
      <c r="BN124" s="10" t="str">
        <f t="shared" si="331"/>
        <v xml:space="preserve"> </v>
      </c>
      <c r="BO124" s="14"/>
      <c r="BP124" s="14"/>
      <c r="BQ124" s="10" t="str">
        <f t="shared" si="332"/>
        <v xml:space="preserve"> </v>
      </c>
      <c r="BR124" s="10" t="str">
        <f t="shared" si="332"/>
        <v xml:space="preserve"> </v>
      </c>
      <c r="BS124" s="10" t="str">
        <f t="shared" si="332"/>
        <v xml:space="preserve"> </v>
      </c>
      <c r="BT124" s="10" t="str">
        <f t="shared" si="332"/>
        <v xml:space="preserve"> </v>
      </c>
      <c r="BU124" s="10" t="str">
        <f t="shared" si="332"/>
        <v xml:space="preserve"> </v>
      </c>
      <c r="BV124" s="14"/>
      <c r="BW124" s="14"/>
      <c r="BX124" s="10" t="str">
        <f t="shared" si="333"/>
        <v xml:space="preserve"> </v>
      </c>
      <c r="BY124" s="10" t="str">
        <f t="shared" si="333"/>
        <v xml:space="preserve"> </v>
      </c>
      <c r="BZ124" s="10" t="str">
        <f t="shared" si="333"/>
        <v xml:space="preserve"> </v>
      </c>
      <c r="CA124" s="10" t="str">
        <f t="shared" si="333"/>
        <v xml:space="preserve"> </v>
      </c>
      <c r="CB124" s="10" t="str">
        <f t="shared" si="333"/>
        <v xml:space="preserve"> </v>
      </c>
      <c r="CC124" s="14"/>
      <c r="CD124" s="14"/>
      <c r="CE124" s="10" t="str">
        <f t="shared" si="334"/>
        <v xml:space="preserve"> </v>
      </c>
      <c r="CF124" s="10" t="str">
        <f t="shared" si="334"/>
        <v xml:space="preserve"> </v>
      </c>
      <c r="CG124" s="10" t="str">
        <f t="shared" si="334"/>
        <v xml:space="preserve"> </v>
      </c>
      <c r="CH124" s="10" t="str">
        <f t="shared" si="334"/>
        <v xml:space="preserve"> </v>
      </c>
      <c r="CI124" s="10" t="str">
        <f t="shared" si="334"/>
        <v xml:space="preserve"> </v>
      </c>
      <c r="CJ124" s="14"/>
      <c r="CK124" s="14"/>
      <c r="CL124" s="10" t="str">
        <f t="shared" si="335"/>
        <v xml:space="preserve"> </v>
      </c>
      <c r="CM124" s="10" t="str">
        <f t="shared" si="335"/>
        <v xml:space="preserve"> </v>
      </c>
      <c r="CN124" s="10" t="str">
        <f t="shared" si="335"/>
        <v xml:space="preserve"> </v>
      </c>
      <c r="CO124" s="10" t="str">
        <f t="shared" si="335"/>
        <v xml:space="preserve"> </v>
      </c>
      <c r="CP124" s="10" t="str">
        <f t="shared" si="335"/>
        <v xml:space="preserve"> </v>
      </c>
      <c r="CQ124" s="14"/>
      <c r="CR124" s="14"/>
      <c r="CS124" s="10" t="str">
        <f t="shared" si="336"/>
        <v xml:space="preserve"> </v>
      </c>
      <c r="CT124" s="10" t="str">
        <f t="shared" si="336"/>
        <v xml:space="preserve"> </v>
      </c>
      <c r="CU124" s="10" t="str">
        <f t="shared" si="336"/>
        <v xml:space="preserve"> </v>
      </c>
      <c r="CV124" s="10" t="str">
        <f t="shared" si="336"/>
        <v xml:space="preserve"> </v>
      </c>
      <c r="CW124" s="10" t="str">
        <f t="shared" si="336"/>
        <v xml:space="preserve"> </v>
      </c>
      <c r="CZ124" s="10" t="str">
        <f t="shared" si="337"/>
        <v xml:space="preserve"> </v>
      </c>
      <c r="DA124" s="10" t="str">
        <f t="shared" si="337"/>
        <v xml:space="preserve"> </v>
      </c>
      <c r="DB124" s="10" t="str">
        <f t="shared" si="337"/>
        <v xml:space="preserve"> </v>
      </c>
      <c r="DC124" s="10" t="str">
        <f t="shared" si="337"/>
        <v xml:space="preserve"> </v>
      </c>
      <c r="DD124" s="10" t="str">
        <f t="shared" si="337"/>
        <v xml:space="preserve"> </v>
      </c>
      <c r="DG124" s="10" t="str">
        <f t="shared" si="338"/>
        <v xml:space="preserve"> </v>
      </c>
      <c r="DH124" s="10" t="str">
        <f t="shared" si="338"/>
        <v xml:space="preserve"> </v>
      </c>
      <c r="DI124" s="10" t="str">
        <f t="shared" si="338"/>
        <v xml:space="preserve"> </v>
      </c>
      <c r="DJ124" s="10" t="str">
        <f t="shared" si="338"/>
        <v xml:space="preserve"> </v>
      </c>
      <c r="DK124" s="10" t="str">
        <f t="shared" si="338"/>
        <v xml:space="preserve"> </v>
      </c>
      <c r="DN124" s="10" t="str">
        <f t="shared" si="339"/>
        <v xml:space="preserve"> </v>
      </c>
      <c r="DO124" s="10" t="str">
        <f t="shared" si="339"/>
        <v xml:space="preserve"> </v>
      </c>
      <c r="DP124" s="10" t="str">
        <f t="shared" si="339"/>
        <v xml:space="preserve"> </v>
      </c>
      <c r="DQ124" s="10" t="str">
        <f t="shared" si="339"/>
        <v xml:space="preserve"> </v>
      </c>
      <c r="DR124" s="10" t="str">
        <f t="shared" si="339"/>
        <v xml:space="preserve"> </v>
      </c>
      <c r="DU124" s="10" t="str">
        <f t="shared" si="340"/>
        <v xml:space="preserve"> </v>
      </c>
      <c r="DV124" s="10" t="str">
        <f t="shared" si="340"/>
        <v xml:space="preserve"> </v>
      </c>
      <c r="DW124" s="10" t="str">
        <f t="shared" si="340"/>
        <v xml:space="preserve"> </v>
      </c>
      <c r="DX124" s="10" t="str">
        <f t="shared" si="340"/>
        <v xml:space="preserve"> </v>
      </c>
      <c r="DY124" s="10" t="str">
        <f t="shared" si="340"/>
        <v xml:space="preserve"> </v>
      </c>
      <c r="EB124" s="10" t="str">
        <f t="shared" si="341"/>
        <v xml:space="preserve"> </v>
      </c>
      <c r="EC124" s="10" t="str">
        <f t="shared" si="341"/>
        <v xml:space="preserve"> </v>
      </c>
      <c r="ED124" s="10" t="str">
        <f t="shared" si="341"/>
        <v xml:space="preserve"> </v>
      </c>
      <c r="EE124" s="10" t="str">
        <f t="shared" si="341"/>
        <v xml:space="preserve"> </v>
      </c>
      <c r="EF124" s="10" t="str">
        <f t="shared" si="341"/>
        <v xml:space="preserve"> </v>
      </c>
      <c r="EI124" s="10" t="str">
        <f t="shared" si="342"/>
        <v xml:space="preserve"> </v>
      </c>
      <c r="EJ124" s="10" t="str">
        <f t="shared" si="342"/>
        <v xml:space="preserve"> </v>
      </c>
      <c r="EK124" s="10" t="str">
        <f t="shared" si="342"/>
        <v xml:space="preserve"> </v>
      </c>
      <c r="EL124" s="10" t="str">
        <f t="shared" si="342"/>
        <v xml:space="preserve"> </v>
      </c>
      <c r="EM124" s="10" t="str">
        <f t="shared" si="342"/>
        <v xml:space="preserve"> </v>
      </c>
      <c r="EP124" s="10" t="str">
        <f t="shared" si="343"/>
        <v xml:space="preserve"> </v>
      </c>
      <c r="EQ124" s="10" t="str">
        <f t="shared" si="343"/>
        <v xml:space="preserve"> </v>
      </c>
      <c r="ER124" s="10" t="str">
        <f t="shared" si="343"/>
        <v xml:space="preserve"> </v>
      </c>
      <c r="ES124" s="10" t="str">
        <f t="shared" si="343"/>
        <v xml:space="preserve"> </v>
      </c>
      <c r="ET124" s="10" t="str">
        <f t="shared" si="343"/>
        <v xml:space="preserve"> </v>
      </c>
      <c r="EW124" s="10" t="str">
        <f t="shared" si="344"/>
        <v xml:space="preserve"> </v>
      </c>
      <c r="EX124" s="10" t="str">
        <f t="shared" si="344"/>
        <v xml:space="preserve"> </v>
      </c>
      <c r="EY124" s="10" t="str">
        <f t="shared" si="344"/>
        <v xml:space="preserve"> </v>
      </c>
      <c r="EZ124" s="10" t="str">
        <f t="shared" si="344"/>
        <v xml:space="preserve"> </v>
      </c>
      <c r="FA124" s="10" t="str">
        <f t="shared" si="344"/>
        <v xml:space="preserve"> </v>
      </c>
      <c r="FD124" s="10" t="str">
        <f t="shared" si="345"/>
        <v xml:space="preserve"> </v>
      </c>
      <c r="FE124" s="10" t="str">
        <f t="shared" si="345"/>
        <v xml:space="preserve"> </v>
      </c>
      <c r="FF124" s="10" t="str">
        <f t="shared" si="345"/>
        <v xml:space="preserve"> </v>
      </c>
      <c r="FG124" s="10" t="str">
        <f t="shared" si="345"/>
        <v xml:space="preserve"> </v>
      </c>
      <c r="FH124" s="10" t="str">
        <f t="shared" si="345"/>
        <v xml:space="preserve"> </v>
      </c>
      <c r="FK124" s="10" t="str">
        <f t="shared" si="346"/>
        <v xml:space="preserve"> </v>
      </c>
      <c r="FL124" s="10" t="str">
        <f t="shared" si="346"/>
        <v xml:space="preserve"> </v>
      </c>
      <c r="FM124" s="10" t="str">
        <f t="shared" si="346"/>
        <v xml:space="preserve"> </v>
      </c>
      <c r="FN124" s="10" t="str">
        <f t="shared" si="346"/>
        <v xml:space="preserve"> </v>
      </c>
      <c r="FO124" s="10" t="str">
        <f t="shared" si="346"/>
        <v xml:space="preserve"> </v>
      </c>
      <c r="FR124" s="10" t="str">
        <f t="shared" si="347"/>
        <v xml:space="preserve"> </v>
      </c>
      <c r="FS124" s="10" t="str">
        <f t="shared" si="347"/>
        <v xml:space="preserve"> </v>
      </c>
      <c r="FT124" s="10" t="str">
        <f t="shared" si="347"/>
        <v xml:space="preserve"> </v>
      </c>
      <c r="FU124" s="10" t="str">
        <f t="shared" si="347"/>
        <v xml:space="preserve"> </v>
      </c>
      <c r="FV124" s="10" t="str">
        <f t="shared" si="347"/>
        <v xml:space="preserve"> </v>
      </c>
      <c r="FY124" s="10" t="str">
        <f t="shared" si="348"/>
        <v xml:space="preserve"> </v>
      </c>
      <c r="FZ124" s="10" t="str">
        <f t="shared" si="348"/>
        <v xml:space="preserve"> </v>
      </c>
      <c r="GA124" s="10" t="str">
        <f t="shared" si="348"/>
        <v xml:space="preserve"> </v>
      </c>
      <c r="GB124" s="10" t="str">
        <f t="shared" si="348"/>
        <v xml:space="preserve"> </v>
      </c>
      <c r="GC124" s="10" t="str">
        <f t="shared" si="348"/>
        <v xml:space="preserve"> </v>
      </c>
      <c r="GF124" s="10" t="str">
        <f t="shared" si="349"/>
        <v xml:space="preserve"> </v>
      </c>
      <c r="GG124" s="10" t="str">
        <f t="shared" si="349"/>
        <v xml:space="preserve"> </v>
      </c>
      <c r="GH124" s="10" t="str">
        <f t="shared" si="349"/>
        <v xml:space="preserve"> </v>
      </c>
      <c r="GI124" s="10" t="str">
        <f t="shared" si="349"/>
        <v xml:space="preserve"> </v>
      </c>
      <c r="GJ124" s="10" t="str">
        <f t="shared" si="349"/>
        <v xml:space="preserve"> </v>
      </c>
      <c r="GM124" s="10" t="str">
        <f t="shared" si="350"/>
        <v xml:space="preserve"> </v>
      </c>
      <c r="GN124" s="10" t="str">
        <f t="shared" si="350"/>
        <v xml:space="preserve"> </v>
      </c>
      <c r="GO124" s="10" t="str">
        <f t="shared" si="350"/>
        <v xml:space="preserve"> </v>
      </c>
      <c r="GP124" s="10" t="str">
        <f t="shared" si="350"/>
        <v xml:space="preserve"> </v>
      </c>
      <c r="GQ124" s="10" t="str">
        <f t="shared" si="350"/>
        <v xml:space="preserve"> </v>
      </c>
      <c r="GT124" s="10" t="str">
        <f t="shared" si="351"/>
        <v xml:space="preserve"> </v>
      </c>
      <c r="GU124" s="10" t="str">
        <f t="shared" si="351"/>
        <v xml:space="preserve"> </v>
      </c>
      <c r="GV124" s="10" t="str">
        <f t="shared" si="351"/>
        <v xml:space="preserve"> </v>
      </c>
      <c r="GW124" s="10" t="str">
        <f t="shared" si="351"/>
        <v xml:space="preserve"> </v>
      </c>
      <c r="GX124" s="10" t="str">
        <f t="shared" si="351"/>
        <v xml:space="preserve"> </v>
      </c>
      <c r="HA124" s="10" t="str">
        <f t="shared" si="352"/>
        <v xml:space="preserve"> </v>
      </c>
      <c r="HB124" s="10" t="str">
        <f t="shared" si="352"/>
        <v xml:space="preserve"> </v>
      </c>
      <c r="HC124" s="10" t="str">
        <f t="shared" si="352"/>
        <v xml:space="preserve"> </v>
      </c>
      <c r="HD124" s="10" t="str">
        <f t="shared" si="352"/>
        <v xml:space="preserve"> </v>
      </c>
      <c r="HE124" s="10" t="str">
        <f t="shared" si="352"/>
        <v xml:space="preserve"> </v>
      </c>
      <c r="HH124" s="10" t="str">
        <f t="shared" si="353"/>
        <v xml:space="preserve"> </v>
      </c>
      <c r="HI124" s="10" t="str">
        <f t="shared" si="353"/>
        <v xml:space="preserve"> </v>
      </c>
      <c r="HJ124" s="10" t="str">
        <f t="shared" si="353"/>
        <v xml:space="preserve"> </v>
      </c>
      <c r="HK124" s="10" t="str">
        <f t="shared" si="353"/>
        <v xml:space="preserve"> </v>
      </c>
      <c r="HL124" s="10" t="str">
        <f t="shared" si="353"/>
        <v xml:space="preserve"> </v>
      </c>
      <c r="HO124" s="10" t="str">
        <f t="shared" si="354"/>
        <v xml:space="preserve"> </v>
      </c>
      <c r="HP124" s="10" t="str">
        <f t="shared" si="354"/>
        <v xml:space="preserve"> </v>
      </c>
      <c r="HQ124" s="10" t="str">
        <f t="shared" si="354"/>
        <v xml:space="preserve"> </v>
      </c>
      <c r="HR124" s="10" t="str">
        <f t="shared" si="354"/>
        <v xml:space="preserve"> </v>
      </c>
      <c r="HS124" s="10" t="str">
        <f t="shared" si="354"/>
        <v xml:space="preserve"> </v>
      </c>
      <c r="HV124" s="10" t="str">
        <f t="shared" si="355"/>
        <v xml:space="preserve"> </v>
      </c>
      <c r="HW124" s="10" t="str">
        <f t="shared" si="355"/>
        <v xml:space="preserve"> </v>
      </c>
      <c r="HX124" s="10" t="str">
        <f t="shared" si="355"/>
        <v xml:space="preserve"> </v>
      </c>
      <c r="HY124" s="10" t="str">
        <f t="shared" si="355"/>
        <v xml:space="preserve"> </v>
      </c>
      <c r="HZ124" s="10" t="str">
        <f t="shared" si="355"/>
        <v xml:space="preserve"> </v>
      </c>
      <c r="IC124" s="10" t="str">
        <f t="shared" si="356"/>
        <v xml:space="preserve"> </v>
      </c>
      <c r="ID124" s="10" t="str">
        <f t="shared" si="356"/>
        <v xml:space="preserve"> </v>
      </c>
      <c r="IE124" s="10" t="str">
        <f t="shared" si="356"/>
        <v xml:space="preserve"> </v>
      </c>
      <c r="IF124" s="10" t="str">
        <f t="shared" si="356"/>
        <v xml:space="preserve"> </v>
      </c>
      <c r="IG124" s="10" t="str">
        <f t="shared" si="356"/>
        <v xml:space="preserve"> </v>
      </c>
      <c r="IJ124" s="10" t="str">
        <f t="shared" si="357"/>
        <v xml:space="preserve"> </v>
      </c>
      <c r="IK124" s="10" t="str">
        <f t="shared" si="357"/>
        <v xml:space="preserve"> </v>
      </c>
      <c r="IL124" s="10" t="str">
        <f t="shared" si="357"/>
        <v xml:space="preserve"> </v>
      </c>
      <c r="IM124" s="10" t="str">
        <f t="shared" si="357"/>
        <v xml:space="preserve"> </v>
      </c>
      <c r="IN124" s="10" t="str">
        <f t="shared" si="357"/>
        <v xml:space="preserve"> </v>
      </c>
      <c r="IQ124" s="10" t="str">
        <f t="shared" si="358"/>
        <v xml:space="preserve"> </v>
      </c>
      <c r="IR124" s="10" t="str">
        <f t="shared" si="358"/>
        <v xml:space="preserve"> </v>
      </c>
      <c r="IS124" s="10" t="str">
        <f t="shared" si="358"/>
        <v xml:space="preserve"> </v>
      </c>
      <c r="IT124" s="10" t="str">
        <f t="shared" si="358"/>
        <v xml:space="preserve"> </v>
      </c>
      <c r="IU124" s="10" t="str">
        <f t="shared" si="358"/>
        <v xml:space="preserve"> </v>
      </c>
      <c r="IX124" s="10" t="str">
        <f t="shared" si="359"/>
        <v xml:space="preserve"> </v>
      </c>
      <c r="IY124" s="10" t="str">
        <f t="shared" si="359"/>
        <v xml:space="preserve"> </v>
      </c>
      <c r="IZ124" s="10" t="str">
        <f t="shared" si="359"/>
        <v xml:space="preserve"> </v>
      </c>
      <c r="JA124" s="10" t="str">
        <f t="shared" si="359"/>
        <v xml:space="preserve"> </v>
      </c>
      <c r="JB124" s="10" t="str">
        <f t="shared" si="359"/>
        <v xml:space="preserve"> </v>
      </c>
      <c r="JE124" s="10" t="str">
        <f t="shared" si="360"/>
        <v xml:space="preserve"> </v>
      </c>
      <c r="JF124" s="10" t="str">
        <f t="shared" si="360"/>
        <v xml:space="preserve"> </v>
      </c>
      <c r="JG124" s="10" t="str">
        <f t="shared" si="360"/>
        <v xml:space="preserve"> </v>
      </c>
      <c r="JH124" s="10" t="str">
        <f t="shared" si="360"/>
        <v xml:space="preserve"> </v>
      </c>
      <c r="JI124" s="10" t="str">
        <f t="shared" si="360"/>
        <v xml:space="preserve"> </v>
      </c>
    </row>
    <row r="125" spans="13:269">
      <c r="M125" s="10" t="str">
        <f t="shared" si="324"/>
        <v xml:space="preserve"> </v>
      </c>
      <c r="N125" s="10" t="str">
        <f t="shared" si="324"/>
        <v xml:space="preserve"> </v>
      </c>
      <c r="O125" s="10" t="str">
        <f t="shared" si="324"/>
        <v xml:space="preserve"> </v>
      </c>
      <c r="P125" s="10" t="str">
        <f t="shared" si="324"/>
        <v xml:space="preserve"> </v>
      </c>
      <c r="Q125" s="10" t="str">
        <f t="shared" si="324"/>
        <v xml:space="preserve"> </v>
      </c>
      <c r="R125" s="14"/>
      <c r="S125" s="14"/>
      <c r="T125" s="10" t="str">
        <f t="shared" si="325"/>
        <v xml:space="preserve"> </v>
      </c>
      <c r="U125" s="10" t="str">
        <f t="shared" si="325"/>
        <v xml:space="preserve"> </v>
      </c>
      <c r="V125" s="10" t="str">
        <f t="shared" si="325"/>
        <v xml:space="preserve"> </v>
      </c>
      <c r="W125" s="10" t="str">
        <f t="shared" si="325"/>
        <v xml:space="preserve"> </v>
      </c>
      <c r="X125" s="10" t="str">
        <f t="shared" si="325"/>
        <v xml:space="preserve"> </v>
      </c>
      <c r="Y125" s="14"/>
      <c r="Z125" s="14"/>
      <c r="AA125" s="10" t="str">
        <f t="shared" si="326"/>
        <v xml:space="preserve"> </v>
      </c>
      <c r="AB125" s="10" t="str">
        <f t="shared" si="326"/>
        <v xml:space="preserve"> </v>
      </c>
      <c r="AC125" s="10" t="str">
        <f t="shared" si="326"/>
        <v xml:space="preserve"> </v>
      </c>
      <c r="AD125" s="10" t="str">
        <f t="shared" si="326"/>
        <v xml:space="preserve"> </v>
      </c>
      <c r="AE125" s="10" t="str">
        <f t="shared" si="326"/>
        <v xml:space="preserve"> </v>
      </c>
      <c r="AF125" s="14"/>
      <c r="AG125" s="14"/>
      <c r="AH125" s="10" t="str">
        <f t="shared" si="327"/>
        <v xml:space="preserve"> </v>
      </c>
      <c r="AI125" s="10" t="str">
        <f t="shared" si="327"/>
        <v xml:space="preserve"> </v>
      </c>
      <c r="AJ125" s="10" t="str">
        <f t="shared" si="327"/>
        <v xml:space="preserve"> </v>
      </c>
      <c r="AK125" s="10" t="str">
        <f t="shared" si="327"/>
        <v xml:space="preserve"> </v>
      </c>
      <c r="AL125" s="10" t="str">
        <f t="shared" si="327"/>
        <v xml:space="preserve"> </v>
      </c>
      <c r="AM125" s="14"/>
      <c r="AN125" s="14"/>
      <c r="AO125" s="10" t="str">
        <f t="shared" si="328"/>
        <v xml:space="preserve"> </v>
      </c>
      <c r="AP125" s="10" t="str">
        <f t="shared" si="328"/>
        <v xml:space="preserve"> </v>
      </c>
      <c r="AQ125" s="10" t="str">
        <f t="shared" si="328"/>
        <v xml:space="preserve"> </v>
      </c>
      <c r="AR125" s="10" t="str">
        <f t="shared" si="328"/>
        <v xml:space="preserve"> </v>
      </c>
      <c r="AS125" s="10" t="str">
        <f t="shared" si="328"/>
        <v xml:space="preserve"> </v>
      </c>
      <c r="AT125" s="14"/>
      <c r="AU125" s="14"/>
      <c r="AV125" s="10" t="str">
        <f t="shared" si="329"/>
        <v xml:space="preserve"> </v>
      </c>
      <c r="AW125" s="10" t="str">
        <f t="shared" si="329"/>
        <v xml:space="preserve"> </v>
      </c>
      <c r="AX125" s="10" t="str">
        <f t="shared" si="329"/>
        <v xml:space="preserve"> </v>
      </c>
      <c r="AY125" s="10" t="str">
        <f t="shared" si="329"/>
        <v xml:space="preserve"> </v>
      </c>
      <c r="AZ125" s="10" t="str">
        <f t="shared" si="329"/>
        <v xml:space="preserve"> </v>
      </c>
      <c r="BA125" s="14"/>
      <c r="BB125" s="14"/>
      <c r="BC125" s="10" t="str">
        <f t="shared" si="330"/>
        <v xml:space="preserve"> </v>
      </c>
      <c r="BD125" s="10" t="str">
        <f t="shared" si="330"/>
        <v xml:space="preserve"> </v>
      </c>
      <c r="BE125" s="10" t="str">
        <f t="shared" si="330"/>
        <v xml:space="preserve"> </v>
      </c>
      <c r="BF125" s="10" t="str">
        <f t="shared" si="330"/>
        <v xml:space="preserve"> </v>
      </c>
      <c r="BG125" s="10" t="str">
        <f t="shared" si="330"/>
        <v xml:space="preserve"> </v>
      </c>
      <c r="BH125" s="14"/>
      <c r="BI125" s="14"/>
      <c r="BJ125" s="10" t="str">
        <f t="shared" si="331"/>
        <v xml:space="preserve"> </v>
      </c>
      <c r="BK125" s="10" t="str">
        <f t="shared" si="331"/>
        <v xml:space="preserve"> </v>
      </c>
      <c r="BL125" s="10" t="str">
        <f t="shared" si="331"/>
        <v xml:space="preserve"> </v>
      </c>
      <c r="BM125" s="10" t="str">
        <f t="shared" si="331"/>
        <v xml:space="preserve"> </v>
      </c>
      <c r="BN125" s="10" t="str">
        <f t="shared" si="331"/>
        <v xml:space="preserve"> </v>
      </c>
      <c r="BO125" s="14"/>
      <c r="BP125" s="14"/>
      <c r="BQ125" s="10" t="str">
        <f t="shared" si="332"/>
        <v xml:space="preserve"> </v>
      </c>
      <c r="BR125" s="10" t="str">
        <f t="shared" si="332"/>
        <v xml:space="preserve"> </v>
      </c>
      <c r="BS125" s="10" t="str">
        <f t="shared" si="332"/>
        <v xml:space="preserve"> </v>
      </c>
      <c r="BT125" s="10" t="str">
        <f t="shared" si="332"/>
        <v xml:space="preserve"> </v>
      </c>
      <c r="BU125" s="10" t="str">
        <f t="shared" si="332"/>
        <v xml:space="preserve"> </v>
      </c>
      <c r="BV125" s="14"/>
      <c r="BW125" s="14"/>
      <c r="BX125" s="10" t="str">
        <f t="shared" si="333"/>
        <v xml:space="preserve"> </v>
      </c>
      <c r="BY125" s="10" t="str">
        <f t="shared" si="333"/>
        <v xml:space="preserve"> </v>
      </c>
      <c r="BZ125" s="10" t="str">
        <f t="shared" si="333"/>
        <v xml:space="preserve"> </v>
      </c>
      <c r="CA125" s="10" t="str">
        <f t="shared" si="333"/>
        <v xml:space="preserve"> </v>
      </c>
      <c r="CB125" s="10" t="str">
        <f t="shared" si="333"/>
        <v xml:space="preserve"> </v>
      </c>
      <c r="CC125" s="14"/>
      <c r="CD125" s="14"/>
      <c r="CE125" s="10" t="str">
        <f t="shared" si="334"/>
        <v xml:space="preserve"> </v>
      </c>
      <c r="CF125" s="10" t="str">
        <f t="shared" si="334"/>
        <v xml:space="preserve"> </v>
      </c>
      <c r="CG125" s="10" t="str">
        <f t="shared" si="334"/>
        <v xml:space="preserve"> </v>
      </c>
      <c r="CH125" s="10" t="str">
        <f t="shared" si="334"/>
        <v xml:space="preserve"> </v>
      </c>
      <c r="CI125" s="10" t="str">
        <f t="shared" si="334"/>
        <v xml:space="preserve"> </v>
      </c>
      <c r="CJ125" s="14"/>
      <c r="CK125" s="14"/>
      <c r="CL125" s="10" t="str">
        <f t="shared" si="335"/>
        <v xml:space="preserve"> </v>
      </c>
      <c r="CM125" s="10" t="str">
        <f t="shared" si="335"/>
        <v xml:space="preserve"> </v>
      </c>
      <c r="CN125" s="10" t="str">
        <f t="shared" si="335"/>
        <v xml:space="preserve"> </v>
      </c>
      <c r="CO125" s="10" t="str">
        <f t="shared" si="335"/>
        <v xml:space="preserve"> </v>
      </c>
      <c r="CP125" s="10" t="str">
        <f t="shared" si="335"/>
        <v xml:space="preserve"> </v>
      </c>
      <c r="CQ125" s="14"/>
      <c r="CR125" s="14"/>
      <c r="CS125" s="10" t="str">
        <f t="shared" si="336"/>
        <v xml:space="preserve"> </v>
      </c>
      <c r="CT125" s="10" t="str">
        <f t="shared" si="336"/>
        <v xml:space="preserve"> </v>
      </c>
      <c r="CU125" s="10" t="str">
        <f t="shared" si="336"/>
        <v xml:space="preserve"> </v>
      </c>
      <c r="CV125" s="10" t="str">
        <f t="shared" si="336"/>
        <v xml:space="preserve"> </v>
      </c>
      <c r="CW125" s="10" t="str">
        <f t="shared" si="336"/>
        <v xml:space="preserve"> </v>
      </c>
      <c r="CZ125" s="10" t="str">
        <f t="shared" si="337"/>
        <v xml:space="preserve"> </v>
      </c>
      <c r="DA125" s="10" t="str">
        <f t="shared" si="337"/>
        <v xml:space="preserve"> </v>
      </c>
      <c r="DB125" s="10" t="str">
        <f t="shared" si="337"/>
        <v xml:space="preserve"> </v>
      </c>
      <c r="DC125" s="10" t="str">
        <f t="shared" si="337"/>
        <v xml:space="preserve"> </v>
      </c>
      <c r="DD125" s="10" t="str">
        <f t="shared" si="337"/>
        <v xml:space="preserve"> </v>
      </c>
      <c r="DG125" s="10" t="str">
        <f t="shared" si="338"/>
        <v xml:space="preserve"> </v>
      </c>
      <c r="DH125" s="10" t="str">
        <f t="shared" si="338"/>
        <v xml:space="preserve"> </v>
      </c>
      <c r="DI125" s="10" t="str">
        <f t="shared" si="338"/>
        <v xml:space="preserve"> </v>
      </c>
      <c r="DJ125" s="10" t="str">
        <f t="shared" si="338"/>
        <v xml:space="preserve"> </v>
      </c>
      <c r="DK125" s="10" t="str">
        <f t="shared" si="338"/>
        <v xml:space="preserve"> </v>
      </c>
      <c r="DN125" s="10" t="str">
        <f t="shared" si="339"/>
        <v xml:space="preserve"> </v>
      </c>
      <c r="DO125" s="10" t="str">
        <f t="shared" si="339"/>
        <v xml:space="preserve"> </v>
      </c>
      <c r="DP125" s="10" t="str">
        <f t="shared" si="339"/>
        <v xml:space="preserve"> </v>
      </c>
      <c r="DQ125" s="10" t="str">
        <f t="shared" si="339"/>
        <v xml:space="preserve"> </v>
      </c>
      <c r="DR125" s="10" t="str">
        <f t="shared" si="339"/>
        <v xml:space="preserve"> </v>
      </c>
      <c r="DU125" s="10" t="str">
        <f t="shared" si="340"/>
        <v xml:space="preserve"> </v>
      </c>
      <c r="DV125" s="10" t="str">
        <f t="shared" si="340"/>
        <v xml:space="preserve"> </v>
      </c>
      <c r="DW125" s="10" t="str">
        <f t="shared" si="340"/>
        <v xml:space="preserve"> </v>
      </c>
      <c r="DX125" s="10" t="str">
        <f t="shared" si="340"/>
        <v xml:space="preserve"> </v>
      </c>
      <c r="DY125" s="10" t="str">
        <f t="shared" si="340"/>
        <v xml:space="preserve"> </v>
      </c>
      <c r="EB125" s="10" t="str">
        <f t="shared" si="341"/>
        <v xml:space="preserve"> </v>
      </c>
      <c r="EC125" s="10" t="str">
        <f t="shared" si="341"/>
        <v xml:space="preserve"> </v>
      </c>
      <c r="ED125" s="10" t="str">
        <f t="shared" si="341"/>
        <v xml:space="preserve"> </v>
      </c>
      <c r="EE125" s="10" t="str">
        <f t="shared" si="341"/>
        <v xml:space="preserve"> </v>
      </c>
      <c r="EF125" s="10" t="str">
        <f t="shared" si="341"/>
        <v xml:space="preserve"> </v>
      </c>
      <c r="EI125" s="10" t="str">
        <f t="shared" si="342"/>
        <v xml:space="preserve"> </v>
      </c>
      <c r="EJ125" s="10" t="str">
        <f t="shared" si="342"/>
        <v xml:space="preserve"> </v>
      </c>
      <c r="EK125" s="10" t="str">
        <f t="shared" si="342"/>
        <v xml:space="preserve"> </v>
      </c>
      <c r="EL125" s="10" t="str">
        <f t="shared" si="342"/>
        <v xml:space="preserve"> </v>
      </c>
      <c r="EM125" s="10" t="str">
        <f t="shared" si="342"/>
        <v xml:space="preserve"> </v>
      </c>
      <c r="EP125" s="10" t="str">
        <f t="shared" si="343"/>
        <v xml:space="preserve"> </v>
      </c>
      <c r="EQ125" s="10" t="str">
        <f t="shared" si="343"/>
        <v xml:space="preserve"> </v>
      </c>
      <c r="ER125" s="10" t="str">
        <f t="shared" si="343"/>
        <v xml:space="preserve"> </v>
      </c>
      <c r="ES125" s="10" t="str">
        <f t="shared" si="343"/>
        <v xml:space="preserve"> </v>
      </c>
      <c r="ET125" s="10" t="str">
        <f t="shared" si="343"/>
        <v xml:space="preserve"> </v>
      </c>
      <c r="EW125" s="10" t="str">
        <f t="shared" si="344"/>
        <v xml:space="preserve"> </v>
      </c>
      <c r="EX125" s="10" t="str">
        <f t="shared" si="344"/>
        <v xml:space="preserve"> </v>
      </c>
      <c r="EY125" s="10" t="str">
        <f t="shared" si="344"/>
        <v xml:space="preserve"> </v>
      </c>
      <c r="EZ125" s="10" t="str">
        <f t="shared" si="344"/>
        <v xml:space="preserve"> </v>
      </c>
      <c r="FA125" s="10" t="str">
        <f t="shared" si="344"/>
        <v xml:space="preserve"> </v>
      </c>
      <c r="FD125" s="10" t="str">
        <f t="shared" si="345"/>
        <v xml:space="preserve"> </v>
      </c>
      <c r="FE125" s="10" t="str">
        <f t="shared" si="345"/>
        <v xml:space="preserve"> </v>
      </c>
      <c r="FF125" s="10" t="str">
        <f t="shared" si="345"/>
        <v xml:space="preserve"> </v>
      </c>
      <c r="FG125" s="10" t="str">
        <f t="shared" si="345"/>
        <v xml:space="preserve"> </v>
      </c>
      <c r="FH125" s="10" t="str">
        <f t="shared" si="345"/>
        <v xml:space="preserve"> </v>
      </c>
      <c r="FK125" s="10" t="str">
        <f t="shared" si="346"/>
        <v xml:space="preserve"> </v>
      </c>
      <c r="FL125" s="10" t="str">
        <f t="shared" si="346"/>
        <v xml:space="preserve"> </v>
      </c>
      <c r="FM125" s="10" t="str">
        <f t="shared" si="346"/>
        <v xml:space="preserve"> </v>
      </c>
      <c r="FN125" s="10" t="str">
        <f t="shared" si="346"/>
        <v xml:space="preserve"> </v>
      </c>
      <c r="FO125" s="10" t="str">
        <f t="shared" si="346"/>
        <v xml:space="preserve"> </v>
      </c>
      <c r="FR125" s="10" t="str">
        <f t="shared" si="347"/>
        <v xml:space="preserve"> </v>
      </c>
      <c r="FS125" s="10" t="str">
        <f t="shared" si="347"/>
        <v xml:space="preserve"> </v>
      </c>
      <c r="FT125" s="10" t="str">
        <f t="shared" si="347"/>
        <v xml:space="preserve"> </v>
      </c>
      <c r="FU125" s="10" t="str">
        <f t="shared" si="347"/>
        <v xml:space="preserve"> </v>
      </c>
      <c r="FV125" s="10" t="str">
        <f t="shared" si="347"/>
        <v xml:space="preserve"> </v>
      </c>
      <c r="FY125" s="10" t="str">
        <f t="shared" si="348"/>
        <v xml:space="preserve"> </v>
      </c>
      <c r="FZ125" s="10" t="str">
        <f t="shared" si="348"/>
        <v xml:space="preserve"> </v>
      </c>
      <c r="GA125" s="10" t="str">
        <f t="shared" si="348"/>
        <v xml:space="preserve"> </v>
      </c>
      <c r="GB125" s="10" t="str">
        <f t="shared" si="348"/>
        <v xml:space="preserve"> </v>
      </c>
      <c r="GC125" s="10" t="str">
        <f t="shared" si="348"/>
        <v xml:space="preserve"> </v>
      </c>
      <c r="GF125" s="10" t="str">
        <f t="shared" si="349"/>
        <v xml:space="preserve"> </v>
      </c>
      <c r="GG125" s="10" t="str">
        <f t="shared" si="349"/>
        <v xml:space="preserve"> </v>
      </c>
      <c r="GH125" s="10" t="str">
        <f t="shared" si="349"/>
        <v xml:space="preserve"> </v>
      </c>
      <c r="GI125" s="10" t="str">
        <f t="shared" si="349"/>
        <v xml:space="preserve"> </v>
      </c>
      <c r="GJ125" s="10" t="str">
        <f t="shared" si="349"/>
        <v xml:space="preserve"> </v>
      </c>
      <c r="GM125" s="10" t="str">
        <f t="shared" si="350"/>
        <v xml:space="preserve"> </v>
      </c>
      <c r="GN125" s="10" t="str">
        <f t="shared" si="350"/>
        <v xml:space="preserve"> </v>
      </c>
      <c r="GO125" s="10" t="str">
        <f t="shared" si="350"/>
        <v xml:space="preserve"> </v>
      </c>
      <c r="GP125" s="10" t="str">
        <f t="shared" si="350"/>
        <v xml:space="preserve"> </v>
      </c>
      <c r="GQ125" s="10" t="str">
        <f t="shared" si="350"/>
        <v xml:space="preserve"> </v>
      </c>
      <c r="GT125" s="10" t="str">
        <f t="shared" si="351"/>
        <v xml:space="preserve"> </v>
      </c>
      <c r="GU125" s="10" t="str">
        <f t="shared" si="351"/>
        <v xml:space="preserve"> </v>
      </c>
      <c r="GV125" s="10" t="str">
        <f t="shared" si="351"/>
        <v xml:space="preserve"> </v>
      </c>
      <c r="GW125" s="10" t="str">
        <f t="shared" si="351"/>
        <v xml:space="preserve"> </v>
      </c>
      <c r="GX125" s="10" t="str">
        <f t="shared" si="351"/>
        <v xml:space="preserve"> </v>
      </c>
      <c r="HA125" s="10" t="str">
        <f t="shared" si="352"/>
        <v xml:space="preserve"> </v>
      </c>
      <c r="HB125" s="10" t="str">
        <f t="shared" si="352"/>
        <v xml:space="preserve"> </v>
      </c>
      <c r="HC125" s="10" t="str">
        <f t="shared" si="352"/>
        <v xml:space="preserve"> </v>
      </c>
      <c r="HD125" s="10" t="str">
        <f t="shared" si="352"/>
        <v xml:space="preserve"> </v>
      </c>
      <c r="HE125" s="10" t="str">
        <f t="shared" si="352"/>
        <v xml:space="preserve"> </v>
      </c>
      <c r="HH125" s="10" t="str">
        <f t="shared" si="353"/>
        <v xml:space="preserve"> </v>
      </c>
      <c r="HI125" s="10" t="str">
        <f t="shared" si="353"/>
        <v xml:space="preserve"> </v>
      </c>
      <c r="HJ125" s="10" t="str">
        <f t="shared" si="353"/>
        <v xml:space="preserve"> </v>
      </c>
      <c r="HK125" s="10" t="str">
        <f t="shared" si="353"/>
        <v xml:space="preserve"> </v>
      </c>
      <c r="HL125" s="10" t="str">
        <f t="shared" si="353"/>
        <v xml:space="preserve"> </v>
      </c>
      <c r="HO125" s="10" t="str">
        <f t="shared" si="354"/>
        <v xml:space="preserve"> </v>
      </c>
      <c r="HP125" s="10" t="str">
        <f t="shared" si="354"/>
        <v xml:space="preserve"> </v>
      </c>
      <c r="HQ125" s="10" t="str">
        <f t="shared" si="354"/>
        <v xml:space="preserve"> </v>
      </c>
      <c r="HR125" s="10" t="str">
        <f t="shared" si="354"/>
        <v xml:space="preserve"> </v>
      </c>
      <c r="HS125" s="10" t="str">
        <f t="shared" si="354"/>
        <v xml:space="preserve"> </v>
      </c>
      <c r="HV125" s="10" t="str">
        <f t="shared" si="355"/>
        <v xml:space="preserve"> </v>
      </c>
      <c r="HW125" s="10" t="str">
        <f t="shared" si="355"/>
        <v xml:space="preserve"> </v>
      </c>
      <c r="HX125" s="10" t="str">
        <f t="shared" si="355"/>
        <v xml:space="preserve"> </v>
      </c>
      <c r="HY125" s="10" t="str">
        <f t="shared" si="355"/>
        <v xml:space="preserve"> </v>
      </c>
      <c r="HZ125" s="10" t="str">
        <f t="shared" si="355"/>
        <v xml:space="preserve"> </v>
      </c>
      <c r="IC125" s="10" t="str">
        <f t="shared" si="356"/>
        <v xml:space="preserve"> </v>
      </c>
      <c r="ID125" s="10" t="str">
        <f t="shared" si="356"/>
        <v xml:space="preserve"> </v>
      </c>
      <c r="IE125" s="10" t="str">
        <f t="shared" si="356"/>
        <v xml:space="preserve"> </v>
      </c>
      <c r="IF125" s="10" t="str">
        <f t="shared" si="356"/>
        <v xml:space="preserve"> </v>
      </c>
      <c r="IG125" s="10" t="str">
        <f t="shared" si="356"/>
        <v xml:space="preserve"> </v>
      </c>
      <c r="IJ125" s="10" t="str">
        <f t="shared" si="357"/>
        <v xml:space="preserve"> </v>
      </c>
      <c r="IK125" s="10" t="str">
        <f t="shared" si="357"/>
        <v xml:space="preserve"> </v>
      </c>
      <c r="IL125" s="10" t="str">
        <f t="shared" si="357"/>
        <v xml:space="preserve"> </v>
      </c>
      <c r="IM125" s="10" t="str">
        <f t="shared" si="357"/>
        <v xml:space="preserve"> </v>
      </c>
      <c r="IN125" s="10" t="str">
        <f t="shared" si="357"/>
        <v xml:space="preserve"> </v>
      </c>
      <c r="IQ125" s="10" t="str">
        <f t="shared" si="358"/>
        <v xml:space="preserve"> </v>
      </c>
      <c r="IR125" s="10" t="str">
        <f t="shared" si="358"/>
        <v xml:space="preserve"> </v>
      </c>
      <c r="IS125" s="10" t="str">
        <f t="shared" si="358"/>
        <v xml:space="preserve"> </v>
      </c>
      <c r="IT125" s="10" t="str">
        <f t="shared" si="358"/>
        <v xml:space="preserve"> </v>
      </c>
      <c r="IU125" s="10" t="str">
        <f t="shared" si="358"/>
        <v xml:space="preserve"> </v>
      </c>
      <c r="IX125" s="10" t="str">
        <f t="shared" si="359"/>
        <v xml:space="preserve"> </v>
      </c>
      <c r="IY125" s="10" t="str">
        <f t="shared" si="359"/>
        <v xml:space="preserve"> </v>
      </c>
      <c r="IZ125" s="10" t="str">
        <f t="shared" si="359"/>
        <v xml:space="preserve"> </v>
      </c>
      <c r="JA125" s="10" t="str">
        <f t="shared" si="359"/>
        <v xml:space="preserve"> </v>
      </c>
      <c r="JB125" s="10" t="str">
        <f t="shared" si="359"/>
        <v xml:space="preserve"> </v>
      </c>
      <c r="JE125" s="10" t="str">
        <f t="shared" si="360"/>
        <v xml:space="preserve"> </v>
      </c>
      <c r="JF125" s="10" t="str">
        <f t="shared" si="360"/>
        <v xml:space="preserve"> </v>
      </c>
      <c r="JG125" s="10" t="str">
        <f t="shared" si="360"/>
        <v xml:space="preserve"> </v>
      </c>
      <c r="JH125" s="10" t="str">
        <f t="shared" si="360"/>
        <v xml:space="preserve"> </v>
      </c>
      <c r="JI125" s="10" t="str">
        <f t="shared" si="360"/>
        <v xml:space="preserve"> </v>
      </c>
    </row>
    <row r="126" spans="13:269">
      <c r="M126" s="10" t="str">
        <f t="shared" si="324"/>
        <v xml:space="preserve"> </v>
      </c>
      <c r="N126" s="10" t="str">
        <f t="shared" si="324"/>
        <v xml:space="preserve"> </v>
      </c>
      <c r="O126" s="10" t="str">
        <f t="shared" si="324"/>
        <v xml:space="preserve"> </v>
      </c>
      <c r="P126" s="10" t="str">
        <f t="shared" si="324"/>
        <v xml:space="preserve"> </v>
      </c>
      <c r="Q126" s="10" t="str">
        <f t="shared" si="324"/>
        <v xml:space="preserve"> </v>
      </c>
      <c r="R126" s="14"/>
      <c r="S126" s="14"/>
      <c r="T126" s="10" t="str">
        <f t="shared" si="325"/>
        <v xml:space="preserve"> </v>
      </c>
      <c r="U126" s="10" t="str">
        <f t="shared" si="325"/>
        <v xml:space="preserve"> </v>
      </c>
      <c r="V126" s="10" t="str">
        <f t="shared" si="325"/>
        <v xml:space="preserve"> </v>
      </c>
      <c r="W126" s="10" t="str">
        <f t="shared" si="325"/>
        <v xml:space="preserve"> </v>
      </c>
      <c r="X126" s="10" t="str">
        <f t="shared" si="325"/>
        <v xml:space="preserve"> </v>
      </c>
      <c r="Y126" s="14"/>
      <c r="Z126" s="14"/>
      <c r="AA126" s="10" t="str">
        <f t="shared" si="326"/>
        <v xml:space="preserve"> </v>
      </c>
      <c r="AB126" s="10" t="str">
        <f t="shared" si="326"/>
        <v xml:space="preserve"> </v>
      </c>
      <c r="AC126" s="10" t="str">
        <f t="shared" si="326"/>
        <v xml:space="preserve"> </v>
      </c>
      <c r="AD126" s="10" t="str">
        <f t="shared" si="326"/>
        <v xml:space="preserve"> </v>
      </c>
      <c r="AE126" s="10" t="str">
        <f t="shared" si="326"/>
        <v xml:space="preserve"> </v>
      </c>
      <c r="AF126" s="14"/>
      <c r="AG126" s="14"/>
      <c r="AH126" s="10" t="str">
        <f t="shared" si="327"/>
        <v xml:space="preserve"> </v>
      </c>
      <c r="AI126" s="10" t="str">
        <f t="shared" si="327"/>
        <v xml:space="preserve"> </v>
      </c>
      <c r="AJ126" s="10" t="str">
        <f t="shared" si="327"/>
        <v xml:space="preserve"> </v>
      </c>
      <c r="AK126" s="10" t="str">
        <f t="shared" si="327"/>
        <v xml:space="preserve"> </v>
      </c>
      <c r="AL126" s="10" t="str">
        <f t="shared" si="327"/>
        <v xml:space="preserve"> </v>
      </c>
      <c r="AM126" s="14"/>
      <c r="AN126" s="14"/>
      <c r="AO126" s="10" t="str">
        <f t="shared" si="328"/>
        <v xml:space="preserve"> </v>
      </c>
      <c r="AP126" s="10" t="str">
        <f t="shared" si="328"/>
        <v xml:space="preserve"> </v>
      </c>
      <c r="AQ126" s="10" t="str">
        <f t="shared" si="328"/>
        <v xml:space="preserve"> </v>
      </c>
      <c r="AR126" s="10" t="str">
        <f t="shared" si="328"/>
        <v xml:space="preserve"> </v>
      </c>
      <c r="AS126" s="10" t="str">
        <f t="shared" si="328"/>
        <v xml:space="preserve"> </v>
      </c>
      <c r="AT126" s="14"/>
      <c r="AU126" s="14"/>
      <c r="AV126" s="10" t="str">
        <f t="shared" si="329"/>
        <v xml:space="preserve"> </v>
      </c>
      <c r="AW126" s="10" t="str">
        <f t="shared" si="329"/>
        <v xml:space="preserve"> </v>
      </c>
      <c r="AX126" s="10" t="str">
        <f t="shared" si="329"/>
        <v xml:space="preserve"> </v>
      </c>
      <c r="AY126" s="10" t="str">
        <f t="shared" si="329"/>
        <v xml:space="preserve"> </v>
      </c>
      <c r="AZ126" s="10" t="str">
        <f t="shared" si="329"/>
        <v xml:space="preserve"> </v>
      </c>
      <c r="BA126" s="14"/>
      <c r="BB126" s="14"/>
      <c r="BC126" s="10" t="str">
        <f t="shared" si="330"/>
        <v xml:space="preserve"> </v>
      </c>
      <c r="BD126" s="10" t="str">
        <f t="shared" si="330"/>
        <v xml:space="preserve"> </v>
      </c>
      <c r="BE126" s="10" t="str">
        <f t="shared" si="330"/>
        <v xml:space="preserve"> </v>
      </c>
      <c r="BF126" s="10" t="str">
        <f t="shared" si="330"/>
        <v xml:space="preserve"> </v>
      </c>
      <c r="BG126" s="10" t="str">
        <f t="shared" si="330"/>
        <v xml:space="preserve"> </v>
      </c>
      <c r="BH126" s="14"/>
      <c r="BI126" s="14"/>
      <c r="BJ126" s="10" t="str">
        <f t="shared" si="331"/>
        <v xml:space="preserve"> </v>
      </c>
      <c r="BK126" s="10" t="str">
        <f t="shared" si="331"/>
        <v xml:space="preserve"> </v>
      </c>
      <c r="BL126" s="10" t="str">
        <f t="shared" si="331"/>
        <v xml:space="preserve"> </v>
      </c>
      <c r="BM126" s="10" t="str">
        <f t="shared" si="331"/>
        <v xml:space="preserve"> </v>
      </c>
      <c r="BN126" s="10" t="str">
        <f t="shared" si="331"/>
        <v xml:space="preserve"> </v>
      </c>
      <c r="BO126" s="14"/>
      <c r="BP126" s="14"/>
      <c r="BQ126" s="10" t="str">
        <f t="shared" si="332"/>
        <v xml:space="preserve"> </v>
      </c>
      <c r="BR126" s="10" t="str">
        <f t="shared" si="332"/>
        <v xml:space="preserve"> </v>
      </c>
      <c r="BS126" s="10" t="str">
        <f t="shared" si="332"/>
        <v xml:space="preserve"> </v>
      </c>
      <c r="BT126" s="10" t="str">
        <f t="shared" si="332"/>
        <v xml:space="preserve"> </v>
      </c>
      <c r="BU126" s="10" t="str">
        <f t="shared" si="332"/>
        <v xml:space="preserve"> </v>
      </c>
      <c r="BV126" s="14"/>
      <c r="BW126" s="14"/>
      <c r="BX126" s="10" t="str">
        <f t="shared" si="333"/>
        <v xml:space="preserve"> </v>
      </c>
      <c r="BY126" s="10" t="str">
        <f t="shared" si="333"/>
        <v xml:space="preserve"> </v>
      </c>
      <c r="BZ126" s="10" t="str">
        <f t="shared" si="333"/>
        <v xml:space="preserve"> </v>
      </c>
      <c r="CA126" s="10" t="str">
        <f t="shared" si="333"/>
        <v xml:space="preserve"> </v>
      </c>
      <c r="CB126" s="10" t="str">
        <f t="shared" si="333"/>
        <v xml:space="preserve"> </v>
      </c>
      <c r="CC126" s="14"/>
      <c r="CD126" s="14"/>
      <c r="CE126" s="10" t="str">
        <f t="shared" si="334"/>
        <v xml:space="preserve"> </v>
      </c>
      <c r="CF126" s="10" t="str">
        <f t="shared" si="334"/>
        <v xml:space="preserve"> </v>
      </c>
      <c r="CG126" s="10" t="str">
        <f t="shared" si="334"/>
        <v xml:space="preserve"> </v>
      </c>
      <c r="CH126" s="10" t="str">
        <f t="shared" si="334"/>
        <v xml:space="preserve"> </v>
      </c>
      <c r="CI126" s="10" t="str">
        <f t="shared" si="334"/>
        <v xml:space="preserve"> </v>
      </c>
      <c r="CJ126" s="14"/>
      <c r="CK126" s="14"/>
      <c r="CL126" s="10" t="str">
        <f t="shared" si="335"/>
        <v xml:space="preserve"> </v>
      </c>
      <c r="CM126" s="10" t="str">
        <f t="shared" si="335"/>
        <v xml:space="preserve"> </v>
      </c>
      <c r="CN126" s="10" t="str">
        <f t="shared" si="335"/>
        <v xml:space="preserve"> </v>
      </c>
      <c r="CO126" s="10" t="str">
        <f t="shared" si="335"/>
        <v xml:space="preserve"> </v>
      </c>
      <c r="CP126" s="10" t="str">
        <f t="shared" si="335"/>
        <v xml:space="preserve"> </v>
      </c>
      <c r="CQ126" s="14"/>
      <c r="CR126" s="14"/>
      <c r="CS126" s="10" t="str">
        <f t="shared" si="336"/>
        <v xml:space="preserve"> </v>
      </c>
      <c r="CT126" s="10" t="str">
        <f t="shared" si="336"/>
        <v xml:space="preserve"> </v>
      </c>
      <c r="CU126" s="10" t="str">
        <f t="shared" si="336"/>
        <v xml:space="preserve"> </v>
      </c>
      <c r="CV126" s="10" t="str">
        <f t="shared" si="336"/>
        <v xml:space="preserve"> </v>
      </c>
      <c r="CW126" s="10" t="str">
        <f t="shared" si="336"/>
        <v xml:space="preserve"> </v>
      </c>
      <c r="CZ126" s="10" t="str">
        <f t="shared" si="337"/>
        <v xml:space="preserve"> </v>
      </c>
      <c r="DA126" s="10" t="str">
        <f t="shared" si="337"/>
        <v xml:space="preserve"> </v>
      </c>
      <c r="DB126" s="10" t="str">
        <f t="shared" si="337"/>
        <v xml:space="preserve"> </v>
      </c>
      <c r="DC126" s="10" t="str">
        <f t="shared" si="337"/>
        <v xml:space="preserve"> </v>
      </c>
      <c r="DD126" s="10" t="str">
        <f t="shared" si="337"/>
        <v xml:space="preserve"> </v>
      </c>
      <c r="DG126" s="10" t="str">
        <f t="shared" si="338"/>
        <v xml:space="preserve"> </v>
      </c>
      <c r="DH126" s="10" t="str">
        <f t="shared" si="338"/>
        <v xml:space="preserve"> </v>
      </c>
      <c r="DI126" s="10" t="str">
        <f t="shared" si="338"/>
        <v xml:space="preserve"> </v>
      </c>
      <c r="DJ126" s="10" t="str">
        <f t="shared" si="338"/>
        <v xml:space="preserve"> </v>
      </c>
      <c r="DK126" s="10" t="str">
        <f t="shared" si="338"/>
        <v xml:space="preserve"> </v>
      </c>
      <c r="DN126" s="10" t="str">
        <f t="shared" si="339"/>
        <v xml:space="preserve"> </v>
      </c>
      <c r="DO126" s="10" t="str">
        <f t="shared" si="339"/>
        <v xml:space="preserve"> </v>
      </c>
      <c r="DP126" s="10" t="str">
        <f t="shared" si="339"/>
        <v xml:space="preserve"> </v>
      </c>
      <c r="DQ126" s="10" t="str">
        <f t="shared" si="339"/>
        <v xml:space="preserve"> </v>
      </c>
      <c r="DR126" s="10" t="str">
        <f t="shared" si="339"/>
        <v xml:space="preserve"> </v>
      </c>
      <c r="DU126" s="10" t="str">
        <f t="shared" si="340"/>
        <v xml:space="preserve"> </v>
      </c>
      <c r="DV126" s="10" t="str">
        <f t="shared" si="340"/>
        <v xml:space="preserve"> </v>
      </c>
      <c r="DW126" s="10" t="str">
        <f t="shared" si="340"/>
        <v xml:space="preserve"> </v>
      </c>
      <c r="DX126" s="10" t="str">
        <f t="shared" si="340"/>
        <v xml:space="preserve"> </v>
      </c>
      <c r="DY126" s="10" t="str">
        <f t="shared" si="340"/>
        <v xml:space="preserve"> </v>
      </c>
      <c r="EB126" s="10" t="str">
        <f t="shared" si="341"/>
        <v xml:space="preserve"> </v>
      </c>
      <c r="EC126" s="10" t="str">
        <f t="shared" si="341"/>
        <v xml:space="preserve"> </v>
      </c>
      <c r="ED126" s="10" t="str">
        <f t="shared" si="341"/>
        <v xml:space="preserve"> </v>
      </c>
      <c r="EE126" s="10" t="str">
        <f t="shared" si="341"/>
        <v xml:space="preserve"> </v>
      </c>
      <c r="EF126" s="10" t="str">
        <f t="shared" si="341"/>
        <v xml:space="preserve"> </v>
      </c>
      <c r="EI126" s="10" t="str">
        <f t="shared" si="342"/>
        <v xml:space="preserve"> </v>
      </c>
      <c r="EJ126" s="10" t="str">
        <f t="shared" si="342"/>
        <v xml:space="preserve"> </v>
      </c>
      <c r="EK126" s="10" t="str">
        <f t="shared" si="342"/>
        <v xml:space="preserve"> </v>
      </c>
      <c r="EL126" s="10" t="str">
        <f t="shared" si="342"/>
        <v xml:space="preserve"> </v>
      </c>
      <c r="EM126" s="10" t="str">
        <f t="shared" si="342"/>
        <v xml:space="preserve"> </v>
      </c>
      <c r="EP126" s="10" t="str">
        <f t="shared" si="343"/>
        <v xml:space="preserve"> </v>
      </c>
      <c r="EQ126" s="10" t="str">
        <f t="shared" si="343"/>
        <v xml:space="preserve"> </v>
      </c>
      <c r="ER126" s="10" t="str">
        <f t="shared" si="343"/>
        <v xml:space="preserve"> </v>
      </c>
      <c r="ES126" s="10" t="str">
        <f t="shared" si="343"/>
        <v xml:space="preserve"> </v>
      </c>
      <c r="ET126" s="10" t="str">
        <f t="shared" si="343"/>
        <v xml:space="preserve"> </v>
      </c>
      <c r="EW126" s="10" t="str">
        <f t="shared" si="344"/>
        <v xml:space="preserve"> </v>
      </c>
      <c r="EX126" s="10" t="str">
        <f t="shared" si="344"/>
        <v xml:space="preserve"> </v>
      </c>
      <c r="EY126" s="10" t="str">
        <f t="shared" si="344"/>
        <v xml:space="preserve"> </v>
      </c>
      <c r="EZ126" s="10" t="str">
        <f t="shared" si="344"/>
        <v xml:space="preserve"> </v>
      </c>
      <c r="FA126" s="10" t="str">
        <f t="shared" si="344"/>
        <v xml:space="preserve"> </v>
      </c>
      <c r="FD126" s="10" t="str">
        <f t="shared" si="345"/>
        <v xml:space="preserve"> </v>
      </c>
      <c r="FE126" s="10" t="str">
        <f t="shared" si="345"/>
        <v xml:space="preserve"> </v>
      </c>
      <c r="FF126" s="10" t="str">
        <f t="shared" si="345"/>
        <v xml:space="preserve"> </v>
      </c>
      <c r="FG126" s="10" t="str">
        <f t="shared" si="345"/>
        <v xml:space="preserve"> </v>
      </c>
      <c r="FH126" s="10" t="str">
        <f t="shared" si="345"/>
        <v xml:space="preserve"> </v>
      </c>
      <c r="FK126" s="10" t="str">
        <f t="shared" si="346"/>
        <v xml:space="preserve"> </v>
      </c>
      <c r="FL126" s="10" t="str">
        <f t="shared" si="346"/>
        <v xml:space="preserve"> </v>
      </c>
      <c r="FM126" s="10" t="str">
        <f t="shared" si="346"/>
        <v xml:space="preserve"> </v>
      </c>
      <c r="FN126" s="10" t="str">
        <f t="shared" si="346"/>
        <v xml:space="preserve"> </v>
      </c>
      <c r="FO126" s="10" t="str">
        <f t="shared" si="346"/>
        <v xml:space="preserve"> </v>
      </c>
      <c r="FR126" s="10" t="str">
        <f t="shared" si="347"/>
        <v xml:space="preserve"> </v>
      </c>
      <c r="FS126" s="10" t="str">
        <f t="shared" si="347"/>
        <v xml:space="preserve"> </v>
      </c>
      <c r="FT126" s="10" t="str">
        <f t="shared" si="347"/>
        <v xml:space="preserve"> </v>
      </c>
      <c r="FU126" s="10" t="str">
        <f t="shared" si="347"/>
        <v xml:space="preserve"> </v>
      </c>
      <c r="FV126" s="10" t="str">
        <f t="shared" si="347"/>
        <v xml:space="preserve"> </v>
      </c>
      <c r="FY126" s="10" t="str">
        <f t="shared" si="348"/>
        <v xml:space="preserve"> </v>
      </c>
      <c r="FZ126" s="10" t="str">
        <f t="shared" si="348"/>
        <v xml:space="preserve"> </v>
      </c>
      <c r="GA126" s="10" t="str">
        <f t="shared" si="348"/>
        <v xml:space="preserve"> </v>
      </c>
      <c r="GB126" s="10" t="str">
        <f t="shared" si="348"/>
        <v xml:space="preserve"> </v>
      </c>
      <c r="GC126" s="10" t="str">
        <f t="shared" si="348"/>
        <v xml:space="preserve"> </v>
      </c>
      <c r="GF126" s="10" t="str">
        <f t="shared" si="349"/>
        <v xml:space="preserve"> </v>
      </c>
      <c r="GG126" s="10" t="str">
        <f t="shared" si="349"/>
        <v xml:space="preserve"> </v>
      </c>
      <c r="GH126" s="10" t="str">
        <f t="shared" si="349"/>
        <v xml:space="preserve"> </v>
      </c>
      <c r="GI126" s="10" t="str">
        <f t="shared" si="349"/>
        <v xml:space="preserve"> </v>
      </c>
      <c r="GJ126" s="10" t="str">
        <f t="shared" si="349"/>
        <v xml:space="preserve"> </v>
      </c>
      <c r="GM126" s="10" t="str">
        <f t="shared" si="350"/>
        <v xml:space="preserve"> </v>
      </c>
      <c r="GN126" s="10" t="str">
        <f t="shared" si="350"/>
        <v xml:space="preserve"> </v>
      </c>
      <c r="GO126" s="10" t="str">
        <f t="shared" si="350"/>
        <v xml:space="preserve"> </v>
      </c>
      <c r="GP126" s="10" t="str">
        <f t="shared" si="350"/>
        <v xml:space="preserve"> </v>
      </c>
      <c r="GQ126" s="10" t="str">
        <f t="shared" si="350"/>
        <v xml:space="preserve"> </v>
      </c>
      <c r="GT126" s="10" t="str">
        <f t="shared" si="351"/>
        <v xml:space="preserve"> </v>
      </c>
      <c r="GU126" s="10" t="str">
        <f t="shared" si="351"/>
        <v xml:space="preserve"> </v>
      </c>
      <c r="GV126" s="10" t="str">
        <f t="shared" si="351"/>
        <v xml:space="preserve"> </v>
      </c>
      <c r="GW126" s="10" t="str">
        <f t="shared" si="351"/>
        <v xml:space="preserve"> </v>
      </c>
      <c r="GX126" s="10" t="str">
        <f t="shared" si="351"/>
        <v xml:space="preserve"> </v>
      </c>
      <c r="HA126" s="10" t="str">
        <f t="shared" si="352"/>
        <v xml:space="preserve"> </v>
      </c>
      <c r="HB126" s="10" t="str">
        <f t="shared" si="352"/>
        <v xml:space="preserve"> </v>
      </c>
      <c r="HC126" s="10" t="str">
        <f t="shared" si="352"/>
        <v xml:space="preserve"> </v>
      </c>
      <c r="HD126" s="10" t="str">
        <f t="shared" si="352"/>
        <v xml:space="preserve"> </v>
      </c>
      <c r="HE126" s="10" t="str">
        <f t="shared" si="352"/>
        <v xml:space="preserve"> </v>
      </c>
      <c r="HH126" s="10" t="str">
        <f t="shared" si="353"/>
        <v xml:space="preserve"> </v>
      </c>
      <c r="HI126" s="10" t="str">
        <f t="shared" si="353"/>
        <v xml:space="preserve"> </v>
      </c>
      <c r="HJ126" s="10" t="str">
        <f t="shared" si="353"/>
        <v xml:space="preserve"> </v>
      </c>
      <c r="HK126" s="10" t="str">
        <f t="shared" si="353"/>
        <v xml:space="preserve"> </v>
      </c>
      <c r="HL126" s="10" t="str">
        <f t="shared" si="353"/>
        <v xml:space="preserve"> </v>
      </c>
      <c r="HO126" s="10" t="str">
        <f t="shared" si="354"/>
        <v xml:space="preserve"> </v>
      </c>
      <c r="HP126" s="10" t="str">
        <f t="shared" si="354"/>
        <v xml:space="preserve"> </v>
      </c>
      <c r="HQ126" s="10" t="str">
        <f t="shared" si="354"/>
        <v xml:space="preserve"> </v>
      </c>
      <c r="HR126" s="10" t="str">
        <f t="shared" si="354"/>
        <v xml:space="preserve"> </v>
      </c>
      <c r="HS126" s="10" t="str">
        <f t="shared" si="354"/>
        <v xml:space="preserve"> </v>
      </c>
      <c r="HV126" s="10" t="str">
        <f t="shared" si="355"/>
        <v xml:space="preserve"> </v>
      </c>
      <c r="HW126" s="10" t="str">
        <f t="shared" si="355"/>
        <v xml:space="preserve"> </v>
      </c>
      <c r="HX126" s="10" t="str">
        <f t="shared" si="355"/>
        <v xml:space="preserve"> </v>
      </c>
      <c r="HY126" s="10" t="str">
        <f t="shared" si="355"/>
        <v xml:space="preserve"> </v>
      </c>
      <c r="HZ126" s="10" t="str">
        <f t="shared" si="355"/>
        <v xml:space="preserve"> </v>
      </c>
      <c r="IC126" s="10" t="str">
        <f t="shared" si="356"/>
        <v xml:space="preserve"> </v>
      </c>
      <c r="ID126" s="10" t="str">
        <f t="shared" si="356"/>
        <v xml:space="preserve"> </v>
      </c>
      <c r="IE126" s="10" t="str">
        <f t="shared" si="356"/>
        <v xml:space="preserve"> </v>
      </c>
      <c r="IF126" s="10" t="str">
        <f t="shared" si="356"/>
        <v xml:space="preserve"> </v>
      </c>
      <c r="IG126" s="10" t="str">
        <f t="shared" si="356"/>
        <v xml:space="preserve"> </v>
      </c>
      <c r="IJ126" s="10" t="str">
        <f t="shared" si="357"/>
        <v xml:space="preserve"> </v>
      </c>
      <c r="IK126" s="10" t="str">
        <f t="shared" si="357"/>
        <v xml:space="preserve"> </v>
      </c>
      <c r="IL126" s="10" t="str">
        <f t="shared" si="357"/>
        <v xml:space="preserve"> </v>
      </c>
      <c r="IM126" s="10" t="str">
        <f t="shared" si="357"/>
        <v xml:space="preserve"> </v>
      </c>
      <c r="IN126" s="10" t="str">
        <f t="shared" si="357"/>
        <v xml:space="preserve"> </v>
      </c>
      <c r="IQ126" s="10" t="str">
        <f t="shared" si="358"/>
        <v xml:space="preserve"> </v>
      </c>
      <c r="IR126" s="10" t="str">
        <f t="shared" si="358"/>
        <v xml:space="preserve"> </v>
      </c>
      <c r="IS126" s="10" t="str">
        <f t="shared" si="358"/>
        <v xml:space="preserve"> </v>
      </c>
      <c r="IT126" s="10" t="str">
        <f t="shared" si="358"/>
        <v xml:space="preserve"> </v>
      </c>
      <c r="IU126" s="10" t="str">
        <f t="shared" si="358"/>
        <v xml:space="preserve"> </v>
      </c>
      <c r="IX126" s="10" t="str">
        <f t="shared" si="359"/>
        <v xml:space="preserve"> </v>
      </c>
      <c r="IY126" s="10" t="str">
        <f t="shared" si="359"/>
        <v xml:space="preserve"> </v>
      </c>
      <c r="IZ126" s="10" t="str">
        <f t="shared" si="359"/>
        <v xml:space="preserve"> </v>
      </c>
      <c r="JA126" s="10" t="str">
        <f t="shared" si="359"/>
        <v xml:space="preserve"> </v>
      </c>
      <c r="JB126" s="10" t="str">
        <f t="shared" si="359"/>
        <v xml:space="preserve"> </v>
      </c>
      <c r="JE126" s="10" t="str">
        <f t="shared" si="360"/>
        <v xml:space="preserve"> </v>
      </c>
      <c r="JF126" s="10" t="str">
        <f t="shared" si="360"/>
        <v xml:space="preserve"> </v>
      </c>
      <c r="JG126" s="10" t="str">
        <f t="shared" si="360"/>
        <v xml:space="preserve"> </v>
      </c>
      <c r="JH126" s="10" t="str">
        <f t="shared" si="360"/>
        <v xml:space="preserve"> </v>
      </c>
      <c r="JI126" s="10" t="str">
        <f t="shared" si="360"/>
        <v xml:space="preserve"> </v>
      </c>
    </row>
    <row r="127" spans="13:269">
      <c r="M127" s="10" t="str">
        <f t="shared" si="324"/>
        <v xml:space="preserve"> </v>
      </c>
      <c r="N127" s="10" t="str">
        <f t="shared" si="324"/>
        <v xml:space="preserve"> </v>
      </c>
      <c r="O127" s="10" t="str">
        <f t="shared" si="324"/>
        <v xml:space="preserve"> </v>
      </c>
      <c r="P127" s="10" t="str">
        <f t="shared" si="324"/>
        <v xml:space="preserve"> </v>
      </c>
      <c r="Q127" s="10" t="str">
        <f t="shared" si="324"/>
        <v xml:space="preserve"> </v>
      </c>
      <c r="R127" s="14"/>
      <c r="S127" s="14"/>
      <c r="T127" s="10" t="str">
        <f t="shared" si="325"/>
        <v xml:space="preserve"> </v>
      </c>
      <c r="U127" s="10" t="str">
        <f t="shared" si="325"/>
        <v xml:space="preserve"> </v>
      </c>
      <c r="V127" s="10" t="str">
        <f t="shared" si="325"/>
        <v xml:space="preserve"> </v>
      </c>
      <c r="W127" s="10" t="str">
        <f t="shared" si="325"/>
        <v xml:space="preserve"> </v>
      </c>
      <c r="X127" s="10" t="str">
        <f t="shared" si="325"/>
        <v xml:space="preserve"> </v>
      </c>
      <c r="Y127" s="14"/>
      <c r="Z127" s="14"/>
      <c r="AA127" s="10" t="str">
        <f t="shared" si="326"/>
        <v xml:space="preserve"> </v>
      </c>
      <c r="AB127" s="10" t="str">
        <f t="shared" si="326"/>
        <v xml:space="preserve"> </v>
      </c>
      <c r="AC127" s="10" t="str">
        <f t="shared" si="326"/>
        <v xml:space="preserve"> </v>
      </c>
      <c r="AD127" s="10" t="str">
        <f t="shared" si="326"/>
        <v xml:space="preserve"> </v>
      </c>
      <c r="AE127" s="10" t="str">
        <f t="shared" si="326"/>
        <v xml:space="preserve"> </v>
      </c>
      <c r="AF127" s="14"/>
      <c r="AG127" s="14"/>
      <c r="AH127" s="10" t="str">
        <f t="shared" si="327"/>
        <v xml:space="preserve"> </v>
      </c>
      <c r="AI127" s="10" t="str">
        <f t="shared" si="327"/>
        <v xml:space="preserve"> </v>
      </c>
      <c r="AJ127" s="10" t="str">
        <f t="shared" si="327"/>
        <v xml:space="preserve"> </v>
      </c>
      <c r="AK127" s="10" t="str">
        <f t="shared" si="327"/>
        <v xml:space="preserve"> </v>
      </c>
      <c r="AL127" s="10" t="str">
        <f t="shared" si="327"/>
        <v xml:space="preserve"> </v>
      </c>
      <c r="AM127" s="14"/>
      <c r="AN127" s="14"/>
      <c r="AO127" s="10" t="str">
        <f t="shared" si="328"/>
        <v xml:space="preserve"> </v>
      </c>
      <c r="AP127" s="10" t="str">
        <f t="shared" si="328"/>
        <v xml:space="preserve"> </v>
      </c>
      <c r="AQ127" s="10" t="str">
        <f t="shared" si="328"/>
        <v xml:space="preserve"> </v>
      </c>
      <c r="AR127" s="10" t="str">
        <f t="shared" si="328"/>
        <v xml:space="preserve"> </v>
      </c>
      <c r="AS127" s="10" t="str">
        <f t="shared" si="328"/>
        <v xml:space="preserve"> </v>
      </c>
      <c r="AT127" s="14"/>
      <c r="AU127" s="14"/>
      <c r="AV127" s="10" t="str">
        <f t="shared" si="329"/>
        <v xml:space="preserve"> </v>
      </c>
      <c r="AW127" s="10" t="str">
        <f t="shared" si="329"/>
        <v xml:space="preserve"> </v>
      </c>
      <c r="AX127" s="10" t="str">
        <f t="shared" si="329"/>
        <v xml:space="preserve"> </v>
      </c>
      <c r="AY127" s="10" t="str">
        <f t="shared" si="329"/>
        <v xml:space="preserve"> </v>
      </c>
      <c r="AZ127" s="10" t="str">
        <f t="shared" si="329"/>
        <v xml:space="preserve"> </v>
      </c>
      <c r="BA127" s="14"/>
      <c r="BB127" s="14"/>
      <c r="BC127" s="10" t="str">
        <f t="shared" si="330"/>
        <v xml:space="preserve"> </v>
      </c>
      <c r="BD127" s="10" t="str">
        <f t="shared" si="330"/>
        <v xml:space="preserve"> </v>
      </c>
      <c r="BE127" s="10" t="str">
        <f t="shared" si="330"/>
        <v xml:space="preserve"> </v>
      </c>
      <c r="BF127" s="10" t="str">
        <f t="shared" si="330"/>
        <v xml:space="preserve"> </v>
      </c>
      <c r="BG127" s="10" t="str">
        <f t="shared" si="330"/>
        <v xml:space="preserve"> </v>
      </c>
      <c r="BH127" s="14"/>
      <c r="BI127" s="14"/>
      <c r="BJ127" s="10" t="str">
        <f t="shared" si="331"/>
        <v xml:space="preserve"> </v>
      </c>
      <c r="BK127" s="10" t="str">
        <f t="shared" si="331"/>
        <v xml:space="preserve"> </v>
      </c>
      <c r="BL127" s="10" t="str">
        <f t="shared" si="331"/>
        <v xml:space="preserve"> </v>
      </c>
      <c r="BM127" s="10" t="str">
        <f t="shared" si="331"/>
        <v xml:space="preserve"> </v>
      </c>
      <c r="BN127" s="10" t="str">
        <f t="shared" si="331"/>
        <v xml:space="preserve"> </v>
      </c>
      <c r="BO127" s="14"/>
      <c r="BP127" s="14"/>
      <c r="BQ127" s="10" t="str">
        <f t="shared" si="332"/>
        <v xml:space="preserve"> </v>
      </c>
      <c r="BR127" s="10" t="str">
        <f t="shared" si="332"/>
        <v xml:space="preserve"> </v>
      </c>
      <c r="BS127" s="10" t="str">
        <f t="shared" si="332"/>
        <v xml:space="preserve"> </v>
      </c>
      <c r="BT127" s="10" t="str">
        <f t="shared" si="332"/>
        <v xml:space="preserve"> </v>
      </c>
      <c r="BU127" s="10" t="str">
        <f t="shared" si="332"/>
        <v xml:space="preserve"> </v>
      </c>
      <c r="BV127" s="14"/>
      <c r="BW127" s="14"/>
      <c r="BX127" s="10" t="str">
        <f t="shared" si="333"/>
        <v xml:space="preserve"> </v>
      </c>
      <c r="BY127" s="10" t="str">
        <f t="shared" si="333"/>
        <v xml:space="preserve"> </v>
      </c>
      <c r="BZ127" s="10" t="str">
        <f t="shared" si="333"/>
        <v xml:space="preserve"> </v>
      </c>
      <c r="CA127" s="10" t="str">
        <f t="shared" si="333"/>
        <v xml:space="preserve"> </v>
      </c>
      <c r="CB127" s="10" t="str">
        <f t="shared" si="333"/>
        <v xml:space="preserve"> </v>
      </c>
      <c r="CC127" s="14"/>
      <c r="CD127" s="14"/>
      <c r="CE127" s="10" t="str">
        <f t="shared" si="334"/>
        <v xml:space="preserve"> </v>
      </c>
      <c r="CF127" s="10" t="str">
        <f t="shared" si="334"/>
        <v xml:space="preserve"> </v>
      </c>
      <c r="CG127" s="10" t="str">
        <f t="shared" si="334"/>
        <v xml:space="preserve"> </v>
      </c>
      <c r="CH127" s="10" t="str">
        <f t="shared" si="334"/>
        <v xml:space="preserve"> </v>
      </c>
      <c r="CI127" s="10" t="str">
        <f t="shared" si="334"/>
        <v xml:space="preserve"> </v>
      </c>
      <c r="CJ127" s="14"/>
      <c r="CK127" s="14"/>
      <c r="CL127" s="10" t="str">
        <f t="shared" si="335"/>
        <v xml:space="preserve"> </v>
      </c>
      <c r="CM127" s="10" t="str">
        <f t="shared" si="335"/>
        <v xml:space="preserve"> </v>
      </c>
      <c r="CN127" s="10" t="str">
        <f t="shared" si="335"/>
        <v xml:space="preserve"> </v>
      </c>
      <c r="CO127" s="10" t="str">
        <f t="shared" si="335"/>
        <v xml:space="preserve"> </v>
      </c>
      <c r="CP127" s="10" t="str">
        <f t="shared" si="335"/>
        <v xml:space="preserve"> </v>
      </c>
      <c r="CQ127" s="14"/>
      <c r="CR127" s="14"/>
      <c r="CS127" s="10" t="str">
        <f t="shared" si="336"/>
        <v xml:space="preserve"> </v>
      </c>
      <c r="CT127" s="10" t="str">
        <f t="shared" si="336"/>
        <v xml:space="preserve"> </v>
      </c>
      <c r="CU127" s="10" t="str">
        <f t="shared" si="336"/>
        <v xml:space="preserve"> </v>
      </c>
      <c r="CV127" s="10" t="str">
        <f t="shared" si="336"/>
        <v xml:space="preserve"> </v>
      </c>
      <c r="CW127" s="10" t="str">
        <f t="shared" si="336"/>
        <v xml:space="preserve"> </v>
      </c>
      <c r="CZ127" s="10" t="str">
        <f t="shared" si="337"/>
        <v xml:space="preserve"> </v>
      </c>
      <c r="DA127" s="10" t="str">
        <f t="shared" si="337"/>
        <v xml:space="preserve"> </v>
      </c>
      <c r="DB127" s="10" t="str">
        <f t="shared" si="337"/>
        <v xml:space="preserve"> </v>
      </c>
      <c r="DC127" s="10" t="str">
        <f t="shared" si="337"/>
        <v xml:space="preserve"> </v>
      </c>
      <c r="DD127" s="10" t="str">
        <f t="shared" si="337"/>
        <v xml:space="preserve"> </v>
      </c>
      <c r="DG127" s="10" t="str">
        <f t="shared" si="338"/>
        <v xml:space="preserve"> </v>
      </c>
      <c r="DH127" s="10" t="str">
        <f t="shared" si="338"/>
        <v xml:space="preserve"> </v>
      </c>
      <c r="DI127" s="10" t="str">
        <f t="shared" si="338"/>
        <v xml:space="preserve"> </v>
      </c>
      <c r="DJ127" s="10" t="str">
        <f t="shared" si="338"/>
        <v xml:space="preserve"> </v>
      </c>
      <c r="DK127" s="10" t="str">
        <f t="shared" si="338"/>
        <v xml:space="preserve"> </v>
      </c>
      <c r="DN127" s="10" t="str">
        <f t="shared" si="339"/>
        <v xml:space="preserve"> </v>
      </c>
      <c r="DO127" s="10" t="str">
        <f t="shared" si="339"/>
        <v xml:space="preserve"> </v>
      </c>
      <c r="DP127" s="10" t="str">
        <f t="shared" si="339"/>
        <v xml:space="preserve"> </v>
      </c>
      <c r="DQ127" s="10" t="str">
        <f t="shared" si="339"/>
        <v xml:space="preserve"> </v>
      </c>
      <c r="DR127" s="10" t="str">
        <f t="shared" si="339"/>
        <v xml:space="preserve"> </v>
      </c>
      <c r="DU127" s="10" t="str">
        <f t="shared" si="340"/>
        <v xml:space="preserve"> </v>
      </c>
      <c r="DV127" s="10" t="str">
        <f t="shared" si="340"/>
        <v xml:space="preserve"> </v>
      </c>
      <c r="DW127" s="10" t="str">
        <f t="shared" si="340"/>
        <v xml:space="preserve"> </v>
      </c>
      <c r="DX127" s="10" t="str">
        <f t="shared" si="340"/>
        <v xml:space="preserve"> </v>
      </c>
      <c r="DY127" s="10" t="str">
        <f t="shared" si="340"/>
        <v xml:space="preserve"> </v>
      </c>
      <c r="EB127" s="10" t="str">
        <f t="shared" si="341"/>
        <v xml:space="preserve"> </v>
      </c>
      <c r="EC127" s="10" t="str">
        <f t="shared" si="341"/>
        <v xml:space="preserve"> </v>
      </c>
      <c r="ED127" s="10" t="str">
        <f t="shared" si="341"/>
        <v xml:space="preserve"> </v>
      </c>
      <c r="EE127" s="10" t="str">
        <f t="shared" si="341"/>
        <v xml:space="preserve"> </v>
      </c>
      <c r="EF127" s="10" t="str">
        <f t="shared" si="341"/>
        <v xml:space="preserve"> </v>
      </c>
      <c r="EI127" s="10" t="str">
        <f t="shared" si="342"/>
        <v xml:space="preserve"> </v>
      </c>
      <c r="EJ127" s="10" t="str">
        <f t="shared" si="342"/>
        <v xml:space="preserve"> </v>
      </c>
      <c r="EK127" s="10" t="str">
        <f t="shared" si="342"/>
        <v xml:space="preserve"> </v>
      </c>
      <c r="EL127" s="10" t="str">
        <f t="shared" si="342"/>
        <v xml:space="preserve"> </v>
      </c>
      <c r="EM127" s="10" t="str">
        <f t="shared" si="342"/>
        <v xml:space="preserve"> </v>
      </c>
      <c r="EP127" s="10" t="str">
        <f t="shared" si="343"/>
        <v xml:space="preserve"> </v>
      </c>
      <c r="EQ127" s="10" t="str">
        <f t="shared" si="343"/>
        <v xml:space="preserve"> </v>
      </c>
      <c r="ER127" s="10" t="str">
        <f t="shared" si="343"/>
        <v xml:space="preserve"> </v>
      </c>
      <c r="ES127" s="10" t="str">
        <f t="shared" si="343"/>
        <v xml:space="preserve"> </v>
      </c>
      <c r="ET127" s="10" t="str">
        <f t="shared" si="343"/>
        <v xml:space="preserve"> </v>
      </c>
      <c r="EW127" s="10" t="str">
        <f t="shared" si="344"/>
        <v xml:space="preserve"> </v>
      </c>
      <c r="EX127" s="10" t="str">
        <f t="shared" si="344"/>
        <v xml:space="preserve"> </v>
      </c>
      <c r="EY127" s="10" t="str">
        <f t="shared" si="344"/>
        <v xml:space="preserve"> </v>
      </c>
      <c r="EZ127" s="10" t="str">
        <f t="shared" si="344"/>
        <v xml:space="preserve"> </v>
      </c>
      <c r="FA127" s="10" t="str">
        <f t="shared" si="344"/>
        <v xml:space="preserve"> </v>
      </c>
      <c r="FD127" s="10" t="str">
        <f t="shared" si="345"/>
        <v xml:space="preserve"> </v>
      </c>
      <c r="FE127" s="10" t="str">
        <f t="shared" si="345"/>
        <v xml:space="preserve"> </v>
      </c>
      <c r="FF127" s="10" t="str">
        <f t="shared" si="345"/>
        <v xml:space="preserve"> </v>
      </c>
      <c r="FG127" s="10" t="str">
        <f t="shared" si="345"/>
        <v xml:space="preserve"> </v>
      </c>
      <c r="FH127" s="10" t="str">
        <f t="shared" si="345"/>
        <v xml:space="preserve"> </v>
      </c>
      <c r="FK127" s="10" t="str">
        <f t="shared" si="346"/>
        <v xml:space="preserve"> </v>
      </c>
      <c r="FL127" s="10" t="str">
        <f t="shared" si="346"/>
        <v xml:space="preserve"> </v>
      </c>
      <c r="FM127" s="10" t="str">
        <f t="shared" si="346"/>
        <v xml:space="preserve"> </v>
      </c>
      <c r="FN127" s="10" t="str">
        <f t="shared" si="346"/>
        <v xml:space="preserve"> </v>
      </c>
      <c r="FO127" s="10" t="str">
        <f t="shared" si="346"/>
        <v xml:space="preserve"> </v>
      </c>
      <c r="FR127" s="10" t="str">
        <f t="shared" si="347"/>
        <v xml:space="preserve"> </v>
      </c>
      <c r="FS127" s="10" t="str">
        <f t="shared" si="347"/>
        <v xml:space="preserve"> </v>
      </c>
      <c r="FT127" s="10" t="str">
        <f t="shared" si="347"/>
        <v xml:space="preserve"> </v>
      </c>
      <c r="FU127" s="10" t="str">
        <f t="shared" si="347"/>
        <v xml:space="preserve"> </v>
      </c>
      <c r="FV127" s="10" t="str">
        <f t="shared" si="347"/>
        <v xml:space="preserve"> </v>
      </c>
      <c r="FY127" s="10" t="str">
        <f t="shared" si="348"/>
        <v xml:space="preserve"> </v>
      </c>
      <c r="FZ127" s="10" t="str">
        <f t="shared" si="348"/>
        <v xml:space="preserve"> </v>
      </c>
      <c r="GA127" s="10" t="str">
        <f t="shared" si="348"/>
        <v xml:space="preserve"> </v>
      </c>
      <c r="GB127" s="10" t="str">
        <f t="shared" si="348"/>
        <v xml:space="preserve"> </v>
      </c>
      <c r="GC127" s="10" t="str">
        <f t="shared" si="348"/>
        <v xml:space="preserve"> </v>
      </c>
      <c r="GF127" s="10" t="str">
        <f t="shared" si="349"/>
        <v xml:space="preserve"> </v>
      </c>
      <c r="GG127" s="10" t="str">
        <f t="shared" si="349"/>
        <v xml:space="preserve"> </v>
      </c>
      <c r="GH127" s="10" t="str">
        <f t="shared" si="349"/>
        <v xml:space="preserve"> </v>
      </c>
      <c r="GI127" s="10" t="str">
        <f t="shared" si="349"/>
        <v xml:space="preserve"> </v>
      </c>
      <c r="GJ127" s="10" t="str">
        <f t="shared" si="349"/>
        <v xml:space="preserve"> </v>
      </c>
      <c r="GM127" s="10" t="str">
        <f t="shared" si="350"/>
        <v xml:space="preserve"> </v>
      </c>
      <c r="GN127" s="10" t="str">
        <f t="shared" si="350"/>
        <v xml:space="preserve"> </v>
      </c>
      <c r="GO127" s="10" t="str">
        <f t="shared" si="350"/>
        <v xml:space="preserve"> </v>
      </c>
      <c r="GP127" s="10" t="str">
        <f t="shared" si="350"/>
        <v xml:space="preserve"> </v>
      </c>
      <c r="GQ127" s="10" t="str">
        <f t="shared" si="350"/>
        <v xml:space="preserve"> </v>
      </c>
      <c r="GT127" s="10" t="str">
        <f t="shared" si="351"/>
        <v xml:space="preserve"> </v>
      </c>
      <c r="GU127" s="10" t="str">
        <f t="shared" si="351"/>
        <v xml:space="preserve"> </v>
      </c>
      <c r="GV127" s="10" t="str">
        <f t="shared" si="351"/>
        <v xml:space="preserve"> </v>
      </c>
      <c r="GW127" s="10" t="str">
        <f t="shared" si="351"/>
        <v xml:space="preserve"> </v>
      </c>
      <c r="GX127" s="10" t="str">
        <f t="shared" si="351"/>
        <v xml:space="preserve"> </v>
      </c>
      <c r="HA127" s="10" t="str">
        <f t="shared" si="352"/>
        <v xml:space="preserve"> </v>
      </c>
      <c r="HB127" s="10" t="str">
        <f t="shared" si="352"/>
        <v xml:space="preserve"> </v>
      </c>
      <c r="HC127" s="10" t="str">
        <f t="shared" si="352"/>
        <v xml:space="preserve"> </v>
      </c>
      <c r="HD127" s="10" t="str">
        <f t="shared" si="352"/>
        <v xml:space="preserve"> </v>
      </c>
      <c r="HE127" s="10" t="str">
        <f t="shared" si="352"/>
        <v xml:space="preserve"> </v>
      </c>
      <c r="HH127" s="10" t="str">
        <f t="shared" si="353"/>
        <v xml:space="preserve"> </v>
      </c>
      <c r="HI127" s="10" t="str">
        <f t="shared" si="353"/>
        <v xml:space="preserve"> </v>
      </c>
      <c r="HJ127" s="10" t="str">
        <f t="shared" si="353"/>
        <v xml:space="preserve"> </v>
      </c>
      <c r="HK127" s="10" t="str">
        <f t="shared" si="353"/>
        <v xml:space="preserve"> </v>
      </c>
      <c r="HL127" s="10" t="str">
        <f t="shared" si="353"/>
        <v xml:space="preserve"> </v>
      </c>
      <c r="HO127" s="10" t="str">
        <f t="shared" si="354"/>
        <v xml:space="preserve"> </v>
      </c>
      <c r="HP127" s="10" t="str">
        <f t="shared" si="354"/>
        <v xml:space="preserve"> </v>
      </c>
      <c r="HQ127" s="10" t="str">
        <f t="shared" si="354"/>
        <v xml:space="preserve"> </v>
      </c>
      <c r="HR127" s="10" t="str">
        <f t="shared" si="354"/>
        <v xml:space="preserve"> </v>
      </c>
      <c r="HS127" s="10" t="str">
        <f t="shared" si="354"/>
        <v xml:space="preserve"> </v>
      </c>
      <c r="HV127" s="10" t="str">
        <f t="shared" si="355"/>
        <v xml:space="preserve"> </v>
      </c>
      <c r="HW127" s="10" t="str">
        <f t="shared" si="355"/>
        <v xml:space="preserve"> </v>
      </c>
      <c r="HX127" s="10" t="str">
        <f t="shared" si="355"/>
        <v xml:space="preserve"> </v>
      </c>
      <c r="HY127" s="10" t="str">
        <f t="shared" si="355"/>
        <v xml:space="preserve"> </v>
      </c>
      <c r="HZ127" s="10" t="str">
        <f t="shared" si="355"/>
        <v xml:space="preserve"> </v>
      </c>
      <c r="IC127" s="10" t="str">
        <f t="shared" si="356"/>
        <v xml:space="preserve"> </v>
      </c>
      <c r="ID127" s="10" t="str">
        <f t="shared" si="356"/>
        <v xml:space="preserve"> </v>
      </c>
      <c r="IE127" s="10" t="str">
        <f t="shared" si="356"/>
        <v xml:space="preserve"> </v>
      </c>
      <c r="IF127" s="10" t="str">
        <f t="shared" si="356"/>
        <v xml:space="preserve"> </v>
      </c>
      <c r="IG127" s="10" t="str">
        <f t="shared" si="356"/>
        <v xml:space="preserve"> </v>
      </c>
      <c r="IJ127" s="10" t="str">
        <f t="shared" si="357"/>
        <v xml:space="preserve"> </v>
      </c>
      <c r="IK127" s="10" t="str">
        <f t="shared" si="357"/>
        <v xml:space="preserve"> </v>
      </c>
      <c r="IL127" s="10" t="str">
        <f t="shared" si="357"/>
        <v xml:space="preserve"> </v>
      </c>
      <c r="IM127" s="10" t="str">
        <f t="shared" si="357"/>
        <v xml:space="preserve"> </v>
      </c>
      <c r="IN127" s="10" t="str">
        <f t="shared" si="357"/>
        <v xml:space="preserve"> </v>
      </c>
      <c r="IQ127" s="10" t="str">
        <f t="shared" si="358"/>
        <v xml:space="preserve"> </v>
      </c>
      <c r="IR127" s="10" t="str">
        <f t="shared" si="358"/>
        <v xml:space="preserve"> </v>
      </c>
      <c r="IS127" s="10" t="str">
        <f t="shared" si="358"/>
        <v xml:space="preserve"> </v>
      </c>
      <c r="IT127" s="10" t="str">
        <f t="shared" si="358"/>
        <v xml:space="preserve"> </v>
      </c>
      <c r="IU127" s="10" t="str">
        <f t="shared" si="358"/>
        <v xml:space="preserve"> </v>
      </c>
      <c r="IX127" s="10" t="str">
        <f t="shared" si="359"/>
        <v xml:space="preserve"> </v>
      </c>
      <c r="IY127" s="10" t="str">
        <f t="shared" si="359"/>
        <v xml:space="preserve"> </v>
      </c>
      <c r="IZ127" s="10" t="str">
        <f t="shared" si="359"/>
        <v xml:space="preserve"> </v>
      </c>
      <c r="JA127" s="10" t="str">
        <f t="shared" si="359"/>
        <v xml:space="preserve"> </v>
      </c>
      <c r="JB127" s="10" t="str">
        <f t="shared" si="359"/>
        <v xml:space="preserve"> </v>
      </c>
      <c r="JE127" s="10" t="str">
        <f t="shared" si="360"/>
        <v xml:space="preserve"> </v>
      </c>
      <c r="JF127" s="10" t="str">
        <f t="shared" si="360"/>
        <v xml:space="preserve"> </v>
      </c>
      <c r="JG127" s="10" t="str">
        <f t="shared" si="360"/>
        <v xml:space="preserve"> </v>
      </c>
      <c r="JH127" s="10" t="str">
        <f t="shared" si="360"/>
        <v xml:space="preserve"> </v>
      </c>
      <c r="JI127" s="10" t="str">
        <f t="shared" si="360"/>
        <v xml:space="preserve"> </v>
      </c>
    </row>
    <row r="128" spans="13:269">
      <c r="M128" s="10" t="str">
        <f t="shared" si="324"/>
        <v xml:space="preserve"> </v>
      </c>
      <c r="N128" s="10" t="str">
        <f t="shared" si="324"/>
        <v xml:space="preserve"> </v>
      </c>
      <c r="O128" s="10" t="str">
        <f t="shared" si="324"/>
        <v xml:space="preserve"> </v>
      </c>
      <c r="P128" s="10" t="str">
        <f t="shared" si="324"/>
        <v xml:space="preserve"> </v>
      </c>
      <c r="Q128" s="10" t="str">
        <f t="shared" si="324"/>
        <v xml:space="preserve"> </v>
      </c>
      <c r="R128" s="14"/>
      <c r="S128" s="14"/>
      <c r="T128" s="10" t="str">
        <f t="shared" si="325"/>
        <v xml:space="preserve"> </v>
      </c>
      <c r="U128" s="10" t="str">
        <f t="shared" si="325"/>
        <v xml:space="preserve"> </v>
      </c>
      <c r="V128" s="10" t="str">
        <f t="shared" si="325"/>
        <v xml:space="preserve"> </v>
      </c>
      <c r="W128" s="10" t="str">
        <f t="shared" si="325"/>
        <v xml:space="preserve"> </v>
      </c>
      <c r="X128" s="10" t="str">
        <f t="shared" si="325"/>
        <v xml:space="preserve"> </v>
      </c>
      <c r="Y128" s="14"/>
      <c r="Z128" s="14"/>
      <c r="AA128" s="10" t="str">
        <f t="shared" si="326"/>
        <v xml:space="preserve"> </v>
      </c>
      <c r="AB128" s="10" t="str">
        <f t="shared" si="326"/>
        <v xml:space="preserve"> </v>
      </c>
      <c r="AC128" s="10" t="str">
        <f t="shared" si="326"/>
        <v xml:space="preserve"> </v>
      </c>
      <c r="AD128" s="10" t="str">
        <f t="shared" si="326"/>
        <v xml:space="preserve"> </v>
      </c>
      <c r="AE128" s="10" t="str">
        <f t="shared" si="326"/>
        <v xml:space="preserve"> </v>
      </c>
      <c r="AF128" s="14"/>
      <c r="AG128" s="14"/>
      <c r="AH128" s="10" t="str">
        <f t="shared" si="327"/>
        <v xml:space="preserve"> </v>
      </c>
      <c r="AI128" s="10" t="str">
        <f t="shared" si="327"/>
        <v xml:space="preserve"> </v>
      </c>
      <c r="AJ128" s="10" t="str">
        <f t="shared" si="327"/>
        <v xml:space="preserve"> </v>
      </c>
      <c r="AK128" s="10" t="str">
        <f t="shared" si="327"/>
        <v xml:space="preserve"> </v>
      </c>
      <c r="AL128" s="10" t="str">
        <f t="shared" si="327"/>
        <v xml:space="preserve"> </v>
      </c>
      <c r="AM128" s="14"/>
      <c r="AN128" s="14"/>
      <c r="AO128" s="10" t="str">
        <f t="shared" si="328"/>
        <v xml:space="preserve"> </v>
      </c>
      <c r="AP128" s="10" t="str">
        <f t="shared" si="328"/>
        <v xml:space="preserve"> </v>
      </c>
      <c r="AQ128" s="10" t="str">
        <f t="shared" si="328"/>
        <v xml:space="preserve"> </v>
      </c>
      <c r="AR128" s="10" t="str">
        <f t="shared" si="328"/>
        <v xml:space="preserve"> </v>
      </c>
      <c r="AS128" s="10" t="str">
        <f t="shared" si="328"/>
        <v xml:space="preserve"> </v>
      </c>
      <c r="AT128" s="14"/>
      <c r="AU128" s="14"/>
      <c r="AV128" s="10" t="str">
        <f t="shared" si="329"/>
        <v xml:space="preserve"> </v>
      </c>
      <c r="AW128" s="10" t="str">
        <f t="shared" si="329"/>
        <v xml:space="preserve"> </v>
      </c>
      <c r="AX128" s="10" t="str">
        <f t="shared" si="329"/>
        <v xml:space="preserve"> </v>
      </c>
      <c r="AY128" s="10" t="str">
        <f t="shared" si="329"/>
        <v xml:space="preserve"> </v>
      </c>
      <c r="AZ128" s="10" t="str">
        <f t="shared" si="329"/>
        <v xml:space="preserve"> </v>
      </c>
      <c r="BA128" s="14"/>
      <c r="BB128" s="14"/>
      <c r="BC128" s="10" t="str">
        <f t="shared" si="330"/>
        <v xml:space="preserve"> </v>
      </c>
      <c r="BD128" s="10" t="str">
        <f t="shared" si="330"/>
        <v xml:space="preserve"> </v>
      </c>
      <c r="BE128" s="10" t="str">
        <f t="shared" si="330"/>
        <v xml:space="preserve"> </v>
      </c>
      <c r="BF128" s="10" t="str">
        <f t="shared" si="330"/>
        <v xml:space="preserve"> </v>
      </c>
      <c r="BG128" s="10" t="str">
        <f t="shared" si="330"/>
        <v xml:space="preserve"> </v>
      </c>
      <c r="BH128" s="14"/>
      <c r="BI128" s="14"/>
      <c r="BJ128" s="10" t="str">
        <f t="shared" si="331"/>
        <v xml:space="preserve"> </v>
      </c>
      <c r="BK128" s="10" t="str">
        <f t="shared" si="331"/>
        <v xml:space="preserve"> </v>
      </c>
      <c r="BL128" s="10" t="str">
        <f t="shared" si="331"/>
        <v xml:space="preserve"> </v>
      </c>
      <c r="BM128" s="10" t="str">
        <f t="shared" si="331"/>
        <v xml:space="preserve"> </v>
      </c>
      <c r="BN128" s="10" t="str">
        <f t="shared" si="331"/>
        <v xml:space="preserve"> </v>
      </c>
      <c r="BO128" s="14"/>
      <c r="BP128" s="14"/>
      <c r="BQ128" s="10" t="str">
        <f t="shared" si="332"/>
        <v xml:space="preserve"> </v>
      </c>
      <c r="BR128" s="10" t="str">
        <f t="shared" si="332"/>
        <v xml:space="preserve"> </v>
      </c>
      <c r="BS128" s="10" t="str">
        <f t="shared" si="332"/>
        <v xml:space="preserve"> </v>
      </c>
      <c r="BT128" s="10" t="str">
        <f t="shared" si="332"/>
        <v xml:space="preserve"> </v>
      </c>
      <c r="BU128" s="10" t="str">
        <f t="shared" si="332"/>
        <v xml:space="preserve"> </v>
      </c>
      <c r="BV128" s="14"/>
      <c r="BW128" s="14"/>
      <c r="BX128" s="10" t="str">
        <f t="shared" si="333"/>
        <v xml:space="preserve"> </v>
      </c>
      <c r="BY128" s="10" t="str">
        <f t="shared" si="333"/>
        <v xml:space="preserve"> </v>
      </c>
      <c r="BZ128" s="10" t="str">
        <f t="shared" si="333"/>
        <v xml:space="preserve"> </v>
      </c>
      <c r="CA128" s="10" t="str">
        <f t="shared" si="333"/>
        <v xml:space="preserve"> </v>
      </c>
      <c r="CB128" s="10" t="str">
        <f t="shared" si="333"/>
        <v xml:space="preserve"> </v>
      </c>
      <c r="CC128" s="14"/>
      <c r="CD128" s="14"/>
      <c r="CE128" s="10" t="str">
        <f t="shared" si="334"/>
        <v xml:space="preserve"> </v>
      </c>
      <c r="CF128" s="10" t="str">
        <f t="shared" si="334"/>
        <v xml:space="preserve"> </v>
      </c>
      <c r="CG128" s="10" t="str">
        <f t="shared" si="334"/>
        <v xml:space="preserve"> </v>
      </c>
      <c r="CH128" s="10" t="str">
        <f t="shared" si="334"/>
        <v xml:space="preserve"> </v>
      </c>
      <c r="CI128" s="10" t="str">
        <f t="shared" si="334"/>
        <v xml:space="preserve"> </v>
      </c>
      <c r="CJ128" s="14"/>
      <c r="CK128" s="14"/>
      <c r="CL128" s="10" t="str">
        <f t="shared" si="335"/>
        <v xml:space="preserve"> </v>
      </c>
      <c r="CM128" s="10" t="str">
        <f t="shared" si="335"/>
        <v xml:space="preserve"> </v>
      </c>
      <c r="CN128" s="10" t="str">
        <f t="shared" si="335"/>
        <v xml:space="preserve"> </v>
      </c>
      <c r="CO128" s="10" t="str">
        <f t="shared" si="335"/>
        <v xml:space="preserve"> </v>
      </c>
      <c r="CP128" s="10" t="str">
        <f t="shared" si="335"/>
        <v xml:space="preserve"> </v>
      </c>
      <c r="CQ128" s="14"/>
      <c r="CR128" s="14"/>
      <c r="CS128" s="10" t="str">
        <f t="shared" si="336"/>
        <v xml:space="preserve"> </v>
      </c>
      <c r="CT128" s="10" t="str">
        <f t="shared" si="336"/>
        <v xml:space="preserve"> </v>
      </c>
      <c r="CU128" s="10" t="str">
        <f t="shared" si="336"/>
        <v xml:space="preserve"> </v>
      </c>
      <c r="CV128" s="10" t="str">
        <f t="shared" si="336"/>
        <v xml:space="preserve"> </v>
      </c>
      <c r="CW128" s="10" t="str">
        <f t="shared" si="336"/>
        <v xml:space="preserve"> </v>
      </c>
      <c r="CZ128" s="10" t="str">
        <f t="shared" si="337"/>
        <v xml:space="preserve"> </v>
      </c>
      <c r="DA128" s="10" t="str">
        <f t="shared" si="337"/>
        <v xml:space="preserve"> </v>
      </c>
      <c r="DB128" s="10" t="str">
        <f t="shared" si="337"/>
        <v xml:space="preserve"> </v>
      </c>
      <c r="DC128" s="10" t="str">
        <f t="shared" si="337"/>
        <v xml:space="preserve"> </v>
      </c>
      <c r="DD128" s="10" t="str">
        <f t="shared" si="337"/>
        <v xml:space="preserve"> </v>
      </c>
      <c r="DG128" s="10" t="str">
        <f t="shared" si="338"/>
        <v xml:space="preserve"> </v>
      </c>
      <c r="DH128" s="10" t="str">
        <f t="shared" si="338"/>
        <v xml:space="preserve"> </v>
      </c>
      <c r="DI128" s="10" t="str">
        <f t="shared" si="338"/>
        <v xml:space="preserve"> </v>
      </c>
      <c r="DJ128" s="10" t="str">
        <f t="shared" si="338"/>
        <v xml:space="preserve"> </v>
      </c>
      <c r="DK128" s="10" t="str">
        <f t="shared" si="338"/>
        <v xml:space="preserve"> </v>
      </c>
      <c r="DN128" s="10" t="str">
        <f t="shared" si="339"/>
        <v xml:space="preserve"> </v>
      </c>
      <c r="DO128" s="10" t="str">
        <f t="shared" si="339"/>
        <v xml:space="preserve"> </v>
      </c>
      <c r="DP128" s="10" t="str">
        <f t="shared" si="339"/>
        <v xml:space="preserve"> </v>
      </c>
      <c r="DQ128" s="10" t="str">
        <f t="shared" si="339"/>
        <v xml:space="preserve"> </v>
      </c>
      <c r="DR128" s="10" t="str">
        <f t="shared" si="339"/>
        <v xml:space="preserve"> </v>
      </c>
      <c r="DU128" s="10" t="str">
        <f t="shared" si="340"/>
        <v xml:space="preserve"> </v>
      </c>
      <c r="DV128" s="10" t="str">
        <f t="shared" si="340"/>
        <v xml:space="preserve"> </v>
      </c>
      <c r="DW128" s="10" t="str">
        <f t="shared" si="340"/>
        <v xml:space="preserve"> </v>
      </c>
      <c r="DX128" s="10" t="str">
        <f t="shared" si="340"/>
        <v xml:space="preserve"> </v>
      </c>
      <c r="DY128" s="10" t="str">
        <f t="shared" si="340"/>
        <v xml:space="preserve"> </v>
      </c>
      <c r="EB128" s="10" t="str">
        <f t="shared" si="341"/>
        <v xml:space="preserve"> </v>
      </c>
      <c r="EC128" s="10" t="str">
        <f t="shared" si="341"/>
        <v xml:space="preserve"> </v>
      </c>
      <c r="ED128" s="10" t="str">
        <f t="shared" si="341"/>
        <v xml:space="preserve"> </v>
      </c>
      <c r="EE128" s="10" t="str">
        <f t="shared" si="341"/>
        <v xml:space="preserve"> </v>
      </c>
      <c r="EF128" s="10" t="str">
        <f t="shared" si="341"/>
        <v xml:space="preserve"> </v>
      </c>
      <c r="EI128" s="10" t="str">
        <f t="shared" si="342"/>
        <v xml:space="preserve"> </v>
      </c>
      <c r="EJ128" s="10" t="str">
        <f t="shared" si="342"/>
        <v xml:space="preserve"> </v>
      </c>
      <c r="EK128" s="10" t="str">
        <f t="shared" si="342"/>
        <v xml:space="preserve"> </v>
      </c>
      <c r="EL128" s="10" t="str">
        <f t="shared" si="342"/>
        <v xml:space="preserve"> </v>
      </c>
      <c r="EM128" s="10" t="str">
        <f t="shared" si="342"/>
        <v xml:space="preserve"> </v>
      </c>
      <c r="EP128" s="10" t="str">
        <f t="shared" si="343"/>
        <v xml:space="preserve"> </v>
      </c>
      <c r="EQ128" s="10" t="str">
        <f t="shared" si="343"/>
        <v xml:space="preserve"> </v>
      </c>
      <c r="ER128" s="10" t="str">
        <f t="shared" si="343"/>
        <v xml:space="preserve"> </v>
      </c>
      <c r="ES128" s="10" t="str">
        <f t="shared" si="343"/>
        <v xml:space="preserve"> </v>
      </c>
      <c r="ET128" s="10" t="str">
        <f t="shared" si="343"/>
        <v xml:space="preserve"> </v>
      </c>
      <c r="EW128" s="10" t="str">
        <f t="shared" si="344"/>
        <v xml:space="preserve"> </v>
      </c>
      <c r="EX128" s="10" t="str">
        <f t="shared" si="344"/>
        <v xml:space="preserve"> </v>
      </c>
      <c r="EY128" s="10" t="str">
        <f t="shared" si="344"/>
        <v xml:space="preserve"> </v>
      </c>
      <c r="EZ128" s="10" t="str">
        <f t="shared" si="344"/>
        <v xml:space="preserve"> </v>
      </c>
      <c r="FA128" s="10" t="str">
        <f t="shared" si="344"/>
        <v xml:space="preserve"> </v>
      </c>
      <c r="FD128" s="10" t="str">
        <f t="shared" si="345"/>
        <v xml:space="preserve"> </v>
      </c>
      <c r="FE128" s="10" t="str">
        <f t="shared" si="345"/>
        <v xml:space="preserve"> </v>
      </c>
      <c r="FF128" s="10" t="str">
        <f t="shared" si="345"/>
        <v xml:space="preserve"> </v>
      </c>
      <c r="FG128" s="10" t="str">
        <f t="shared" si="345"/>
        <v xml:space="preserve"> </v>
      </c>
      <c r="FH128" s="10" t="str">
        <f t="shared" si="345"/>
        <v xml:space="preserve"> </v>
      </c>
      <c r="FK128" s="10" t="str">
        <f t="shared" si="346"/>
        <v xml:space="preserve"> </v>
      </c>
      <c r="FL128" s="10" t="str">
        <f t="shared" si="346"/>
        <v xml:space="preserve"> </v>
      </c>
      <c r="FM128" s="10" t="str">
        <f t="shared" si="346"/>
        <v xml:space="preserve"> </v>
      </c>
      <c r="FN128" s="10" t="str">
        <f t="shared" si="346"/>
        <v xml:space="preserve"> </v>
      </c>
      <c r="FO128" s="10" t="str">
        <f t="shared" si="346"/>
        <v xml:space="preserve"> </v>
      </c>
      <c r="FR128" s="10" t="str">
        <f t="shared" si="347"/>
        <v xml:space="preserve"> </v>
      </c>
      <c r="FS128" s="10" t="str">
        <f t="shared" si="347"/>
        <v xml:space="preserve"> </v>
      </c>
      <c r="FT128" s="10" t="str">
        <f t="shared" si="347"/>
        <v xml:space="preserve"> </v>
      </c>
      <c r="FU128" s="10" t="str">
        <f t="shared" si="347"/>
        <v xml:space="preserve"> </v>
      </c>
      <c r="FV128" s="10" t="str">
        <f t="shared" si="347"/>
        <v xml:space="preserve"> </v>
      </c>
      <c r="FY128" s="10" t="str">
        <f t="shared" si="348"/>
        <v xml:space="preserve"> </v>
      </c>
      <c r="FZ128" s="10" t="str">
        <f t="shared" si="348"/>
        <v xml:space="preserve"> </v>
      </c>
      <c r="GA128" s="10" t="str">
        <f t="shared" si="348"/>
        <v xml:space="preserve"> </v>
      </c>
      <c r="GB128" s="10" t="str">
        <f t="shared" si="348"/>
        <v xml:space="preserve"> </v>
      </c>
      <c r="GC128" s="10" t="str">
        <f t="shared" si="348"/>
        <v xml:space="preserve"> </v>
      </c>
      <c r="GF128" s="10" t="str">
        <f t="shared" si="349"/>
        <v xml:space="preserve"> </v>
      </c>
      <c r="GG128" s="10" t="str">
        <f t="shared" si="349"/>
        <v xml:space="preserve"> </v>
      </c>
      <c r="GH128" s="10" t="str">
        <f t="shared" si="349"/>
        <v xml:space="preserve"> </v>
      </c>
      <c r="GI128" s="10" t="str">
        <f t="shared" si="349"/>
        <v xml:space="preserve"> </v>
      </c>
      <c r="GJ128" s="10" t="str">
        <f t="shared" si="349"/>
        <v xml:space="preserve"> </v>
      </c>
      <c r="GM128" s="10" t="str">
        <f t="shared" si="350"/>
        <v xml:space="preserve"> </v>
      </c>
      <c r="GN128" s="10" t="str">
        <f t="shared" si="350"/>
        <v xml:space="preserve"> </v>
      </c>
      <c r="GO128" s="10" t="str">
        <f t="shared" si="350"/>
        <v xml:space="preserve"> </v>
      </c>
      <c r="GP128" s="10" t="str">
        <f t="shared" si="350"/>
        <v xml:space="preserve"> </v>
      </c>
      <c r="GQ128" s="10" t="str">
        <f t="shared" si="350"/>
        <v xml:space="preserve"> </v>
      </c>
      <c r="GT128" s="10" t="str">
        <f t="shared" si="351"/>
        <v xml:space="preserve"> </v>
      </c>
      <c r="GU128" s="10" t="str">
        <f t="shared" si="351"/>
        <v xml:space="preserve"> </v>
      </c>
      <c r="GV128" s="10" t="str">
        <f t="shared" si="351"/>
        <v xml:space="preserve"> </v>
      </c>
      <c r="GW128" s="10" t="str">
        <f t="shared" si="351"/>
        <v xml:space="preserve"> </v>
      </c>
      <c r="GX128" s="10" t="str">
        <f t="shared" si="351"/>
        <v xml:space="preserve"> </v>
      </c>
      <c r="HA128" s="10" t="str">
        <f t="shared" si="352"/>
        <v xml:space="preserve"> </v>
      </c>
      <c r="HB128" s="10" t="str">
        <f t="shared" si="352"/>
        <v xml:space="preserve"> </v>
      </c>
      <c r="HC128" s="10" t="str">
        <f t="shared" si="352"/>
        <v xml:space="preserve"> </v>
      </c>
      <c r="HD128" s="10" t="str">
        <f t="shared" si="352"/>
        <v xml:space="preserve"> </v>
      </c>
      <c r="HE128" s="10" t="str">
        <f t="shared" si="352"/>
        <v xml:space="preserve"> </v>
      </c>
      <c r="HH128" s="10" t="str">
        <f t="shared" si="353"/>
        <v xml:space="preserve"> </v>
      </c>
      <c r="HI128" s="10" t="str">
        <f t="shared" si="353"/>
        <v xml:space="preserve"> </v>
      </c>
      <c r="HJ128" s="10" t="str">
        <f t="shared" si="353"/>
        <v xml:space="preserve"> </v>
      </c>
      <c r="HK128" s="10" t="str">
        <f t="shared" si="353"/>
        <v xml:space="preserve"> </v>
      </c>
      <c r="HL128" s="10" t="str">
        <f t="shared" si="353"/>
        <v xml:space="preserve"> </v>
      </c>
      <c r="HO128" s="10" t="str">
        <f t="shared" si="354"/>
        <v xml:space="preserve"> </v>
      </c>
      <c r="HP128" s="10" t="str">
        <f t="shared" si="354"/>
        <v xml:space="preserve"> </v>
      </c>
      <c r="HQ128" s="10" t="str">
        <f t="shared" si="354"/>
        <v xml:space="preserve"> </v>
      </c>
      <c r="HR128" s="10" t="str">
        <f t="shared" si="354"/>
        <v xml:space="preserve"> </v>
      </c>
      <c r="HS128" s="10" t="str">
        <f t="shared" si="354"/>
        <v xml:space="preserve"> </v>
      </c>
      <c r="HV128" s="10" t="str">
        <f t="shared" si="355"/>
        <v xml:space="preserve"> </v>
      </c>
      <c r="HW128" s="10" t="str">
        <f t="shared" si="355"/>
        <v xml:space="preserve"> </v>
      </c>
      <c r="HX128" s="10" t="str">
        <f t="shared" si="355"/>
        <v xml:space="preserve"> </v>
      </c>
      <c r="HY128" s="10" t="str">
        <f t="shared" si="355"/>
        <v xml:space="preserve"> </v>
      </c>
      <c r="HZ128" s="10" t="str">
        <f t="shared" si="355"/>
        <v xml:space="preserve"> </v>
      </c>
      <c r="IC128" s="10" t="str">
        <f t="shared" si="356"/>
        <v xml:space="preserve"> </v>
      </c>
      <c r="ID128" s="10" t="str">
        <f t="shared" si="356"/>
        <v xml:space="preserve"> </v>
      </c>
      <c r="IE128" s="10" t="str">
        <f t="shared" si="356"/>
        <v xml:space="preserve"> </v>
      </c>
      <c r="IF128" s="10" t="str">
        <f t="shared" si="356"/>
        <v xml:space="preserve"> </v>
      </c>
      <c r="IG128" s="10" t="str">
        <f t="shared" si="356"/>
        <v xml:space="preserve"> </v>
      </c>
      <c r="IJ128" s="10" t="str">
        <f t="shared" si="357"/>
        <v xml:space="preserve"> </v>
      </c>
      <c r="IK128" s="10" t="str">
        <f t="shared" si="357"/>
        <v xml:space="preserve"> </v>
      </c>
      <c r="IL128" s="10" t="str">
        <f t="shared" si="357"/>
        <v xml:space="preserve"> </v>
      </c>
      <c r="IM128" s="10" t="str">
        <f t="shared" si="357"/>
        <v xml:space="preserve"> </v>
      </c>
      <c r="IN128" s="10" t="str">
        <f t="shared" si="357"/>
        <v xml:space="preserve"> </v>
      </c>
      <c r="IQ128" s="10" t="str">
        <f t="shared" si="358"/>
        <v xml:space="preserve"> </v>
      </c>
      <c r="IR128" s="10" t="str">
        <f t="shared" si="358"/>
        <v xml:space="preserve"> </v>
      </c>
      <c r="IS128" s="10" t="str">
        <f t="shared" si="358"/>
        <v xml:space="preserve"> </v>
      </c>
      <c r="IT128" s="10" t="str">
        <f t="shared" si="358"/>
        <v xml:space="preserve"> </v>
      </c>
      <c r="IU128" s="10" t="str">
        <f t="shared" si="358"/>
        <v xml:space="preserve"> </v>
      </c>
      <c r="IX128" s="10" t="str">
        <f t="shared" si="359"/>
        <v xml:space="preserve"> </v>
      </c>
      <c r="IY128" s="10" t="str">
        <f t="shared" si="359"/>
        <v xml:space="preserve"> </v>
      </c>
      <c r="IZ128" s="10" t="str">
        <f t="shared" si="359"/>
        <v xml:space="preserve"> </v>
      </c>
      <c r="JA128" s="10" t="str">
        <f t="shared" si="359"/>
        <v xml:space="preserve"> </v>
      </c>
      <c r="JB128" s="10" t="str">
        <f t="shared" si="359"/>
        <v xml:space="preserve"> </v>
      </c>
      <c r="JE128" s="10" t="str">
        <f t="shared" si="360"/>
        <v xml:space="preserve"> </v>
      </c>
      <c r="JF128" s="10" t="str">
        <f t="shared" si="360"/>
        <v xml:space="preserve"> </v>
      </c>
      <c r="JG128" s="10" t="str">
        <f t="shared" si="360"/>
        <v xml:space="preserve"> </v>
      </c>
      <c r="JH128" s="10" t="str">
        <f t="shared" si="360"/>
        <v xml:space="preserve"> </v>
      </c>
      <c r="JI128" s="10" t="str">
        <f t="shared" si="360"/>
        <v xml:space="preserve"> </v>
      </c>
    </row>
    <row r="129" spans="13:269">
      <c r="M129" s="10" t="str">
        <f t="shared" si="324"/>
        <v xml:space="preserve"> </v>
      </c>
      <c r="N129" s="10" t="str">
        <f t="shared" si="324"/>
        <v xml:space="preserve"> </v>
      </c>
      <c r="O129" s="10" t="str">
        <f t="shared" si="324"/>
        <v xml:space="preserve"> </v>
      </c>
      <c r="P129" s="10" t="str">
        <f t="shared" si="324"/>
        <v xml:space="preserve"> </v>
      </c>
      <c r="Q129" s="10" t="str">
        <f t="shared" si="324"/>
        <v xml:space="preserve"> </v>
      </c>
      <c r="R129" s="14"/>
      <c r="S129" s="14"/>
      <c r="T129" s="10" t="str">
        <f t="shared" si="325"/>
        <v xml:space="preserve"> </v>
      </c>
      <c r="U129" s="10" t="str">
        <f t="shared" si="325"/>
        <v xml:space="preserve"> </v>
      </c>
      <c r="V129" s="10" t="str">
        <f t="shared" si="325"/>
        <v xml:space="preserve"> </v>
      </c>
      <c r="W129" s="10" t="str">
        <f t="shared" si="325"/>
        <v xml:space="preserve"> </v>
      </c>
      <c r="X129" s="10" t="str">
        <f t="shared" si="325"/>
        <v xml:space="preserve"> </v>
      </c>
      <c r="Y129" s="14"/>
      <c r="Z129" s="14"/>
      <c r="AA129" s="10" t="str">
        <f t="shared" si="326"/>
        <v xml:space="preserve"> </v>
      </c>
      <c r="AB129" s="10" t="str">
        <f t="shared" si="326"/>
        <v xml:space="preserve"> </v>
      </c>
      <c r="AC129" s="10" t="str">
        <f t="shared" si="326"/>
        <v xml:space="preserve"> </v>
      </c>
      <c r="AD129" s="10" t="str">
        <f t="shared" si="326"/>
        <v xml:space="preserve"> </v>
      </c>
      <c r="AE129" s="10" t="str">
        <f t="shared" si="326"/>
        <v xml:space="preserve"> </v>
      </c>
      <c r="AF129" s="14"/>
      <c r="AG129" s="14"/>
      <c r="AH129" s="10" t="str">
        <f t="shared" si="327"/>
        <v xml:space="preserve"> </v>
      </c>
      <c r="AI129" s="10" t="str">
        <f t="shared" si="327"/>
        <v xml:space="preserve"> </v>
      </c>
      <c r="AJ129" s="10" t="str">
        <f t="shared" si="327"/>
        <v xml:space="preserve"> </v>
      </c>
      <c r="AK129" s="10" t="str">
        <f t="shared" si="327"/>
        <v xml:space="preserve"> </v>
      </c>
      <c r="AL129" s="10" t="str">
        <f t="shared" si="327"/>
        <v xml:space="preserve"> </v>
      </c>
      <c r="AM129" s="14"/>
      <c r="AN129" s="14"/>
      <c r="AO129" s="10" t="str">
        <f t="shared" si="328"/>
        <v xml:space="preserve"> </v>
      </c>
      <c r="AP129" s="10" t="str">
        <f t="shared" si="328"/>
        <v xml:space="preserve"> </v>
      </c>
      <c r="AQ129" s="10" t="str">
        <f t="shared" si="328"/>
        <v xml:space="preserve"> </v>
      </c>
      <c r="AR129" s="10" t="str">
        <f t="shared" si="328"/>
        <v xml:space="preserve"> </v>
      </c>
      <c r="AS129" s="10" t="str">
        <f t="shared" si="328"/>
        <v xml:space="preserve"> </v>
      </c>
      <c r="AT129" s="14"/>
      <c r="AU129" s="14"/>
      <c r="AV129" s="10" t="str">
        <f t="shared" si="329"/>
        <v xml:space="preserve"> </v>
      </c>
      <c r="AW129" s="10" t="str">
        <f t="shared" si="329"/>
        <v xml:space="preserve"> </v>
      </c>
      <c r="AX129" s="10" t="str">
        <f t="shared" si="329"/>
        <v xml:space="preserve"> </v>
      </c>
      <c r="AY129" s="10" t="str">
        <f t="shared" si="329"/>
        <v xml:space="preserve"> </v>
      </c>
      <c r="AZ129" s="10" t="str">
        <f t="shared" si="329"/>
        <v xml:space="preserve"> </v>
      </c>
      <c r="BA129" s="14"/>
      <c r="BB129" s="14"/>
      <c r="BC129" s="10" t="str">
        <f t="shared" si="330"/>
        <v xml:space="preserve"> </v>
      </c>
      <c r="BD129" s="10" t="str">
        <f t="shared" si="330"/>
        <v xml:space="preserve"> </v>
      </c>
      <c r="BE129" s="10" t="str">
        <f t="shared" si="330"/>
        <v xml:space="preserve"> </v>
      </c>
      <c r="BF129" s="10" t="str">
        <f t="shared" si="330"/>
        <v xml:space="preserve"> </v>
      </c>
      <c r="BG129" s="10" t="str">
        <f t="shared" si="330"/>
        <v xml:space="preserve"> </v>
      </c>
      <c r="BH129" s="14"/>
      <c r="BI129" s="14"/>
      <c r="BJ129" s="10" t="str">
        <f t="shared" si="331"/>
        <v xml:space="preserve"> </v>
      </c>
      <c r="BK129" s="10" t="str">
        <f t="shared" si="331"/>
        <v xml:space="preserve"> </v>
      </c>
      <c r="BL129" s="10" t="str">
        <f t="shared" si="331"/>
        <v xml:space="preserve"> </v>
      </c>
      <c r="BM129" s="10" t="str">
        <f t="shared" si="331"/>
        <v xml:space="preserve"> </v>
      </c>
      <c r="BN129" s="10" t="str">
        <f t="shared" si="331"/>
        <v xml:space="preserve"> </v>
      </c>
      <c r="BO129" s="14"/>
      <c r="BP129" s="14"/>
      <c r="BQ129" s="10" t="str">
        <f t="shared" si="332"/>
        <v xml:space="preserve"> </v>
      </c>
      <c r="BR129" s="10" t="str">
        <f t="shared" si="332"/>
        <v xml:space="preserve"> </v>
      </c>
      <c r="BS129" s="10" t="str">
        <f t="shared" si="332"/>
        <v xml:space="preserve"> </v>
      </c>
      <c r="BT129" s="10" t="str">
        <f t="shared" si="332"/>
        <v xml:space="preserve"> </v>
      </c>
      <c r="BU129" s="10" t="str">
        <f t="shared" si="332"/>
        <v xml:space="preserve"> </v>
      </c>
      <c r="BV129" s="14"/>
      <c r="BW129" s="14"/>
      <c r="BX129" s="10" t="str">
        <f t="shared" si="333"/>
        <v xml:space="preserve"> </v>
      </c>
      <c r="BY129" s="10" t="str">
        <f t="shared" si="333"/>
        <v xml:space="preserve"> </v>
      </c>
      <c r="BZ129" s="10" t="str">
        <f t="shared" si="333"/>
        <v xml:space="preserve"> </v>
      </c>
      <c r="CA129" s="10" t="str">
        <f t="shared" si="333"/>
        <v xml:space="preserve"> </v>
      </c>
      <c r="CB129" s="10" t="str">
        <f t="shared" si="333"/>
        <v xml:space="preserve"> </v>
      </c>
      <c r="CC129" s="14"/>
      <c r="CD129" s="14"/>
      <c r="CE129" s="10" t="str">
        <f t="shared" si="334"/>
        <v xml:space="preserve"> </v>
      </c>
      <c r="CF129" s="10" t="str">
        <f t="shared" si="334"/>
        <v xml:space="preserve"> </v>
      </c>
      <c r="CG129" s="10" t="str">
        <f t="shared" si="334"/>
        <v xml:space="preserve"> </v>
      </c>
      <c r="CH129" s="10" t="str">
        <f t="shared" si="334"/>
        <v xml:space="preserve"> </v>
      </c>
      <c r="CI129" s="10" t="str">
        <f t="shared" si="334"/>
        <v xml:space="preserve"> </v>
      </c>
      <c r="CJ129" s="14"/>
      <c r="CK129" s="14"/>
      <c r="CL129" s="10" t="str">
        <f t="shared" si="335"/>
        <v xml:space="preserve"> </v>
      </c>
      <c r="CM129" s="10" t="str">
        <f t="shared" si="335"/>
        <v xml:space="preserve"> </v>
      </c>
      <c r="CN129" s="10" t="str">
        <f t="shared" si="335"/>
        <v xml:space="preserve"> </v>
      </c>
      <c r="CO129" s="10" t="str">
        <f t="shared" si="335"/>
        <v xml:space="preserve"> </v>
      </c>
      <c r="CP129" s="10" t="str">
        <f t="shared" si="335"/>
        <v xml:space="preserve"> </v>
      </c>
      <c r="CQ129" s="14"/>
      <c r="CR129" s="14"/>
      <c r="CS129" s="10" t="str">
        <f t="shared" si="336"/>
        <v xml:space="preserve"> </v>
      </c>
      <c r="CT129" s="10" t="str">
        <f t="shared" si="336"/>
        <v xml:space="preserve"> </v>
      </c>
      <c r="CU129" s="10" t="str">
        <f t="shared" si="336"/>
        <v xml:space="preserve"> </v>
      </c>
      <c r="CV129" s="10" t="str">
        <f t="shared" si="336"/>
        <v xml:space="preserve"> </v>
      </c>
      <c r="CW129" s="10" t="str">
        <f t="shared" si="336"/>
        <v xml:space="preserve"> </v>
      </c>
      <c r="CZ129" s="10" t="str">
        <f t="shared" si="337"/>
        <v xml:space="preserve"> </v>
      </c>
      <c r="DA129" s="10" t="str">
        <f t="shared" si="337"/>
        <v xml:space="preserve"> </v>
      </c>
      <c r="DB129" s="10" t="str">
        <f t="shared" si="337"/>
        <v xml:space="preserve"> </v>
      </c>
      <c r="DC129" s="10" t="str">
        <f t="shared" si="337"/>
        <v xml:space="preserve"> </v>
      </c>
      <c r="DD129" s="10" t="str">
        <f t="shared" si="337"/>
        <v xml:space="preserve"> </v>
      </c>
      <c r="DG129" s="10" t="str">
        <f t="shared" si="338"/>
        <v xml:space="preserve"> </v>
      </c>
      <c r="DH129" s="10" t="str">
        <f t="shared" si="338"/>
        <v xml:space="preserve"> </v>
      </c>
      <c r="DI129" s="10" t="str">
        <f t="shared" si="338"/>
        <v xml:space="preserve"> </v>
      </c>
      <c r="DJ129" s="10" t="str">
        <f t="shared" si="338"/>
        <v xml:space="preserve"> </v>
      </c>
      <c r="DK129" s="10" t="str">
        <f t="shared" si="338"/>
        <v xml:space="preserve"> </v>
      </c>
      <c r="DN129" s="10" t="str">
        <f t="shared" si="339"/>
        <v xml:space="preserve"> </v>
      </c>
      <c r="DO129" s="10" t="str">
        <f t="shared" si="339"/>
        <v xml:space="preserve"> </v>
      </c>
      <c r="DP129" s="10" t="str">
        <f t="shared" si="339"/>
        <v xml:space="preserve"> </v>
      </c>
      <c r="DQ129" s="10" t="str">
        <f t="shared" si="339"/>
        <v xml:space="preserve"> </v>
      </c>
      <c r="DR129" s="10" t="str">
        <f t="shared" si="339"/>
        <v xml:space="preserve"> </v>
      </c>
      <c r="DU129" s="10" t="str">
        <f t="shared" si="340"/>
        <v xml:space="preserve"> </v>
      </c>
      <c r="DV129" s="10" t="str">
        <f t="shared" si="340"/>
        <v xml:space="preserve"> </v>
      </c>
      <c r="DW129" s="10" t="str">
        <f t="shared" si="340"/>
        <v xml:space="preserve"> </v>
      </c>
      <c r="DX129" s="10" t="str">
        <f t="shared" si="340"/>
        <v xml:space="preserve"> </v>
      </c>
      <c r="DY129" s="10" t="str">
        <f t="shared" si="340"/>
        <v xml:space="preserve"> </v>
      </c>
      <c r="EB129" s="10" t="str">
        <f t="shared" si="341"/>
        <v xml:space="preserve"> </v>
      </c>
      <c r="EC129" s="10" t="str">
        <f t="shared" si="341"/>
        <v xml:space="preserve"> </v>
      </c>
      <c r="ED129" s="10" t="str">
        <f t="shared" si="341"/>
        <v xml:space="preserve"> </v>
      </c>
      <c r="EE129" s="10" t="str">
        <f t="shared" si="341"/>
        <v xml:space="preserve"> </v>
      </c>
      <c r="EF129" s="10" t="str">
        <f t="shared" si="341"/>
        <v xml:space="preserve"> </v>
      </c>
      <c r="EI129" s="10" t="str">
        <f t="shared" si="342"/>
        <v xml:space="preserve"> </v>
      </c>
      <c r="EJ129" s="10" t="str">
        <f t="shared" si="342"/>
        <v xml:space="preserve"> </v>
      </c>
      <c r="EK129" s="10" t="str">
        <f t="shared" si="342"/>
        <v xml:space="preserve"> </v>
      </c>
      <c r="EL129" s="10" t="str">
        <f t="shared" si="342"/>
        <v xml:space="preserve"> </v>
      </c>
      <c r="EM129" s="10" t="str">
        <f t="shared" si="342"/>
        <v xml:space="preserve"> </v>
      </c>
      <c r="EP129" s="10" t="str">
        <f t="shared" si="343"/>
        <v xml:space="preserve"> </v>
      </c>
      <c r="EQ129" s="10" t="str">
        <f t="shared" si="343"/>
        <v xml:space="preserve"> </v>
      </c>
      <c r="ER129" s="10" t="str">
        <f t="shared" si="343"/>
        <v xml:space="preserve"> </v>
      </c>
      <c r="ES129" s="10" t="str">
        <f t="shared" si="343"/>
        <v xml:space="preserve"> </v>
      </c>
      <c r="ET129" s="10" t="str">
        <f t="shared" si="343"/>
        <v xml:space="preserve"> </v>
      </c>
      <c r="EW129" s="10" t="str">
        <f t="shared" si="344"/>
        <v xml:space="preserve"> </v>
      </c>
      <c r="EX129" s="10" t="str">
        <f t="shared" si="344"/>
        <v xml:space="preserve"> </v>
      </c>
      <c r="EY129" s="10" t="str">
        <f t="shared" si="344"/>
        <v xml:space="preserve"> </v>
      </c>
      <c r="EZ129" s="10" t="str">
        <f t="shared" si="344"/>
        <v xml:space="preserve"> </v>
      </c>
      <c r="FA129" s="10" t="str">
        <f t="shared" si="344"/>
        <v xml:space="preserve"> </v>
      </c>
      <c r="FD129" s="10" t="str">
        <f t="shared" si="345"/>
        <v xml:space="preserve"> </v>
      </c>
      <c r="FE129" s="10" t="str">
        <f t="shared" si="345"/>
        <v xml:space="preserve"> </v>
      </c>
      <c r="FF129" s="10" t="str">
        <f t="shared" si="345"/>
        <v xml:space="preserve"> </v>
      </c>
      <c r="FG129" s="10" t="str">
        <f t="shared" si="345"/>
        <v xml:space="preserve"> </v>
      </c>
      <c r="FH129" s="10" t="str">
        <f t="shared" si="345"/>
        <v xml:space="preserve"> </v>
      </c>
      <c r="FK129" s="10" t="str">
        <f t="shared" si="346"/>
        <v xml:space="preserve"> </v>
      </c>
      <c r="FL129" s="10" t="str">
        <f t="shared" si="346"/>
        <v xml:space="preserve"> </v>
      </c>
      <c r="FM129" s="10" t="str">
        <f t="shared" si="346"/>
        <v xml:space="preserve"> </v>
      </c>
      <c r="FN129" s="10" t="str">
        <f t="shared" si="346"/>
        <v xml:space="preserve"> </v>
      </c>
      <c r="FO129" s="10" t="str">
        <f t="shared" si="346"/>
        <v xml:space="preserve"> </v>
      </c>
      <c r="FR129" s="10" t="str">
        <f t="shared" si="347"/>
        <v xml:space="preserve"> </v>
      </c>
      <c r="FS129" s="10" t="str">
        <f t="shared" si="347"/>
        <v xml:space="preserve"> </v>
      </c>
      <c r="FT129" s="10" t="str">
        <f t="shared" si="347"/>
        <v xml:space="preserve"> </v>
      </c>
      <c r="FU129" s="10" t="str">
        <f t="shared" si="347"/>
        <v xml:space="preserve"> </v>
      </c>
      <c r="FV129" s="10" t="str">
        <f t="shared" si="347"/>
        <v xml:space="preserve"> </v>
      </c>
      <c r="FY129" s="10" t="str">
        <f t="shared" si="348"/>
        <v xml:space="preserve"> </v>
      </c>
      <c r="FZ129" s="10" t="str">
        <f t="shared" si="348"/>
        <v xml:space="preserve"> </v>
      </c>
      <c r="GA129" s="10" t="str">
        <f t="shared" si="348"/>
        <v xml:space="preserve"> </v>
      </c>
      <c r="GB129" s="10" t="str">
        <f t="shared" si="348"/>
        <v xml:space="preserve"> </v>
      </c>
      <c r="GC129" s="10" t="str">
        <f t="shared" si="348"/>
        <v xml:space="preserve"> </v>
      </c>
      <c r="GF129" s="10" t="str">
        <f t="shared" si="349"/>
        <v xml:space="preserve"> </v>
      </c>
      <c r="GG129" s="10" t="str">
        <f t="shared" si="349"/>
        <v xml:space="preserve"> </v>
      </c>
      <c r="GH129" s="10" t="str">
        <f t="shared" si="349"/>
        <v xml:space="preserve"> </v>
      </c>
      <c r="GI129" s="10" t="str">
        <f t="shared" si="349"/>
        <v xml:space="preserve"> </v>
      </c>
      <c r="GJ129" s="10" t="str">
        <f t="shared" si="349"/>
        <v xml:space="preserve"> </v>
      </c>
      <c r="GM129" s="10" t="str">
        <f t="shared" si="350"/>
        <v xml:space="preserve"> </v>
      </c>
      <c r="GN129" s="10" t="str">
        <f t="shared" si="350"/>
        <v xml:space="preserve"> </v>
      </c>
      <c r="GO129" s="10" t="str">
        <f t="shared" si="350"/>
        <v xml:space="preserve"> </v>
      </c>
      <c r="GP129" s="10" t="str">
        <f t="shared" si="350"/>
        <v xml:space="preserve"> </v>
      </c>
      <c r="GQ129" s="10" t="str">
        <f t="shared" si="350"/>
        <v xml:space="preserve"> </v>
      </c>
      <c r="GT129" s="10" t="str">
        <f t="shared" si="351"/>
        <v xml:space="preserve"> </v>
      </c>
      <c r="GU129" s="10" t="str">
        <f t="shared" si="351"/>
        <v xml:space="preserve"> </v>
      </c>
      <c r="GV129" s="10" t="str">
        <f t="shared" si="351"/>
        <v xml:space="preserve"> </v>
      </c>
      <c r="GW129" s="10" t="str">
        <f t="shared" si="351"/>
        <v xml:space="preserve"> </v>
      </c>
      <c r="GX129" s="10" t="str">
        <f t="shared" si="351"/>
        <v xml:space="preserve"> </v>
      </c>
      <c r="HA129" s="10" t="str">
        <f t="shared" si="352"/>
        <v xml:space="preserve"> </v>
      </c>
      <c r="HB129" s="10" t="str">
        <f t="shared" si="352"/>
        <v xml:space="preserve"> </v>
      </c>
      <c r="HC129" s="10" t="str">
        <f t="shared" si="352"/>
        <v xml:space="preserve"> </v>
      </c>
      <c r="HD129" s="10" t="str">
        <f t="shared" si="352"/>
        <v xml:space="preserve"> </v>
      </c>
      <c r="HE129" s="10" t="str">
        <f t="shared" si="352"/>
        <v xml:space="preserve"> </v>
      </c>
      <c r="HH129" s="10" t="str">
        <f t="shared" si="353"/>
        <v xml:space="preserve"> </v>
      </c>
      <c r="HI129" s="10" t="str">
        <f t="shared" si="353"/>
        <v xml:space="preserve"> </v>
      </c>
      <c r="HJ129" s="10" t="str">
        <f t="shared" si="353"/>
        <v xml:space="preserve"> </v>
      </c>
      <c r="HK129" s="10" t="str">
        <f t="shared" si="353"/>
        <v xml:space="preserve"> </v>
      </c>
      <c r="HL129" s="10" t="str">
        <f t="shared" si="353"/>
        <v xml:space="preserve"> </v>
      </c>
      <c r="HO129" s="10" t="str">
        <f t="shared" si="354"/>
        <v xml:space="preserve"> </v>
      </c>
      <c r="HP129" s="10" t="str">
        <f t="shared" si="354"/>
        <v xml:space="preserve"> </v>
      </c>
      <c r="HQ129" s="10" t="str">
        <f t="shared" si="354"/>
        <v xml:space="preserve"> </v>
      </c>
      <c r="HR129" s="10" t="str">
        <f t="shared" si="354"/>
        <v xml:space="preserve"> </v>
      </c>
      <c r="HS129" s="10" t="str">
        <f t="shared" si="354"/>
        <v xml:space="preserve"> </v>
      </c>
      <c r="HV129" s="10" t="str">
        <f t="shared" si="355"/>
        <v xml:space="preserve"> </v>
      </c>
      <c r="HW129" s="10" t="str">
        <f t="shared" si="355"/>
        <v xml:space="preserve"> </v>
      </c>
      <c r="HX129" s="10" t="str">
        <f t="shared" si="355"/>
        <v xml:space="preserve"> </v>
      </c>
      <c r="HY129" s="10" t="str">
        <f t="shared" si="355"/>
        <v xml:space="preserve"> </v>
      </c>
      <c r="HZ129" s="10" t="str">
        <f t="shared" si="355"/>
        <v xml:space="preserve"> </v>
      </c>
      <c r="IC129" s="10" t="str">
        <f t="shared" si="356"/>
        <v xml:space="preserve"> </v>
      </c>
      <c r="ID129" s="10" t="str">
        <f t="shared" si="356"/>
        <v xml:space="preserve"> </v>
      </c>
      <c r="IE129" s="10" t="str">
        <f t="shared" si="356"/>
        <v xml:space="preserve"> </v>
      </c>
      <c r="IF129" s="10" t="str">
        <f t="shared" si="356"/>
        <v xml:space="preserve"> </v>
      </c>
      <c r="IG129" s="10" t="str">
        <f t="shared" si="356"/>
        <v xml:space="preserve"> </v>
      </c>
      <c r="IJ129" s="10" t="str">
        <f t="shared" si="357"/>
        <v xml:space="preserve"> </v>
      </c>
      <c r="IK129" s="10" t="str">
        <f t="shared" si="357"/>
        <v xml:space="preserve"> </v>
      </c>
      <c r="IL129" s="10" t="str">
        <f t="shared" si="357"/>
        <v xml:space="preserve"> </v>
      </c>
      <c r="IM129" s="10" t="str">
        <f t="shared" si="357"/>
        <v xml:space="preserve"> </v>
      </c>
      <c r="IN129" s="10" t="str">
        <f t="shared" si="357"/>
        <v xml:space="preserve"> </v>
      </c>
      <c r="IQ129" s="10" t="str">
        <f t="shared" si="358"/>
        <v xml:space="preserve"> </v>
      </c>
      <c r="IR129" s="10" t="str">
        <f t="shared" si="358"/>
        <v xml:space="preserve"> </v>
      </c>
      <c r="IS129" s="10" t="str">
        <f t="shared" si="358"/>
        <v xml:space="preserve"> </v>
      </c>
      <c r="IT129" s="10" t="str">
        <f t="shared" si="358"/>
        <v xml:space="preserve"> </v>
      </c>
      <c r="IU129" s="10" t="str">
        <f t="shared" si="358"/>
        <v xml:space="preserve"> </v>
      </c>
      <c r="IX129" s="10" t="str">
        <f t="shared" si="359"/>
        <v xml:space="preserve"> </v>
      </c>
      <c r="IY129" s="10" t="str">
        <f t="shared" si="359"/>
        <v xml:space="preserve"> </v>
      </c>
      <c r="IZ129" s="10" t="str">
        <f t="shared" si="359"/>
        <v xml:space="preserve"> </v>
      </c>
      <c r="JA129" s="10" t="str">
        <f t="shared" si="359"/>
        <v xml:space="preserve"> </v>
      </c>
      <c r="JB129" s="10" t="str">
        <f t="shared" si="359"/>
        <v xml:space="preserve"> </v>
      </c>
      <c r="JE129" s="10" t="str">
        <f t="shared" si="360"/>
        <v xml:space="preserve"> </v>
      </c>
      <c r="JF129" s="10" t="str">
        <f t="shared" si="360"/>
        <v xml:space="preserve"> </v>
      </c>
      <c r="JG129" s="10" t="str">
        <f t="shared" si="360"/>
        <v xml:space="preserve"> </v>
      </c>
      <c r="JH129" s="10" t="str">
        <f t="shared" si="360"/>
        <v xml:space="preserve"> </v>
      </c>
      <c r="JI129" s="10" t="str">
        <f t="shared" si="360"/>
        <v xml:space="preserve"> </v>
      </c>
    </row>
    <row r="130" spans="13:269">
      <c r="M130" s="10" t="str">
        <f t="shared" si="324"/>
        <v xml:space="preserve"> </v>
      </c>
      <c r="N130" s="10" t="str">
        <f t="shared" si="324"/>
        <v xml:space="preserve"> </v>
      </c>
      <c r="O130" s="10" t="str">
        <f t="shared" si="324"/>
        <v xml:space="preserve"> </v>
      </c>
      <c r="P130" s="10" t="str">
        <f t="shared" si="324"/>
        <v xml:space="preserve"> </v>
      </c>
      <c r="Q130" s="10" t="str">
        <f t="shared" si="324"/>
        <v xml:space="preserve"> </v>
      </c>
      <c r="R130" s="14"/>
      <c r="S130" s="14"/>
      <c r="T130" s="10" t="str">
        <f t="shared" si="325"/>
        <v xml:space="preserve"> </v>
      </c>
      <c r="U130" s="10" t="str">
        <f t="shared" si="325"/>
        <v xml:space="preserve"> </v>
      </c>
      <c r="V130" s="10" t="str">
        <f t="shared" si="325"/>
        <v xml:space="preserve"> </v>
      </c>
      <c r="W130" s="10" t="str">
        <f t="shared" si="325"/>
        <v xml:space="preserve"> </v>
      </c>
      <c r="X130" s="10" t="str">
        <f t="shared" si="325"/>
        <v xml:space="preserve"> </v>
      </c>
      <c r="Y130" s="14"/>
      <c r="Z130" s="14"/>
      <c r="AA130" s="10" t="str">
        <f t="shared" si="326"/>
        <v xml:space="preserve"> </v>
      </c>
      <c r="AB130" s="10" t="str">
        <f t="shared" si="326"/>
        <v xml:space="preserve"> </v>
      </c>
      <c r="AC130" s="10" t="str">
        <f t="shared" si="326"/>
        <v xml:space="preserve"> </v>
      </c>
      <c r="AD130" s="10" t="str">
        <f t="shared" si="326"/>
        <v xml:space="preserve"> </v>
      </c>
      <c r="AE130" s="10" t="str">
        <f t="shared" si="326"/>
        <v xml:space="preserve"> </v>
      </c>
      <c r="AF130" s="14"/>
      <c r="AG130" s="14"/>
      <c r="AH130" s="10" t="str">
        <f t="shared" si="327"/>
        <v xml:space="preserve"> </v>
      </c>
      <c r="AI130" s="10" t="str">
        <f t="shared" si="327"/>
        <v xml:space="preserve"> </v>
      </c>
      <c r="AJ130" s="10" t="str">
        <f t="shared" si="327"/>
        <v xml:space="preserve"> </v>
      </c>
      <c r="AK130" s="10" t="str">
        <f t="shared" si="327"/>
        <v xml:space="preserve"> </v>
      </c>
      <c r="AL130" s="10" t="str">
        <f t="shared" si="327"/>
        <v xml:space="preserve"> </v>
      </c>
      <c r="AM130" s="14"/>
      <c r="AN130" s="14"/>
      <c r="AO130" s="10" t="str">
        <f t="shared" si="328"/>
        <v xml:space="preserve"> </v>
      </c>
      <c r="AP130" s="10" t="str">
        <f t="shared" si="328"/>
        <v xml:space="preserve"> </v>
      </c>
      <c r="AQ130" s="10" t="str">
        <f t="shared" si="328"/>
        <v xml:space="preserve"> </v>
      </c>
      <c r="AR130" s="10" t="str">
        <f t="shared" si="328"/>
        <v xml:space="preserve"> </v>
      </c>
      <c r="AS130" s="10" t="str">
        <f t="shared" si="328"/>
        <v xml:space="preserve"> </v>
      </c>
      <c r="AT130" s="14"/>
      <c r="AU130" s="14"/>
      <c r="AV130" s="10" t="str">
        <f t="shared" si="329"/>
        <v xml:space="preserve"> </v>
      </c>
      <c r="AW130" s="10" t="str">
        <f t="shared" si="329"/>
        <v xml:space="preserve"> </v>
      </c>
      <c r="AX130" s="10" t="str">
        <f t="shared" si="329"/>
        <v xml:space="preserve"> </v>
      </c>
      <c r="AY130" s="10" t="str">
        <f t="shared" si="329"/>
        <v xml:space="preserve"> </v>
      </c>
      <c r="AZ130" s="10" t="str">
        <f t="shared" si="329"/>
        <v xml:space="preserve"> </v>
      </c>
      <c r="BA130" s="14"/>
      <c r="BB130" s="14"/>
      <c r="BC130" s="10" t="str">
        <f t="shared" si="330"/>
        <v xml:space="preserve"> </v>
      </c>
      <c r="BD130" s="10" t="str">
        <f t="shared" si="330"/>
        <v xml:space="preserve"> </v>
      </c>
      <c r="BE130" s="10" t="str">
        <f t="shared" si="330"/>
        <v xml:space="preserve"> </v>
      </c>
      <c r="BF130" s="10" t="str">
        <f t="shared" si="330"/>
        <v xml:space="preserve"> </v>
      </c>
      <c r="BG130" s="10" t="str">
        <f t="shared" si="330"/>
        <v xml:space="preserve"> </v>
      </c>
      <c r="BH130" s="14"/>
      <c r="BI130" s="14"/>
      <c r="BJ130" s="10" t="str">
        <f t="shared" si="331"/>
        <v xml:space="preserve"> </v>
      </c>
      <c r="BK130" s="10" t="str">
        <f t="shared" si="331"/>
        <v xml:space="preserve"> </v>
      </c>
      <c r="BL130" s="10" t="str">
        <f t="shared" si="331"/>
        <v xml:space="preserve"> </v>
      </c>
      <c r="BM130" s="10" t="str">
        <f t="shared" si="331"/>
        <v xml:space="preserve"> </v>
      </c>
      <c r="BN130" s="10" t="str">
        <f t="shared" si="331"/>
        <v xml:space="preserve"> </v>
      </c>
      <c r="BO130" s="14"/>
      <c r="BP130" s="14"/>
      <c r="BQ130" s="10" t="str">
        <f t="shared" si="332"/>
        <v xml:space="preserve"> </v>
      </c>
      <c r="BR130" s="10" t="str">
        <f t="shared" si="332"/>
        <v xml:space="preserve"> </v>
      </c>
      <c r="BS130" s="10" t="str">
        <f t="shared" si="332"/>
        <v xml:space="preserve"> </v>
      </c>
      <c r="BT130" s="10" t="str">
        <f t="shared" si="332"/>
        <v xml:space="preserve"> </v>
      </c>
      <c r="BU130" s="10" t="str">
        <f t="shared" si="332"/>
        <v xml:space="preserve"> </v>
      </c>
      <c r="BV130" s="14"/>
      <c r="BW130" s="14"/>
      <c r="BX130" s="10" t="str">
        <f t="shared" si="333"/>
        <v xml:space="preserve"> </v>
      </c>
      <c r="BY130" s="10" t="str">
        <f t="shared" si="333"/>
        <v xml:space="preserve"> </v>
      </c>
      <c r="BZ130" s="10" t="str">
        <f t="shared" si="333"/>
        <v xml:space="preserve"> </v>
      </c>
      <c r="CA130" s="10" t="str">
        <f t="shared" si="333"/>
        <v xml:space="preserve"> </v>
      </c>
      <c r="CB130" s="10" t="str">
        <f t="shared" si="333"/>
        <v xml:space="preserve"> </v>
      </c>
      <c r="CC130" s="14"/>
      <c r="CD130" s="14"/>
      <c r="CE130" s="10" t="str">
        <f t="shared" si="334"/>
        <v xml:space="preserve"> </v>
      </c>
      <c r="CF130" s="10" t="str">
        <f t="shared" si="334"/>
        <v xml:space="preserve"> </v>
      </c>
      <c r="CG130" s="10" t="str">
        <f t="shared" si="334"/>
        <v xml:space="preserve"> </v>
      </c>
      <c r="CH130" s="10" t="str">
        <f t="shared" si="334"/>
        <v xml:space="preserve"> </v>
      </c>
      <c r="CI130" s="10" t="str">
        <f t="shared" si="334"/>
        <v xml:space="preserve"> </v>
      </c>
      <c r="CJ130" s="14"/>
      <c r="CK130" s="14"/>
      <c r="CL130" s="10" t="str">
        <f t="shared" si="335"/>
        <v xml:space="preserve"> </v>
      </c>
      <c r="CM130" s="10" t="str">
        <f t="shared" si="335"/>
        <v xml:space="preserve"> </v>
      </c>
      <c r="CN130" s="10" t="str">
        <f t="shared" si="335"/>
        <v xml:space="preserve"> </v>
      </c>
      <c r="CO130" s="10" t="str">
        <f t="shared" si="335"/>
        <v xml:space="preserve"> </v>
      </c>
      <c r="CP130" s="10" t="str">
        <f t="shared" si="335"/>
        <v xml:space="preserve"> </v>
      </c>
      <c r="CQ130" s="14"/>
      <c r="CR130" s="14"/>
      <c r="CS130" s="10" t="str">
        <f t="shared" si="336"/>
        <v xml:space="preserve"> </v>
      </c>
      <c r="CT130" s="10" t="str">
        <f t="shared" si="336"/>
        <v xml:space="preserve"> </v>
      </c>
      <c r="CU130" s="10" t="str">
        <f t="shared" si="336"/>
        <v xml:space="preserve"> </v>
      </c>
      <c r="CV130" s="10" t="str">
        <f t="shared" si="336"/>
        <v xml:space="preserve"> </v>
      </c>
      <c r="CW130" s="10" t="str">
        <f t="shared" si="336"/>
        <v xml:space="preserve"> </v>
      </c>
      <c r="CZ130" s="10" t="str">
        <f t="shared" si="337"/>
        <v xml:space="preserve"> </v>
      </c>
      <c r="DA130" s="10" t="str">
        <f t="shared" si="337"/>
        <v xml:space="preserve"> </v>
      </c>
      <c r="DB130" s="10" t="str">
        <f t="shared" si="337"/>
        <v xml:space="preserve"> </v>
      </c>
      <c r="DC130" s="10" t="str">
        <f t="shared" si="337"/>
        <v xml:space="preserve"> </v>
      </c>
      <c r="DD130" s="10" t="str">
        <f t="shared" si="337"/>
        <v xml:space="preserve"> </v>
      </c>
      <c r="DG130" s="10" t="str">
        <f t="shared" si="338"/>
        <v xml:space="preserve"> </v>
      </c>
      <c r="DH130" s="10" t="str">
        <f t="shared" si="338"/>
        <v xml:space="preserve"> </v>
      </c>
      <c r="DI130" s="10" t="str">
        <f t="shared" si="338"/>
        <v xml:space="preserve"> </v>
      </c>
      <c r="DJ130" s="10" t="str">
        <f t="shared" si="338"/>
        <v xml:space="preserve"> </v>
      </c>
      <c r="DK130" s="10" t="str">
        <f t="shared" si="338"/>
        <v xml:space="preserve"> </v>
      </c>
      <c r="DN130" s="10" t="str">
        <f t="shared" si="339"/>
        <v xml:space="preserve"> </v>
      </c>
      <c r="DO130" s="10" t="str">
        <f t="shared" si="339"/>
        <v xml:space="preserve"> </v>
      </c>
      <c r="DP130" s="10" t="str">
        <f t="shared" si="339"/>
        <v xml:space="preserve"> </v>
      </c>
      <c r="DQ130" s="10" t="str">
        <f t="shared" si="339"/>
        <v xml:space="preserve"> </v>
      </c>
      <c r="DR130" s="10" t="str">
        <f t="shared" si="339"/>
        <v xml:space="preserve"> </v>
      </c>
      <c r="DU130" s="10" t="str">
        <f t="shared" si="340"/>
        <v xml:space="preserve"> </v>
      </c>
      <c r="DV130" s="10" t="str">
        <f t="shared" si="340"/>
        <v xml:space="preserve"> </v>
      </c>
      <c r="DW130" s="10" t="str">
        <f t="shared" si="340"/>
        <v xml:space="preserve"> </v>
      </c>
      <c r="DX130" s="10" t="str">
        <f t="shared" si="340"/>
        <v xml:space="preserve"> </v>
      </c>
      <c r="DY130" s="10" t="str">
        <f t="shared" si="340"/>
        <v xml:space="preserve"> </v>
      </c>
      <c r="EB130" s="10" t="str">
        <f t="shared" si="341"/>
        <v xml:space="preserve"> </v>
      </c>
      <c r="EC130" s="10" t="str">
        <f t="shared" si="341"/>
        <v xml:space="preserve"> </v>
      </c>
      <c r="ED130" s="10" t="str">
        <f t="shared" si="341"/>
        <v xml:space="preserve"> </v>
      </c>
      <c r="EE130" s="10" t="str">
        <f t="shared" si="341"/>
        <v xml:space="preserve"> </v>
      </c>
      <c r="EF130" s="10" t="str">
        <f t="shared" si="341"/>
        <v xml:space="preserve"> </v>
      </c>
      <c r="EI130" s="10" t="str">
        <f t="shared" si="342"/>
        <v xml:space="preserve"> </v>
      </c>
      <c r="EJ130" s="10" t="str">
        <f t="shared" si="342"/>
        <v xml:space="preserve"> </v>
      </c>
      <c r="EK130" s="10" t="str">
        <f t="shared" si="342"/>
        <v xml:space="preserve"> </v>
      </c>
      <c r="EL130" s="10" t="str">
        <f t="shared" si="342"/>
        <v xml:space="preserve"> </v>
      </c>
      <c r="EM130" s="10" t="str">
        <f t="shared" si="342"/>
        <v xml:space="preserve"> </v>
      </c>
      <c r="EP130" s="10" t="str">
        <f t="shared" si="343"/>
        <v xml:space="preserve"> </v>
      </c>
      <c r="EQ130" s="10" t="str">
        <f t="shared" si="343"/>
        <v xml:space="preserve"> </v>
      </c>
      <c r="ER130" s="10" t="str">
        <f t="shared" si="343"/>
        <v xml:space="preserve"> </v>
      </c>
      <c r="ES130" s="10" t="str">
        <f t="shared" si="343"/>
        <v xml:space="preserve"> </v>
      </c>
      <c r="ET130" s="10" t="str">
        <f t="shared" si="343"/>
        <v xml:space="preserve"> </v>
      </c>
      <c r="EW130" s="10" t="str">
        <f t="shared" si="344"/>
        <v xml:space="preserve"> </v>
      </c>
      <c r="EX130" s="10" t="str">
        <f t="shared" si="344"/>
        <v xml:space="preserve"> </v>
      </c>
      <c r="EY130" s="10" t="str">
        <f t="shared" si="344"/>
        <v xml:space="preserve"> </v>
      </c>
      <c r="EZ130" s="10" t="str">
        <f t="shared" si="344"/>
        <v xml:space="preserve"> </v>
      </c>
      <c r="FA130" s="10" t="str">
        <f t="shared" si="344"/>
        <v xml:space="preserve"> </v>
      </c>
      <c r="FD130" s="10" t="str">
        <f t="shared" si="345"/>
        <v xml:space="preserve"> </v>
      </c>
      <c r="FE130" s="10" t="str">
        <f t="shared" si="345"/>
        <v xml:space="preserve"> </v>
      </c>
      <c r="FF130" s="10" t="str">
        <f t="shared" si="345"/>
        <v xml:space="preserve"> </v>
      </c>
      <c r="FG130" s="10" t="str">
        <f t="shared" si="345"/>
        <v xml:space="preserve"> </v>
      </c>
      <c r="FH130" s="10" t="str">
        <f t="shared" si="345"/>
        <v xml:space="preserve"> </v>
      </c>
      <c r="FK130" s="10" t="str">
        <f t="shared" si="346"/>
        <v xml:space="preserve"> </v>
      </c>
      <c r="FL130" s="10" t="str">
        <f t="shared" si="346"/>
        <v xml:space="preserve"> </v>
      </c>
      <c r="FM130" s="10" t="str">
        <f t="shared" si="346"/>
        <v xml:space="preserve"> </v>
      </c>
      <c r="FN130" s="10" t="str">
        <f t="shared" si="346"/>
        <v xml:space="preserve"> </v>
      </c>
      <c r="FO130" s="10" t="str">
        <f t="shared" si="346"/>
        <v xml:space="preserve"> </v>
      </c>
      <c r="FR130" s="10" t="str">
        <f t="shared" si="347"/>
        <v xml:space="preserve"> </v>
      </c>
      <c r="FS130" s="10" t="str">
        <f t="shared" si="347"/>
        <v xml:space="preserve"> </v>
      </c>
      <c r="FT130" s="10" t="str">
        <f t="shared" si="347"/>
        <v xml:space="preserve"> </v>
      </c>
      <c r="FU130" s="10" t="str">
        <f t="shared" si="347"/>
        <v xml:space="preserve"> </v>
      </c>
      <c r="FV130" s="10" t="str">
        <f t="shared" si="347"/>
        <v xml:space="preserve"> </v>
      </c>
      <c r="FY130" s="10" t="str">
        <f t="shared" si="348"/>
        <v xml:space="preserve"> </v>
      </c>
      <c r="FZ130" s="10" t="str">
        <f t="shared" si="348"/>
        <v xml:space="preserve"> </v>
      </c>
      <c r="GA130" s="10" t="str">
        <f t="shared" si="348"/>
        <v xml:space="preserve"> </v>
      </c>
      <c r="GB130" s="10" t="str">
        <f t="shared" si="348"/>
        <v xml:space="preserve"> </v>
      </c>
      <c r="GC130" s="10" t="str">
        <f t="shared" si="348"/>
        <v xml:space="preserve"> </v>
      </c>
      <c r="GF130" s="10" t="str">
        <f t="shared" si="349"/>
        <v xml:space="preserve"> </v>
      </c>
      <c r="GG130" s="10" t="str">
        <f t="shared" si="349"/>
        <v xml:space="preserve"> </v>
      </c>
      <c r="GH130" s="10" t="str">
        <f t="shared" si="349"/>
        <v xml:space="preserve"> </v>
      </c>
      <c r="GI130" s="10" t="str">
        <f t="shared" si="349"/>
        <v xml:space="preserve"> </v>
      </c>
      <c r="GJ130" s="10" t="str">
        <f t="shared" si="349"/>
        <v xml:space="preserve"> </v>
      </c>
      <c r="GM130" s="10" t="str">
        <f t="shared" si="350"/>
        <v xml:space="preserve"> </v>
      </c>
      <c r="GN130" s="10" t="str">
        <f t="shared" si="350"/>
        <v xml:space="preserve"> </v>
      </c>
      <c r="GO130" s="10" t="str">
        <f t="shared" si="350"/>
        <v xml:space="preserve"> </v>
      </c>
      <c r="GP130" s="10" t="str">
        <f t="shared" si="350"/>
        <v xml:space="preserve"> </v>
      </c>
      <c r="GQ130" s="10" t="str">
        <f t="shared" si="350"/>
        <v xml:space="preserve"> </v>
      </c>
      <c r="GT130" s="10" t="str">
        <f t="shared" si="351"/>
        <v xml:space="preserve"> </v>
      </c>
      <c r="GU130" s="10" t="str">
        <f t="shared" si="351"/>
        <v xml:space="preserve"> </v>
      </c>
      <c r="GV130" s="10" t="str">
        <f t="shared" si="351"/>
        <v xml:space="preserve"> </v>
      </c>
      <c r="GW130" s="10" t="str">
        <f t="shared" si="351"/>
        <v xml:space="preserve"> </v>
      </c>
      <c r="GX130" s="10" t="str">
        <f t="shared" si="351"/>
        <v xml:space="preserve"> </v>
      </c>
      <c r="HA130" s="10" t="str">
        <f t="shared" si="352"/>
        <v xml:space="preserve"> </v>
      </c>
      <c r="HB130" s="10" t="str">
        <f t="shared" si="352"/>
        <v xml:space="preserve"> </v>
      </c>
      <c r="HC130" s="10" t="str">
        <f t="shared" si="352"/>
        <v xml:space="preserve"> </v>
      </c>
      <c r="HD130" s="10" t="str">
        <f t="shared" si="352"/>
        <v xml:space="preserve"> </v>
      </c>
      <c r="HE130" s="10" t="str">
        <f t="shared" si="352"/>
        <v xml:space="preserve"> </v>
      </c>
      <c r="HH130" s="10" t="str">
        <f t="shared" si="353"/>
        <v xml:space="preserve"> </v>
      </c>
      <c r="HI130" s="10" t="str">
        <f t="shared" si="353"/>
        <v xml:space="preserve"> </v>
      </c>
      <c r="HJ130" s="10" t="str">
        <f t="shared" si="353"/>
        <v xml:space="preserve"> </v>
      </c>
      <c r="HK130" s="10" t="str">
        <f t="shared" si="353"/>
        <v xml:space="preserve"> </v>
      </c>
      <c r="HL130" s="10" t="str">
        <f t="shared" si="353"/>
        <v xml:space="preserve"> </v>
      </c>
      <c r="HO130" s="10" t="str">
        <f t="shared" si="354"/>
        <v xml:space="preserve"> </v>
      </c>
      <c r="HP130" s="10" t="str">
        <f t="shared" si="354"/>
        <v xml:space="preserve"> </v>
      </c>
      <c r="HQ130" s="10" t="str">
        <f t="shared" si="354"/>
        <v xml:space="preserve"> </v>
      </c>
      <c r="HR130" s="10" t="str">
        <f t="shared" si="354"/>
        <v xml:space="preserve"> </v>
      </c>
      <c r="HS130" s="10" t="str">
        <f t="shared" si="354"/>
        <v xml:space="preserve"> </v>
      </c>
      <c r="HV130" s="10" t="str">
        <f t="shared" si="355"/>
        <v xml:space="preserve"> </v>
      </c>
      <c r="HW130" s="10" t="str">
        <f t="shared" si="355"/>
        <v xml:space="preserve"> </v>
      </c>
      <c r="HX130" s="10" t="str">
        <f t="shared" si="355"/>
        <v xml:space="preserve"> </v>
      </c>
      <c r="HY130" s="10" t="str">
        <f t="shared" si="355"/>
        <v xml:space="preserve"> </v>
      </c>
      <c r="HZ130" s="10" t="str">
        <f t="shared" si="355"/>
        <v xml:space="preserve"> </v>
      </c>
      <c r="IC130" s="10" t="str">
        <f t="shared" si="356"/>
        <v xml:space="preserve"> </v>
      </c>
      <c r="ID130" s="10" t="str">
        <f t="shared" si="356"/>
        <v xml:space="preserve"> </v>
      </c>
      <c r="IE130" s="10" t="str">
        <f t="shared" si="356"/>
        <v xml:space="preserve"> </v>
      </c>
      <c r="IF130" s="10" t="str">
        <f t="shared" si="356"/>
        <v xml:space="preserve"> </v>
      </c>
      <c r="IG130" s="10" t="str">
        <f t="shared" si="356"/>
        <v xml:space="preserve"> </v>
      </c>
      <c r="IJ130" s="10" t="str">
        <f t="shared" si="357"/>
        <v xml:space="preserve"> </v>
      </c>
      <c r="IK130" s="10" t="str">
        <f t="shared" si="357"/>
        <v xml:space="preserve"> </v>
      </c>
      <c r="IL130" s="10" t="str">
        <f t="shared" si="357"/>
        <v xml:space="preserve"> </v>
      </c>
      <c r="IM130" s="10" t="str">
        <f t="shared" si="357"/>
        <v xml:space="preserve"> </v>
      </c>
      <c r="IN130" s="10" t="str">
        <f t="shared" si="357"/>
        <v xml:space="preserve"> </v>
      </c>
      <c r="IQ130" s="10" t="str">
        <f t="shared" si="358"/>
        <v xml:space="preserve"> </v>
      </c>
      <c r="IR130" s="10" t="str">
        <f t="shared" si="358"/>
        <v xml:space="preserve"> </v>
      </c>
      <c r="IS130" s="10" t="str">
        <f t="shared" si="358"/>
        <v xml:space="preserve"> </v>
      </c>
      <c r="IT130" s="10" t="str">
        <f t="shared" si="358"/>
        <v xml:space="preserve"> </v>
      </c>
      <c r="IU130" s="10" t="str">
        <f t="shared" si="358"/>
        <v xml:space="preserve"> </v>
      </c>
      <c r="IX130" s="10" t="str">
        <f t="shared" si="359"/>
        <v xml:space="preserve"> </v>
      </c>
      <c r="IY130" s="10" t="str">
        <f t="shared" si="359"/>
        <v xml:space="preserve"> </v>
      </c>
      <c r="IZ130" s="10" t="str">
        <f t="shared" si="359"/>
        <v xml:space="preserve"> </v>
      </c>
      <c r="JA130" s="10" t="str">
        <f t="shared" si="359"/>
        <v xml:space="preserve"> </v>
      </c>
      <c r="JB130" s="10" t="str">
        <f t="shared" si="359"/>
        <v xml:space="preserve"> </v>
      </c>
      <c r="JE130" s="10" t="str">
        <f t="shared" si="360"/>
        <v xml:space="preserve"> </v>
      </c>
      <c r="JF130" s="10" t="str">
        <f t="shared" si="360"/>
        <v xml:space="preserve"> </v>
      </c>
      <c r="JG130" s="10" t="str">
        <f t="shared" si="360"/>
        <v xml:space="preserve"> </v>
      </c>
      <c r="JH130" s="10" t="str">
        <f t="shared" si="360"/>
        <v xml:space="preserve"> </v>
      </c>
      <c r="JI130" s="10" t="str">
        <f t="shared" si="360"/>
        <v xml:space="preserve"> </v>
      </c>
    </row>
    <row r="131" spans="13:269">
      <c r="M131" s="10" t="str">
        <f t="shared" si="324"/>
        <v xml:space="preserve"> </v>
      </c>
      <c r="N131" s="10" t="str">
        <f t="shared" si="324"/>
        <v xml:space="preserve"> </v>
      </c>
      <c r="O131" s="10" t="str">
        <f t="shared" si="324"/>
        <v xml:space="preserve"> </v>
      </c>
      <c r="P131" s="10" t="str">
        <f t="shared" si="324"/>
        <v xml:space="preserve"> </v>
      </c>
      <c r="Q131" s="10" t="str">
        <f t="shared" si="324"/>
        <v xml:space="preserve"> </v>
      </c>
      <c r="R131" s="14"/>
      <c r="S131" s="14"/>
      <c r="T131" s="10" t="str">
        <f t="shared" si="325"/>
        <v xml:space="preserve"> </v>
      </c>
      <c r="U131" s="10" t="str">
        <f t="shared" si="325"/>
        <v xml:space="preserve"> </v>
      </c>
      <c r="V131" s="10" t="str">
        <f t="shared" si="325"/>
        <v xml:space="preserve"> </v>
      </c>
      <c r="W131" s="10" t="str">
        <f t="shared" si="325"/>
        <v xml:space="preserve"> </v>
      </c>
      <c r="X131" s="10" t="str">
        <f t="shared" si="325"/>
        <v xml:space="preserve"> </v>
      </c>
      <c r="Y131" s="14"/>
      <c r="Z131" s="14"/>
      <c r="AA131" s="10" t="str">
        <f t="shared" si="326"/>
        <v xml:space="preserve"> </v>
      </c>
      <c r="AB131" s="10" t="str">
        <f t="shared" si="326"/>
        <v xml:space="preserve"> </v>
      </c>
      <c r="AC131" s="10" t="str">
        <f t="shared" si="326"/>
        <v xml:space="preserve"> </v>
      </c>
      <c r="AD131" s="10" t="str">
        <f t="shared" si="326"/>
        <v xml:space="preserve"> </v>
      </c>
      <c r="AE131" s="10" t="str">
        <f t="shared" si="326"/>
        <v xml:space="preserve"> </v>
      </c>
      <c r="AF131" s="14"/>
      <c r="AG131" s="14"/>
      <c r="AH131" s="10" t="str">
        <f t="shared" si="327"/>
        <v xml:space="preserve"> </v>
      </c>
      <c r="AI131" s="10" t="str">
        <f t="shared" si="327"/>
        <v xml:space="preserve"> </v>
      </c>
      <c r="AJ131" s="10" t="str">
        <f t="shared" si="327"/>
        <v xml:space="preserve"> </v>
      </c>
      <c r="AK131" s="10" t="str">
        <f t="shared" si="327"/>
        <v xml:space="preserve"> </v>
      </c>
      <c r="AL131" s="10" t="str">
        <f t="shared" si="327"/>
        <v xml:space="preserve"> </v>
      </c>
      <c r="AM131" s="14"/>
      <c r="AN131" s="14"/>
      <c r="AO131" s="10" t="str">
        <f t="shared" si="328"/>
        <v xml:space="preserve"> </v>
      </c>
      <c r="AP131" s="10" t="str">
        <f t="shared" si="328"/>
        <v xml:space="preserve"> </v>
      </c>
      <c r="AQ131" s="10" t="str">
        <f t="shared" si="328"/>
        <v xml:space="preserve"> </v>
      </c>
      <c r="AR131" s="10" t="str">
        <f t="shared" si="328"/>
        <v xml:space="preserve"> </v>
      </c>
      <c r="AS131" s="10" t="str">
        <f t="shared" si="328"/>
        <v xml:space="preserve"> </v>
      </c>
      <c r="AT131" s="14"/>
      <c r="AU131" s="14"/>
      <c r="AV131" s="10" t="str">
        <f t="shared" si="329"/>
        <v xml:space="preserve"> </v>
      </c>
      <c r="AW131" s="10" t="str">
        <f t="shared" si="329"/>
        <v xml:space="preserve"> </v>
      </c>
      <c r="AX131" s="10" t="str">
        <f t="shared" si="329"/>
        <v xml:space="preserve"> </v>
      </c>
      <c r="AY131" s="10" t="str">
        <f t="shared" si="329"/>
        <v xml:space="preserve"> </v>
      </c>
      <c r="AZ131" s="10" t="str">
        <f t="shared" si="329"/>
        <v xml:space="preserve"> </v>
      </c>
      <c r="BA131" s="14"/>
      <c r="BB131" s="14"/>
      <c r="BC131" s="10" t="str">
        <f t="shared" si="330"/>
        <v xml:space="preserve"> </v>
      </c>
      <c r="BD131" s="10" t="str">
        <f t="shared" si="330"/>
        <v xml:space="preserve"> </v>
      </c>
      <c r="BE131" s="10" t="str">
        <f t="shared" si="330"/>
        <v xml:space="preserve"> </v>
      </c>
      <c r="BF131" s="10" t="str">
        <f t="shared" si="330"/>
        <v xml:space="preserve"> </v>
      </c>
      <c r="BG131" s="10" t="str">
        <f t="shared" si="330"/>
        <v xml:space="preserve"> </v>
      </c>
      <c r="BH131" s="14"/>
      <c r="BI131" s="14"/>
      <c r="BJ131" s="10" t="str">
        <f t="shared" si="331"/>
        <v xml:space="preserve"> </v>
      </c>
      <c r="BK131" s="10" t="str">
        <f t="shared" si="331"/>
        <v xml:space="preserve"> </v>
      </c>
      <c r="BL131" s="10" t="str">
        <f t="shared" si="331"/>
        <v xml:space="preserve"> </v>
      </c>
      <c r="BM131" s="10" t="str">
        <f t="shared" si="331"/>
        <v xml:space="preserve"> </v>
      </c>
      <c r="BN131" s="10" t="str">
        <f t="shared" si="331"/>
        <v xml:space="preserve"> </v>
      </c>
      <c r="BO131" s="14"/>
      <c r="BP131" s="14"/>
      <c r="BQ131" s="10" t="str">
        <f t="shared" si="332"/>
        <v xml:space="preserve"> </v>
      </c>
      <c r="BR131" s="10" t="str">
        <f t="shared" si="332"/>
        <v xml:space="preserve"> </v>
      </c>
      <c r="BS131" s="10" t="str">
        <f t="shared" si="332"/>
        <v xml:space="preserve"> </v>
      </c>
      <c r="BT131" s="10" t="str">
        <f t="shared" si="332"/>
        <v xml:space="preserve"> </v>
      </c>
      <c r="BU131" s="10" t="str">
        <f t="shared" si="332"/>
        <v xml:space="preserve"> </v>
      </c>
      <c r="BV131" s="14"/>
      <c r="BW131" s="14"/>
      <c r="BX131" s="10" t="str">
        <f t="shared" si="333"/>
        <v xml:space="preserve"> </v>
      </c>
      <c r="BY131" s="10" t="str">
        <f t="shared" si="333"/>
        <v xml:space="preserve"> </v>
      </c>
      <c r="BZ131" s="10" t="str">
        <f t="shared" si="333"/>
        <v xml:space="preserve"> </v>
      </c>
      <c r="CA131" s="10" t="str">
        <f t="shared" si="333"/>
        <v xml:space="preserve"> </v>
      </c>
      <c r="CB131" s="10" t="str">
        <f t="shared" si="333"/>
        <v xml:space="preserve"> </v>
      </c>
      <c r="CC131" s="14"/>
      <c r="CD131" s="14"/>
      <c r="CE131" s="10" t="str">
        <f t="shared" si="334"/>
        <v xml:space="preserve"> </v>
      </c>
      <c r="CF131" s="10" t="str">
        <f t="shared" si="334"/>
        <v xml:space="preserve"> </v>
      </c>
      <c r="CG131" s="10" t="str">
        <f t="shared" si="334"/>
        <v xml:space="preserve"> </v>
      </c>
      <c r="CH131" s="10" t="str">
        <f t="shared" si="334"/>
        <v xml:space="preserve"> </v>
      </c>
      <c r="CI131" s="10" t="str">
        <f t="shared" si="334"/>
        <v xml:space="preserve"> </v>
      </c>
      <c r="CJ131" s="14"/>
      <c r="CK131" s="14"/>
      <c r="CL131" s="10" t="str">
        <f t="shared" si="335"/>
        <v xml:space="preserve"> </v>
      </c>
      <c r="CM131" s="10" t="str">
        <f t="shared" si="335"/>
        <v xml:space="preserve"> </v>
      </c>
      <c r="CN131" s="10" t="str">
        <f t="shared" si="335"/>
        <v xml:space="preserve"> </v>
      </c>
      <c r="CO131" s="10" t="str">
        <f t="shared" si="335"/>
        <v xml:space="preserve"> </v>
      </c>
      <c r="CP131" s="10" t="str">
        <f t="shared" si="335"/>
        <v xml:space="preserve"> </v>
      </c>
      <c r="CQ131" s="14"/>
      <c r="CR131" s="14"/>
      <c r="CS131" s="10" t="str">
        <f t="shared" si="336"/>
        <v xml:space="preserve"> </v>
      </c>
      <c r="CT131" s="10" t="str">
        <f t="shared" si="336"/>
        <v xml:space="preserve"> </v>
      </c>
      <c r="CU131" s="10" t="str">
        <f t="shared" si="336"/>
        <v xml:space="preserve"> </v>
      </c>
      <c r="CV131" s="10" t="str">
        <f t="shared" si="336"/>
        <v xml:space="preserve"> </v>
      </c>
      <c r="CW131" s="10" t="str">
        <f t="shared" si="336"/>
        <v xml:space="preserve"> </v>
      </c>
      <c r="CZ131" s="10" t="str">
        <f t="shared" si="337"/>
        <v xml:space="preserve"> </v>
      </c>
      <c r="DA131" s="10" t="str">
        <f t="shared" si="337"/>
        <v xml:space="preserve"> </v>
      </c>
      <c r="DB131" s="10" t="str">
        <f t="shared" si="337"/>
        <v xml:space="preserve"> </v>
      </c>
      <c r="DC131" s="10" t="str">
        <f t="shared" si="337"/>
        <v xml:space="preserve"> </v>
      </c>
      <c r="DD131" s="10" t="str">
        <f t="shared" si="337"/>
        <v xml:space="preserve"> </v>
      </c>
      <c r="DG131" s="10" t="str">
        <f t="shared" si="338"/>
        <v xml:space="preserve"> </v>
      </c>
      <c r="DH131" s="10" t="str">
        <f t="shared" si="338"/>
        <v xml:space="preserve"> </v>
      </c>
      <c r="DI131" s="10" t="str">
        <f t="shared" si="338"/>
        <v xml:space="preserve"> </v>
      </c>
      <c r="DJ131" s="10" t="str">
        <f t="shared" si="338"/>
        <v xml:space="preserve"> </v>
      </c>
      <c r="DK131" s="10" t="str">
        <f t="shared" si="338"/>
        <v xml:space="preserve"> </v>
      </c>
      <c r="DN131" s="10" t="str">
        <f t="shared" si="339"/>
        <v xml:space="preserve"> </v>
      </c>
      <c r="DO131" s="10" t="str">
        <f t="shared" si="339"/>
        <v xml:space="preserve"> </v>
      </c>
      <c r="DP131" s="10" t="str">
        <f t="shared" si="339"/>
        <v xml:space="preserve"> </v>
      </c>
      <c r="DQ131" s="10" t="str">
        <f t="shared" si="339"/>
        <v xml:space="preserve"> </v>
      </c>
      <c r="DR131" s="10" t="str">
        <f t="shared" si="339"/>
        <v xml:space="preserve"> </v>
      </c>
      <c r="DU131" s="10" t="str">
        <f t="shared" si="340"/>
        <v xml:space="preserve"> </v>
      </c>
      <c r="DV131" s="10" t="str">
        <f t="shared" si="340"/>
        <v xml:space="preserve"> </v>
      </c>
      <c r="DW131" s="10" t="str">
        <f t="shared" si="340"/>
        <v xml:space="preserve"> </v>
      </c>
      <c r="DX131" s="10" t="str">
        <f t="shared" si="340"/>
        <v xml:space="preserve"> </v>
      </c>
      <c r="DY131" s="10" t="str">
        <f t="shared" si="340"/>
        <v xml:space="preserve"> </v>
      </c>
      <c r="EB131" s="10" t="str">
        <f t="shared" si="341"/>
        <v xml:space="preserve"> </v>
      </c>
      <c r="EC131" s="10" t="str">
        <f t="shared" si="341"/>
        <v xml:space="preserve"> </v>
      </c>
      <c r="ED131" s="10" t="str">
        <f t="shared" si="341"/>
        <v xml:space="preserve"> </v>
      </c>
      <c r="EE131" s="10" t="str">
        <f t="shared" si="341"/>
        <v xml:space="preserve"> </v>
      </c>
      <c r="EF131" s="10" t="str">
        <f t="shared" si="341"/>
        <v xml:space="preserve"> </v>
      </c>
      <c r="EI131" s="10" t="str">
        <f t="shared" si="342"/>
        <v xml:space="preserve"> </v>
      </c>
      <c r="EJ131" s="10" t="str">
        <f t="shared" si="342"/>
        <v xml:space="preserve"> </v>
      </c>
      <c r="EK131" s="10" t="str">
        <f t="shared" si="342"/>
        <v xml:space="preserve"> </v>
      </c>
      <c r="EL131" s="10" t="str">
        <f t="shared" si="342"/>
        <v xml:space="preserve"> </v>
      </c>
      <c r="EM131" s="10" t="str">
        <f t="shared" si="342"/>
        <v xml:space="preserve"> </v>
      </c>
      <c r="EP131" s="10" t="str">
        <f t="shared" si="343"/>
        <v xml:space="preserve"> </v>
      </c>
      <c r="EQ131" s="10" t="str">
        <f t="shared" si="343"/>
        <v xml:space="preserve"> </v>
      </c>
      <c r="ER131" s="10" t="str">
        <f t="shared" si="343"/>
        <v xml:space="preserve"> </v>
      </c>
      <c r="ES131" s="10" t="str">
        <f t="shared" si="343"/>
        <v xml:space="preserve"> </v>
      </c>
      <c r="ET131" s="10" t="str">
        <f t="shared" si="343"/>
        <v xml:space="preserve"> </v>
      </c>
      <c r="EW131" s="10" t="str">
        <f t="shared" si="344"/>
        <v xml:space="preserve"> </v>
      </c>
      <c r="EX131" s="10" t="str">
        <f t="shared" si="344"/>
        <v xml:space="preserve"> </v>
      </c>
      <c r="EY131" s="10" t="str">
        <f t="shared" si="344"/>
        <v xml:space="preserve"> </v>
      </c>
      <c r="EZ131" s="10" t="str">
        <f t="shared" si="344"/>
        <v xml:space="preserve"> </v>
      </c>
      <c r="FA131" s="10" t="str">
        <f t="shared" si="344"/>
        <v xml:space="preserve"> </v>
      </c>
      <c r="FD131" s="10" t="str">
        <f t="shared" si="345"/>
        <v xml:space="preserve"> </v>
      </c>
      <c r="FE131" s="10" t="str">
        <f t="shared" si="345"/>
        <v xml:space="preserve"> </v>
      </c>
      <c r="FF131" s="10" t="str">
        <f t="shared" si="345"/>
        <v xml:space="preserve"> </v>
      </c>
      <c r="FG131" s="10" t="str">
        <f t="shared" si="345"/>
        <v xml:space="preserve"> </v>
      </c>
      <c r="FH131" s="10" t="str">
        <f t="shared" si="345"/>
        <v xml:space="preserve"> </v>
      </c>
      <c r="FK131" s="10" t="str">
        <f t="shared" si="346"/>
        <v xml:space="preserve"> </v>
      </c>
      <c r="FL131" s="10" t="str">
        <f t="shared" si="346"/>
        <v xml:space="preserve"> </v>
      </c>
      <c r="FM131" s="10" t="str">
        <f t="shared" si="346"/>
        <v xml:space="preserve"> </v>
      </c>
      <c r="FN131" s="10" t="str">
        <f t="shared" si="346"/>
        <v xml:space="preserve"> </v>
      </c>
      <c r="FO131" s="10" t="str">
        <f t="shared" si="346"/>
        <v xml:space="preserve"> </v>
      </c>
      <c r="FR131" s="10" t="str">
        <f t="shared" si="347"/>
        <v xml:space="preserve"> </v>
      </c>
      <c r="FS131" s="10" t="str">
        <f t="shared" si="347"/>
        <v xml:space="preserve"> </v>
      </c>
      <c r="FT131" s="10" t="str">
        <f t="shared" si="347"/>
        <v xml:space="preserve"> </v>
      </c>
      <c r="FU131" s="10" t="str">
        <f t="shared" si="347"/>
        <v xml:space="preserve"> </v>
      </c>
      <c r="FV131" s="10" t="str">
        <f t="shared" si="347"/>
        <v xml:space="preserve"> </v>
      </c>
      <c r="FY131" s="10" t="str">
        <f t="shared" si="348"/>
        <v xml:space="preserve"> </v>
      </c>
      <c r="FZ131" s="10" t="str">
        <f t="shared" si="348"/>
        <v xml:space="preserve"> </v>
      </c>
      <c r="GA131" s="10" t="str">
        <f t="shared" si="348"/>
        <v xml:space="preserve"> </v>
      </c>
      <c r="GB131" s="10" t="str">
        <f t="shared" si="348"/>
        <v xml:space="preserve"> </v>
      </c>
      <c r="GC131" s="10" t="str">
        <f t="shared" si="348"/>
        <v xml:space="preserve"> </v>
      </c>
      <c r="GF131" s="10" t="str">
        <f t="shared" si="349"/>
        <v xml:space="preserve"> </v>
      </c>
      <c r="GG131" s="10" t="str">
        <f t="shared" si="349"/>
        <v xml:space="preserve"> </v>
      </c>
      <c r="GH131" s="10" t="str">
        <f t="shared" si="349"/>
        <v xml:space="preserve"> </v>
      </c>
      <c r="GI131" s="10" t="str">
        <f t="shared" si="349"/>
        <v xml:space="preserve"> </v>
      </c>
      <c r="GJ131" s="10" t="str">
        <f t="shared" si="349"/>
        <v xml:space="preserve"> </v>
      </c>
      <c r="GM131" s="10" t="str">
        <f t="shared" si="350"/>
        <v xml:space="preserve"> </v>
      </c>
      <c r="GN131" s="10" t="str">
        <f t="shared" si="350"/>
        <v xml:space="preserve"> </v>
      </c>
      <c r="GO131" s="10" t="str">
        <f t="shared" si="350"/>
        <v xml:space="preserve"> </v>
      </c>
      <c r="GP131" s="10" t="str">
        <f t="shared" si="350"/>
        <v xml:space="preserve"> </v>
      </c>
      <c r="GQ131" s="10" t="str">
        <f t="shared" si="350"/>
        <v xml:space="preserve"> </v>
      </c>
      <c r="GT131" s="10" t="str">
        <f t="shared" si="351"/>
        <v xml:space="preserve"> </v>
      </c>
      <c r="GU131" s="10" t="str">
        <f t="shared" si="351"/>
        <v xml:space="preserve"> </v>
      </c>
      <c r="GV131" s="10" t="str">
        <f t="shared" si="351"/>
        <v xml:space="preserve"> </v>
      </c>
      <c r="GW131" s="10" t="str">
        <f t="shared" si="351"/>
        <v xml:space="preserve"> </v>
      </c>
      <c r="GX131" s="10" t="str">
        <f t="shared" si="351"/>
        <v xml:space="preserve"> </v>
      </c>
      <c r="HA131" s="10" t="str">
        <f t="shared" si="352"/>
        <v xml:space="preserve"> </v>
      </c>
      <c r="HB131" s="10" t="str">
        <f t="shared" si="352"/>
        <v xml:space="preserve"> </v>
      </c>
      <c r="HC131" s="10" t="str">
        <f t="shared" si="352"/>
        <v xml:space="preserve"> </v>
      </c>
      <c r="HD131" s="10" t="str">
        <f t="shared" si="352"/>
        <v xml:space="preserve"> </v>
      </c>
      <c r="HE131" s="10" t="str">
        <f t="shared" si="352"/>
        <v xml:space="preserve"> </v>
      </c>
      <c r="HH131" s="10" t="str">
        <f t="shared" si="353"/>
        <v xml:space="preserve"> </v>
      </c>
      <c r="HI131" s="10" t="str">
        <f t="shared" si="353"/>
        <v xml:space="preserve"> </v>
      </c>
      <c r="HJ131" s="10" t="str">
        <f t="shared" si="353"/>
        <v xml:space="preserve"> </v>
      </c>
      <c r="HK131" s="10" t="str">
        <f t="shared" si="353"/>
        <v xml:space="preserve"> </v>
      </c>
      <c r="HL131" s="10" t="str">
        <f t="shared" si="353"/>
        <v xml:space="preserve"> </v>
      </c>
      <c r="HO131" s="10" t="str">
        <f t="shared" si="354"/>
        <v xml:space="preserve"> </v>
      </c>
      <c r="HP131" s="10" t="str">
        <f t="shared" si="354"/>
        <v xml:space="preserve"> </v>
      </c>
      <c r="HQ131" s="10" t="str">
        <f t="shared" si="354"/>
        <v xml:space="preserve"> </v>
      </c>
      <c r="HR131" s="10" t="str">
        <f t="shared" si="354"/>
        <v xml:space="preserve"> </v>
      </c>
      <c r="HS131" s="10" t="str">
        <f t="shared" si="354"/>
        <v xml:space="preserve"> </v>
      </c>
      <c r="HV131" s="10" t="str">
        <f t="shared" si="355"/>
        <v xml:space="preserve"> </v>
      </c>
      <c r="HW131" s="10" t="str">
        <f t="shared" si="355"/>
        <v xml:space="preserve"> </v>
      </c>
      <c r="HX131" s="10" t="str">
        <f t="shared" si="355"/>
        <v xml:space="preserve"> </v>
      </c>
      <c r="HY131" s="10" t="str">
        <f t="shared" si="355"/>
        <v xml:space="preserve"> </v>
      </c>
      <c r="HZ131" s="10" t="str">
        <f t="shared" si="355"/>
        <v xml:space="preserve"> </v>
      </c>
      <c r="IC131" s="10" t="str">
        <f t="shared" si="356"/>
        <v xml:space="preserve"> </v>
      </c>
      <c r="ID131" s="10" t="str">
        <f t="shared" si="356"/>
        <v xml:space="preserve"> </v>
      </c>
      <c r="IE131" s="10" t="str">
        <f t="shared" si="356"/>
        <v xml:space="preserve"> </v>
      </c>
      <c r="IF131" s="10" t="str">
        <f t="shared" si="356"/>
        <v xml:space="preserve"> </v>
      </c>
      <c r="IG131" s="10" t="str">
        <f t="shared" si="356"/>
        <v xml:space="preserve"> </v>
      </c>
      <c r="IJ131" s="10" t="str">
        <f t="shared" si="357"/>
        <v xml:space="preserve"> </v>
      </c>
      <c r="IK131" s="10" t="str">
        <f t="shared" si="357"/>
        <v xml:space="preserve"> </v>
      </c>
      <c r="IL131" s="10" t="str">
        <f t="shared" si="357"/>
        <v xml:space="preserve"> </v>
      </c>
      <c r="IM131" s="10" t="str">
        <f t="shared" si="357"/>
        <v xml:space="preserve"> </v>
      </c>
      <c r="IN131" s="10" t="str">
        <f t="shared" si="357"/>
        <v xml:space="preserve"> </v>
      </c>
      <c r="IQ131" s="10" t="str">
        <f t="shared" si="358"/>
        <v xml:space="preserve"> </v>
      </c>
      <c r="IR131" s="10" t="str">
        <f t="shared" si="358"/>
        <v xml:space="preserve"> </v>
      </c>
      <c r="IS131" s="10" t="str">
        <f t="shared" si="358"/>
        <v xml:space="preserve"> </v>
      </c>
      <c r="IT131" s="10" t="str">
        <f t="shared" si="358"/>
        <v xml:space="preserve"> </v>
      </c>
      <c r="IU131" s="10" t="str">
        <f t="shared" si="358"/>
        <v xml:space="preserve"> </v>
      </c>
      <c r="IX131" s="10" t="str">
        <f t="shared" si="359"/>
        <v xml:space="preserve"> </v>
      </c>
      <c r="IY131" s="10" t="str">
        <f t="shared" si="359"/>
        <v xml:space="preserve"> </v>
      </c>
      <c r="IZ131" s="10" t="str">
        <f t="shared" si="359"/>
        <v xml:space="preserve"> </v>
      </c>
      <c r="JA131" s="10" t="str">
        <f t="shared" si="359"/>
        <v xml:space="preserve"> </v>
      </c>
      <c r="JB131" s="10" t="str">
        <f t="shared" si="359"/>
        <v xml:space="preserve"> </v>
      </c>
      <c r="JE131" s="10" t="str">
        <f t="shared" si="360"/>
        <v xml:space="preserve"> </v>
      </c>
      <c r="JF131" s="10" t="str">
        <f t="shared" si="360"/>
        <v xml:space="preserve"> </v>
      </c>
      <c r="JG131" s="10" t="str">
        <f t="shared" si="360"/>
        <v xml:space="preserve"> </v>
      </c>
      <c r="JH131" s="10" t="str">
        <f t="shared" si="360"/>
        <v xml:space="preserve"> </v>
      </c>
      <c r="JI131" s="10" t="str">
        <f t="shared" si="360"/>
        <v xml:space="preserve"> </v>
      </c>
    </row>
    <row r="132" spans="13:269">
      <c r="M132" s="10" t="str">
        <f t="shared" si="324"/>
        <v xml:space="preserve"> </v>
      </c>
      <c r="N132" s="10" t="str">
        <f t="shared" si="324"/>
        <v xml:space="preserve"> </v>
      </c>
      <c r="O132" s="10" t="str">
        <f t="shared" si="324"/>
        <v xml:space="preserve"> </v>
      </c>
      <c r="P132" s="10" t="str">
        <f t="shared" si="324"/>
        <v xml:space="preserve"> </v>
      </c>
      <c r="Q132" s="10" t="str">
        <f t="shared" si="324"/>
        <v xml:space="preserve"> </v>
      </c>
      <c r="R132" s="14"/>
      <c r="S132" s="14"/>
      <c r="T132" s="10" t="str">
        <f t="shared" si="325"/>
        <v xml:space="preserve"> </v>
      </c>
      <c r="U132" s="10" t="str">
        <f t="shared" si="325"/>
        <v xml:space="preserve"> </v>
      </c>
      <c r="V132" s="10" t="str">
        <f t="shared" si="325"/>
        <v xml:space="preserve"> </v>
      </c>
      <c r="W132" s="10" t="str">
        <f t="shared" si="325"/>
        <v xml:space="preserve"> </v>
      </c>
      <c r="X132" s="10" t="str">
        <f t="shared" si="325"/>
        <v xml:space="preserve"> </v>
      </c>
      <c r="Y132" s="14"/>
      <c r="Z132" s="14"/>
      <c r="AA132" s="10" t="str">
        <f t="shared" si="326"/>
        <v xml:space="preserve"> </v>
      </c>
      <c r="AB132" s="10" t="str">
        <f t="shared" si="326"/>
        <v xml:space="preserve"> </v>
      </c>
      <c r="AC132" s="10" t="str">
        <f t="shared" si="326"/>
        <v xml:space="preserve"> </v>
      </c>
      <c r="AD132" s="10" t="str">
        <f t="shared" si="326"/>
        <v xml:space="preserve"> </v>
      </c>
      <c r="AE132" s="10" t="str">
        <f t="shared" si="326"/>
        <v xml:space="preserve"> </v>
      </c>
      <c r="AF132" s="14"/>
      <c r="AG132" s="14"/>
      <c r="AH132" s="10" t="str">
        <f t="shared" si="327"/>
        <v xml:space="preserve"> </v>
      </c>
      <c r="AI132" s="10" t="str">
        <f t="shared" si="327"/>
        <v xml:space="preserve"> </v>
      </c>
      <c r="AJ132" s="10" t="str">
        <f t="shared" si="327"/>
        <v xml:space="preserve"> </v>
      </c>
      <c r="AK132" s="10" t="str">
        <f t="shared" si="327"/>
        <v xml:space="preserve"> </v>
      </c>
      <c r="AL132" s="10" t="str">
        <f t="shared" si="327"/>
        <v xml:space="preserve"> </v>
      </c>
      <c r="AM132" s="14"/>
      <c r="AN132" s="14"/>
      <c r="AO132" s="10" t="str">
        <f t="shared" si="328"/>
        <v xml:space="preserve"> </v>
      </c>
      <c r="AP132" s="10" t="str">
        <f t="shared" si="328"/>
        <v xml:space="preserve"> </v>
      </c>
      <c r="AQ132" s="10" t="str">
        <f t="shared" si="328"/>
        <v xml:space="preserve"> </v>
      </c>
      <c r="AR132" s="10" t="str">
        <f t="shared" si="328"/>
        <v xml:space="preserve"> </v>
      </c>
      <c r="AS132" s="10" t="str">
        <f t="shared" si="328"/>
        <v xml:space="preserve"> </v>
      </c>
      <c r="AT132" s="14"/>
      <c r="AU132" s="14"/>
      <c r="AV132" s="10" t="str">
        <f t="shared" si="329"/>
        <v xml:space="preserve"> </v>
      </c>
      <c r="AW132" s="10" t="str">
        <f t="shared" si="329"/>
        <v xml:space="preserve"> </v>
      </c>
      <c r="AX132" s="10" t="str">
        <f t="shared" si="329"/>
        <v xml:space="preserve"> </v>
      </c>
      <c r="AY132" s="10" t="str">
        <f t="shared" si="329"/>
        <v xml:space="preserve"> </v>
      </c>
      <c r="AZ132" s="10" t="str">
        <f t="shared" si="329"/>
        <v xml:space="preserve"> </v>
      </c>
      <c r="BA132" s="14"/>
      <c r="BB132" s="14"/>
      <c r="BC132" s="10" t="str">
        <f t="shared" si="330"/>
        <v xml:space="preserve"> </v>
      </c>
      <c r="BD132" s="10" t="str">
        <f t="shared" si="330"/>
        <v xml:space="preserve"> </v>
      </c>
      <c r="BE132" s="10" t="str">
        <f t="shared" si="330"/>
        <v xml:space="preserve"> </v>
      </c>
      <c r="BF132" s="10" t="str">
        <f t="shared" si="330"/>
        <v xml:space="preserve"> </v>
      </c>
      <c r="BG132" s="10" t="str">
        <f t="shared" si="330"/>
        <v xml:space="preserve"> </v>
      </c>
      <c r="BH132" s="14"/>
      <c r="BI132" s="14"/>
      <c r="BJ132" s="10" t="str">
        <f t="shared" si="331"/>
        <v xml:space="preserve"> </v>
      </c>
      <c r="BK132" s="10" t="str">
        <f t="shared" si="331"/>
        <v xml:space="preserve"> </v>
      </c>
      <c r="BL132" s="10" t="str">
        <f t="shared" si="331"/>
        <v xml:space="preserve"> </v>
      </c>
      <c r="BM132" s="10" t="str">
        <f t="shared" si="331"/>
        <v xml:space="preserve"> </v>
      </c>
      <c r="BN132" s="10" t="str">
        <f t="shared" si="331"/>
        <v xml:space="preserve"> </v>
      </c>
      <c r="BO132" s="14"/>
      <c r="BP132" s="14"/>
      <c r="BQ132" s="10" t="str">
        <f t="shared" si="332"/>
        <v xml:space="preserve"> </v>
      </c>
      <c r="BR132" s="10" t="str">
        <f t="shared" si="332"/>
        <v xml:space="preserve"> </v>
      </c>
      <c r="BS132" s="10" t="str">
        <f t="shared" si="332"/>
        <v xml:space="preserve"> </v>
      </c>
      <c r="BT132" s="10" t="str">
        <f t="shared" si="332"/>
        <v xml:space="preserve"> </v>
      </c>
      <c r="BU132" s="10" t="str">
        <f t="shared" si="332"/>
        <v xml:space="preserve"> </v>
      </c>
      <c r="BV132" s="14"/>
      <c r="BW132" s="14"/>
      <c r="BX132" s="10" t="str">
        <f t="shared" si="333"/>
        <v xml:space="preserve"> </v>
      </c>
      <c r="BY132" s="10" t="str">
        <f t="shared" si="333"/>
        <v xml:space="preserve"> </v>
      </c>
      <c r="BZ132" s="10" t="str">
        <f t="shared" si="333"/>
        <v xml:space="preserve"> </v>
      </c>
      <c r="CA132" s="10" t="str">
        <f t="shared" si="333"/>
        <v xml:space="preserve"> </v>
      </c>
      <c r="CB132" s="10" t="str">
        <f t="shared" si="333"/>
        <v xml:space="preserve"> </v>
      </c>
      <c r="CC132" s="14"/>
      <c r="CD132" s="14"/>
      <c r="CE132" s="10" t="str">
        <f t="shared" si="334"/>
        <v xml:space="preserve"> </v>
      </c>
      <c r="CF132" s="10" t="str">
        <f t="shared" si="334"/>
        <v xml:space="preserve"> </v>
      </c>
      <c r="CG132" s="10" t="str">
        <f t="shared" si="334"/>
        <v xml:space="preserve"> </v>
      </c>
      <c r="CH132" s="10" t="str">
        <f t="shared" si="334"/>
        <v xml:space="preserve"> </v>
      </c>
      <c r="CI132" s="10" t="str">
        <f t="shared" si="334"/>
        <v xml:space="preserve"> </v>
      </c>
      <c r="CJ132" s="14"/>
      <c r="CK132" s="14"/>
      <c r="CL132" s="10" t="str">
        <f t="shared" si="335"/>
        <v xml:space="preserve"> </v>
      </c>
      <c r="CM132" s="10" t="str">
        <f t="shared" si="335"/>
        <v xml:space="preserve"> </v>
      </c>
      <c r="CN132" s="10" t="str">
        <f t="shared" si="335"/>
        <v xml:space="preserve"> </v>
      </c>
      <c r="CO132" s="10" t="str">
        <f t="shared" si="335"/>
        <v xml:space="preserve"> </v>
      </c>
      <c r="CP132" s="10" t="str">
        <f t="shared" si="335"/>
        <v xml:space="preserve"> </v>
      </c>
      <c r="CQ132" s="14"/>
      <c r="CR132" s="14"/>
      <c r="CS132" s="10" t="str">
        <f t="shared" si="336"/>
        <v xml:space="preserve"> </v>
      </c>
      <c r="CT132" s="10" t="str">
        <f t="shared" si="336"/>
        <v xml:space="preserve"> </v>
      </c>
      <c r="CU132" s="10" t="str">
        <f t="shared" si="336"/>
        <v xml:space="preserve"> </v>
      </c>
      <c r="CV132" s="10" t="str">
        <f t="shared" si="336"/>
        <v xml:space="preserve"> </v>
      </c>
      <c r="CW132" s="10" t="str">
        <f t="shared" si="336"/>
        <v xml:space="preserve"> </v>
      </c>
      <c r="CZ132" s="10" t="str">
        <f t="shared" si="337"/>
        <v xml:space="preserve"> </v>
      </c>
      <c r="DA132" s="10" t="str">
        <f t="shared" si="337"/>
        <v xml:space="preserve"> </v>
      </c>
      <c r="DB132" s="10" t="str">
        <f t="shared" si="337"/>
        <v xml:space="preserve"> </v>
      </c>
      <c r="DC132" s="10" t="str">
        <f t="shared" si="337"/>
        <v xml:space="preserve"> </v>
      </c>
      <c r="DD132" s="10" t="str">
        <f t="shared" si="337"/>
        <v xml:space="preserve"> </v>
      </c>
      <c r="DG132" s="10" t="str">
        <f t="shared" si="338"/>
        <v xml:space="preserve"> </v>
      </c>
      <c r="DH132" s="10" t="str">
        <f t="shared" si="338"/>
        <v xml:space="preserve"> </v>
      </c>
      <c r="DI132" s="10" t="str">
        <f t="shared" si="338"/>
        <v xml:space="preserve"> </v>
      </c>
      <c r="DJ132" s="10" t="str">
        <f t="shared" si="338"/>
        <v xml:space="preserve"> </v>
      </c>
      <c r="DK132" s="10" t="str">
        <f t="shared" si="338"/>
        <v xml:space="preserve"> </v>
      </c>
      <c r="DN132" s="10" t="str">
        <f t="shared" si="339"/>
        <v xml:space="preserve"> </v>
      </c>
      <c r="DO132" s="10" t="str">
        <f t="shared" si="339"/>
        <v xml:space="preserve"> </v>
      </c>
      <c r="DP132" s="10" t="str">
        <f t="shared" si="339"/>
        <v xml:space="preserve"> </v>
      </c>
      <c r="DQ132" s="10" t="str">
        <f t="shared" si="339"/>
        <v xml:space="preserve"> </v>
      </c>
      <c r="DR132" s="10" t="str">
        <f t="shared" si="339"/>
        <v xml:space="preserve"> </v>
      </c>
      <c r="DU132" s="10" t="str">
        <f t="shared" si="340"/>
        <v xml:space="preserve"> </v>
      </c>
      <c r="DV132" s="10" t="str">
        <f t="shared" si="340"/>
        <v xml:space="preserve"> </v>
      </c>
      <c r="DW132" s="10" t="str">
        <f t="shared" si="340"/>
        <v xml:space="preserve"> </v>
      </c>
      <c r="DX132" s="10" t="str">
        <f t="shared" si="340"/>
        <v xml:space="preserve"> </v>
      </c>
      <c r="DY132" s="10" t="str">
        <f t="shared" si="340"/>
        <v xml:space="preserve"> </v>
      </c>
      <c r="EB132" s="10" t="str">
        <f t="shared" si="341"/>
        <v xml:space="preserve"> </v>
      </c>
      <c r="EC132" s="10" t="str">
        <f t="shared" si="341"/>
        <v xml:space="preserve"> </v>
      </c>
      <c r="ED132" s="10" t="str">
        <f t="shared" si="341"/>
        <v xml:space="preserve"> </v>
      </c>
      <c r="EE132" s="10" t="str">
        <f t="shared" si="341"/>
        <v xml:space="preserve"> </v>
      </c>
      <c r="EF132" s="10" t="str">
        <f t="shared" si="341"/>
        <v xml:space="preserve"> </v>
      </c>
      <c r="EI132" s="10" t="str">
        <f t="shared" si="342"/>
        <v xml:space="preserve"> </v>
      </c>
      <c r="EJ132" s="10" t="str">
        <f t="shared" si="342"/>
        <v xml:space="preserve"> </v>
      </c>
      <c r="EK132" s="10" t="str">
        <f t="shared" si="342"/>
        <v xml:space="preserve"> </v>
      </c>
      <c r="EL132" s="10" t="str">
        <f t="shared" si="342"/>
        <v xml:space="preserve"> </v>
      </c>
      <c r="EM132" s="10" t="str">
        <f t="shared" si="342"/>
        <v xml:space="preserve"> </v>
      </c>
      <c r="EP132" s="10" t="str">
        <f t="shared" si="343"/>
        <v xml:space="preserve"> </v>
      </c>
      <c r="EQ132" s="10" t="str">
        <f t="shared" si="343"/>
        <v xml:space="preserve"> </v>
      </c>
      <c r="ER132" s="10" t="str">
        <f t="shared" si="343"/>
        <v xml:space="preserve"> </v>
      </c>
      <c r="ES132" s="10" t="str">
        <f t="shared" si="343"/>
        <v xml:space="preserve"> </v>
      </c>
      <c r="ET132" s="10" t="str">
        <f t="shared" si="343"/>
        <v xml:space="preserve"> </v>
      </c>
      <c r="EW132" s="10" t="str">
        <f t="shared" si="344"/>
        <v xml:space="preserve"> </v>
      </c>
      <c r="EX132" s="10" t="str">
        <f t="shared" si="344"/>
        <v xml:space="preserve"> </v>
      </c>
      <c r="EY132" s="10" t="str">
        <f t="shared" si="344"/>
        <v xml:space="preserve"> </v>
      </c>
      <c r="EZ132" s="10" t="str">
        <f t="shared" si="344"/>
        <v xml:space="preserve"> </v>
      </c>
      <c r="FA132" s="10" t="str">
        <f t="shared" si="344"/>
        <v xml:space="preserve"> </v>
      </c>
      <c r="FD132" s="10" t="str">
        <f t="shared" si="345"/>
        <v xml:space="preserve"> </v>
      </c>
      <c r="FE132" s="10" t="str">
        <f t="shared" si="345"/>
        <v xml:space="preserve"> </v>
      </c>
      <c r="FF132" s="10" t="str">
        <f t="shared" si="345"/>
        <v xml:space="preserve"> </v>
      </c>
      <c r="FG132" s="10" t="str">
        <f t="shared" si="345"/>
        <v xml:space="preserve"> </v>
      </c>
      <c r="FH132" s="10" t="str">
        <f t="shared" si="345"/>
        <v xml:space="preserve"> </v>
      </c>
      <c r="FK132" s="10" t="str">
        <f t="shared" si="346"/>
        <v xml:space="preserve"> </v>
      </c>
      <c r="FL132" s="10" t="str">
        <f t="shared" si="346"/>
        <v xml:space="preserve"> </v>
      </c>
      <c r="FM132" s="10" t="str">
        <f t="shared" si="346"/>
        <v xml:space="preserve"> </v>
      </c>
      <c r="FN132" s="10" t="str">
        <f t="shared" si="346"/>
        <v xml:space="preserve"> </v>
      </c>
      <c r="FO132" s="10" t="str">
        <f t="shared" si="346"/>
        <v xml:space="preserve"> </v>
      </c>
      <c r="FR132" s="10" t="str">
        <f t="shared" si="347"/>
        <v xml:space="preserve"> </v>
      </c>
      <c r="FS132" s="10" t="str">
        <f t="shared" si="347"/>
        <v xml:space="preserve"> </v>
      </c>
      <c r="FT132" s="10" t="str">
        <f t="shared" si="347"/>
        <v xml:space="preserve"> </v>
      </c>
      <c r="FU132" s="10" t="str">
        <f t="shared" si="347"/>
        <v xml:space="preserve"> </v>
      </c>
      <c r="FV132" s="10" t="str">
        <f t="shared" si="347"/>
        <v xml:space="preserve"> </v>
      </c>
      <c r="FY132" s="10" t="str">
        <f t="shared" si="348"/>
        <v xml:space="preserve"> </v>
      </c>
      <c r="FZ132" s="10" t="str">
        <f t="shared" si="348"/>
        <v xml:space="preserve"> </v>
      </c>
      <c r="GA132" s="10" t="str">
        <f t="shared" si="348"/>
        <v xml:space="preserve"> </v>
      </c>
      <c r="GB132" s="10" t="str">
        <f t="shared" si="348"/>
        <v xml:space="preserve"> </v>
      </c>
      <c r="GC132" s="10" t="str">
        <f t="shared" si="348"/>
        <v xml:space="preserve"> </v>
      </c>
      <c r="GF132" s="10" t="str">
        <f t="shared" si="349"/>
        <v xml:space="preserve"> </v>
      </c>
      <c r="GG132" s="10" t="str">
        <f t="shared" si="349"/>
        <v xml:space="preserve"> </v>
      </c>
      <c r="GH132" s="10" t="str">
        <f t="shared" si="349"/>
        <v xml:space="preserve"> </v>
      </c>
      <c r="GI132" s="10" t="str">
        <f t="shared" si="349"/>
        <v xml:space="preserve"> </v>
      </c>
      <c r="GJ132" s="10" t="str">
        <f t="shared" si="349"/>
        <v xml:space="preserve"> </v>
      </c>
      <c r="GM132" s="10" t="str">
        <f t="shared" si="350"/>
        <v xml:space="preserve"> </v>
      </c>
      <c r="GN132" s="10" t="str">
        <f t="shared" si="350"/>
        <v xml:space="preserve"> </v>
      </c>
      <c r="GO132" s="10" t="str">
        <f t="shared" si="350"/>
        <v xml:space="preserve"> </v>
      </c>
      <c r="GP132" s="10" t="str">
        <f t="shared" si="350"/>
        <v xml:space="preserve"> </v>
      </c>
      <c r="GQ132" s="10" t="str">
        <f t="shared" si="350"/>
        <v xml:space="preserve"> </v>
      </c>
      <c r="GT132" s="10" t="str">
        <f t="shared" si="351"/>
        <v xml:space="preserve"> </v>
      </c>
      <c r="GU132" s="10" t="str">
        <f t="shared" si="351"/>
        <v xml:space="preserve"> </v>
      </c>
      <c r="GV132" s="10" t="str">
        <f t="shared" si="351"/>
        <v xml:space="preserve"> </v>
      </c>
      <c r="GW132" s="10" t="str">
        <f t="shared" si="351"/>
        <v xml:space="preserve"> </v>
      </c>
      <c r="GX132" s="10" t="str">
        <f t="shared" si="351"/>
        <v xml:space="preserve"> </v>
      </c>
      <c r="HA132" s="10" t="str">
        <f t="shared" si="352"/>
        <v xml:space="preserve"> </v>
      </c>
      <c r="HB132" s="10" t="str">
        <f t="shared" si="352"/>
        <v xml:space="preserve"> </v>
      </c>
      <c r="HC132" s="10" t="str">
        <f t="shared" si="352"/>
        <v xml:space="preserve"> </v>
      </c>
      <c r="HD132" s="10" t="str">
        <f t="shared" si="352"/>
        <v xml:space="preserve"> </v>
      </c>
      <c r="HE132" s="10" t="str">
        <f t="shared" si="352"/>
        <v xml:space="preserve"> </v>
      </c>
      <c r="HH132" s="10" t="str">
        <f t="shared" si="353"/>
        <v xml:space="preserve"> </v>
      </c>
      <c r="HI132" s="10" t="str">
        <f t="shared" si="353"/>
        <v xml:space="preserve"> </v>
      </c>
      <c r="HJ132" s="10" t="str">
        <f t="shared" si="353"/>
        <v xml:space="preserve"> </v>
      </c>
      <c r="HK132" s="10" t="str">
        <f t="shared" si="353"/>
        <v xml:space="preserve"> </v>
      </c>
      <c r="HL132" s="10" t="str">
        <f t="shared" si="353"/>
        <v xml:space="preserve"> </v>
      </c>
      <c r="HO132" s="10" t="str">
        <f t="shared" si="354"/>
        <v xml:space="preserve"> </v>
      </c>
      <c r="HP132" s="10" t="str">
        <f t="shared" si="354"/>
        <v xml:space="preserve"> </v>
      </c>
      <c r="HQ132" s="10" t="str">
        <f t="shared" si="354"/>
        <v xml:space="preserve"> </v>
      </c>
      <c r="HR132" s="10" t="str">
        <f t="shared" si="354"/>
        <v xml:space="preserve"> </v>
      </c>
      <c r="HS132" s="10" t="str">
        <f t="shared" si="354"/>
        <v xml:space="preserve"> </v>
      </c>
      <c r="HV132" s="10" t="str">
        <f t="shared" si="355"/>
        <v xml:space="preserve"> </v>
      </c>
      <c r="HW132" s="10" t="str">
        <f t="shared" si="355"/>
        <v xml:space="preserve"> </v>
      </c>
      <c r="HX132" s="10" t="str">
        <f t="shared" si="355"/>
        <v xml:space="preserve"> </v>
      </c>
      <c r="HY132" s="10" t="str">
        <f t="shared" si="355"/>
        <v xml:space="preserve"> </v>
      </c>
      <c r="HZ132" s="10" t="str">
        <f t="shared" si="355"/>
        <v xml:space="preserve"> </v>
      </c>
      <c r="IC132" s="10" t="str">
        <f t="shared" si="356"/>
        <v xml:space="preserve"> </v>
      </c>
      <c r="ID132" s="10" t="str">
        <f t="shared" si="356"/>
        <v xml:space="preserve"> </v>
      </c>
      <c r="IE132" s="10" t="str">
        <f t="shared" si="356"/>
        <v xml:space="preserve"> </v>
      </c>
      <c r="IF132" s="10" t="str">
        <f t="shared" si="356"/>
        <v xml:space="preserve"> </v>
      </c>
      <c r="IG132" s="10" t="str">
        <f t="shared" si="356"/>
        <v xml:space="preserve"> </v>
      </c>
      <c r="IJ132" s="10" t="str">
        <f t="shared" si="357"/>
        <v xml:space="preserve"> </v>
      </c>
      <c r="IK132" s="10" t="str">
        <f t="shared" si="357"/>
        <v xml:space="preserve"> </v>
      </c>
      <c r="IL132" s="10" t="str">
        <f t="shared" si="357"/>
        <v xml:space="preserve"> </v>
      </c>
      <c r="IM132" s="10" t="str">
        <f t="shared" si="357"/>
        <v xml:space="preserve"> </v>
      </c>
      <c r="IN132" s="10" t="str">
        <f t="shared" si="357"/>
        <v xml:space="preserve"> </v>
      </c>
      <c r="IQ132" s="10" t="str">
        <f t="shared" si="358"/>
        <v xml:space="preserve"> </v>
      </c>
      <c r="IR132" s="10" t="str">
        <f t="shared" si="358"/>
        <v xml:space="preserve"> </v>
      </c>
      <c r="IS132" s="10" t="str">
        <f t="shared" si="358"/>
        <v xml:space="preserve"> </v>
      </c>
      <c r="IT132" s="10" t="str">
        <f t="shared" si="358"/>
        <v xml:space="preserve"> </v>
      </c>
      <c r="IU132" s="10" t="str">
        <f t="shared" si="358"/>
        <v xml:space="preserve"> </v>
      </c>
      <c r="IX132" s="10" t="str">
        <f t="shared" si="359"/>
        <v xml:space="preserve"> </v>
      </c>
      <c r="IY132" s="10" t="str">
        <f t="shared" si="359"/>
        <v xml:space="preserve"> </v>
      </c>
      <c r="IZ132" s="10" t="str">
        <f t="shared" si="359"/>
        <v xml:space="preserve"> </v>
      </c>
      <c r="JA132" s="10" t="str">
        <f t="shared" si="359"/>
        <v xml:space="preserve"> </v>
      </c>
      <c r="JB132" s="10" t="str">
        <f t="shared" si="359"/>
        <v xml:space="preserve"> </v>
      </c>
      <c r="JE132" s="10" t="str">
        <f t="shared" si="360"/>
        <v xml:space="preserve"> </v>
      </c>
      <c r="JF132" s="10" t="str">
        <f t="shared" si="360"/>
        <v xml:space="preserve"> </v>
      </c>
      <c r="JG132" s="10" t="str">
        <f t="shared" si="360"/>
        <v xml:space="preserve"> </v>
      </c>
      <c r="JH132" s="10" t="str">
        <f t="shared" si="360"/>
        <v xml:space="preserve"> </v>
      </c>
      <c r="JI132" s="10" t="str">
        <f t="shared" si="360"/>
        <v xml:space="preserve"> </v>
      </c>
    </row>
    <row r="133" spans="13:269">
      <c r="M133" s="10" t="str">
        <f t="shared" si="324"/>
        <v xml:space="preserve"> </v>
      </c>
      <c r="N133" s="10" t="str">
        <f t="shared" si="324"/>
        <v xml:space="preserve"> </v>
      </c>
      <c r="O133" s="10" t="str">
        <f t="shared" si="324"/>
        <v xml:space="preserve"> </v>
      </c>
      <c r="P133" s="10" t="str">
        <f t="shared" si="324"/>
        <v xml:space="preserve"> </v>
      </c>
      <c r="Q133" s="10" t="str">
        <f t="shared" si="324"/>
        <v xml:space="preserve"> </v>
      </c>
      <c r="R133" s="14"/>
      <c r="S133" s="14"/>
      <c r="T133" s="10" t="str">
        <f t="shared" si="325"/>
        <v xml:space="preserve"> </v>
      </c>
      <c r="U133" s="10" t="str">
        <f t="shared" si="325"/>
        <v xml:space="preserve"> </v>
      </c>
      <c r="V133" s="10" t="str">
        <f t="shared" si="325"/>
        <v xml:space="preserve"> </v>
      </c>
      <c r="W133" s="10" t="str">
        <f t="shared" si="325"/>
        <v xml:space="preserve"> </v>
      </c>
      <c r="X133" s="10" t="str">
        <f t="shared" si="325"/>
        <v xml:space="preserve"> </v>
      </c>
      <c r="Y133" s="14"/>
      <c r="Z133" s="14"/>
      <c r="AA133" s="10" t="str">
        <f t="shared" si="326"/>
        <v xml:space="preserve"> </v>
      </c>
      <c r="AB133" s="10" t="str">
        <f t="shared" si="326"/>
        <v xml:space="preserve"> </v>
      </c>
      <c r="AC133" s="10" t="str">
        <f t="shared" si="326"/>
        <v xml:space="preserve"> </v>
      </c>
      <c r="AD133" s="10" t="str">
        <f t="shared" si="326"/>
        <v xml:space="preserve"> </v>
      </c>
      <c r="AE133" s="10" t="str">
        <f t="shared" si="326"/>
        <v xml:space="preserve"> </v>
      </c>
      <c r="AF133" s="14"/>
      <c r="AG133" s="14"/>
      <c r="AH133" s="10" t="str">
        <f t="shared" si="327"/>
        <v xml:space="preserve"> </v>
      </c>
      <c r="AI133" s="10" t="str">
        <f t="shared" si="327"/>
        <v xml:space="preserve"> </v>
      </c>
      <c r="AJ133" s="10" t="str">
        <f t="shared" si="327"/>
        <v xml:space="preserve"> </v>
      </c>
      <c r="AK133" s="10" t="str">
        <f t="shared" si="327"/>
        <v xml:space="preserve"> </v>
      </c>
      <c r="AL133" s="10" t="str">
        <f t="shared" si="327"/>
        <v xml:space="preserve"> </v>
      </c>
      <c r="AM133" s="14"/>
      <c r="AN133" s="14"/>
      <c r="AO133" s="10" t="str">
        <f t="shared" si="328"/>
        <v xml:space="preserve"> </v>
      </c>
      <c r="AP133" s="10" t="str">
        <f t="shared" si="328"/>
        <v xml:space="preserve"> </v>
      </c>
      <c r="AQ133" s="10" t="str">
        <f t="shared" si="328"/>
        <v xml:space="preserve"> </v>
      </c>
      <c r="AR133" s="10" t="str">
        <f t="shared" si="328"/>
        <v xml:space="preserve"> </v>
      </c>
      <c r="AS133" s="10" t="str">
        <f t="shared" si="328"/>
        <v xml:space="preserve"> </v>
      </c>
      <c r="AT133" s="14"/>
      <c r="AU133" s="14"/>
      <c r="AV133" s="10" t="str">
        <f t="shared" si="329"/>
        <v xml:space="preserve"> </v>
      </c>
      <c r="AW133" s="10" t="str">
        <f t="shared" si="329"/>
        <v xml:space="preserve"> </v>
      </c>
      <c r="AX133" s="10" t="str">
        <f t="shared" si="329"/>
        <v xml:space="preserve"> </v>
      </c>
      <c r="AY133" s="10" t="str">
        <f t="shared" si="329"/>
        <v xml:space="preserve"> </v>
      </c>
      <c r="AZ133" s="10" t="str">
        <f t="shared" si="329"/>
        <v xml:space="preserve"> </v>
      </c>
      <c r="BA133" s="14"/>
      <c r="BB133" s="14"/>
      <c r="BC133" s="10" t="str">
        <f t="shared" si="330"/>
        <v xml:space="preserve"> </v>
      </c>
      <c r="BD133" s="10" t="str">
        <f t="shared" si="330"/>
        <v xml:space="preserve"> </v>
      </c>
      <c r="BE133" s="10" t="str">
        <f t="shared" si="330"/>
        <v xml:space="preserve"> </v>
      </c>
      <c r="BF133" s="10" t="str">
        <f t="shared" si="330"/>
        <v xml:space="preserve"> </v>
      </c>
      <c r="BG133" s="10" t="str">
        <f t="shared" si="330"/>
        <v xml:space="preserve"> </v>
      </c>
      <c r="BH133" s="14"/>
      <c r="BI133" s="14"/>
      <c r="BJ133" s="10" t="str">
        <f t="shared" si="331"/>
        <v xml:space="preserve"> </v>
      </c>
      <c r="BK133" s="10" t="str">
        <f t="shared" si="331"/>
        <v xml:space="preserve"> </v>
      </c>
      <c r="BL133" s="10" t="str">
        <f t="shared" si="331"/>
        <v xml:space="preserve"> </v>
      </c>
      <c r="BM133" s="10" t="str">
        <f t="shared" si="331"/>
        <v xml:space="preserve"> </v>
      </c>
      <c r="BN133" s="10" t="str">
        <f t="shared" si="331"/>
        <v xml:space="preserve"> </v>
      </c>
      <c r="BO133" s="14"/>
      <c r="BP133" s="14"/>
      <c r="BQ133" s="10" t="str">
        <f t="shared" si="332"/>
        <v xml:space="preserve"> </v>
      </c>
      <c r="BR133" s="10" t="str">
        <f t="shared" si="332"/>
        <v xml:space="preserve"> </v>
      </c>
      <c r="BS133" s="10" t="str">
        <f t="shared" si="332"/>
        <v xml:space="preserve"> </v>
      </c>
      <c r="BT133" s="10" t="str">
        <f t="shared" si="332"/>
        <v xml:space="preserve"> </v>
      </c>
      <c r="BU133" s="10" t="str">
        <f t="shared" si="332"/>
        <v xml:space="preserve"> </v>
      </c>
      <c r="BV133" s="14"/>
      <c r="BW133" s="14"/>
      <c r="BX133" s="10" t="str">
        <f t="shared" si="333"/>
        <v xml:space="preserve"> </v>
      </c>
      <c r="BY133" s="10" t="str">
        <f t="shared" si="333"/>
        <v xml:space="preserve"> </v>
      </c>
      <c r="BZ133" s="10" t="str">
        <f t="shared" si="333"/>
        <v xml:space="preserve"> </v>
      </c>
      <c r="CA133" s="10" t="str">
        <f t="shared" si="333"/>
        <v xml:space="preserve"> </v>
      </c>
      <c r="CB133" s="10" t="str">
        <f t="shared" si="333"/>
        <v xml:space="preserve"> </v>
      </c>
      <c r="CC133" s="14"/>
      <c r="CD133" s="14"/>
      <c r="CE133" s="10" t="str">
        <f t="shared" si="334"/>
        <v xml:space="preserve"> </v>
      </c>
      <c r="CF133" s="10" t="str">
        <f t="shared" si="334"/>
        <v xml:space="preserve"> </v>
      </c>
      <c r="CG133" s="10" t="str">
        <f t="shared" si="334"/>
        <v xml:space="preserve"> </v>
      </c>
      <c r="CH133" s="10" t="str">
        <f t="shared" si="334"/>
        <v xml:space="preserve"> </v>
      </c>
      <c r="CI133" s="10" t="str">
        <f t="shared" si="334"/>
        <v xml:space="preserve"> </v>
      </c>
      <c r="CJ133" s="14"/>
      <c r="CK133" s="14"/>
      <c r="CL133" s="10" t="str">
        <f t="shared" si="335"/>
        <v xml:space="preserve"> </v>
      </c>
      <c r="CM133" s="10" t="str">
        <f t="shared" si="335"/>
        <v xml:space="preserve"> </v>
      </c>
      <c r="CN133" s="10" t="str">
        <f t="shared" si="335"/>
        <v xml:space="preserve"> </v>
      </c>
      <c r="CO133" s="10" t="str">
        <f t="shared" si="335"/>
        <v xml:space="preserve"> </v>
      </c>
      <c r="CP133" s="10" t="str">
        <f t="shared" si="335"/>
        <v xml:space="preserve"> </v>
      </c>
      <c r="CQ133" s="14"/>
      <c r="CR133" s="14"/>
      <c r="CS133" s="10" t="str">
        <f t="shared" si="336"/>
        <v xml:space="preserve"> </v>
      </c>
      <c r="CT133" s="10" t="str">
        <f t="shared" si="336"/>
        <v xml:space="preserve"> </v>
      </c>
      <c r="CU133" s="10" t="str">
        <f t="shared" si="336"/>
        <v xml:space="preserve"> </v>
      </c>
      <c r="CV133" s="10" t="str">
        <f t="shared" si="336"/>
        <v xml:space="preserve"> </v>
      </c>
      <c r="CW133" s="10" t="str">
        <f t="shared" si="336"/>
        <v xml:space="preserve"> </v>
      </c>
      <c r="CZ133" s="10" t="str">
        <f t="shared" si="337"/>
        <v xml:space="preserve"> </v>
      </c>
      <c r="DA133" s="10" t="str">
        <f t="shared" si="337"/>
        <v xml:space="preserve"> </v>
      </c>
      <c r="DB133" s="10" t="str">
        <f t="shared" si="337"/>
        <v xml:space="preserve"> </v>
      </c>
      <c r="DC133" s="10" t="str">
        <f t="shared" si="337"/>
        <v xml:space="preserve"> </v>
      </c>
      <c r="DD133" s="10" t="str">
        <f t="shared" si="337"/>
        <v xml:space="preserve"> </v>
      </c>
      <c r="DG133" s="10" t="str">
        <f t="shared" si="338"/>
        <v xml:space="preserve"> </v>
      </c>
      <c r="DH133" s="10" t="str">
        <f t="shared" si="338"/>
        <v xml:space="preserve"> </v>
      </c>
      <c r="DI133" s="10" t="str">
        <f t="shared" si="338"/>
        <v xml:space="preserve"> </v>
      </c>
      <c r="DJ133" s="10" t="str">
        <f t="shared" si="338"/>
        <v xml:space="preserve"> </v>
      </c>
      <c r="DK133" s="10" t="str">
        <f t="shared" si="338"/>
        <v xml:space="preserve"> </v>
      </c>
      <c r="DN133" s="10" t="str">
        <f t="shared" si="339"/>
        <v xml:space="preserve"> </v>
      </c>
      <c r="DO133" s="10" t="str">
        <f t="shared" si="339"/>
        <v xml:space="preserve"> </v>
      </c>
      <c r="DP133" s="10" t="str">
        <f t="shared" si="339"/>
        <v xml:space="preserve"> </v>
      </c>
      <c r="DQ133" s="10" t="str">
        <f t="shared" si="339"/>
        <v xml:space="preserve"> </v>
      </c>
      <c r="DR133" s="10" t="str">
        <f t="shared" si="339"/>
        <v xml:space="preserve"> </v>
      </c>
      <c r="DU133" s="10" t="str">
        <f t="shared" si="340"/>
        <v xml:space="preserve"> </v>
      </c>
      <c r="DV133" s="10" t="str">
        <f t="shared" si="340"/>
        <v xml:space="preserve"> </v>
      </c>
      <c r="DW133" s="10" t="str">
        <f t="shared" si="340"/>
        <v xml:space="preserve"> </v>
      </c>
      <c r="DX133" s="10" t="str">
        <f t="shared" si="340"/>
        <v xml:space="preserve"> </v>
      </c>
      <c r="DY133" s="10" t="str">
        <f t="shared" si="340"/>
        <v xml:space="preserve"> </v>
      </c>
      <c r="EB133" s="10" t="str">
        <f t="shared" si="341"/>
        <v xml:space="preserve"> </v>
      </c>
      <c r="EC133" s="10" t="str">
        <f t="shared" si="341"/>
        <v xml:space="preserve"> </v>
      </c>
      <c r="ED133" s="10" t="str">
        <f t="shared" si="341"/>
        <v xml:space="preserve"> </v>
      </c>
      <c r="EE133" s="10" t="str">
        <f t="shared" si="341"/>
        <v xml:space="preserve"> </v>
      </c>
      <c r="EF133" s="10" t="str">
        <f t="shared" si="341"/>
        <v xml:space="preserve"> </v>
      </c>
      <c r="EI133" s="10" t="str">
        <f t="shared" si="342"/>
        <v xml:space="preserve"> </v>
      </c>
      <c r="EJ133" s="10" t="str">
        <f t="shared" si="342"/>
        <v xml:space="preserve"> </v>
      </c>
      <c r="EK133" s="10" t="str">
        <f t="shared" si="342"/>
        <v xml:space="preserve"> </v>
      </c>
      <c r="EL133" s="10" t="str">
        <f t="shared" si="342"/>
        <v xml:space="preserve"> </v>
      </c>
      <c r="EM133" s="10" t="str">
        <f t="shared" si="342"/>
        <v xml:space="preserve"> </v>
      </c>
      <c r="EP133" s="10" t="str">
        <f t="shared" si="343"/>
        <v xml:space="preserve"> </v>
      </c>
      <c r="EQ133" s="10" t="str">
        <f t="shared" si="343"/>
        <v xml:space="preserve"> </v>
      </c>
      <c r="ER133" s="10" t="str">
        <f t="shared" si="343"/>
        <v xml:space="preserve"> </v>
      </c>
      <c r="ES133" s="10" t="str">
        <f t="shared" si="343"/>
        <v xml:space="preserve"> </v>
      </c>
      <c r="ET133" s="10" t="str">
        <f t="shared" si="343"/>
        <v xml:space="preserve"> </v>
      </c>
      <c r="EW133" s="10" t="str">
        <f t="shared" si="344"/>
        <v xml:space="preserve"> </v>
      </c>
      <c r="EX133" s="10" t="str">
        <f t="shared" si="344"/>
        <v xml:space="preserve"> </v>
      </c>
      <c r="EY133" s="10" t="str">
        <f t="shared" si="344"/>
        <v xml:space="preserve"> </v>
      </c>
      <c r="EZ133" s="10" t="str">
        <f t="shared" si="344"/>
        <v xml:space="preserve"> </v>
      </c>
      <c r="FA133" s="10" t="str">
        <f t="shared" si="344"/>
        <v xml:space="preserve"> </v>
      </c>
      <c r="FD133" s="10" t="str">
        <f t="shared" si="345"/>
        <v xml:space="preserve"> </v>
      </c>
      <c r="FE133" s="10" t="str">
        <f t="shared" si="345"/>
        <v xml:space="preserve"> </v>
      </c>
      <c r="FF133" s="10" t="str">
        <f t="shared" si="345"/>
        <v xml:space="preserve"> </v>
      </c>
      <c r="FG133" s="10" t="str">
        <f t="shared" si="345"/>
        <v xml:space="preserve"> </v>
      </c>
      <c r="FH133" s="10" t="str">
        <f t="shared" si="345"/>
        <v xml:space="preserve"> </v>
      </c>
      <c r="FK133" s="10" t="str">
        <f t="shared" si="346"/>
        <v xml:space="preserve"> </v>
      </c>
      <c r="FL133" s="10" t="str">
        <f t="shared" si="346"/>
        <v xml:space="preserve"> </v>
      </c>
      <c r="FM133" s="10" t="str">
        <f t="shared" si="346"/>
        <v xml:space="preserve"> </v>
      </c>
      <c r="FN133" s="10" t="str">
        <f t="shared" si="346"/>
        <v xml:space="preserve"> </v>
      </c>
      <c r="FO133" s="10" t="str">
        <f t="shared" si="346"/>
        <v xml:space="preserve"> </v>
      </c>
      <c r="FR133" s="10" t="str">
        <f t="shared" si="347"/>
        <v xml:space="preserve"> </v>
      </c>
      <c r="FS133" s="10" t="str">
        <f t="shared" si="347"/>
        <v xml:space="preserve"> </v>
      </c>
      <c r="FT133" s="10" t="str">
        <f t="shared" si="347"/>
        <v xml:space="preserve"> </v>
      </c>
      <c r="FU133" s="10" t="str">
        <f t="shared" si="347"/>
        <v xml:space="preserve"> </v>
      </c>
      <c r="FV133" s="10" t="str">
        <f t="shared" si="347"/>
        <v xml:space="preserve"> </v>
      </c>
      <c r="FY133" s="10" t="str">
        <f t="shared" si="348"/>
        <v xml:space="preserve"> </v>
      </c>
      <c r="FZ133" s="10" t="str">
        <f t="shared" si="348"/>
        <v xml:space="preserve"> </v>
      </c>
      <c r="GA133" s="10" t="str">
        <f t="shared" si="348"/>
        <v xml:space="preserve"> </v>
      </c>
      <c r="GB133" s="10" t="str">
        <f t="shared" si="348"/>
        <v xml:space="preserve"> </v>
      </c>
      <c r="GC133" s="10" t="str">
        <f t="shared" si="348"/>
        <v xml:space="preserve"> </v>
      </c>
      <c r="GF133" s="10" t="str">
        <f t="shared" si="349"/>
        <v xml:space="preserve"> </v>
      </c>
      <c r="GG133" s="10" t="str">
        <f t="shared" si="349"/>
        <v xml:space="preserve"> </v>
      </c>
      <c r="GH133" s="10" t="str">
        <f t="shared" si="349"/>
        <v xml:space="preserve"> </v>
      </c>
      <c r="GI133" s="10" t="str">
        <f t="shared" si="349"/>
        <v xml:space="preserve"> </v>
      </c>
      <c r="GJ133" s="10" t="str">
        <f t="shared" si="349"/>
        <v xml:space="preserve"> </v>
      </c>
      <c r="GM133" s="10" t="str">
        <f t="shared" si="350"/>
        <v xml:space="preserve"> </v>
      </c>
      <c r="GN133" s="10" t="str">
        <f t="shared" si="350"/>
        <v xml:space="preserve"> </v>
      </c>
      <c r="GO133" s="10" t="str">
        <f t="shared" si="350"/>
        <v xml:space="preserve"> </v>
      </c>
      <c r="GP133" s="10" t="str">
        <f t="shared" si="350"/>
        <v xml:space="preserve"> </v>
      </c>
      <c r="GQ133" s="10" t="str">
        <f t="shared" si="350"/>
        <v xml:space="preserve"> </v>
      </c>
      <c r="GT133" s="10" t="str">
        <f t="shared" si="351"/>
        <v xml:space="preserve"> </v>
      </c>
      <c r="GU133" s="10" t="str">
        <f t="shared" si="351"/>
        <v xml:space="preserve"> </v>
      </c>
      <c r="GV133" s="10" t="str">
        <f t="shared" si="351"/>
        <v xml:space="preserve"> </v>
      </c>
      <c r="GW133" s="10" t="str">
        <f t="shared" si="351"/>
        <v xml:space="preserve"> </v>
      </c>
      <c r="GX133" s="10" t="str">
        <f t="shared" si="351"/>
        <v xml:space="preserve"> </v>
      </c>
      <c r="HA133" s="10" t="str">
        <f t="shared" si="352"/>
        <v xml:space="preserve"> </v>
      </c>
      <c r="HB133" s="10" t="str">
        <f t="shared" si="352"/>
        <v xml:space="preserve"> </v>
      </c>
      <c r="HC133" s="10" t="str">
        <f t="shared" si="352"/>
        <v xml:space="preserve"> </v>
      </c>
      <c r="HD133" s="10" t="str">
        <f t="shared" si="352"/>
        <v xml:space="preserve"> </v>
      </c>
      <c r="HE133" s="10" t="str">
        <f t="shared" si="352"/>
        <v xml:space="preserve"> </v>
      </c>
      <c r="HH133" s="10" t="str">
        <f t="shared" si="353"/>
        <v xml:space="preserve"> </v>
      </c>
      <c r="HI133" s="10" t="str">
        <f t="shared" si="353"/>
        <v xml:space="preserve"> </v>
      </c>
      <c r="HJ133" s="10" t="str">
        <f t="shared" si="353"/>
        <v xml:space="preserve"> </v>
      </c>
      <c r="HK133" s="10" t="str">
        <f t="shared" si="353"/>
        <v xml:space="preserve"> </v>
      </c>
      <c r="HL133" s="10" t="str">
        <f t="shared" si="353"/>
        <v xml:space="preserve"> </v>
      </c>
      <c r="HO133" s="10" t="str">
        <f t="shared" si="354"/>
        <v xml:space="preserve"> </v>
      </c>
      <c r="HP133" s="10" t="str">
        <f t="shared" si="354"/>
        <v xml:space="preserve"> </v>
      </c>
      <c r="HQ133" s="10" t="str">
        <f t="shared" si="354"/>
        <v xml:space="preserve"> </v>
      </c>
      <c r="HR133" s="10" t="str">
        <f t="shared" si="354"/>
        <v xml:space="preserve"> </v>
      </c>
      <c r="HS133" s="10" t="str">
        <f t="shared" si="354"/>
        <v xml:space="preserve"> </v>
      </c>
      <c r="HV133" s="10" t="str">
        <f t="shared" si="355"/>
        <v xml:space="preserve"> </v>
      </c>
      <c r="HW133" s="10" t="str">
        <f t="shared" si="355"/>
        <v xml:space="preserve"> </v>
      </c>
      <c r="HX133" s="10" t="str">
        <f t="shared" si="355"/>
        <v xml:space="preserve"> </v>
      </c>
      <c r="HY133" s="10" t="str">
        <f t="shared" si="355"/>
        <v xml:space="preserve"> </v>
      </c>
      <c r="HZ133" s="10" t="str">
        <f t="shared" si="355"/>
        <v xml:space="preserve"> </v>
      </c>
      <c r="IC133" s="10" t="str">
        <f t="shared" si="356"/>
        <v xml:space="preserve"> </v>
      </c>
      <c r="ID133" s="10" t="str">
        <f t="shared" si="356"/>
        <v xml:space="preserve"> </v>
      </c>
      <c r="IE133" s="10" t="str">
        <f t="shared" si="356"/>
        <v xml:space="preserve"> </v>
      </c>
      <c r="IF133" s="10" t="str">
        <f t="shared" si="356"/>
        <v xml:space="preserve"> </v>
      </c>
      <c r="IG133" s="10" t="str">
        <f t="shared" si="356"/>
        <v xml:space="preserve"> </v>
      </c>
      <c r="IJ133" s="10" t="str">
        <f t="shared" si="357"/>
        <v xml:space="preserve"> </v>
      </c>
      <c r="IK133" s="10" t="str">
        <f t="shared" si="357"/>
        <v xml:space="preserve"> </v>
      </c>
      <c r="IL133" s="10" t="str">
        <f t="shared" si="357"/>
        <v xml:space="preserve"> </v>
      </c>
      <c r="IM133" s="10" t="str">
        <f t="shared" si="357"/>
        <v xml:space="preserve"> </v>
      </c>
      <c r="IN133" s="10" t="str">
        <f t="shared" si="357"/>
        <v xml:space="preserve"> </v>
      </c>
      <c r="IQ133" s="10" t="str">
        <f t="shared" si="358"/>
        <v xml:space="preserve"> </v>
      </c>
      <c r="IR133" s="10" t="str">
        <f t="shared" si="358"/>
        <v xml:space="preserve"> </v>
      </c>
      <c r="IS133" s="10" t="str">
        <f t="shared" si="358"/>
        <v xml:space="preserve"> </v>
      </c>
      <c r="IT133" s="10" t="str">
        <f t="shared" si="358"/>
        <v xml:space="preserve"> </v>
      </c>
      <c r="IU133" s="10" t="str">
        <f t="shared" si="358"/>
        <v xml:space="preserve"> </v>
      </c>
      <c r="IX133" s="10" t="str">
        <f t="shared" si="359"/>
        <v xml:space="preserve"> </v>
      </c>
      <c r="IY133" s="10" t="str">
        <f t="shared" si="359"/>
        <v xml:space="preserve"> </v>
      </c>
      <c r="IZ133" s="10" t="str">
        <f t="shared" si="359"/>
        <v xml:space="preserve"> </v>
      </c>
      <c r="JA133" s="10" t="str">
        <f t="shared" si="359"/>
        <v xml:space="preserve"> </v>
      </c>
      <c r="JB133" s="10" t="str">
        <f t="shared" si="359"/>
        <v xml:space="preserve"> </v>
      </c>
      <c r="JE133" s="10" t="str">
        <f t="shared" si="360"/>
        <v xml:space="preserve"> </v>
      </c>
      <c r="JF133" s="10" t="str">
        <f t="shared" si="360"/>
        <v xml:space="preserve"> </v>
      </c>
      <c r="JG133" s="10" t="str">
        <f t="shared" si="360"/>
        <v xml:space="preserve"> </v>
      </c>
      <c r="JH133" s="10" t="str">
        <f t="shared" si="360"/>
        <v xml:space="preserve"> </v>
      </c>
      <c r="JI133" s="10" t="str">
        <f t="shared" si="360"/>
        <v xml:space="preserve"> </v>
      </c>
    </row>
    <row r="134" spans="13:269">
      <c r="M134" s="10" t="str">
        <f t="shared" ref="M134:Q184" si="361">IF(AND(M$6&gt;=$F134,M$6&lt;=$G134),"."," ")</f>
        <v xml:space="preserve"> </v>
      </c>
      <c r="N134" s="10" t="str">
        <f t="shared" si="361"/>
        <v xml:space="preserve"> </v>
      </c>
      <c r="O134" s="10" t="str">
        <f t="shared" si="361"/>
        <v xml:space="preserve"> </v>
      </c>
      <c r="P134" s="10" t="str">
        <f t="shared" si="361"/>
        <v xml:space="preserve"> </v>
      </c>
      <c r="Q134" s="10" t="str">
        <f t="shared" si="361"/>
        <v xml:space="preserve"> </v>
      </c>
      <c r="R134" s="14"/>
      <c r="S134" s="14"/>
      <c r="T134" s="10" t="str">
        <f t="shared" si="325"/>
        <v xml:space="preserve"> </v>
      </c>
      <c r="U134" s="10" t="str">
        <f t="shared" si="325"/>
        <v xml:space="preserve"> </v>
      </c>
      <c r="V134" s="10" t="str">
        <f t="shared" si="325"/>
        <v xml:space="preserve"> </v>
      </c>
      <c r="W134" s="10" t="str">
        <f t="shared" si="325"/>
        <v xml:space="preserve"> </v>
      </c>
      <c r="X134" s="10" t="str">
        <f t="shared" si="325"/>
        <v xml:space="preserve"> </v>
      </c>
      <c r="Y134" s="14"/>
      <c r="Z134" s="14"/>
      <c r="AA134" s="10" t="str">
        <f t="shared" si="326"/>
        <v xml:space="preserve"> </v>
      </c>
      <c r="AB134" s="10" t="str">
        <f t="shared" si="326"/>
        <v xml:space="preserve"> </v>
      </c>
      <c r="AC134" s="10" t="str">
        <f t="shared" si="326"/>
        <v xml:space="preserve"> </v>
      </c>
      <c r="AD134" s="10" t="str">
        <f t="shared" si="326"/>
        <v xml:space="preserve"> </v>
      </c>
      <c r="AE134" s="10" t="str">
        <f t="shared" si="326"/>
        <v xml:space="preserve"> </v>
      </c>
      <c r="AF134" s="14"/>
      <c r="AG134" s="14"/>
      <c r="AH134" s="10" t="str">
        <f t="shared" si="327"/>
        <v xml:space="preserve"> </v>
      </c>
      <c r="AI134" s="10" t="str">
        <f t="shared" si="327"/>
        <v xml:space="preserve"> </v>
      </c>
      <c r="AJ134" s="10" t="str">
        <f t="shared" si="327"/>
        <v xml:space="preserve"> </v>
      </c>
      <c r="AK134" s="10" t="str">
        <f t="shared" si="327"/>
        <v xml:space="preserve"> </v>
      </c>
      <c r="AL134" s="10" t="str">
        <f t="shared" si="327"/>
        <v xml:space="preserve"> </v>
      </c>
      <c r="AM134" s="14"/>
      <c r="AN134" s="14"/>
      <c r="AO134" s="10" t="str">
        <f t="shared" si="328"/>
        <v xml:space="preserve"> </v>
      </c>
      <c r="AP134" s="10" t="str">
        <f t="shared" si="328"/>
        <v xml:space="preserve"> </v>
      </c>
      <c r="AQ134" s="10" t="str">
        <f t="shared" si="328"/>
        <v xml:space="preserve"> </v>
      </c>
      <c r="AR134" s="10" t="str">
        <f t="shared" si="328"/>
        <v xml:space="preserve"> </v>
      </c>
      <c r="AS134" s="10" t="str">
        <f t="shared" si="328"/>
        <v xml:space="preserve"> </v>
      </c>
      <c r="AT134" s="14"/>
      <c r="AU134" s="14"/>
      <c r="AV134" s="10" t="str">
        <f t="shared" si="329"/>
        <v xml:space="preserve"> </v>
      </c>
      <c r="AW134" s="10" t="str">
        <f t="shared" si="329"/>
        <v xml:space="preserve"> </v>
      </c>
      <c r="AX134" s="10" t="str">
        <f t="shared" si="329"/>
        <v xml:space="preserve"> </v>
      </c>
      <c r="AY134" s="10" t="str">
        <f t="shared" si="329"/>
        <v xml:space="preserve"> </v>
      </c>
      <c r="AZ134" s="10" t="str">
        <f t="shared" si="329"/>
        <v xml:space="preserve"> </v>
      </c>
      <c r="BA134" s="14"/>
      <c r="BB134" s="14"/>
      <c r="BC134" s="10" t="str">
        <f t="shared" si="330"/>
        <v xml:space="preserve"> </v>
      </c>
      <c r="BD134" s="10" t="str">
        <f t="shared" si="330"/>
        <v xml:space="preserve"> </v>
      </c>
      <c r="BE134" s="10" t="str">
        <f t="shared" si="330"/>
        <v xml:space="preserve"> </v>
      </c>
      <c r="BF134" s="10" t="str">
        <f t="shared" si="330"/>
        <v xml:space="preserve"> </v>
      </c>
      <c r="BG134" s="10" t="str">
        <f t="shared" si="330"/>
        <v xml:space="preserve"> </v>
      </c>
      <c r="BH134" s="14"/>
      <c r="BI134" s="14"/>
      <c r="BJ134" s="10" t="str">
        <f t="shared" si="331"/>
        <v xml:space="preserve"> </v>
      </c>
      <c r="BK134" s="10" t="str">
        <f t="shared" si="331"/>
        <v xml:space="preserve"> </v>
      </c>
      <c r="BL134" s="10" t="str">
        <f t="shared" si="331"/>
        <v xml:space="preserve"> </v>
      </c>
      <c r="BM134" s="10" t="str">
        <f t="shared" si="331"/>
        <v xml:space="preserve"> </v>
      </c>
      <c r="BN134" s="10" t="str">
        <f t="shared" si="331"/>
        <v xml:space="preserve"> </v>
      </c>
      <c r="BO134" s="14"/>
      <c r="BP134" s="14"/>
      <c r="BQ134" s="10" t="str">
        <f t="shared" si="332"/>
        <v xml:space="preserve"> </v>
      </c>
      <c r="BR134" s="10" t="str">
        <f t="shared" si="332"/>
        <v xml:space="preserve"> </v>
      </c>
      <c r="BS134" s="10" t="str">
        <f t="shared" si="332"/>
        <v xml:space="preserve"> </v>
      </c>
      <c r="BT134" s="10" t="str">
        <f t="shared" si="332"/>
        <v xml:space="preserve"> </v>
      </c>
      <c r="BU134" s="10" t="str">
        <f t="shared" si="332"/>
        <v xml:space="preserve"> </v>
      </c>
      <c r="BV134" s="14"/>
      <c r="BW134" s="14"/>
      <c r="BX134" s="10" t="str">
        <f t="shared" si="333"/>
        <v xml:space="preserve"> </v>
      </c>
      <c r="BY134" s="10" t="str">
        <f t="shared" si="333"/>
        <v xml:space="preserve"> </v>
      </c>
      <c r="BZ134" s="10" t="str">
        <f t="shared" si="333"/>
        <v xml:space="preserve"> </v>
      </c>
      <c r="CA134" s="10" t="str">
        <f t="shared" si="333"/>
        <v xml:space="preserve"> </v>
      </c>
      <c r="CB134" s="10" t="str">
        <f t="shared" si="333"/>
        <v xml:space="preserve"> </v>
      </c>
      <c r="CC134" s="14"/>
      <c r="CD134" s="14"/>
      <c r="CE134" s="10" t="str">
        <f t="shared" si="334"/>
        <v xml:space="preserve"> </v>
      </c>
      <c r="CF134" s="10" t="str">
        <f t="shared" si="334"/>
        <v xml:space="preserve"> </v>
      </c>
      <c r="CG134" s="10" t="str">
        <f t="shared" si="334"/>
        <v xml:space="preserve"> </v>
      </c>
      <c r="CH134" s="10" t="str">
        <f t="shared" si="334"/>
        <v xml:space="preserve"> </v>
      </c>
      <c r="CI134" s="10" t="str">
        <f t="shared" si="334"/>
        <v xml:space="preserve"> </v>
      </c>
      <c r="CJ134" s="14"/>
      <c r="CK134" s="14"/>
      <c r="CL134" s="10" t="str">
        <f t="shared" si="335"/>
        <v xml:space="preserve"> </v>
      </c>
      <c r="CM134" s="10" t="str">
        <f t="shared" si="335"/>
        <v xml:space="preserve"> </v>
      </c>
      <c r="CN134" s="10" t="str">
        <f t="shared" si="335"/>
        <v xml:space="preserve"> </v>
      </c>
      <c r="CO134" s="10" t="str">
        <f t="shared" si="335"/>
        <v xml:space="preserve"> </v>
      </c>
      <c r="CP134" s="10" t="str">
        <f t="shared" si="335"/>
        <v xml:space="preserve"> </v>
      </c>
      <c r="CQ134" s="14"/>
      <c r="CR134" s="14"/>
      <c r="CS134" s="10" t="str">
        <f t="shared" si="336"/>
        <v xml:space="preserve"> </v>
      </c>
      <c r="CT134" s="10" t="str">
        <f t="shared" si="336"/>
        <v xml:space="preserve"> </v>
      </c>
      <c r="CU134" s="10" t="str">
        <f t="shared" si="336"/>
        <v xml:space="preserve"> </v>
      </c>
      <c r="CV134" s="10" t="str">
        <f t="shared" si="336"/>
        <v xml:space="preserve"> </v>
      </c>
      <c r="CW134" s="10" t="str">
        <f t="shared" si="336"/>
        <v xml:space="preserve"> </v>
      </c>
      <c r="CZ134" s="10" t="str">
        <f t="shared" si="337"/>
        <v xml:space="preserve"> </v>
      </c>
      <c r="DA134" s="10" t="str">
        <f t="shared" si="337"/>
        <v xml:space="preserve"> </v>
      </c>
      <c r="DB134" s="10" t="str">
        <f t="shared" si="337"/>
        <v xml:space="preserve"> </v>
      </c>
      <c r="DC134" s="10" t="str">
        <f t="shared" si="337"/>
        <v xml:space="preserve"> </v>
      </c>
      <c r="DD134" s="10" t="str">
        <f t="shared" si="337"/>
        <v xml:space="preserve"> </v>
      </c>
      <c r="DG134" s="10" t="str">
        <f t="shared" si="338"/>
        <v xml:space="preserve"> </v>
      </c>
      <c r="DH134" s="10" t="str">
        <f t="shared" si="338"/>
        <v xml:space="preserve"> </v>
      </c>
      <c r="DI134" s="10" t="str">
        <f t="shared" si="338"/>
        <v xml:space="preserve"> </v>
      </c>
      <c r="DJ134" s="10" t="str">
        <f t="shared" si="338"/>
        <v xml:space="preserve"> </v>
      </c>
      <c r="DK134" s="10" t="str">
        <f t="shared" si="338"/>
        <v xml:space="preserve"> </v>
      </c>
      <c r="DN134" s="10" t="str">
        <f t="shared" si="339"/>
        <v xml:space="preserve"> </v>
      </c>
      <c r="DO134" s="10" t="str">
        <f t="shared" si="339"/>
        <v xml:space="preserve"> </v>
      </c>
      <c r="DP134" s="10" t="str">
        <f t="shared" si="339"/>
        <v xml:space="preserve"> </v>
      </c>
      <c r="DQ134" s="10" t="str">
        <f t="shared" si="339"/>
        <v xml:space="preserve"> </v>
      </c>
      <c r="DR134" s="10" t="str">
        <f t="shared" si="339"/>
        <v xml:space="preserve"> </v>
      </c>
      <c r="DU134" s="10" t="str">
        <f t="shared" si="340"/>
        <v xml:space="preserve"> </v>
      </c>
      <c r="DV134" s="10" t="str">
        <f t="shared" si="340"/>
        <v xml:space="preserve"> </v>
      </c>
      <c r="DW134" s="10" t="str">
        <f t="shared" si="340"/>
        <v xml:space="preserve"> </v>
      </c>
      <c r="DX134" s="10" t="str">
        <f t="shared" si="340"/>
        <v xml:space="preserve"> </v>
      </c>
      <c r="DY134" s="10" t="str">
        <f t="shared" si="340"/>
        <v xml:space="preserve"> </v>
      </c>
      <c r="EB134" s="10" t="str">
        <f t="shared" si="341"/>
        <v xml:space="preserve"> </v>
      </c>
      <c r="EC134" s="10" t="str">
        <f t="shared" si="341"/>
        <v xml:space="preserve"> </v>
      </c>
      <c r="ED134" s="10" t="str">
        <f t="shared" si="341"/>
        <v xml:space="preserve"> </v>
      </c>
      <c r="EE134" s="10" t="str">
        <f t="shared" si="341"/>
        <v xml:space="preserve"> </v>
      </c>
      <c r="EF134" s="10" t="str">
        <f t="shared" si="341"/>
        <v xml:space="preserve"> </v>
      </c>
      <c r="EI134" s="10" t="str">
        <f t="shared" si="342"/>
        <v xml:space="preserve"> </v>
      </c>
      <c r="EJ134" s="10" t="str">
        <f t="shared" si="342"/>
        <v xml:space="preserve"> </v>
      </c>
      <c r="EK134" s="10" t="str">
        <f t="shared" si="342"/>
        <v xml:space="preserve"> </v>
      </c>
      <c r="EL134" s="10" t="str">
        <f t="shared" si="342"/>
        <v xml:space="preserve"> </v>
      </c>
      <c r="EM134" s="10" t="str">
        <f t="shared" si="342"/>
        <v xml:space="preserve"> </v>
      </c>
      <c r="EP134" s="10" t="str">
        <f t="shared" si="343"/>
        <v xml:space="preserve"> </v>
      </c>
      <c r="EQ134" s="10" t="str">
        <f t="shared" si="343"/>
        <v xml:space="preserve"> </v>
      </c>
      <c r="ER134" s="10" t="str">
        <f t="shared" si="343"/>
        <v xml:space="preserve"> </v>
      </c>
      <c r="ES134" s="10" t="str">
        <f t="shared" si="343"/>
        <v xml:space="preserve"> </v>
      </c>
      <c r="ET134" s="10" t="str">
        <f t="shared" si="343"/>
        <v xml:space="preserve"> </v>
      </c>
      <c r="EW134" s="10" t="str">
        <f t="shared" si="344"/>
        <v xml:space="preserve"> </v>
      </c>
      <c r="EX134" s="10" t="str">
        <f t="shared" si="344"/>
        <v xml:space="preserve"> </v>
      </c>
      <c r="EY134" s="10" t="str">
        <f t="shared" si="344"/>
        <v xml:space="preserve"> </v>
      </c>
      <c r="EZ134" s="10" t="str">
        <f t="shared" si="344"/>
        <v xml:space="preserve"> </v>
      </c>
      <c r="FA134" s="10" t="str">
        <f t="shared" si="344"/>
        <v xml:space="preserve"> </v>
      </c>
      <c r="FD134" s="10" t="str">
        <f t="shared" si="345"/>
        <v xml:space="preserve"> </v>
      </c>
      <c r="FE134" s="10" t="str">
        <f t="shared" si="345"/>
        <v xml:space="preserve"> </v>
      </c>
      <c r="FF134" s="10" t="str">
        <f t="shared" si="345"/>
        <v xml:space="preserve"> </v>
      </c>
      <c r="FG134" s="10" t="str">
        <f t="shared" si="345"/>
        <v xml:space="preserve"> </v>
      </c>
      <c r="FH134" s="10" t="str">
        <f t="shared" si="345"/>
        <v xml:space="preserve"> </v>
      </c>
      <c r="FK134" s="10" t="str">
        <f t="shared" si="346"/>
        <v xml:space="preserve"> </v>
      </c>
      <c r="FL134" s="10" t="str">
        <f t="shared" si="346"/>
        <v xml:space="preserve"> </v>
      </c>
      <c r="FM134" s="10" t="str">
        <f t="shared" si="346"/>
        <v xml:space="preserve"> </v>
      </c>
      <c r="FN134" s="10" t="str">
        <f t="shared" si="346"/>
        <v xml:space="preserve"> </v>
      </c>
      <c r="FO134" s="10" t="str">
        <f t="shared" si="346"/>
        <v xml:space="preserve"> </v>
      </c>
      <c r="FR134" s="10" t="str">
        <f t="shared" si="347"/>
        <v xml:space="preserve"> </v>
      </c>
      <c r="FS134" s="10" t="str">
        <f t="shared" si="347"/>
        <v xml:space="preserve"> </v>
      </c>
      <c r="FT134" s="10" t="str">
        <f t="shared" si="347"/>
        <v xml:space="preserve"> </v>
      </c>
      <c r="FU134" s="10" t="str">
        <f t="shared" si="347"/>
        <v xml:space="preserve"> </v>
      </c>
      <c r="FV134" s="10" t="str">
        <f t="shared" si="347"/>
        <v xml:space="preserve"> </v>
      </c>
      <c r="FY134" s="10" t="str">
        <f t="shared" si="348"/>
        <v xml:space="preserve"> </v>
      </c>
      <c r="FZ134" s="10" t="str">
        <f t="shared" si="348"/>
        <v xml:space="preserve"> </v>
      </c>
      <c r="GA134" s="10" t="str">
        <f t="shared" si="348"/>
        <v xml:space="preserve"> </v>
      </c>
      <c r="GB134" s="10" t="str">
        <f t="shared" si="348"/>
        <v xml:space="preserve"> </v>
      </c>
      <c r="GC134" s="10" t="str">
        <f t="shared" si="348"/>
        <v xml:space="preserve"> </v>
      </c>
      <c r="GF134" s="10" t="str">
        <f t="shared" si="349"/>
        <v xml:space="preserve"> </v>
      </c>
      <c r="GG134" s="10" t="str">
        <f t="shared" si="349"/>
        <v xml:space="preserve"> </v>
      </c>
      <c r="GH134" s="10" t="str">
        <f t="shared" si="349"/>
        <v xml:space="preserve"> </v>
      </c>
      <c r="GI134" s="10" t="str">
        <f t="shared" si="349"/>
        <v xml:space="preserve"> </v>
      </c>
      <c r="GJ134" s="10" t="str">
        <f t="shared" si="349"/>
        <v xml:space="preserve"> </v>
      </c>
      <c r="GM134" s="10" t="str">
        <f t="shared" si="350"/>
        <v xml:space="preserve"> </v>
      </c>
      <c r="GN134" s="10" t="str">
        <f t="shared" si="350"/>
        <v xml:space="preserve"> </v>
      </c>
      <c r="GO134" s="10" t="str">
        <f t="shared" si="350"/>
        <v xml:space="preserve"> </v>
      </c>
      <c r="GP134" s="10" t="str">
        <f t="shared" si="350"/>
        <v xml:space="preserve"> </v>
      </c>
      <c r="GQ134" s="10" t="str">
        <f t="shared" si="350"/>
        <v xml:space="preserve"> </v>
      </c>
      <c r="GT134" s="10" t="str">
        <f t="shared" si="351"/>
        <v xml:space="preserve"> </v>
      </c>
      <c r="GU134" s="10" t="str">
        <f t="shared" si="351"/>
        <v xml:space="preserve"> </v>
      </c>
      <c r="GV134" s="10" t="str">
        <f t="shared" si="351"/>
        <v xml:space="preserve"> </v>
      </c>
      <c r="GW134" s="10" t="str">
        <f t="shared" si="351"/>
        <v xml:space="preserve"> </v>
      </c>
      <c r="GX134" s="10" t="str">
        <f t="shared" si="351"/>
        <v xml:space="preserve"> </v>
      </c>
      <c r="HA134" s="10" t="str">
        <f t="shared" si="352"/>
        <v xml:space="preserve"> </v>
      </c>
      <c r="HB134" s="10" t="str">
        <f t="shared" si="352"/>
        <v xml:space="preserve"> </v>
      </c>
      <c r="HC134" s="10" t="str">
        <f t="shared" si="352"/>
        <v xml:space="preserve"> </v>
      </c>
      <c r="HD134" s="10" t="str">
        <f t="shared" si="352"/>
        <v xml:space="preserve"> </v>
      </c>
      <c r="HE134" s="10" t="str">
        <f t="shared" si="352"/>
        <v xml:space="preserve"> </v>
      </c>
      <c r="HH134" s="10" t="str">
        <f t="shared" si="353"/>
        <v xml:space="preserve"> </v>
      </c>
      <c r="HI134" s="10" t="str">
        <f t="shared" si="353"/>
        <v xml:space="preserve"> </v>
      </c>
      <c r="HJ134" s="10" t="str">
        <f t="shared" si="353"/>
        <v xml:space="preserve"> </v>
      </c>
      <c r="HK134" s="10" t="str">
        <f t="shared" si="353"/>
        <v xml:space="preserve"> </v>
      </c>
      <c r="HL134" s="10" t="str">
        <f t="shared" si="353"/>
        <v xml:space="preserve"> </v>
      </c>
      <c r="HO134" s="10" t="str">
        <f t="shared" si="354"/>
        <v xml:space="preserve"> </v>
      </c>
      <c r="HP134" s="10" t="str">
        <f t="shared" si="354"/>
        <v xml:space="preserve"> </v>
      </c>
      <c r="HQ134" s="10" t="str">
        <f t="shared" si="354"/>
        <v xml:space="preserve"> </v>
      </c>
      <c r="HR134" s="10" t="str">
        <f t="shared" si="354"/>
        <v xml:space="preserve"> </v>
      </c>
      <c r="HS134" s="10" t="str">
        <f t="shared" si="354"/>
        <v xml:space="preserve"> </v>
      </c>
      <c r="HV134" s="10" t="str">
        <f t="shared" si="355"/>
        <v xml:space="preserve"> </v>
      </c>
      <c r="HW134" s="10" t="str">
        <f t="shared" si="355"/>
        <v xml:space="preserve"> </v>
      </c>
      <c r="HX134" s="10" t="str">
        <f t="shared" si="355"/>
        <v xml:space="preserve"> </v>
      </c>
      <c r="HY134" s="10" t="str">
        <f t="shared" si="355"/>
        <v xml:space="preserve"> </v>
      </c>
      <c r="HZ134" s="10" t="str">
        <f t="shared" si="355"/>
        <v xml:space="preserve"> </v>
      </c>
      <c r="IC134" s="10" t="str">
        <f t="shared" si="356"/>
        <v xml:space="preserve"> </v>
      </c>
      <c r="ID134" s="10" t="str">
        <f t="shared" si="356"/>
        <v xml:space="preserve"> </v>
      </c>
      <c r="IE134" s="10" t="str">
        <f t="shared" si="356"/>
        <v xml:space="preserve"> </v>
      </c>
      <c r="IF134" s="10" t="str">
        <f t="shared" si="356"/>
        <v xml:space="preserve"> </v>
      </c>
      <c r="IG134" s="10" t="str">
        <f t="shared" si="356"/>
        <v xml:space="preserve"> </v>
      </c>
      <c r="IJ134" s="10" t="str">
        <f t="shared" si="357"/>
        <v xml:space="preserve"> </v>
      </c>
      <c r="IK134" s="10" t="str">
        <f t="shared" si="357"/>
        <v xml:space="preserve"> </v>
      </c>
      <c r="IL134" s="10" t="str">
        <f t="shared" si="357"/>
        <v xml:space="preserve"> </v>
      </c>
      <c r="IM134" s="10" t="str">
        <f t="shared" si="357"/>
        <v xml:space="preserve"> </v>
      </c>
      <c r="IN134" s="10" t="str">
        <f t="shared" si="357"/>
        <v xml:space="preserve"> </v>
      </c>
      <c r="IQ134" s="10" t="str">
        <f t="shared" si="358"/>
        <v xml:space="preserve"> </v>
      </c>
      <c r="IR134" s="10" t="str">
        <f t="shared" si="358"/>
        <v xml:space="preserve"> </v>
      </c>
      <c r="IS134" s="10" t="str">
        <f t="shared" si="358"/>
        <v xml:space="preserve"> </v>
      </c>
      <c r="IT134" s="10" t="str">
        <f t="shared" si="358"/>
        <v xml:space="preserve"> </v>
      </c>
      <c r="IU134" s="10" t="str">
        <f t="shared" si="358"/>
        <v xml:space="preserve"> </v>
      </c>
      <c r="IX134" s="10" t="str">
        <f t="shared" si="359"/>
        <v xml:space="preserve"> </v>
      </c>
      <c r="IY134" s="10" t="str">
        <f t="shared" si="359"/>
        <v xml:space="preserve"> </v>
      </c>
      <c r="IZ134" s="10" t="str">
        <f t="shared" si="359"/>
        <v xml:space="preserve"> </v>
      </c>
      <c r="JA134" s="10" t="str">
        <f t="shared" si="359"/>
        <v xml:space="preserve"> </v>
      </c>
      <c r="JB134" s="10" t="str">
        <f t="shared" si="359"/>
        <v xml:space="preserve"> </v>
      </c>
      <c r="JE134" s="10" t="str">
        <f t="shared" si="360"/>
        <v xml:space="preserve"> </v>
      </c>
      <c r="JF134" s="10" t="str">
        <f t="shared" si="360"/>
        <v xml:space="preserve"> </v>
      </c>
      <c r="JG134" s="10" t="str">
        <f t="shared" si="360"/>
        <v xml:space="preserve"> </v>
      </c>
      <c r="JH134" s="10" t="str">
        <f t="shared" si="360"/>
        <v xml:space="preserve"> </v>
      </c>
      <c r="JI134" s="10" t="str">
        <f t="shared" si="360"/>
        <v xml:space="preserve"> </v>
      </c>
    </row>
    <row r="135" spans="13:269">
      <c r="M135" s="10" t="str">
        <f t="shared" si="361"/>
        <v xml:space="preserve"> </v>
      </c>
      <c r="N135" s="10" t="str">
        <f t="shared" si="361"/>
        <v xml:space="preserve"> </v>
      </c>
      <c r="O135" s="10" t="str">
        <f t="shared" si="361"/>
        <v xml:space="preserve"> </v>
      </c>
      <c r="P135" s="10" t="str">
        <f t="shared" si="361"/>
        <v xml:space="preserve"> </v>
      </c>
      <c r="Q135" s="10" t="str">
        <f t="shared" si="361"/>
        <v xml:space="preserve"> </v>
      </c>
      <c r="R135" s="14"/>
      <c r="S135" s="14"/>
      <c r="T135" s="10" t="str">
        <f t="shared" si="325"/>
        <v xml:space="preserve"> </v>
      </c>
      <c r="U135" s="10" t="str">
        <f t="shared" si="325"/>
        <v xml:space="preserve"> </v>
      </c>
      <c r="V135" s="10" t="str">
        <f t="shared" si="325"/>
        <v xml:space="preserve"> </v>
      </c>
      <c r="W135" s="10" t="str">
        <f t="shared" si="325"/>
        <v xml:space="preserve"> </v>
      </c>
      <c r="X135" s="10" t="str">
        <f t="shared" si="325"/>
        <v xml:space="preserve"> </v>
      </c>
      <c r="Y135" s="14"/>
      <c r="Z135" s="14"/>
      <c r="AA135" s="10" t="str">
        <f t="shared" si="326"/>
        <v xml:space="preserve"> </v>
      </c>
      <c r="AB135" s="10" t="str">
        <f t="shared" si="326"/>
        <v xml:space="preserve"> </v>
      </c>
      <c r="AC135" s="10" t="str">
        <f t="shared" si="326"/>
        <v xml:space="preserve"> </v>
      </c>
      <c r="AD135" s="10" t="str">
        <f t="shared" si="326"/>
        <v xml:space="preserve"> </v>
      </c>
      <c r="AE135" s="10" t="str">
        <f t="shared" si="326"/>
        <v xml:space="preserve"> </v>
      </c>
      <c r="AF135" s="14"/>
      <c r="AG135" s="14"/>
      <c r="AH135" s="10" t="str">
        <f t="shared" si="327"/>
        <v xml:space="preserve"> </v>
      </c>
      <c r="AI135" s="10" t="str">
        <f t="shared" si="327"/>
        <v xml:space="preserve"> </v>
      </c>
      <c r="AJ135" s="10" t="str">
        <f t="shared" si="327"/>
        <v xml:space="preserve"> </v>
      </c>
      <c r="AK135" s="10" t="str">
        <f t="shared" si="327"/>
        <v xml:space="preserve"> </v>
      </c>
      <c r="AL135" s="10" t="str">
        <f t="shared" si="327"/>
        <v xml:space="preserve"> </v>
      </c>
      <c r="AM135" s="14"/>
      <c r="AN135" s="14"/>
      <c r="AO135" s="10" t="str">
        <f t="shared" si="328"/>
        <v xml:space="preserve"> </v>
      </c>
      <c r="AP135" s="10" t="str">
        <f t="shared" si="328"/>
        <v xml:space="preserve"> </v>
      </c>
      <c r="AQ135" s="10" t="str">
        <f t="shared" si="328"/>
        <v xml:space="preserve"> </v>
      </c>
      <c r="AR135" s="10" t="str">
        <f t="shared" si="328"/>
        <v xml:space="preserve"> </v>
      </c>
      <c r="AS135" s="10" t="str">
        <f t="shared" si="328"/>
        <v xml:space="preserve"> </v>
      </c>
      <c r="AT135" s="14"/>
      <c r="AU135" s="14"/>
      <c r="AV135" s="10" t="str">
        <f t="shared" si="329"/>
        <v xml:space="preserve"> </v>
      </c>
      <c r="AW135" s="10" t="str">
        <f t="shared" si="329"/>
        <v xml:space="preserve"> </v>
      </c>
      <c r="AX135" s="10" t="str">
        <f t="shared" si="329"/>
        <v xml:space="preserve"> </v>
      </c>
      <c r="AY135" s="10" t="str">
        <f t="shared" si="329"/>
        <v xml:space="preserve"> </v>
      </c>
      <c r="AZ135" s="10" t="str">
        <f t="shared" si="329"/>
        <v xml:space="preserve"> </v>
      </c>
      <c r="BA135" s="14"/>
      <c r="BB135" s="14"/>
      <c r="BC135" s="10" t="str">
        <f t="shared" si="330"/>
        <v xml:space="preserve"> </v>
      </c>
      <c r="BD135" s="10" t="str">
        <f t="shared" si="330"/>
        <v xml:space="preserve"> </v>
      </c>
      <c r="BE135" s="10" t="str">
        <f t="shared" si="330"/>
        <v xml:space="preserve"> </v>
      </c>
      <c r="BF135" s="10" t="str">
        <f t="shared" si="330"/>
        <v xml:space="preserve"> </v>
      </c>
      <c r="BG135" s="10" t="str">
        <f t="shared" si="330"/>
        <v xml:space="preserve"> </v>
      </c>
      <c r="BH135" s="14"/>
      <c r="BI135" s="14"/>
      <c r="BJ135" s="10" t="str">
        <f t="shared" si="331"/>
        <v xml:space="preserve"> </v>
      </c>
      <c r="BK135" s="10" t="str">
        <f t="shared" si="331"/>
        <v xml:space="preserve"> </v>
      </c>
      <c r="BL135" s="10" t="str">
        <f t="shared" si="331"/>
        <v xml:space="preserve"> </v>
      </c>
      <c r="BM135" s="10" t="str">
        <f t="shared" si="331"/>
        <v xml:space="preserve"> </v>
      </c>
      <c r="BN135" s="10" t="str">
        <f t="shared" si="331"/>
        <v xml:space="preserve"> </v>
      </c>
      <c r="BO135" s="14"/>
      <c r="BP135" s="14"/>
      <c r="BQ135" s="10" t="str">
        <f t="shared" si="332"/>
        <v xml:space="preserve"> </v>
      </c>
      <c r="BR135" s="10" t="str">
        <f t="shared" si="332"/>
        <v xml:space="preserve"> </v>
      </c>
      <c r="BS135" s="10" t="str">
        <f t="shared" si="332"/>
        <v xml:space="preserve"> </v>
      </c>
      <c r="BT135" s="10" t="str">
        <f t="shared" si="332"/>
        <v xml:space="preserve"> </v>
      </c>
      <c r="BU135" s="10" t="str">
        <f t="shared" si="332"/>
        <v xml:space="preserve"> </v>
      </c>
      <c r="BV135" s="14"/>
      <c r="BW135" s="14"/>
      <c r="BX135" s="10" t="str">
        <f t="shared" si="333"/>
        <v xml:space="preserve"> </v>
      </c>
      <c r="BY135" s="10" t="str">
        <f t="shared" si="333"/>
        <v xml:space="preserve"> </v>
      </c>
      <c r="BZ135" s="10" t="str">
        <f t="shared" si="333"/>
        <v xml:space="preserve"> </v>
      </c>
      <c r="CA135" s="10" t="str">
        <f t="shared" si="333"/>
        <v xml:space="preserve"> </v>
      </c>
      <c r="CB135" s="10" t="str">
        <f t="shared" si="333"/>
        <v xml:space="preserve"> </v>
      </c>
      <c r="CC135" s="14"/>
      <c r="CD135" s="14"/>
      <c r="CE135" s="10" t="str">
        <f t="shared" si="334"/>
        <v xml:space="preserve"> </v>
      </c>
      <c r="CF135" s="10" t="str">
        <f t="shared" si="334"/>
        <v xml:space="preserve"> </v>
      </c>
      <c r="CG135" s="10" t="str">
        <f t="shared" si="334"/>
        <v xml:space="preserve"> </v>
      </c>
      <c r="CH135" s="10" t="str">
        <f t="shared" si="334"/>
        <v xml:space="preserve"> </v>
      </c>
      <c r="CI135" s="10" t="str">
        <f t="shared" si="334"/>
        <v xml:space="preserve"> </v>
      </c>
      <c r="CJ135" s="14"/>
      <c r="CK135" s="14"/>
      <c r="CL135" s="10" t="str">
        <f t="shared" si="335"/>
        <v xml:space="preserve"> </v>
      </c>
      <c r="CM135" s="10" t="str">
        <f t="shared" si="335"/>
        <v xml:space="preserve"> </v>
      </c>
      <c r="CN135" s="10" t="str">
        <f t="shared" si="335"/>
        <v xml:space="preserve"> </v>
      </c>
      <c r="CO135" s="10" t="str">
        <f t="shared" si="335"/>
        <v xml:space="preserve"> </v>
      </c>
      <c r="CP135" s="10" t="str">
        <f t="shared" si="335"/>
        <v xml:space="preserve"> </v>
      </c>
      <c r="CQ135" s="14"/>
      <c r="CR135" s="14"/>
      <c r="CS135" s="10" t="str">
        <f t="shared" si="336"/>
        <v xml:space="preserve"> </v>
      </c>
      <c r="CT135" s="10" t="str">
        <f t="shared" si="336"/>
        <v xml:space="preserve"> </v>
      </c>
      <c r="CU135" s="10" t="str">
        <f t="shared" si="336"/>
        <v xml:space="preserve"> </v>
      </c>
      <c r="CV135" s="10" t="str">
        <f t="shared" si="336"/>
        <v xml:space="preserve"> </v>
      </c>
      <c r="CW135" s="10" t="str">
        <f t="shared" si="336"/>
        <v xml:space="preserve"> </v>
      </c>
      <c r="CZ135" s="10" t="str">
        <f t="shared" si="337"/>
        <v xml:space="preserve"> </v>
      </c>
      <c r="DA135" s="10" t="str">
        <f t="shared" si="337"/>
        <v xml:space="preserve"> </v>
      </c>
      <c r="DB135" s="10" t="str">
        <f t="shared" si="337"/>
        <v xml:space="preserve"> </v>
      </c>
      <c r="DC135" s="10" t="str">
        <f t="shared" si="337"/>
        <v xml:space="preserve"> </v>
      </c>
      <c r="DD135" s="10" t="str">
        <f t="shared" si="337"/>
        <v xml:space="preserve"> </v>
      </c>
      <c r="DG135" s="10" t="str">
        <f t="shared" si="338"/>
        <v xml:space="preserve"> </v>
      </c>
      <c r="DH135" s="10" t="str">
        <f t="shared" si="338"/>
        <v xml:space="preserve"> </v>
      </c>
      <c r="DI135" s="10" t="str">
        <f t="shared" si="338"/>
        <v xml:space="preserve"> </v>
      </c>
      <c r="DJ135" s="10" t="str">
        <f t="shared" si="338"/>
        <v xml:space="preserve"> </v>
      </c>
      <c r="DK135" s="10" t="str">
        <f t="shared" si="338"/>
        <v xml:space="preserve"> </v>
      </c>
      <c r="DN135" s="10" t="str">
        <f t="shared" si="339"/>
        <v xml:space="preserve"> </v>
      </c>
      <c r="DO135" s="10" t="str">
        <f t="shared" si="339"/>
        <v xml:space="preserve"> </v>
      </c>
      <c r="DP135" s="10" t="str">
        <f t="shared" si="339"/>
        <v xml:space="preserve"> </v>
      </c>
      <c r="DQ135" s="10" t="str">
        <f t="shared" si="339"/>
        <v xml:space="preserve"> </v>
      </c>
      <c r="DR135" s="10" t="str">
        <f t="shared" si="339"/>
        <v xml:space="preserve"> </v>
      </c>
      <c r="DU135" s="10" t="str">
        <f t="shared" si="340"/>
        <v xml:space="preserve"> </v>
      </c>
      <c r="DV135" s="10" t="str">
        <f t="shared" si="340"/>
        <v xml:space="preserve"> </v>
      </c>
      <c r="DW135" s="10" t="str">
        <f t="shared" si="340"/>
        <v xml:space="preserve"> </v>
      </c>
      <c r="DX135" s="10" t="str">
        <f t="shared" si="340"/>
        <v xml:space="preserve"> </v>
      </c>
      <c r="DY135" s="10" t="str">
        <f t="shared" si="340"/>
        <v xml:space="preserve"> </v>
      </c>
      <c r="EB135" s="10" t="str">
        <f t="shared" si="341"/>
        <v xml:space="preserve"> </v>
      </c>
      <c r="EC135" s="10" t="str">
        <f t="shared" si="341"/>
        <v xml:space="preserve"> </v>
      </c>
      <c r="ED135" s="10" t="str">
        <f t="shared" si="341"/>
        <v xml:space="preserve"> </v>
      </c>
      <c r="EE135" s="10" t="str">
        <f t="shared" si="341"/>
        <v xml:space="preserve"> </v>
      </c>
      <c r="EF135" s="10" t="str">
        <f t="shared" si="341"/>
        <v xml:space="preserve"> </v>
      </c>
      <c r="EI135" s="10" t="str">
        <f t="shared" si="342"/>
        <v xml:space="preserve"> </v>
      </c>
      <c r="EJ135" s="10" t="str">
        <f t="shared" si="342"/>
        <v xml:space="preserve"> </v>
      </c>
      <c r="EK135" s="10" t="str">
        <f t="shared" si="342"/>
        <v xml:space="preserve"> </v>
      </c>
      <c r="EL135" s="10" t="str">
        <f t="shared" si="342"/>
        <v xml:space="preserve"> </v>
      </c>
      <c r="EM135" s="10" t="str">
        <f t="shared" si="342"/>
        <v xml:space="preserve"> </v>
      </c>
      <c r="EP135" s="10" t="str">
        <f t="shared" si="343"/>
        <v xml:space="preserve"> </v>
      </c>
      <c r="EQ135" s="10" t="str">
        <f t="shared" si="343"/>
        <v xml:space="preserve"> </v>
      </c>
      <c r="ER135" s="10" t="str">
        <f t="shared" si="343"/>
        <v xml:space="preserve"> </v>
      </c>
      <c r="ES135" s="10" t="str">
        <f t="shared" si="343"/>
        <v xml:space="preserve"> </v>
      </c>
      <c r="ET135" s="10" t="str">
        <f t="shared" si="343"/>
        <v xml:space="preserve"> </v>
      </c>
      <c r="EW135" s="10" t="str">
        <f t="shared" si="344"/>
        <v xml:space="preserve"> </v>
      </c>
      <c r="EX135" s="10" t="str">
        <f t="shared" si="344"/>
        <v xml:space="preserve"> </v>
      </c>
      <c r="EY135" s="10" t="str">
        <f t="shared" si="344"/>
        <v xml:space="preserve"> </v>
      </c>
      <c r="EZ135" s="10" t="str">
        <f t="shared" si="344"/>
        <v xml:space="preserve"> </v>
      </c>
      <c r="FA135" s="10" t="str">
        <f t="shared" si="344"/>
        <v xml:space="preserve"> </v>
      </c>
      <c r="FD135" s="10" t="str">
        <f t="shared" si="345"/>
        <v xml:space="preserve"> </v>
      </c>
      <c r="FE135" s="10" t="str">
        <f t="shared" si="345"/>
        <v xml:space="preserve"> </v>
      </c>
      <c r="FF135" s="10" t="str">
        <f t="shared" si="345"/>
        <v xml:space="preserve"> </v>
      </c>
      <c r="FG135" s="10" t="str">
        <f t="shared" si="345"/>
        <v xml:space="preserve"> </v>
      </c>
      <c r="FH135" s="10" t="str">
        <f t="shared" si="345"/>
        <v xml:space="preserve"> </v>
      </c>
      <c r="FK135" s="10" t="str">
        <f t="shared" si="346"/>
        <v xml:space="preserve"> </v>
      </c>
      <c r="FL135" s="10" t="str">
        <f t="shared" si="346"/>
        <v xml:space="preserve"> </v>
      </c>
      <c r="FM135" s="10" t="str">
        <f t="shared" si="346"/>
        <v xml:space="preserve"> </v>
      </c>
      <c r="FN135" s="10" t="str">
        <f t="shared" si="346"/>
        <v xml:space="preserve"> </v>
      </c>
      <c r="FO135" s="10" t="str">
        <f t="shared" si="346"/>
        <v xml:space="preserve"> </v>
      </c>
      <c r="FR135" s="10" t="str">
        <f t="shared" si="347"/>
        <v xml:space="preserve"> </v>
      </c>
      <c r="FS135" s="10" t="str">
        <f t="shared" si="347"/>
        <v xml:space="preserve"> </v>
      </c>
      <c r="FT135" s="10" t="str">
        <f t="shared" si="347"/>
        <v xml:space="preserve"> </v>
      </c>
      <c r="FU135" s="10" t="str">
        <f t="shared" si="347"/>
        <v xml:space="preserve"> </v>
      </c>
      <c r="FV135" s="10" t="str">
        <f t="shared" si="347"/>
        <v xml:space="preserve"> </v>
      </c>
      <c r="FY135" s="10" t="str">
        <f t="shared" si="348"/>
        <v xml:space="preserve"> </v>
      </c>
      <c r="FZ135" s="10" t="str">
        <f t="shared" si="348"/>
        <v xml:space="preserve"> </v>
      </c>
      <c r="GA135" s="10" t="str">
        <f t="shared" si="348"/>
        <v xml:space="preserve"> </v>
      </c>
      <c r="GB135" s="10" t="str">
        <f t="shared" si="348"/>
        <v xml:space="preserve"> </v>
      </c>
      <c r="GC135" s="10" t="str">
        <f t="shared" si="348"/>
        <v xml:space="preserve"> </v>
      </c>
      <c r="GF135" s="10" t="str">
        <f t="shared" si="349"/>
        <v xml:space="preserve"> </v>
      </c>
      <c r="GG135" s="10" t="str">
        <f t="shared" si="349"/>
        <v xml:space="preserve"> </v>
      </c>
      <c r="GH135" s="10" t="str">
        <f t="shared" si="349"/>
        <v xml:space="preserve"> </v>
      </c>
      <c r="GI135" s="10" t="str">
        <f t="shared" si="349"/>
        <v xml:space="preserve"> </v>
      </c>
      <c r="GJ135" s="10" t="str">
        <f t="shared" si="349"/>
        <v xml:space="preserve"> </v>
      </c>
      <c r="GM135" s="10" t="str">
        <f t="shared" si="350"/>
        <v xml:space="preserve"> </v>
      </c>
      <c r="GN135" s="10" t="str">
        <f t="shared" si="350"/>
        <v xml:space="preserve"> </v>
      </c>
      <c r="GO135" s="10" t="str">
        <f t="shared" si="350"/>
        <v xml:space="preserve"> </v>
      </c>
      <c r="GP135" s="10" t="str">
        <f t="shared" si="350"/>
        <v xml:space="preserve"> </v>
      </c>
      <c r="GQ135" s="10" t="str">
        <f t="shared" si="350"/>
        <v xml:space="preserve"> </v>
      </c>
      <c r="GT135" s="10" t="str">
        <f t="shared" si="351"/>
        <v xml:space="preserve"> </v>
      </c>
      <c r="GU135" s="10" t="str">
        <f t="shared" si="351"/>
        <v xml:space="preserve"> </v>
      </c>
      <c r="GV135" s="10" t="str">
        <f t="shared" si="351"/>
        <v xml:space="preserve"> </v>
      </c>
      <c r="GW135" s="10" t="str">
        <f t="shared" si="351"/>
        <v xml:space="preserve"> </v>
      </c>
      <c r="GX135" s="10" t="str">
        <f t="shared" si="351"/>
        <v xml:space="preserve"> </v>
      </c>
      <c r="HA135" s="10" t="str">
        <f t="shared" si="352"/>
        <v xml:space="preserve"> </v>
      </c>
      <c r="HB135" s="10" t="str">
        <f t="shared" si="352"/>
        <v xml:space="preserve"> </v>
      </c>
      <c r="HC135" s="10" t="str">
        <f t="shared" si="352"/>
        <v xml:space="preserve"> </v>
      </c>
      <c r="HD135" s="10" t="str">
        <f t="shared" si="352"/>
        <v xml:space="preserve"> </v>
      </c>
      <c r="HE135" s="10" t="str">
        <f t="shared" si="352"/>
        <v xml:space="preserve"> </v>
      </c>
      <c r="HH135" s="10" t="str">
        <f t="shared" si="353"/>
        <v xml:space="preserve"> </v>
      </c>
      <c r="HI135" s="10" t="str">
        <f t="shared" si="353"/>
        <v xml:space="preserve"> </v>
      </c>
      <c r="HJ135" s="10" t="str">
        <f t="shared" si="353"/>
        <v xml:space="preserve"> </v>
      </c>
      <c r="HK135" s="10" t="str">
        <f t="shared" si="353"/>
        <v xml:space="preserve"> </v>
      </c>
      <c r="HL135" s="10" t="str">
        <f t="shared" si="353"/>
        <v xml:space="preserve"> </v>
      </c>
      <c r="HO135" s="10" t="str">
        <f t="shared" si="354"/>
        <v xml:space="preserve"> </v>
      </c>
      <c r="HP135" s="10" t="str">
        <f t="shared" si="354"/>
        <v xml:space="preserve"> </v>
      </c>
      <c r="HQ135" s="10" t="str">
        <f t="shared" si="354"/>
        <v xml:space="preserve"> </v>
      </c>
      <c r="HR135" s="10" t="str">
        <f t="shared" si="354"/>
        <v xml:space="preserve"> </v>
      </c>
      <c r="HS135" s="10" t="str">
        <f t="shared" si="354"/>
        <v xml:space="preserve"> </v>
      </c>
      <c r="HV135" s="10" t="str">
        <f t="shared" si="355"/>
        <v xml:space="preserve"> </v>
      </c>
      <c r="HW135" s="10" t="str">
        <f t="shared" si="355"/>
        <v xml:space="preserve"> </v>
      </c>
      <c r="HX135" s="10" t="str">
        <f t="shared" si="355"/>
        <v xml:space="preserve"> </v>
      </c>
      <c r="HY135" s="10" t="str">
        <f t="shared" si="355"/>
        <v xml:space="preserve"> </v>
      </c>
      <c r="HZ135" s="10" t="str">
        <f t="shared" si="355"/>
        <v xml:space="preserve"> </v>
      </c>
      <c r="IC135" s="10" t="str">
        <f t="shared" si="356"/>
        <v xml:space="preserve"> </v>
      </c>
      <c r="ID135" s="10" t="str">
        <f t="shared" si="356"/>
        <v xml:space="preserve"> </v>
      </c>
      <c r="IE135" s="10" t="str">
        <f t="shared" si="356"/>
        <v xml:space="preserve"> </v>
      </c>
      <c r="IF135" s="10" t="str">
        <f t="shared" si="356"/>
        <v xml:space="preserve"> </v>
      </c>
      <c r="IG135" s="10" t="str">
        <f t="shared" si="356"/>
        <v xml:space="preserve"> </v>
      </c>
      <c r="IJ135" s="10" t="str">
        <f t="shared" si="357"/>
        <v xml:space="preserve"> </v>
      </c>
      <c r="IK135" s="10" t="str">
        <f t="shared" si="357"/>
        <v xml:space="preserve"> </v>
      </c>
      <c r="IL135" s="10" t="str">
        <f t="shared" si="357"/>
        <v xml:space="preserve"> </v>
      </c>
      <c r="IM135" s="10" t="str">
        <f t="shared" si="357"/>
        <v xml:space="preserve"> </v>
      </c>
      <c r="IN135" s="10" t="str">
        <f t="shared" si="357"/>
        <v xml:space="preserve"> </v>
      </c>
      <c r="IQ135" s="10" t="str">
        <f t="shared" si="358"/>
        <v xml:space="preserve"> </v>
      </c>
      <c r="IR135" s="10" t="str">
        <f t="shared" si="358"/>
        <v xml:space="preserve"> </v>
      </c>
      <c r="IS135" s="10" t="str">
        <f t="shared" si="358"/>
        <v xml:space="preserve"> </v>
      </c>
      <c r="IT135" s="10" t="str">
        <f t="shared" si="358"/>
        <v xml:space="preserve"> </v>
      </c>
      <c r="IU135" s="10" t="str">
        <f t="shared" si="358"/>
        <v xml:space="preserve"> </v>
      </c>
      <c r="IX135" s="10" t="str">
        <f t="shared" si="359"/>
        <v xml:space="preserve"> </v>
      </c>
      <c r="IY135" s="10" t="str">
        <f t="shared" si="359"/>
        <v xml:space="preserve"> </v>
      </c>
      <c r="IZ135" s="10" t="str">
        <f t="shared" si="359"/>
        <v xml:space="preserve"> </v>
      </c>
      <c r="JA135" s="10" t="str">
        <f t="shared" si="359"/>
        <v xml:space="preserve"> </v>
      </c>
      <c r="JB135" s="10" t="str">
        <f t="shared" si="359"/>
        <v xml:space="preserve"> </v>
      </c>
      <c r="JE135" s="10" t="str">
        <f t="shared" si="360"/>
        <v xml:space="preserve"> </v>
      </c>
      <c r="JF135" s="10" t="str">
        <f t="shared" si="360"/>
        <v xml:space="preserve"> </v>
      </c>
      <c r="JG135" s="10" t="str">
        <f t="shared" si="360"/>
        <v xml:space="preserve"> </v>
      </c>
      <c r="JH135" s="10" t="str">
        <f t="shared" si="360"/>
        <v xml:space="preserve"> </v>
      </c>
      <c r="JI135" s="10" t="str">
        <f t="shared" si="360"/>
        <v xml:space="preserve"> </v>
      </c>
    </row>
    <row r="136" spans="13:269">
      <c r="M136" s="10" t="str">
        <f t="shared" si="361"/>
        <v xml:space="preserve"> </v>
      </c>
      <c r="N136" s="10" t="str">
        <f t="shared" si="361"/>
        <v xml:space="preserve"> </v>
      </c>
      <c r="O136" s="10" t="str">
        <f t="shared" si="361"/>
        <v xml:space="preserve"> </v>
      </c>
      <c r="P136" s="10" t="str">
        <f t="shared" si="361"/>
        <v xml:space="preserve"> </v>
      </c>
      <c r="Q136" s="10" t="str">
        <f t="shared" si="361"/>
        <v xml:space="preserve"> </v>
      </c>
      <c r="R136" s="14"/>
      <c r="S136" s="14"/>
      <c r="T136" s="10" t="str">
        <f t="shared" si="325"/>
        <v xml:space="preserve"> </v>
      </c>
      <c r="U136" s="10" t="str">
        <f t="shared" si="325"/>
        <v xml:space="preserve"> </v>
      </c>
      <c r="V136" s="10" t="str">
        <f t="shared" si="325"/>
        <v xml:space="preserve"> </v>
      </c>
      <c r="W136" s="10" t="str">
        <f t="shared" si="325"/>
        <v xml:space="preserve"> </v>
      </c>
      <c r="X136" s="10" t="str">
        <f t="shared" si="325"/>
        <v xml:space="preserve"> </v>
      </c>
      <c r="Y136" s="14"/>
      <c r="Z136" s="14"/>
      <c r="AA136" s="10" t="str">
        <f t="shared" si="326"/>
        <v xml:space="preserve"> </v>
      </c>
      <c r="AB136" s="10" t="str">
        <f t="shared" si="326"/>
        <v xml:space="preserve"> </v>
      </c>
      <c r="AC136" s="10" t="str">
        <f t="shared" si="326"/>
        <v xml:space="preserve"> </v>
      </c>
      <c r="AD136" s="10" t="str">
        <f t="shared" si="326"/>
        <v xml:space="preserve"> </v>
      </c>
      <c r="AE136" s="10" t="str">
        <f t="shared" si="326"/>
        <v xml:space="preserve"> </v>
      </c>
      <c r="AF136" s="14"/>
      <c r="AG136" s="14"/>
      <c r="AH136" s="10" t="str">
        <f t="shared" si="327"/>
        <v xml:space="preserve"> </v>
      </c>
      <c r="AI136" s="10" t="str">
        <f t="shared" si="327"/>
        <v xml:space="preserve"> </v>
      </c>
      <c r="AJ136" s="10" t="str">
        <f t="shared" si="327"/>
        <v xml:space="preserve"> </v>
      </c>
      <c r="AK136" s="10" t="str">
        <f t="shared" si="327"/>
        <v xml:space="preserve"> </v>
      </c>
      <c r="AL136" s="10" t="str">
        <f t="shared" si="327"/>
        <v xml:space="preserve"> </v>
      </c>
      <c r="AM136" s="14"/>
      <c r="AN136" s="14"/>
      <c r="AO136" s="10" t="str">
        <f t="shared" si="328"/>
        <v xml:space="preserve"> </v>
      </c>
      <c r="AP136" s="10" t="str">
        <f t="shared" si="328"/>
        <v xml:space="preserve"> </v>
      </c>
      <c r="AQ136" s="10" t="str">
        <f t="shared" si="328"/>
        <v xml:space="preserve"> </v>
      </c>
      <c r="AR136" s="10" t="str">
        <f t="shared" si="328"/>
        <v xml:space="preserve"> </v>
      </c>
      <c r="AS136" s="10" t="str">
        <f t="shared" si="328"/>
        <v xml:space="preserve"> </v>
      </c>
      <c r="AT136" s="14"/>
      <c r="AU136" s="14"/>
      <c r="AV136" s="10" t="str">
        <f t="shared" si="329"/>
        <v xml:space="preserve"> </v>
      </c>
      <c r="AW136" s="10" t="str">
        <f t="shared" si="329"/>
        <v xml:space="preserve"> </v>
      </c>
      <c r="AX136" s="10" t="str">
        <f t="shared" si="329"/>
        <v xml:space="preserve"> </v>
      </c>
      <c r="AY136" s="10" t="str">
        <f t="shared" si="329"/>
        <v xml:space="preserve"> </v>
      </c>
      <c r="AZ136" s="10" t="str">
        <f t="shared" si="329"/>
        <v xml:space="preserve"> </v>
      </c>
      <c r="BA136" s="14"/>
      <c r="BB136" s="14"/>
      <c r="BC136" s="10" t="str">
        <f t="shared" si="330"/>
        <v xml:space="preserve"> </v>
      </c>
      <c r="BD136" s="10" t="str">
        <f t="shared" si="330"/>
        <v xml:space="preserve"> </v>
      </c>
      <c r="BE136" s="10" t="str">
        <f t="shared" si="330"/>
        <v xml:space="preserve"> </v>
      </c>
      <c r="BF136" s="10" t="str">
        <f t="shared" si="330"/>
        <v xml:space="preserve"> </v>
      </c>
      <c r="BG136" s="10" t="str">
        <f t="shared" si="330"/>
        <v xml:space="preserve"> </v>
      </c>
      <c r="BH136" s="14"/>
      <c r="BI136" s="14"/>
      <c r="BJ136" s="10" t="str">
        <f t="shared" si="331"/>
        <v xml:space="preserve"> </v>
      </c>
      <c r="BK136" s="10" t="str">
        <f t="shared" si="331"/>
        <v xml:space="preserve"> </v>
      </c>
      <c r="BL136" s="10" t="str">
        <f t="shared" si="331"/>
        <v xml:space="preserve"> </v>
      </c>
      <c r="BM136" s="10" t="str">
        <f t="shared" si="331"/>
        <v xml:space="preserve"> </v>
      </c>
      <c r="BN136" s="10" t="str">
        <f t="shared" si="331"/>
        <v xml:space="preserve"> </v>
      </c>
      <c r="BO136" s="14"/>
      <c r="BP136" s="14"/>
      <c r="BQ136" s="10" t="str">
        <f t="shared" si="332"/>
        <v xml:space="preserve"> </v>
      </c>
      <c r="BR136" s="10" t="str">
        <f t="shared" si="332"/>
        <v xml:space="preserve"> </v>
      </c>
      <c r="BS136" s="10" t="str">
        <f t="shared" si="332"/>
        <v xml:space="preserve"> </v>
      </c>
      <c r="BT136" s="10" t="str">
        <f t="shared" si="332"/>
        <v xml:space="preserve"> </v>
      </c>
      <c r="BU136" s="10" t="str">
        <f t="shared" si="332"/>
        <v xml:space="preserve"> </v>
      </c>
      <c r="BV136" s="14"/>
      <c r="BW136" s="14"/>
      <c r="BX136" s="10" t="str">
        <f t="shared" si="333"/>
        <v xml:space="preserve"> </v>
      </c>
      <c r="BY136" s="10" t="str">
        <f t="shared" si="333"/>
        <v xml:space="preserve"> </v>
      </c>
      <c r="BZ136" s="10" t="str">
        <f t="shared" si="333"/>
        <v xml:space="preserve"> </v>
      </c>
      <c r="CA136" s="10" t="str">
        <f t="shared" si="333"/>
        <v xml:space="preserve"> </v>
      </c>
      <c r="CB136" s="10" t="str">
        <f t="shared" si="333"/>
        <v xml:space="preserve"> </v>
      </c>
      <c r="CC136" s="14"/>
      <c r="CD136" s="14"/>
      <c r="CE136" s="10" t="str">
        <f t="shared" si="334"/>
        <v xml:space="preserve"> </v>
      </c>
      <c r="CF136" s="10" t="str">
        <f t="shared" si="334"/>
        <v xml:space="preserve"> </v>
      </c>
      <c r="CG136" s="10" t="str">
        <f t="shared" si="334"/>
        <v xml:space="preserve"> </v>
      </c>
      <c r="CH136" s="10" t="str">
        <f t="shared" si="334"/>
        <v xml:space="preserve"> </v>
      </c>
      <c r="CI136" s="10" t="str">
        <f t="shared" si="334"/>
        <v xml:space="preserve"> </v>
      </c>
      <c r="CJ136" s="14"/>
      <c r="CK136" s="14"/>
      <c r="CL136" s="10" t="str">
        <f t="shared" si="335"/>
        <v xml:space="preserve"> </v>
      </c>
      <c r="CM136" s="10" t="str">
        <f t="shared" si="335"/>
        <v xml:space="preserve"> </v>
      </c>
      <c r="CN136" s="10" t="str">
        <f t="shared" si="335"/>
        <v xml:space="preserve"> </v>
      </c>
      <c r="CO136" s="10" t="str">
        <f t="shared" si="335"/>
        <v xml:space="preserve"> </v>
      </c>
      <c r="CP136" s="10" t="str">
        <f t="shared" si="335"/>
        <v xml:space="preserve"> </v>
      </c>
      <c r="CQ136" s="14"/>
      <c r="CR136" s="14"/>
      <c r="CS136" s="10" t="str">
        <f t="shared" si="336"/>
        <v xml:space="preserve"> </v>
      </c>
      <c r="CT136" s="10" t="str">
        <f t="shared" si="336"/>
        <v xml:space="preserve"> </v>
      </c>
      <c r="CU136" s="10" t="str">
        <f t="shared" si="336"/>
        <v xml:space="preserve"> </v>
      </c>
      <c r="CV136" s="10" t="str">
        <f t="shared" si="336"/>
        <v xml:space="preserve"> </v>
      </c>
      <c r="CW136" s="10" t="str">
        <f t="shared" si="336"/>
        <v xml:space="preserve"> </v>
      </c>
      <c r="CZ136" s="10" t="str">
        <f t="shared" si="337"/>
        <v xml:space="preserve"> </v>
      </c>
      <c r="DA136" s="10" t="str">
        <f t="shared" si="337"/>
        <v xml:space="preserve"> </v>
      </c>
      <c r="DB136" s="10" t="str">
        <f t="shared" si="337"/>
        <v xml:space="preserve"> </v>
      </c>
      <c r="DC136" s="10" t="str">
        <f t="shared" si="337"/>
        <v xml:space="preserve"> </v>
      </c>
      <c r="DD136" s="10" t="str">
        <f t="shared" si="337"/>
        <v xml:space="preserve"> </v>
      </c>
      <c r="DG136" s="10" t="str">
        <f t="shared" si="338"/>
        <v xml:space="preserve"> </v>
      </c>
      <c r="DH136" s="10" t="str">
        <f t="shared" si="338"/>
        <v xml:space="preserve"> </v>
      </c>
      <c r="DI136" s="10" t="str">
        <f t="shared" si="338"/>
        <v xml:space="preserve"> </v>
      </c>
      <c r="DJ136" s="10" t="str">
        <f t="shared" si="338"/>
        <v xml:space="preserve"> </v>
      </c>
      <c r="DK136" s="10" t="str">
        <f t="shared" si="338"/>
        <v xml:space="preserve"> </v>
      </c>
      <c r="DN136" s="10" t="str">
        <f t="shared" si="339"/>
        <v xml:space="preserve"> </v>
      </c>
      <c r="DO136" s="10" t="str">
        <f t="shared" si="339"/>
        <v xml:space="preserve"> </v>
      </c>
      <c r="DP136" s="10" t="str">
        <f t="shared" si="339"/>
        <v xml:space="preserve"> </v>
      </c>
      <c r="DQ136" s="10" t="str">
        <f t="shared" si="339"/>
        <v xml:space="preserve"> </v>
      </c>
      <c r="DR136" s="10" t="str">
        <f t="shared" si="339"/>
        <v xml:space="preserve"> </v>
      </c>
      <c r="DU136" s="10" t="str">
        <f t="shared" si="340"/>
        <v xml:space="preserve"> </v>
      </c>
      <c r="DV136" s="10" t="str">
        <f t="shared" si="340"/>
        <v xml:space="preserve"> </v>
      </c>
      <c r="DW136" s="10" t="str">
        <f t="shared" si="340"/>
        <v xml:space="preserve"> </v>
      </c>
      <c r="DX136" s="10" t="str">
        <f t="shared" si="340"/>
        <v xml:space="preserve"> </v>
      </c>
      <c r="DY136" s="10" t="str">
        <f t="shared" si="340"/>
        <v xml:space="preserve"> </v>
      </c>
      <c r="EB136" s="10" t="str">
        <f t="shared" si="341"/>
        <v xml:space="preserve"> </v>
      </c>
      <c r="EC136" s="10" t="str">
        <f t="shared" si="341"/>
        <v xml:space="preserve"> </v>
      </c>
      <c r="ED136" s="10" t="str">
        <f t="shared" si="341"/>
        <v xml:space="preserve"> </v>
      </c>
      <c r="EE136" s="10" t="str">
        <f t="shared" si="341"/>
        <v xml:space="preserve"> </v>
      </c>
      <c r="EF136" s="10" t="str">
        <f t="shared" si="341"/>
        <v xml:space="preserve"> </v>
      </c>
      <c r="EI136" s="10" t="str">
        <f t="shared" si="342"/>
        <v xml:space="preserve"> </v>
      </c>
      <c r="EJ136" s="10" t="str">
        <f t="shared" si="342"/>
        <v xml:space="preserve"> </v>
      </c>
      <c r="EK136" s="10" t="str">
        <f t="shared" si="342"/>
        <v xml:space="preserve"> </v>
      </c>
      <c r="EL136" s="10" t="str">
        <f t="shared" si="342"/>
        <v xml:space="preserve"> </v>
      </c>
      <c r="EM136" s="10" t="str">
        <f t="shared" si="342"/>
        <v xml:space="preserve"> </v>
      </c>
      <c r="EP136" s="10" t="str">
        <f t="shared" si="343"/>
        <v xml:space="preserve"> </v>
      </c>
      <c r="EQ136" s="10" t="str">
        <f t="shared" si="343"/>
        <v xml:space="preserve"> </v>
      </c>
      <c r="ER136" s="10" t="str">
        <f t="shared" si="343"/>
        <v xml:space="preserve"> </v>
      </c>
      <c r="ES136" s="10" t="str">
        <f t="shared" si="343"/>
        <v xml:space="preserve"> </v>
      </c>
      <c r="ET136" s="10" t="str">
        <f t="shared" si="343"/>
        <v xml:space="preserve"> </v>
      </c>
      <c r="EW136" s="10" t="str">
        <f t="shared" si="344"/>
        <v xml:space="preserve"> </v>
      </c>
      <c r="EX136" s="10" t="str">
        <f t="shared" si="344"/>
        <v xml:space="preserve"> </v>
      </c>
      <c r="EY136" s="10" t="str">
        <f t="shared" si="344"/>
        <v xml:space="preserve"> </v>
      </c>
      <c r="EZ136" s="10" t="str">
        <f t="shared" si="344"/>
        <v xml:space="preserve"> </v>
      </c>
      <c r="FA136" s="10" t="str">
        <f t="shared" si="344"/>
        <v xml:space="preserve"> </v>
      </c>
      <c r="FD136" s="10" t="str">
        <f t="shared" si="345"/>
        <v xml:space="preserve"> </v>
      </c>
      <c r="FE136" s="10" t="str">
        <f t="shared" si="345"/>
        <v xml:space="preserve"> </v>
      </c>
      <c r="FF136" s="10" t="str">
        <f t="shared" si="345"/>
        <v xml:space="preserve"> </v>
      </c>
      <c r="FG136" s="10" t="str">
        <f t="shared" si="345"/>
        <v xml:space="preserve"> </v>
      </c>
      <c r="FH136" s="10" t="str">
        <f t="shared" si="345"/>
        <v xml:space="preserve"> </v>
      </c>
      <c r="FK136" s="10" t="str">
        <f t="shared" si="346"/>
        <v xml:space="preserve"> </v>
      </c>
      <c r="FL136" s="10" t="str">
        <f t="shared" si="346"/>
        <v xml:space="preserve"> </v>
      </c>
      <c r="FM136" s="10" t="str">
        <f t="shared" si="346"/>
        <v xml:space="preserve"> </v>
      </c>
      <c r="FN136" s="10" t="str">
        <f t="shared" si="346"/>
        <v xml:space="preserve"> </v>
      </c>
      <c r="FO136" s="10" t="str">
        <f t="shared" si="346"/>
        <v xml:space="preserve"> </v>
      </c>
      <c r="FR136" s="10" t="str">
        <f t="shared" si="347"/>
        <v xml:space="preserve"> </v>
      </c>
      <c r="FS136" s="10" t="str">
        <f t="shared" si="347"/>
        <v xml:space="preserve"> </v>
      </c>
      <c r="FT136" s="10" t="str">
        <f t="shared" si="347"/>
        <v xml:space="preserve"> </v>
      </c>
      <c r="FU136" s="10" t="str">
        <f t="shared" si="347"/>
        <v xml:space="preserve"> </v>
      </c>
      <c r="FV136" s="10" t="str">
        <f t="shared" si="347"/>
        <v xml:space="preserve"> </v>
      </c>
      <c r="FY136" s="10" t="str">
        <f t="shared" si="348"/>
        <v xml:space="preserve"> </v>
      </c>
      <c r="FZ136" s="10" t="str">
        <f t="shared" si="348"/>
        <v xml:space="preserve"> </v>
      </c>
      <c r="GA136" s="10" t="str">
        <f t="shared" si="348"/>
        <v xml:space="preserve"> </v>
      </c>
      <c r="GB136" s="10" t="str">
        <f t="shared" si="348"/>
        <v xml:space="preserve"> </v>
      </c>
      <c r="GC136" s="10" t="str">
        <f t="shared" si="348"/>
        <v xml:space="preserve"> </v>
      </c>
      <c r="GF136" s="10" t="str">
        <f t="shared" si="349"/>
        <v xml:space="preserve"> </v>
      </c>
      <c r="GG136" s="10" t="str">
        <f t="shared" si="349"/>
        <v xml:space="preserve"> </v>
      </c>
      <c r="GH136" s="10" t="str">
        <f t="shared" si="349"/>
        <v xml:space="preserve"> </v>
      </c>
      <c r="GI136" s="10" t="str">
        <f t="shared" si="349"/>
        <v xml:space="preserve"> </v>
      </c>
      <c r="GJ136" s="10" t="str">
        <f t="shared" si="349"/>
        <v xml:space="preserve"> </v>
      </c>
      <c r="GM136" s="10" t="str">
        <f t="shared" si="350"/>
        <v xml:space="preserve"> </v>
      </c>
      <c r="GN136" s="10" t="str">
        <f t="shared" si="350"/>
        <v xml:space="preserve"> </v>
      </c>
      <c r="GO136" s="10" t="str">
        <f t="shared" si="350"/>
        <v xml:space="preserve"> </v>
      </c>
      <c r="GP136" s="10" t="str">
        <f t="shared" si="350"/>
        <v xml:space="preserve"> </v>
      </c>
      <c r="GQ136" s="10" t="str">
        <f t="shared" si="350"/>
        <v xml:space="preserve"> </v>
      </c>
      <c r="GT136" s="10" t="str">
        <f t="shared" si="351"/>
        <v xml:space="preserve"> </v>
      </c>
      <c r="GU136" s="10" t="str">
        <f t="shared" si="351"/>
        <v xml:space="preserve"> </v>
      </c>
      <c r="GV136" s="10" t="str">
        <f t="shared" si="351"/>
        <v xml:space="preserve"> </v>
      </c>
      <c r="GW136" s="10" t="str">
        <f t="shared" si="351"/>
        <v xml:space="preserve"> </v>
      </c>
      <c r="GX136" s="10" t="str">
        <f t="shared" si="351"/>
        <v xml:space="preserve"> </v>
      </c>
      <c r="HA136" s="10" t="str">
        <f t="shared" si="352"/>
        <v xml:space="preserve"> </v>
      </c>
      <c r="HB136" s="10" t="str">
        <f t="shared" si="352"/>
        <v xml:space="preserve"> </v>
      </c>
      <c r="HC136" s="10" t="str">
        <f t="shared" si="352"/>
        <v xml:space="preserve"> </v>
      </c>
      <c r="HD136" s="10" t="str">
        <f t="shared" si="352"/>
        <v xml:space="preserve"> </v>
      </c>
      <c r="HE136" s="10" t="str">
        <f t="shared" si="352"/>
        <v xml:space="preserve"> </v>
      </c>
      <c r="HH136" s="10" t="str">
        <f t="shared" si="353"/>
        <v xml:space="preserve"> </v>
      </c>
      <c r="HI136" s="10" t="str">
        <f t="shared" si="353"/>
        <v xml:space="preserve"> </v>
      </c>
      <c r="HJ136" s="10" t="str">
        <f t="shared" si="353"/>
        <v xml:space="preserve"> </v>
      </c>
      <c r="HK136" s="10" t="str">
        <f t="shared" si="353"/>
        <v xml:space="preserve"> </v>
      </c>
      <c r="HL136" s="10" t="str">
        <f t="shared" si="353"/>
        <v xml:space="preserve"> </v>
      </c>
      <c r="HO136" s="10" t="str">
        <f t="shared" si="354"/>
        <v xml:space="preserve"> </v>
      </c>
      <c r="HP136" s="10" t="str">
        <f t="shared" si="354"/>
        <v xml:space="preserve"> </v>
      </c>
      <c r="HQ136" s="10" t="str">
        <f t="shared" si="354"/>
        <v xml:space="preserve"> </v>
      </c>
      <c r="HR136" s="10" t="str">
        <f t="shared" si="354"/>
        <v xml:space="preserve"> </v>
      </c>
      <c r="HS136" s="10" t="str">
        <f t="shared" si="354"/>
        <v xml:space="preserve"> </v>
      </c>
      <c r="HV136" s="10" t="str">
        <f t="shared" si="355"/>
        <v xml:space="preserve"> </v>
      </c>
      <c r="HW136" s="10" t="str">
        <f t="shared" si="355"/>
        <v xml:space="preserve"> </v>
      </c>
      <c r="HX136" s="10" t="str">
        <f t="shared" si="355"/>
        <v xml:space="preserve"> </v>
      </c>
      <c r="HY136" s="10" t="str">
        <f t="shared" si="355"/>
        <v xml:space="preserve"> </v>
      </c>
      <c r="HZ136" s="10" t="str">
        <f t="shared" si="355"/>
        <v xml:space="preserve"> </v>
      </c>
      <c r="IC136" s="10" t="str">
        <f t="shared" si="356"/>
        <v xml:space="preserve"> </v>
      </c>
      <c r="ID136" s="10" t="str">
        <f t="shared" si="356"/>
        <v xml:space="preserve"> </v>
      </c>
      <c r="IE136" s="10" t="str">
        <f t="shared" si="356"/>
        <v xml:space="preserve"> </v>
      </c>
      <c r="IF136" s="10" t="str">
        <f t="shared" si="356"/>
        <v xml:space="preserve"> </v>
      </c>
      <c r="IG136" s="10" t="str">
        <f t="shared" si="356"/>
        <v xml:space="preserve"> </v>
      </c>
      <c r="IJ136" s="10" t="str">
        <f t="shared" si="357"/>
        <v xml:space="preserve"> </v>
      </c>
      <c r="IK136" s="10" t="str">
        <f t="shared" si="357"/>
        <v xml:space="preserve"> </v>
      </c>
      <c r="IL136" s="10" t="str">
        <f t="shared" si="357"/>
        <v xml:space="preserve"> </v>
      </c>
      <c r="IM136" s="10" t="str">
        <f t="shared" si="357"/>
        <v xml:space="preserve"> </v>
      </c>
      <c r="IN136" s="10" t="str">
        <f t="shared" si="357"/>
        <v xml:space="preserve"> </v>
      </c>
      <c r="IQ136" s="10" t="str">
        <f t="shared" si="358"/>
        <v xml:space="preserve"> </v>
      </c>
      <c r="IR136" s="10" t="str">
        <f t="shared" si="358"/>
        <v xml:space="preserve"> </v>
      </c>
      <c r="IS136" s="10" t="str">
        <f t="shared" si="358"/>
        <v xml:space="preserve"> </v>
      </c>
      <c r="IT136" s="10" t="str">
        <f t="shared" si="358"/>
        <v xml:space="preserve"> </v>
      </c>
      <c r="IU136" s="10" t="str">
        <f t="shared" si="358"/>
        <v xml:space="preserve"> </v>
      </c>
      <c r="IX136" s="10" t="str">
        <f t="shared" si="359"/>
        <v xml:space="preserve"> </v>
      </c>
      <c r="IY136" s="10" t="str">
        <f t="shared" si="359"/>
        <v xml:space="preserve"> </v>
      </c>
      <c r="IZ136" s="10" t="str">
        <f t="shared" si="359"/>
        <v xml:space="preserve"> </v>
      </c>
      <c r="JA136" s="10" t="str">
        <f t="shared" si="359"/>
        <v xml:space="preserve"> </v>
      </c>
      <c r="JB136" s="10" t="str">
        <f t="shared" si="359"/>
        <v xml:space="preserve"> </v>
      </c>
      <c r="JE136" s="10" t="str">
        <f t="shared" si="360"/>
        <v xml:space="preserve"> </v>
      </c>
      <c r="JF136" s="10" t="str">
        <f t="shared" si="360"/>
        <v xml:space="preserve"> </v>
      </c>
      <c r="JG136" s="10" t="str">
        <f t="shared" si="360"/>
        <v xml:space="preserve"> </v>
      </c>
      <c r="JH136" s="10" t="str">
        <f t="shared" si="360"/>
        <v xml:space="preserve"> </v>
      </c>
      <c r="JI136" s="10" t="str">
        <f t="shared" si="360"/>
        <v xml:space="preserve"> </v>
      </c>
    </row>
    <row r="137" spans="13:269">
      <c r="M137" s="10" t="str">
        <f t="shared" si="361"/>
        <v xml:space="preserve"> </v>
      </c>
      <c r="N137" s="10" t="str">
        <f t="shared" si="361"/>
        <v xml:space="preserve"> </v>
      </c>
      <c r="O137" s="10" t="str">
        <f t="shared" si="361"/>
        <v xml:space="preserve"> </v>
      </c>
      <c r="P137" s="10" t="str">
        <f t="shared" si="361"/>
        <v xml:space="preserve"> </v>
      </c>
      <c r="Q137" s="10" t="str">
        <f t="shared" si="361"/>
        <v xml:space="preserve"> </v>
      </c>
      <c r="R137" s="14"/>
      <c r="S137" s="14"/>
      <c r="T137" s="10" t="str">
        <f t="shared" si="325"/>
        <v xml:space="preserve"> </v>
      </c>
      <c r="U137" s="10" t="str">
        <f t="shared" si="325"/>
        <v xml:space="preserve"> </v>
      </c>
      <c r="V137" s="10" t="str">
        <f t="shared" si="325"/>
        <v xml:space="preserve"> </v>
      </c>
      <c r="W137" s="10" t="str">
        <f t="shared" si="325"/>
        <v xml:space="preserve"> </v>
      </c>
      <c r="X137" s="10" t="str">
        <f t="shared" si="325"/>
        <v xml:space="preserve"> </v>
      </c>
      <c r="Y137" s="14"/>
      <c r="Z137" s="14"/>
      <c r="AA137" s="10" t="str">
        <f t="shared" si="326"/>
        <v xml:space="preserve"> </v>
      </c>
      <c r="AB137" s="10" t="str">
        <f t="shared" si="326"/>
        <v xml:space="preserve"> </v>
      </c>
      <c r="AC137" s="10" t="str">
        <f t="shared" si="326"/>
        <v xml:space="preserve"> </v>
      </c>
      <c r="AD137" s="10" t="str">
        <f t="shared" si="326"/>
        <v xml:space="preserve"> </v>
      </c>
      <c r="AE137" s="10" t="str">
        <f t="shared" si="326"/>
        <v xml:space="preserve"> </v>
      </c>
      <c r="AF137" s="14"/>
      <c r="AG137" s="14"/>
      <c r="AH137" s="10" t="str">
        <f t="shared" si="327"/>
        <v xml:space="preserve"> </v>
      </c>
      <c r="AI137" s="10" t="str">
        <f t="shared" si="327"/>
        <v xml:space="preserve"> </v>
      </c>
      <c r="AJ137" s="10" t="str">
        <f t="shared" si="327"/>
        <v xml:space="preserve"> </v>
      </c>
      <c r="AK137" s="10" t="str">
        <f t="shared" si="327"/>
        <v xml:space="preserve"> </v>
      </c>
      <c r="AL137" s="10" t="str">
        <f t="shared" si="327"/>
        <v xml:space="preserve"> </v>
      </c>
      <c r="AM137" s="14"/>
      <c r="AN137" s="14"/>
      <c r="AO137" s="10" t="str">
        <f t="shared" si="328"/>
        <v xml:space="preserve"> </v>
      </c>
      <c r="AP137" s="10" t="str">
        <f t="shared" si="328"/>
        <v xml:space="preserve"> </v>
      </c>
      <c r="AQ137" s="10" t="str">
        <f t="shared" si="328"/>
        <v xml:space="preserve"> </v>
      </c>
      <c r="AR137" s="10" t="str">
        <f t="shared" si="328"/>
        <v xml:space="preserve"> </v>
      </c>
      <c r="AS137" s="10" t="str">
        <f t="shared" si="328"/>
        <v xml:space="preserve"> </v>
      </c>
      <c r="AT137" s="14"/>
      <c r="AU137" s="14"/>
      <c r="AV137" s="10" t="str">
        <f t="shared" si="329"/>
        <v xml:space="preserve"> </v>
      </c>
      <c r="AW137" s="10" t="str">
        <f t="shared" si="329"/>
        <v xml:space="preserve"> </v>
      </c>
      <c r="AX137" s="10" t="str">
        <f t="shared" si="329"/>
        <v xml:space="preserve"> </v>
      </c>
      <c r="AY137" s="10" t="str">
        <f t="shared" si="329"/>
        <v xml:space="preserve"> </v>
      </c>
      <c r="AZ137" s="10" t="str">
        <f t="shared" si="329"/>
        <v xml:space="preserve"> </v>
      </c>
      <c r="BA137" s="14"/>
      <c r="BB137" s="14"/>
      <c r="BC137" s="10" t="str">
        <f t="shared" si="330"/>
        <v xml:space="preserve"> </v>
      </c>
      <c r="BD137" s="10" t="str">
        <f t="shared" si="330"/>
        <v xml:space="preserve"> </v>
      </c>
      <c r="BE137" s="10" t="str">
        <f t="shared" si="330"/>
        <v xml:space="preserve"> </v>
      </c>
      <c r="BF137" s="10" t="str">
        <f t="shared" si="330"/>
        <v xml:space="preserve"> </v>
      </c>
      <c r="BG137" s="10" t="str">
        <f t="shared" si="330"/>
        <v xml:space="preserve"> </v>
      </c>
      <c r="BH137" s="14"/>
      <c r="BI137" s="14"/>
      <c r="BJ137" s="10" t="str">
        <f t="shared" si="331"/>
        <v xml:space="preserve"> </v>
      </c>
      <c r="BK137" s="10" t="str">
        <f t="shared" si="331"/>
        <v xml:space="preserve"> </v>
      </c>
      <c r="BL137" s="10" t="str">
        <f t="shared" si="331"/>
        <v xml:space="preserve"> </v>
      </c>
      <c r="BM137" s="10" t="str">
        <f t="shared" si="331"/>
        <v xml:space="preserve"> </v>
      </c>
      <c r="BN137" s="10" t="str">
        <f t="shared" si="331"/>
        <v xml:space="preserve"> </v>
      </c>
      <c r="BO137" s="14"/>
      <c r="BP137" s="14"/>
      <c r="BQ137" s="10" t="str">
        <f t="shared" si="332"/>
        <v xml:space="preserve"> </v>
      </c>
      <c r="BR137" s="10" t="str">
        <f t="shared" si="332"/>
        <v xml:space="preserve"> </v>
      </c>
      <c r="BS137" s="10" t="str">
        <f t="shared" si="332"/>
        <v xml:space="preserve"> </v>
      </c>
      <c r="BT137" s="10" t="str">
        <f t="shared" si="332"/>
        <v xml:space="preserve"> </v>
      </c>
      <c r="BU137" s="10" t="str">
        <f t="shared" si="332"/>
        <v xml:space="preserve"> </v>
      </c>
      <c r="BV137" s="14"/>
      <c r="BW137" s="14"/>
      <c r="BX137" s="10" t="str">
        <f t="shared" si="333"/>
        <v xml:space="preserve"> </v>
      </c>
      <c r="BY137" s="10" t="str">
        <f t="shared" si="333"/>
        <v xml:space="preserve"> </v>
      </c>
      <c r="BZ137" s="10" t="str">
        <f t="shared" si="333"/>
        <v xml:space="preserve"> </v>
      </c>
      <c r="CA137" s="10" t="str">
        <f t="shared" si="333"/>
        <v xml:space="preserve"> </v>
      </c>
      <c r="CB137" s="10" t="str">
        <f t="shared" si="333"/>
        <v xml:space="preserve"> </v>
      </c>
      <c r="CC137" s="14"/>
      <c r="CD137" s="14"/>
      <c r="CE137" s="10" t="str">
        <f t="shared" si="334"/>
        <v xml:space="preserve"> </v>
      </c>
      <c r="CF137" s="10" t="str">
        <f t="shared" si="334"/>
        <v xml:space="preserve"> </v>
      </c>
      <c r="CG137" s="10" t="str">
        <f t="shared" si="334"/>
        <v xml:space="preserve"> </v>
      </c>
      <c r="CH137" s="10" t="str">
        <f t="shared" si="334"/>
        <v xml:space="preserve"> </v>
      </c>
      <c r="CI137" s="10" t="str">
        <f t="shared" si="334"/>
        <v xml:space="preserve"> </v>
      </c>
      <c r="CJ137" s="14"/>
      <c r="CK137" s="14"/>
      <c r="CL137" s="10" t="str">
        <f t="shared" si="335"/>
        <v xml:space="preserve"> </v>
      </c>
      <c r="CM137" s="10" t="str">
        <f t="shared" si="335"/>
        <v xml:space="preserve"> </v>
      </c>
      <c r="CN137" s="10" t="str">
        <f t="shared" si="335"/>
        <v xml:space="preserve"> </v>
      </c>
      <c r="CO137" s="10" t="str">
        <f t="shared" si="335"/>
        <v xml:space="preserve"> </v>
      </c>
      <c r="CP137" s="10" t="str">
        <f t="shared" si="335"/>
        <v xml:space="preserve"> </v>
      </c>
      <c r="CQ137" s="14"/>
      <c r="CR137" s="14"/>
      <c r="CS137" s="10" t="str">
        <f t="shared" si="336"/>
        <v xml:space="preserve"> </v>
      </c>
      <c r="CT137" s="10" t="str">
        <f t="shared" si="336"/>
        <v xml:space="preserve"> </v>
      </c>
      <c r="CU137" s="10" t="str">
        <f t="shared" si="336"/>
        <v xml:space="preserve"> </v>
      </c>
      <c r="CV137" s="10" t="str">
        <f t="shared" si="336"/>
        <v xml:space="preserve"> </v>
      </c>
      <c r="CW137" s="10" t="str">
        <f t="shared" si="336"/>
        <v xml:space="preserve"> </v>
      </c>
      <c r="CZ137" s="10" t="str">
        <f t="shared" si="337"/>
        <v xml:space="preserve"> </v>
      </c>
      <c r="DA137" s="10" t="str">
        <f t="shared" si="337"/>
        <v xml:space="preserve"> </v>
      </c>
      <c r="DB137" s="10" t="str">
        <f t="shared" si="337"/>
        <v xml:space="preserve"> </v>
      </c>
      <c r="DC137" s="10" t="str">
        <f t="shared" si="337"/>
        <v xml:space="preserve"> </v>
      </c>
      <c r="DD137" s="10" t="str">
        <f t="shared" si="337"/>
        <v xml:space="preserve"> </v>
      </c>
      <c r="DG137" s="10" t="str">
        <f t="shared" si="338"/>
        <v xml:space="preserve"> </v>
      </c>
      <c r="DH137" s="10" t="str">
        <f t="shared" si="338"/>
        <v xml:space="preserve"> </v>
      </c>
      <c r="DI137" s="10" t="str">
        <f t="shared" si="338"/>
        <v xml:space="preserve"> </v>
      </c>
      <c r="DJ137" s="10" t="str">
        <f t="shared" si="338"/>
        <v xml:space="preserve"> </v>
      </c>
      <c r="DK137" s="10" t="str">
        <f t="shared" si="338"/>
        <v xml:space="preserve"> </v>
      </c>
      <c r="DN137" s="10" t="str">
        <f t="shared" si="339"/>
        <v xml:space="preserve"> </v>
      </c>
      <c r="DO137" s="10" t="str">
        <f t="shared" si="339"/>
        <v xml:space="preserve"> </v>
      </c>
      <c r="DP137" s="10" t="str">
        <f t="shared" si="339"/>
        <v xml:space="preserve"> </v>
      </c>
      <c r="DQ137" s="10" t="str">
        <f t="shared" si="339"/>
        <v xml:space="preserve"> </v>
      </c>
      <c r="DR137" s="10" t="str">
        <f t="shared" si="339"/>
        <v xml:space="preserve"> </v>
      </c>
      <c r="DU137" s="10" t="str">
        <f t="shared" si="340"/>
        <v xml:space="preserve"> </v>
      </c>
      <c r="DV137" s="10" t="str">
        <f t="shared" si="340"/>
        <v xml:space="preserve"> </v>
      </c>
      <c r="DW137" s="10" t="str">
        <f t="shared" si="340"/>
        <v xml:space="preserve"> </v>
      </c>
      <c r="DX137" s="10" t="str">
        <f t="shared" si="340"/>
        <v xml:space="preserve"> </v>
      </c>
      <c r="DY137" s="10" t="str">
        <f t="shared" si="340"/>
        <v xml:space="preserve"> </v>
      </c>
      <c r="EB137" s="10" t="str">
        <f t="shared" si="341"/>
        <v xml:space="preserve"> </v>
      </c>
      <c r="EC137" s="10" t="str">
        <f t="shared" si="341"/>
        <v xml:space="preserve"> </v>
      </c>
      <c r="ED137" s="10" t="str">
        <f t="shared" si="341"/>
        <v xml:space="preserve"> </v>
      </c>
      <c r="EE137" s="10" t="str">
        <f t="shared" si="341"/>
        <v xml:space="preserve"> </v>
      </c>
      <c r="EF137" s="10" t="str">
        <f t="shared" si="341"/>
        <v xml:space="preserve"> </v>
      </c>
      <c r="EI137" s="10" t="str">
        <f t="shared" si="342"/>
        <v xml:space="preserve"> </v>
      </c>
      <c r="EJ137" s="10" t="str">
        <f t="shared" si="342"/>
        <v xml:space="preserve"> </v>
      </c>
      <c r="EK137" s="10" t="str">
        <f t="shared" si="342"/>
        <v xml:space="preserve"> </v>
      </c>
      <c r="EL137" s="10" t="str">
        <f t="shared" si="342"/>
        <v xml:space="preserve"> </v>
      </c>
      <c r="EM137" s="10" t="str">
        <f t="shared" si="342"/>
        <v xml:space="preserve"> </v>
      </c>
      <c r="EP137" s="10" t="str">
        <f t="shared" si="343"/>
        <v xml:space="preserve"> </v>
      </c>
      <c r="EQ137" s="10" t="str">
        <f t="shared" si="343"/>
        <v xml:space="preserve"> </v>
      </c>
      <c r="ER137" s="10" t="str">
        <f t="shared" si="343"/>
        <v xml:space="preserve"> </v>
      </c>
      <c r="ES137" s="10" t="str">
        <f t="shared" si="343"/>
        <v xml:space="preserve"> </v>
      </c>
      <c r="ET137" s="10" t="str">
        <f t="shared" si="343"/>
        <v xml:space="preserve"> </v>
      </c>
      <c r="EW137" s="10" t="str">
        <f t="shared" si="344"/>
        <v xml:space="preserve"> </v>
      </c>
      <c r="EX137" s="10" t="str">
        <f t="shared" si="344"/>
        <v xml:space="preserve"> </v>
      </c>
      <c r="EY137" s="10" t="str">
        <f t="shared" si="344"/>
        <v xml:space="preserve"> </v>
      </c>
      <c r="EZ137" s="10" t="str">
        <f t="shared" si="344"/>
        <v xml:space="preserve"> </v>
      </c>
      <c r="FA137" s="10" t="str">
        <f t="shared" si="344"/>
        <v xml:space="preserve"> </v>
      </c>
      <c r="FD137" s="10" t="str">
        <f t="shared" si="345"/>
        <v xml:space="preserve"> </v>
      </c>
      <c r="FE137" s="10" t="str">
        <f t="shared" si="345"/>
        <v xml:space="preserve"> </v>
      </c>
      <c r="FF137" s="10" t="str">
        <f t="shared" si="345"/>
        <v xml:space="preserve"> </v>
      </c>
      <c r="FG137" s="10" t="str">
        <f t="shared" si="345"/>
        <v xml:space="preserve"> </v>
      </c>
      <c r="FH137" s="10" t="str">
        <f t="shared" si="345"/>
        <v xml:space="preserve"> </v>
      </c>
      <c r="FK137" s="10" t="str">
        <f t="shared" si="346"/>
        <v xml:space="preserve"> </v>
      </c>
      <c r="FL137" s="10" t="str">
        <f t="shared" si="346"/>
        <v xml:space="preserve"> </v>
      </c>
      <c r="FM137" s="10" t="str">
        <f t="shared" si="346"/>
        <v xml:space="preserve"> </v>
      </c>
      <c r="FN137" s="10" t="str">
        <f t="shared" si="346"/>
        <v xml:space="preserve"> </v>
      </c>
      <c r="FO137" s="10" t="str">
        <f t="shared" si="346"/>
        <v xml:space="preserve"> </v>
      </c>
      <c r="FR137" s="10" t="str">
        <f t="shared" si="347"/>
        <v xml:space="preserve"> </v>
      </c>
      <c r="FS137" s="10" t="str">
        <f t="shared" si="347"/>
        <v xml:space="preserve"> </v>
      </c>
      <c r="FT137" s="10" t="str">
        <f t="shared" si="347"/>
        <v xml:space="preserve"> </v>
      </c>
      <c r="FU137" s="10" t="str">
        <f t="shared" si="347"/>
        <v xml:space="preserve"> </v>
      </c>
      <c r="FV137" s="10" t="str">
        <f t="shared" si="347"/>
        <v xml:space="preserve"> </v>
      </c>
      <c r="FY137" s="10" t="str">
        <f t="shared" si="348"/>
        <v xml:space="preserve"> </v>
      </c>
      <c r="FZ137" s="10" t="str">
        <f t="shared" si="348"/>
        <v xml:space="preserve"> </v>
      </c>
      <c r="GA137" s="10" t="str">
        <f t="shared" si="348"/>
        <v xml:space="preserve"> </v>
      </c>
      <c r="GB137" s="10" t="str">
        <f t="shared" si="348"/>
        <v xml:space="preserve"> </v>
      </c>
      <c r="GC137" s="10" t="str">
        <f t="shared" si="348"/>
        <v xml:space="preserve"> </v>
      </c>
      <c r="GF137" s="10" t="str">
        <f t="shared" si="349"/>
        <v xml:space="preserve"> </v>
      </c>
      <c r="GG137" s="10" t="str">
        <f t="shared" si="349"/>
        <v xml:space="preserve"> </v>
      </c>
      <c r="GH137" s="10" t="str">
        <f t="shared" si="349"/>
        <v xml:space="preserve"> </v>
      </c>
      <c r="GI137" s="10" t="str">
        <f t="shared" si="349"/>
        <v xml:space="preserve"> </v>
      </c>
      <c r="GJ137" s="10" t="str">
        <f t="shared" si="349"/>
        <v xml:space="preserve"> </v>
      </c>
      <c r="GM137" s="10" t="str">
        <f t="shared" si="350"/>
        <v xml:space="preserve"> </v>
      </c>
      <c r="GN137" s="10" t="str">
        <f t="shared" si="350"/>
        <v xml:space="preserve"> </v>
      </c>
      <c r="GO137" s="10" t="str">
        <f t="shared" si="350"/>
        <v xml:space="preserve"> </v>
      </c>
      <c r="GP137" s="10" t="str">
        <f t="shared" si="350"/>
        <v xml:space="preserve"> </v>
      </c>
      <c r="GQ137" s="10" t="str">
        <f t="shared" si="350"/>
        <v xml:space="preserve"> </v>
      </c>
      <c r="GT137" s="10" t="str">
        <f t="shared" si="351"/>
        <v xml:space="preserve"> </v>
      </c>
      <c r="GU137" s="10" t="str">
        <f t="shared" si="351"/>
        <v xml:space="preserve"> </v>
      </c>
      <c r="GV137" s="10" t="str">
        <f t="shared" si="351"/>
        <v xml:space="preserve"> </v>
      </c>
      <c r="GW137" s="10" t="str">
        <f t="shared" si="351"/>
        <v xml:space="preserve"> </v>
      </c>
      <c r="GX137" s="10" t="str">
        <f t="shared" si="351"/>
        <v xml:space="preserve"> </v>
      </c>
      <c r="HA137" s="10" t="str">
        <f t="shared" si="352"/>
        <v xml:space="preserve"> </v>
      </c>
      <c r="HB137" s="10" t="str">
        <f t="shared" si="352"/>
        <v xml:space="preserve"> </v>
      </c>
      <c r="HC137" s="10" t="str">
        <f t="shared" si="352"/>
        <v xml:space="preserve"> </v>
      </c>
      <c r="HD137" s="10" t="str">
        <f t="shared" si="352"/>
        <v xml:space="preserve"> </v>
      </c>
      <c r="HE137" s="10" t="str">
        <f t="shared" si="352"/>
        <v xml:space="preserve"> </v>
      </c>
      <c r="HH137" s="10" t="str">
        <f t="shared" si="353"/>
        <v xml:space="preserve"> </v>
      </c>
      <c r="HI137" s="10" t="str">
        <f t="shared" si="353"/>
        <v xml:space="preserve"> </v>
      </c>
      <c r="HJ137" s="10" t="str">
        <f t="shared" si="353"/>
        <v xml:space="preserve"> </v>
      </c>
      <c r="HK137" s="10" t="str">
        <f t="shared" si="353"/>
        <v xml:space="preserve"> </v>
      </c>
      <c r="HL137" s="10" t="str">
        <f t="shared" si="353"/>
        <v xml:space="preserve"> </v>
      </c>
      <c r="HO137" s="10" t="str">
        <f t="shared" si="354"/>
        <v xml:space="preserve"> </v>
      </c>
      <c r="HP137" s="10" t="str">
        <f t="shared" si="354"/>
        <v xml:space="preserve"> </v>
      </c>
      <c r="HQ137" s="10" t="str">
        <f t="shared" si="354"/>
        <v xml:space="preserve"> </v>
      </c>
      <c r="HR137" s="10" t="str">
        <f t="shared" si="354"/>
        <v xml:space="preserve"> </v>
      </c>
      <c r="HS137" s="10" t="str">
        <f t="shared" si="354"/>
        <v xml:space="preserve"> </v>
      </c>
      <c r="HV137" s="10" t="str">
        <f t="shared" si="355"/>
        <v xml:space="preserve"> </v>
      </c>
      <c r="HW137" s="10" t="str">
        <f t="shared" si="355"/>
        <v xml:space="preserve"> </v>
      </c>
      <c r="HX137" s="10" t="str">
        <f t="shared" si="355"/>
        <v xml:space="preserve"> </v>
      </c>
      <c r="HY137" s="10" t="str">
        <f t="shared" si="355"/>
        <v xml:space="preserve"> </v>
      </c>
      <c r="HZ137" s="10" t="str">
        <f t="shared" si="355"/>
        <v xml:space="preserve"> </v>
      </c>
      <c r="IC137" s="10" t="str">
        <f t="shared" si="356"/>
        <v xml:space="preserve"> </v>
      </c>
      <c r="ID137" s="10" t="str">
        <f t="shared" si="356"/>
        <v xml:space="preserve"> </v>
      </c>
      <c r="IE137" s="10" t="str">
        <f t="shared" si="356"/>
        <v xml:space="preserve"> </v>
      </c>
      <c r="IF137" s="10" t="str">
        <f t="shared" si="356"/>
        <v xml:space="preserve"> </v>
      </c>
      <c r="IG137" s="10" t="str">
        <f t="shared" si="356"/>
        <v xml:space="preserve"> </v>
      </c>
      <c r="IJ137" s="10" t="str">
        <f t="shared" si="357"/>
        <v xml:space="preserve"> </v>
      </c>
      <c r="IK137" s="10" t="str">
        <f t="shared" si="357"/>
        <v xml:space="preserve"> </v>
      </c>
      <c r="IL137" s="10" t="str">
        <f t="shared" si="357"/>
        <v xml:space="preserve"> </v>
      </c>
      <c r="IM137" s="10" t="str">
        <f t="shared" si="357"/>
        <v xml:space="preserve"> </v>
      </c>
      <c r="IN137" s="10" t="str">
        <f t="shared" si="357"/>
        <v xml:space="preserve"> </v>
      </c>
      <c r="IQ137" s="10" t="str">
        <f t="shared" si="358"/>
        <v xml:space="preserve"> </v>
      </c>
      <c r="IR137" s="10" t="str">
        <f t="shared" si="358"/>
        <v xml:space="preserve"> </v>
      </c>
      <c r="IS137" s="10" t="str">
        <f t="shared" si="358"/>
        <v xml:space="preserve"> </v>
      </c>
      <c r="IT137" s="10" t="str">
        <f t="shared" si="358"/>
        <v xml:space="preserve"> </v>
      </c>
      <c r="IU137" s="10" t="str">
        <f t="shared" si="358"/>
        <v xml:space="preserve"> </v>
      </c>
      <c r="IX137" s="10" t="str">
        <f t="shared" si="359"/>
        <v xml:space="preserve"> </v>
      </c>
      <c r="IY137" s="10" t="str">
        <f t="shared" si="359"/>
        <v xml:space="preserve"> </v>
      </c>
      <c r="IZ137" s="10" t="str">
        <f t="shared" si="359"/>
        <v xml:space="preserve"> </v>
      </c>
      <c r="JA137" s="10" t="str">
        <f t="shared" si="359"/>
        <v xml:space="preserve"> </v>
      </c>
      <c r="JB137" s="10" t="str">
        <f t="shared" si="359"/>
        <v xml:space="preserve"> </v>
      </c>
      <c r="JE137" s="10" t="str">
        <f t="shared" si="360"/>
        <v xml:space="preserve"> </v>
      </c>
      <c r="JF137" s="10" t="str">
        <f t="shared" si="360"/>
        <v xml:space="preserve"> </v>
      </c>
      <c r="JG137" s="10" t="str">
        <f t="shared" si="360"/>
        <v xml:space="preserve"> </v>
      </c>
      <c r="JH137" s="10" t="str">
        <f t="shared" si="360"/>
        <v xml:space="preserve"> </v>
      </c>
      <c r="JI137" s="10" t="str">
        <f t="shared" si="360"/>
        <v xml:space="preserve"> </v>
      </c>
    </row>
    <row r="138" spans="13:269">
      <c r="M138" s="10" t="str">
        <f t="shared" si="361"/>
        <v xml:space="preserve"> </v>
      </c>
      <c r="N138" s="10" t="str">
        <f t="shared" si="361"/>
        <v xml:space="preserve"> </v>
      </c>
      <c r="O138" s="10" t="str">
        <f t="shared" si="361"/>
        <v xml:space="preserve"> </v>
      </c>
      <c r="P138" s="10" t="str">
        <f t="shared" si="361"/>
        <v xml:space="preserve"> </v>
      </c>
      <c r="Q138" s="10" t="str">
        <f t="shared" si="361"/>
        <v xml:space="preserve"> </v>
      </c>
      <c r="R138" s="14"/>
      <c r="S138" s="14"/>
      <c r="T138" s="10" t="str">
        <f t="shared" si="325"/>
        <v xml:space="preserve"> </v>
      </c>
      <c r="U138" s="10" t="str">
        <f t="shared" si="325"/>
        <v xml:space="preserve"> </v>
      </c>
      <c r="V138" s="10" t="str">
        <f t="shared" si="325"/>
        <v xml:space="preserve"> </v>
      </c>
      <c r="W138" s="10" t="str">
        <f t="shared" si="325"/>
        <v xml:space="preserve"> </v>
      </c>
      <c r="X138" s="10" t="str">
        <f t="shared" si="325"/>
        <v xml:space="preserve"> </v>
      </c>
      <c r="Y138" s="14"/>
      <c r="Z138" s="14"/>
      <c r="AA138" s="10" t="str">
        <f t="shared" si="326"/>
        <v xml:space="preserve"> </v>
      </c>
      <c r="AB138" s="10" t="str">
        <f t="shared" si="326"/>
        <v xml:space="preserve"> </v>
      </c>
      <c r="AC138" s="10" t="str">
        <f t="shared" si="326"/>
        <v xml:space="preserve"> </v>
      </c>
      <c r="AD138" s="10" t="str">
        <f t="shared" si="326"/>
        <v xml:space="preserve"> </v>
      </c>
      <c r="AE138" s="10" t="str">
        <f t="shared" si="326"/>
        <v xml:space="preserve"> </v>
      </c>
      <c r="AF138" s="14"/>
      <c r="AG138" s="14"/>
      <c r="AH138" s="10" t="str">
        <f t="shared" si="327"/>
        <v xml:space="preserve"> </v>
      </c>
      <c r="AI138" s="10" t="str">
        <f t="shared" si="327"/>
        <v xml:space="preserve"> </v>
      </c>
      <c r="AJ138" s="10" t="str">
        <f t="shared" si="327"/>
        <v xml:space="preserve"> </v>
      </c>
      <c r="AK138" s="10" t="str">
        <f t="shared" si="327"/>
        <v xml:space="preserve"> </v>
      </c>
      <c r="AL138" s="10" t="str">
        <f t="shared" si="327"/>
        <v xml:space="preserve"> </v>
      </c>
      <c r="AM138" s="14"/>
      <c r="AN138" s="14"/>
      <c r="AO138" s="10" t="str">
        <f t="shared" si="328"/>
        <v xml:space="preserve"> </v>
      </c>
      <c r="AP138" s="10" t="str">
        <f t="shared" si="328"/>
        <v xml:space="preserve"> </v>
      </c>
      <c r="AQ138" s="10" t="str">
        <f t="shared" si="328"/>
        <v xml:space="preserve"> </v>
      </c>
      <c r="AR138" s="10" t="str">
        <f t="shared" si="328"/>
        <v xml:space="preserve"> </v>
      </c>
      <c r="AS138" s="10" t="str">
        <f t="shared" si="328"/>
        <v xml:space="preserve"> </v>
      </c>
      <c r="AT138" s="14"/>
      <c r="AU138" s="14"/>
      <c r="AV138" s="10" t="str">
        <f t="shared" si="329"/>
        <v xml:space="preserve"> </v>
      </c>
      <c r="AW138" s="10" t="str">
        <f t="shared" si="329"/>
        <v xml:space="preserve"> </v>
      </c>
      <c r="AX138" s="10" t="str">
        <f t="shared" si="329"/>
        <v xml:space="preserve"> </v>
      </c>
      <c r="AY138" s="10" t="str">
        <f t="shared" si="329"/>
        <v xml:space="preserve"> </v>
      </c>
      <c r="AZ138" s="10" t="str">
        <f t="shared" si="329"/>
        <v xml:space="preserve"> </v>
      </c>
      <c r="BA138" s="14"/>
      <c r="BB138" s="14"/>
      <c r="BC138" s="10" t="str">
        <f t="shared" si="330"/>
        <v xml:space="preserve"> </v>
      </c>
      <c r="BD138" s="10" t="str">
        <f t="shared" si="330"/>
        <v xml:space="preserve"> </v>
      </c>
      <c r="BE138" s="10" t="str">
        <f t="shared" si="330"/>
        <v xml:space="preserve"> </v>
      </c>
      <c r="BF138" s="10" t="str">
        <f t="shared" si="330"/>
        <v xml:space="preserve"> </v>
      </c>
      <c r="BG138" s="10" t="str">
        <f t="shared" si="330"/>
        <v xml:space="preserve"> </v>
      </c>
      <c r="BH138" s="14"/>
      <c r="BI138" s="14"/>
      <c r="BJ138" s="10" t="str">
        <f t="shared" si="331"/>
        <v xml:space="preserve"> </v>
      </c>
      <c r="BK138" s="10" t="str">
        <f t="shared" si="331"/>
        <v xml:space="preserve"> </v>
      </c>
      <c r="BL138" s="10" t="str">
        <f t="shared" si="331"/>
        <v xml:space="preserve"> </v>
      </c>
      <c r="BM138" s="10" t="str">
        <f t="shared" si="331"/>
        <v xml:space="preserve"> </v>
      </c>
      <c r="BN138" s="10" t="str">
        <f t="shared" si="331"/>
        <v xml:space="preserve"> </v>
      </c>
      <c r="BO138" s="14"/>
      <c r="BP138" s="14"/>
      <c r="BQ138" s="10" t="str">
        <f t="shared" si="332"/>
        <v xml:space="preserve"> </v>
      </c>
      <c r="BR138" s="10" t="str">
        <f t="shared" si="332"/>
        <v xml:space="preserve"> </v>
      </c>
      <c r="BS138" s="10" t="str">
        <f t="shared" si="332"/>
        <v xml:space="preserve"> </v>
      </c>
      <c r="BT138" s="10" t="str">
        <f t="shared" si="332"/>
        <v xml:space="preserve"> </v>
      </c>
      <c r="BU138" s="10" t="str">
        <f t="shared" si="332"/>
        <v xml:space="preserve"> </v>
      </c>
      <c r="BV138" s="14"/>
      <c r="BW138" s="14"/>
      <c r="BX138" s="10" t="str">
        <f t="shared" si="333"/>
        <v xml:space="preserve"> </v>
      </c>
      <c r="BY138" s="10" t="str">
        <f t="shared" si="333"/>
        <v xml:space="preserve"> </v>
      </c>
      <c r="BZ138" s="10" t="str">
        <f t="shared" si="333"/>
        <v xml:space="preserve"> </v>
      </c>
      <c r="CA138" s="10" t="str">
        <f t="shared" si="333"/>
        <v xml:space="preserve"> </v>
      </c>
      <c r="CB138" s="10" t="str">
        <f t="shared" si="333"/>
        <v xml:space="preserve"> </v>
      </c>
      <c r="CC138" s="14"/>
      <c r="CD138" s="14"/>
      <c r="CE138" s="10" t="str">
        <f t="shared" si="334"/>
        <v xml:space="preserve"> </v>
      </c>
      <c r="CF138" s="10" t="str">
        <f t="shared" si="334"/>
        <v xml:space="preserve"> </v>
      </c>
      <c r="CG138" s="10" t="str">
        <f t="shared" si="334"/>
        <v xml:space="preserve"> </v>
      </c>
      <c r="CH138" s="10" t="str">
        <f t="shared" si="334"/>
        <v xml:space="preserve"> </v>
      </c>
      <c r="CI138" s="10" t="str">
        <f t="shared" si="334"/>
        <v xml:space="preserve"> </v>
      </c>
      <c r="CJ138" s="14"/>
      <c r="CK138" s="14"/>
      <c r="CL138" s="10" t="str">
        <f t="shared" si="335"/>
        <v xml:space="preserve"> </v>
      </c>
      <c r="CM138" s="10" t="str">
        <f t="shared" si="335"/>
        <v xml:space="preserve"> </v>
      </c>
      <c r="CN138" s="10" t="str">
        <f t="shared" si="335"/>
        <v xml:space="preserve"> </v>
      </c>
      <c r="CO138" s="10" t="str">
        <f t="shared" si="335"/>
        <v xml:space="preserve"> </v>
      </c>
      <c r="CP138" s="10" t="str">
        <f t="shared" si="335"/>
        <v xml:space="preserve"> </v>
      </c>
      <c r="CQ138" s="14"/>
      <c r="CR138" s="14"/>
      <c r="CS138" s="10" t="str">
        <f t="shared" si="336"/>
        <v xml:space="preserve"> </v>
      </c>
      <c r="CT138" s="10" t="str">
        <f t="shared" si="336"/>
        <v xml:space="preserve"> </v>
      </c>
      <c r="CU138" s="10" t="str">
        <f t="shared" si="336"/>
        <v xml:space="preserve"> </v>
      </c>
      <c r="CV138" s="10" t="str">
        <f t="shared" si="336"/>
        <v xml:space="preserve"> </v>
      </c>
      <c r="CW138" s="10" t="str">
        <f t="shared" si="336"/>
        <v xml:space="preserve"> </v>
      </c>
      <c r="CZ138" s="10" t="str">
        <f t="shared" si="337"/>
        <v xml:space="preserve"> </v>
      </c>
      <c r="DA138" s="10" t="str">
        <f t="shared" si="337"/>
        <v xml:space="preserve"> </v>
      </c>
      <c r="DB138" s="10" t="str">
        <f t="shared" si="337"/>
        <v xml:space="preserve"> </v>
      </c>
      <c r="DC138" s="10" t="str">
        <f t="shared" si="337"/>
        <v xml:space="preserve"> </v>
      </c>
      <c r="DD138" s="10" t="str">
        <f t="shared" si="337"/>
        <v xml:space="preserve"> </v>
      </c>
      <c r="DG138" s="10" t="str">
        <f t="shared" si="338"/>
        <v xml:space="preserve"> </v>
      </c>
      <c r="DH138" s="10" t="str">
        <f t="shared" si="338"/>
        <v xml:space="preserve"> </v>
      </c>
      <c r="DI138" s="10" t="str">
        <f t="shared" si="338"/>
        <v xml:space="preserve"> </v>
      </c>
      <c r="DJ138" s="10" t="str">
        <f t="shared" si="338"/>
        <v xml:space="preserve"> </v>
      </c>
      <c r="DK138" s="10" t="str">
        <f t="shared" si="338"/>
        <v xml:space="preserve"> </v>
      </c>
      <c r="DN138" s="10" t="str">
        <f t="shared" si="339"/>
        <v xml:space="preserve"> </v>
      </c>
      <c r="DO138" s="10" t="str">
        <f t="shared" si="339"/>
        <v xml:space="preserve"> </v>
      </c>
      <c r="DP138" s="10" t="str">
        <f t="shared" si="339"/>
        <v xml:space="preserve"> </v>
      </c>
      <c r="DQ138" s="10" t="str">
        <f t="shared" si="339"/>
        <v xml:space="preserve"> </v>
      </c>
      <c r="DR138" s="10" t="str">
        <f t="shared" si="339"/>
        <v xml:space="preserve"> </v>
      </c>
      <c r="DU138" s="10" t="str">
        <f t="shared" si="340"/>
        <v xml:space="preserve"> </v>
      </c>
      <c r="DV138" s="10" t="str">
        <f t="shared" si="340"/>
        <v xml:space="preserve"> </v>
      </c>
      <c r="DW138" s="10" t="str">
        <f t="shared" si="340"/>
        <v xml:space="preserve"> </v>
      </c>
      <c r="DX138" s="10" t="str">
        <f t="shared" si="340"/>
        <v xml:space="preserve"> </v>
      </c>
      <c r="DY138" s="10" t="str">
        <f t="shared" si="340"/>
        <v xml:space="preserve"> </v>
      </c>
      <c r="EB138" s="10" t="str">
        <f t="shared" si="341"/>
        <v xml:space="preserve"> </v>
      </c>
      <c r="EC138" s="10" t="str">
        <f t="shared" si="341"/>
        <v xml:space="preserve"> </v>
      </c>
      <c r="ED138" s="10" t="str">
        <f t="shared" si="341"/>
        <v xml:space="preserve"> </v>
      </c>
      <c r="EE138" s="10" t="str">
        <f t="shared" si="341"/>
        <v xml:space="preserve"> </v>
      </c>
      <c r="EF138" s="10" t="str">
        <f t="shared" si="341"/>
        <v xml:space="preserve"> </v>
      </c>
      <c r="EI138" s="10" t="str">
        <f t="shared" si="342"/>
        <v xml:space="preserve"> </v>
      </c>
      <c r="EJ138" s="10" t="str">
        <f t="shared" si="342"/>
        <v xml:space="preserve"> </v>
      </c>
      <c r="EK138" s="10" t="str">
        <f t="shared" si="342"/>
        <v xml:space="preserve"> </v>
      </c>
      <c r="EL138" s="10" t="str">
        <f t="shared" si="342"/>
        <v xml:space="preserve"> </v>
      </c>
      <c r="EM138" s="10" t="str">
        <f t="shared" si="342"/>
        <v xml:space="preserve"> </v>
      </c>
      <c r="EP138" s="10" t="str">
        <f t="shared" si="343"/>
        <v xml:space="preserve"> </v>
      </c>
      <c r="EQ138" s="10" t="str">
        <f t="shared" si="343"/>
        <v xml:space="preserve"> </v>
      </c>
      <c r="ER138" s="10" t="str">
        <f t="shared" si="343"/>
        <v xml:space="preserve"> </v>
      </c>
      <c r="ES138" s="10" t="str">
        <f t="shared" si="343"/>
        <v xml:space="preserve"> </v>
      </c>
      <c r="ET138" s="10" t="str">
        <f t="shared" si="343"/>
        <v xml:space="preserve"> </v>
      </c>
      <c r="EW138" s="10" t="str">
        <f t="shared" si="344"/>
        <v xml:space="preserve"> </v>
      </c>
      <c r="EX138" s="10" t="str">
        <f t="shared" si="344"/>
        <v xml:space="preserve"> </v>
      </c>
      <c r="EY138" s="10" t="str">
        <f t="shared" si="344"/>
        <v xml:space="preserve"> </v>
      </c>
      <c r="EZ138" s="10" t="str">
        <f t="shared" si="344"/>
        <v xml:space="preserve"> </v>
      </c>
      <c r="FA138" s="10" t="str">
        <f t="shared" si="344"/>
        <v xml:space="preserve"> </v>
      </c>
      <c r="FD138" s="10" t="str">
        <f t="shared" si="345"/>
        <v xml:space="preserve"> </v>
      </c>
      <c r="FE138" s="10" t="str">
        <f t="shared" si="345"/>
        <v xml:space="preserve"> </v>
      </c>
      <c r="FF138" s="10" t="str">
        <f t="shared" si="345"/>
        <v xml:space="preserve"> </v>
      </c>
      <c r="FG138" s="10" t="str">
        <f t="shared" si="345"/>
        <v xml:space="preserve"> </v>
      </c>
      <c r="FH138" s="10" t="str">
        <f t="shared" si="345"/>
        <v xml:space="preserve"> </v>
      </c>
      <c r="FK138" s="10" t="str">
        <f t="shared" si="346"/>
        <v xml:space="preserve"> </v>
      </c>
      <c r="FL138" s="10" t="str">
        <f t="shared" si="346"/>
        <v xml:space="preserve"> </v>
      </c>
      <c r="FM138" s="10" t="str">
        <f t="shared" si="346"/>
        <v xml:space="preserve"> </v>
      </c>
      <c r="FN138" s="10" t="str">
        <f t="shared" si="346"/>
        <v xml:space="preserve"> </v>
      </c>
      <c r="FO138" s="10" t="str">
        <f t="shared" si="346"/>
        <v xml:space="preserve"> </v>
      </c>
      <c r="FR138" s="10" t="str">
        <f t="shared" si="347"/>
        <v xml:space="preserve"> </v>
      </c>
      <c r="FS138" s="10" t="str">
        <f t="shared" si="347"/>
        <v xml:space="preserve"> </v>
      </c>
      <c r="FT138" s="10" t="str">
        <f t="shared" si="347"/>
        <v xml:space="preserve"> </v>
      </c>
      <c r="FU138" s="10" t="str">
        <f t="shared" si="347"/>
        <v xml:space="preserve"> </v>
      </c>
      <c r="FV138" s="10" t="str">
        <f t="shared" si="347"/>
        <v xml:space="preserve"> </v>
      </c>
      <c r="FY138" s="10" t="str">
        <f t="shared" si="348"/>
        <v xml:space="preserve"> </v>
      </c>
      <c r="FZ138" s="10" t="str">
        <f t="shared" si="348"/>
        <v xml:space="preserve"> </v>
      </c>
      <c r="GA138" s="10" t="str">
        <f t="shared" si="348"/>
        <v xml:space="preserve"> </v>
      </c>
      <c r="GB138" s="10" t="str">
        <f t="shared" si="348"/>
        <v xml:space="preserve"> </v>
      </c>
      <c r="GC138" s="10" t="str">
        <f t="shared" si="348"/>
        <v xml:space="preserve"> </v>
      </c>
      <c r="GF138" s="10" t="str">
        <f t="shared" si="349"/>
        <v xml:space="preserve"> </v>
      </c>
      <c r="GG138" s="10" t="str">
        <f t="shared" si="349"/>
        <v xml:space="preserve"> </v>
      </c>
      <c r="GH138" s="10" t="str">
        <f t="shared" si="349"/>
        <v xml:space="preserve"> </v>
      </c>
      <c r="GI138" s="10" t="str">
        <f t="shared" si="349"/>
        <v xml:space="preserve"> </v>
      </c>
      <c r="GJ138" s="10" t="str">
        <f t="shared" si="349"/>
        <v xml:space="preserve"> </v>
      </c>
      <c r="GM138" s="10" t="str">
        <f t="shared" si="350"/>
        <v xml:space="preserve"> </v>
      </c>
      <c r="GN138" s="10" t="str">
        <f t="shared" si="350"/>
        <v xml:space="preserve"> </v>
      </c>
      <c r="GO138" s="10" t="str">
        <f t="shared" si="350"/>
        <v xml:space="preserve"> </v>
      </c>
      <c r="GP138" s="10" t="str">
        <f t="shared" si="350"/>
        <v xml:space="preserve"> </v>
      </c>
      <c r="GQ138" s="10" t="str">
        <f t="shared" si="350"/>
        <v xml:space="preserve"> </v>
      </c>
      <c r="GT138" s="10" t="str">
        <f t="shared" si="351"/>
        <v xml:space="preserve"> </v>
      </c>
      <c r="GU138" s="10" t="str">
        <f t="shared" si="351"/>
        <v xml:space="preserve"> </v>
      </c>
      <c r="GV138" s="10" t="str">
        <f t="shared" si="351"/>
        <v xml:space="preserve"> </v>
      </c>
      <c r="GW138" s="10" t="str">
        <f t="shared" si="351"/>
        <v xml:space="preserve"> </v>
      </c>
      <c r="GX138" s="10" t="str">
        <f t="shared" si="351"/>
        <v xml:space="preserve"> </v>
      </c>
      <c r="HA138" s="10" t="str">
        <f t="shared" si="352"/>
        <v xml:space="preserve"> </v>
      </c>
      <c r="HB138" s="10" t="str">
        <f t="shared" si="352"/>
        <v xml:space="preserve"> </v>
      </c>
      <c r="HC138" s="10" t="str">
        <f t="shared" si="352"/>
        <v xml:space="preserve"> </v>
      </c>
      <c r="HD138" s="10" t="str">
        <f t="shared" si="352"/>
        <v xml:space="preserve"> </v>
      </c>
      <c r="HE138" s="10" t="str">
        <f t="shared" si="352"/>
        <v xml:space="preserve"> </v>
      </c>
      <c r="HH138" s="10" t="str">
        <f t="shared" si="353"/>
        <v xml:space="preserve"> </v>
      </c>
      <c r="HI138" s="10" t="str">
        <f t="shared" si="353"/>
        <v xml:space="preserve"> </v>
      </c>
      <c r="HJ138" s="10" t="str">
        <f t="shared" si="353"/>
        <v xml:space="preserve"> </v>
      </c>
      <c r="HK138" s="10" t="str">
        <f t="shared" si="353"/>
        <v xml:space="preserve"> </v>
      </c>
      <c r="HL138" s="10" t="str">
        <f t="shared" si="353"/>
        <v xml:space="preserve"> </v>
      </c>
      <c r="HO138" s="10" t="str">
        <f t="shared" si="354"/>
        <v xml:space="preserve"> </v>
      </c>
      <c r="HP138" s="10" t="str">
        <f t="shared" si="354"/>
        <v xml:space="preserve"> </v>
      </c>
      <c r="HQ138" s="10" t="str">
        <f t="shared" si="354"/>
        <v xml:space="preserve"> </v>
      </c>
      <c r="HR138" s="10" t="str">
        <f t="shared" si="354"/>
        <v xml:space="preserve"> </v>
      </c>
      <c r="HS138" s="10" t="str">
        <f t="shared" si="354"/>
        <v xml:space="preserve"> </v>
      </c>
      <c r="HV138" s="10" t="str">
        <f t="shared" si="355"/>
        <v xml:space="preserve"> </v>
      </c>
      <c r="HW138" s="10" t="str">
        <f t="shared" si="355"/>
        <v xml:space="preserve"> </v>
      </c>
      <c r="HX138" s="10" t="str">
        <f t="shared" si="355"/>
        <v xml:space="preserve"> </v>
      </c>
      <c r="HY138" s="10" t="str">
        <f t="shared" si="355"/>
        <v xml:space="preserve"> </v>
      </c>
      <c r="HZ138" s="10" t="str">
        <f t="shared" si="355"/>
        <v xml:space="preserve"> </v>
      </c>
      <c r="IC138" s="10" t="str">
        <f t="shared" si="356"/>
        <v xml:space="preserve"> </v>
      </c>
      <c r="ID138" s="10" t="str">
        <f t="shared" si="356"/>
        <v xml:space="preserve"> </v>
      </c>
      <c r="IE138" s="10" t="str">
        <f t="shared" si="356"/>
        <v xml:space="preserve"> </v>
      </c>
      <c r="IF138" s="10" t="str">
        <f t="shared" si="356"/>
        <v xml:space="preserve"> </v>
      </c>
      <c r="IG138" s="10" t="str">
        <f t="shared" si="356"/>
        <v xml:space="preserve"> </v>
      </c>
      <c r="IJ138" s="10" t="str">
        <f t="shared" si="357"/>
        <v xml:space="preserve"> </v>
      </c>
      <c r="IK138" s="10" t="str">
        <f t="shared" si="357"/>
        <v xml:space="preserve"> </v>
      </c>
      <c r="IL138" s="10" t="str">
        <f t="shared" si="357"/>
        <v xml:space="preserve"> </v>
      </c>
      <c r="IM138" s="10" t="str">
        <f t="shared" si="357"/>
        <v xml:space="preserve"> </v>
      </c>
      <c r="IN138" s="10" t="str">
        <f t="shared" si="357"/>
        <v xml:space="preserve"> </v>
      </c>
      <c r="IQ138" s="10" t="str">
        <f t="shared" si="358"/>
        <v xml:space="preserve"> </v>
      </c>
      <c r="IR138" s="10" t="str">
        <f t="shared" si="358"/>
        <v xml:space="preserve"> </v>
      </c>
      <c r="IS138" s="10" t="str">
        <f t="shared" si="358"/>
        <v xml:space="preserve"> </v>
      </c>
      <c r="IT138" s="10" t="str">
        <f t="shared" si="358"/>
        <v xml:space="preserve"> </v>
      </c>
      <c r="IU138" s="10" t="str">
        <f t="shared" si="358"/>
        <v xml:space="preserve"> </v>
      </c>
      <c r="IX138" s="10" t="str">
        <f t="shared" si="359"/>
        <v xml:space="preserve"> </v>
      </c>
      <c r="IY138" s="10" t="str">
        <f t="shared" si="359"/>
        <v xml:space="preserve"> </v>
      </c>
      <c r="IZ138" s="10" t="str">
        <f t="shared" si="359"/>
        <v xml:space="preserve"> </v>
      </c>
      <c r="JA138" s="10" t="str">
        <f t="shared" si="359"/>
        <v xml:space="preserve"> </v>
      </c>
      <c r="JB138" s="10" t="str">
        <f t="shared" si="359"/>
        <v xml:space="preserve"> </v>
      </c>
      <c r="JE138" s="10" t="str">
        <f t="shared" si="360"/>
        <v xml:space="preserve"> </v>
      </c>
      <c r="JF138" s="10" t="str">
        <f t="shared" si="360"/>
        <v xml:space="preserve"> </v>
      </c>
      <c r="JG138" s="10" t="str">
        <f t="shared" si="360"/>
        <v xml:space="preserve"> </v>
      </c>
      <c r="JH138" s="10" t="str">
        <f t="shared" si="360"/>
        <v xml:space="preserve"> </v>
      </c>
      <c r="JI138" s="10" t="str">
        <f t="shared" si="360"/>
        <v xml:space="preserve"> </v>
      </c>
    </row>
    <row r="139" spans="13:269">
      <c r="M139" s="10" t="str">
        <f t="shared" si="361"/>
        <v xml:space="preserve"> </v>
      </c>
      <c r="N139" s="10" t="str">
        <f t="shared" si="361"/>
        <v xml:space="preserve"> </v>
      </c>
      <c r="O139" s="10" t="str">
        <f t="shared" si="361"/>
        <v xml:space="preserve"> </v>
      </c>
      <c r="P139" s="10" t="str">
        <f t="shared" si="361"/>
        <v xml:space="preserve"> </v>
      </c>
      <c r="Q139" s="10" t="str">
        <f t="shared" si="361"/>
        <v xml:space="preserve"> </v>
      </c>
      <c r="R139" s="14"/>
      <c r="S139" s="14"/>
      <c r="T139" s="10" t="str">
        <f t="shared" si="325"/>
        <v xml:space="preserve"> </v>
      </c>
      <c r="U139" s="10" t="str">
        <f t="shared" si="325"/>
        <v xml:space="preserve"> </v>
      </c>
      <c r="V139" s="10" t="str">
        <f t="shared" si="325"/>
        <v xml:space="preserve"> </v>
      </c>
      <c r="W139" s="10" t="str">
        <f t="shared" si="325"/>
        <v xml:space="preserve"> </v>
      </c>
      <c r="X139" s="10" t="str">
        <f t="shared" si="325"/>
        <v xml:space="preserve"> </v>
      </c>
      <c r="Y139" s="14"/>
      <c r="Z139" s="14"/>
      <c r="AA139" s="10" t="str">
        <f t="shared" si="326"/>
        <v xml:space="preserve"> </v>
      </c>
      <c r="AB139" s="10" t="str">
        <f t="shared" si="326"/>
        <v xml:space="preserve"> </v>
      </c>
      <c r="AC139" s="10" t="str">
        <f t="shared" si="326"/>
        <v xml:space="preserve"> </v>
      </c>
      <c r="AD139" s="10" t="str">
        <f t="shared" si="326"/>
        <v xml:space="preserve"> </v>
      </c>
      <c r="AE139" s="10" t="str">
        <f t="shared" si="326"/>
        <v xml:space="preserve"> </v>
      </c>
      <c r="AF139" s="14"/>
      <c r="AG139" s="14"/>
      <c r="AH139" s="10" t="str">
        <f t="shared" si="327"/>
        <v xml:space="preserve"> </v>
      </c>
      <c r="AI139" s="10" t="str">
        <f t="shared" si="327"/>
        <v xml:space="preserve"> </v>
      </c>
      <c r="AJ139" s="10" t="str">
        <f t="shared" si="327"/>
        <v xml:space="preserve"> </v>
      </c>
      <c r="AK139" s="10" t="str">
        <f t="shared" si="327"/>
        <v xml:space="preserve"> </v>
      </c>
      <c r="AL139" s="10" t="str">
        <f t="shared" si="327"/>
        <v xml:space="preserve"> </v>
      </c>
      <c r="AM139" s="14"/>
      <c r="AN139" s="14"/>
      <c r="AO139" s="10" t="str">
        <f t="shared" si="328"/>
        <v xml:space="preserve"> </v>
      </c>
      <c r="AP139" s="10" t="str">
        <f t="shared" si="328"/>
        <v xml:space="preserve"> </v>
      </c>
      <c r="AQ139" s="10" t="str">
        <f t="shared" si="328"/>
        <v xml:space="preserve"> </v>
      </c>
      <c r="AR139" s="10" t="str">
        <f t="shared" si="328"/>
        <v xml:space="preserve"> </v>
      </c>
      <c r="AS139" s="10" t="str">
        <f t="shared" si="328"/>
        <v xml:space="preserve"> </v>
      </c>
      <c r="AT139" s="14"/>
      <c r="AU139" s="14"/>
      <c r="AV139" s="10" t="str">
        <f t="shared" si="329"/>
        <v xml:space="preserve"> </v>
      </c>
      <c r="AW139" s="10" t="str">
        <f t="shared" si="329"/>
        <v xml:space="preserve"> </v>
      </c>
      <c r="AX139" s="10" t="str">
        <f t="shared" si="329"/>
        <v xml:space="preserve"> </v>
      </c>
      <c r="AY139" s="10" t="str">
        <f t="shared" si="329"/>
        <v xml:space="preserve"> </v>
      </c>
      <c r="AZ139" s="10" t="str">
        <f t="shared" si="329"/>
        <v xml:space="preserve"> </v>
      </c>
      <c r="BA139" s="14"/>
      <c r="BB139" s="14"/>
      <c r="BC139" s="10" t="str">
        <f t="shared" si="330"/>
        <v xml:space="preserve"> </v>
      </c>
      <c r="BD139" s="10" t="str">
        <f t="shared" si="330"/>
        <v xml:space="preserve"> </v>
      </c>
      <c r="BE139" s="10" t="str">
        <f t="shared" si="330"/>
        <v xml:space="preserve"> </v>
      </c>
      <c r="BF139" s="10" t="str">
        <f t="shared" si="330"/>
        <v xml:space="preserve"> </v>
      </c>
      <c r="BG139" s="10" t="str">
        <f t="shared" si="330"/>
        <v xml:space="preserve"> </v>
      </c>
      <c r="BH139" s="14"/>
      <c r="BI139" s="14"/>
      <c r="BJ139" s="10" t="str">
        <f t="shared" si="331"/>
        <v xml:space="preserve"> </v>
      </c>
      <c r="BK139" s="10" t="str">
        <f t="shared" si="331"/>
        <v xml:space="preserve"> </v>
      </c>
      <c r="BL139" s="10" t="str">
        <f t="shared" si="331"/>
        <v xml:space="preserve"> </v>
      </c>
      <c r="BM139" s="10" t="str">
        <f t="shared" si="331"/>
        <v xml:space="preserve"> </v>
      </c>
      <c r="BN139" s="10" t="str">
        <f t="shared" si="331"/>
        <v xml:space="preserve"> </v>
      </c>
      <c r="BO139" s="14"/>
      <c r="BP139" s="14"/>
      <c r="BQ139" s="10" t="str">
        <f t="shared" si="332"/>
        <v xml:space="preserve"> </v>
      </c>
      <c r="BR139" s="10" t="str">
        <f t="shared" si="332"/>
        <v xml:space="preserve"> </v>
      </c>
      <c r="BS139" s="10" t="str">
        <f t="shared" si="332"/>
        <v xml:space="preserve"> </v>
      </c>
      <c r="BT139" s="10" t="str">
        <f t="shared" si="332"/>
        <v xml:space="preserve"> </v>
      </c>
      <c r="BU139" s="10" t="str">
        <f t="shared" si="332"/>
        <v xml:space="preserve"> </v>
      </c>
      <c r="BV139" s="14"/>
      <c r="BW139" s="14"/>
      <c r="BX139" s="10" t="str">
        <f t="shared" si="333"/>
        <v xml:space="preserve"> </v>
      </c>
      <c r="BY139" s="10" t="str">
        <f t="shared" si="333"/>
        <v xml:space="preserve"> </v>
      </c>
      <c r="BZ139" s="10" t="str">
        <f t="shared" si="333"/>
        <v xml:space="preserve"> </v>
      </c>
      <c r="CA139" s="10" t="str">
        <f t="shared" si="333"/>
        <v xml:space="preserve"> </v>
      </c>
      <c r="CB139" s="10" t="str">
        <f t="shared" si="333"/>
        <v xml:space="preserve"> </v>
      </c>
      <c r="CC139" s="14"/>
      <c r="CD139" s="14"/>
      <c r="CE139" s="10" t="str">
        <f t="shared" si="334"/>
        <v xml:space="preserve"> </v>
      </c>
      <c r="CF139" s="10" t="str">
        <f t="shared" si="334"/>
        <v xml:space="preserve"> </v>
      </c>
      <c r="CG139" s="10" t="str">
        <f t="shared" si="334"/>
        <v xml:space="preserve"> </v>
      </c>
      <c r="CH139" s="10" t="str">
        <f t="shared" si="334"/>
        <v xml:space="preserve"> </v>
      </c>
      <c r="CI139" s="10" t="str">
        <f t="shared" si="334"/>
        <v xml:space="preserve"> </v>
      </c>
      <c r="CJ139" s="14"/>
      <c r="CK139" s="14"/>
      <c r="CL139" s="10" t="str">
        <f t="shared" si="335"/>
        <v xml:space="preserve"> </v>
      </c>
      <c r="CM139" s="10" t="str">
        <f t="shared" si="335"/>
        <v xml:space="preserve"> </v>
      </c>
      <c r="CN139" s="10" t="str">
        <f t="shared" si="335"/>
        <v xml:space="preserve"> </v>
      </c>
      <c r="CO139" s="10" t="str">
        <f t="shared" si="335"/>
        <v xml:space="preserve"> </v>
      </c>
      <c r="CP139" s="10" t="str">
        <f t="shared" si="335"/>
        <v xml:space="preserve"> </v>
      </c>
      <c r="CQ139" s="14"/>
      <c r="CR139" s="14"/>
      <c r="CS139" s="10" t="str">
        <f t="shared" si="336"/>
        <v xml:space="preserve"> </v>
      </c>
      <c r="CT139" s="10" t="str">
        <f t="shared" si="336"/>
        <v xml:space="preserve"> </v>
      </c>
      <c r="CU139" s="10" t="str">
        <f t="shared" si="336"/>
        <v xml:space="preserve"> </v>
      </c>
      <c r="CV139" s="10" t="str">
        <f t="shared" si="336"/>
        <v xml:space="preserve"> </v>
      </c>
      <c r="CW139" s="10" t="str">
        <f t="shared" si="336"/>
        <v xml:space="preserve"> </v>
      </c>
      <c r="CZ139" s="10" t="str">
        <f t="shared" si="337"/>
        <v xml:space="preserve"> </v>
      </c>
      <c r="DA139" s="10" t="str">
        <f t="shared" si="337"/>
        <v xml:space="preserve"> </v>
      </c>
      <c r="DB139" s="10" t="str">
        <f t="shared" si="337"/>
        <v xml:space="preserve"> </v>
      </c>
      <c r="DC139" s="10" t="str">
        <f t="shared" si="337"/>
        <v xml:space="preserve"> </v>
      </c>
      <c r="DD139" s="10" t="str">
        <f t="shared" si="337"/>
        <v xml:space="preserve"> </v>
      </c>
      <c r="DG139" s="10" t="str">
        <f t="shared" si="338"/>
        <v xml:space="preserve"> </v>
      </c>
      <c r="DH139" s="10" t="str">
        <f t="shared" si="338"/>
        <v xml:space="preserve"> </v>
      </c>
      <c r="DI139" s="10" t="str">
        <f t="shared" si="338"/>
        <v xml:space="preserve"> </v>
      </c>
      <c r="DJ139" s="10" t="str">
        <f t="shared" si="338"/>
        <v xml:space="preserve"> </v>
      </c>
      <c r="DK139" s="10" t="str">
        <f t="shared" si="338"/>
        <v xml:space="preserve"> </v>
      </c>
      <c r="DN139" s="10" t="str">
        <f t="shared" si="339"/>
        <v xml:space="preserve"> </v>
      </c>
      <c r="DO139" s="10" t="str">
        <f t="shared" si="339"/>
        <v xml:space="preserve"> </v>
      </c>
      <c r="DP139" s="10" t="str">
        <f t="shared" si="339"/>
        <v xml:space="preserve"> </v>
      </c>
      <c r="DQ139" s="10" t="str">
        <f t="shared" si="339"/>
        <v xml:space="preserve"> </v>
      </c>
      <c r="DR139" s="10" t="str">
        <f t="shared" si="339"/>
        <v xml:space="preserve"> </v>
      </c>
      <c r="DU139" s="10" t="str">
        <f t="shared" si="340"/>
        <v xml:space="preserve"> </v>
      </c>
      <c r="DV139" s="10" t="str">
        <f t="shared" si="340"/>
        <v xml:space="preserve"> </v>
      </c>
      <c r="DW139" s="10" t="str">
        <f t="shared" si="340"/>
        <v xml:space="preserve"> </v>
      </c>
      <c r="DX139" s="10" t="str">
        <f t="shared" si="340"/>
        <v xml:space="preserve"> </v>
      </c>
      <c r="DY139" s="10" t="str">
        <f t="shared" si="340"/>
        <v xml:space="preserve"> </v>
      </c>
      <c r="EB139" s="10" t="str">
        <f t="shared" si="341"/>
        <v xml:space="preserve"> </v>
      </c>
      <c r="EC139" s="10" t="str">
        <f t="shared" si="341"/>
        <v xml:space="preserve"> </v>
      </c>
      <c r="ED139" s="10" t="str">
        <f t="shared" si="341"/>
        <v xml:space="preserve"> </v>
      </c>
      <c r="EE139" s="10" t="str">
        <f t="shared" si="341"/>
        <v xml:space="preserve"> </v>
      </c>
      <c r="EF139" s="10" t="str">
        <f t="shared" si="341"/>
        <v xml:space="preserve"> </v>
      </c>
      <c r="EI139" s="10" t="str">
        <f t="shared" si="342"/>
        <v xml:space="preserve"> </v>
      </c>
      <c r="EJ139" s="10" t="str">
        <f t="shared" si="342"/>
        <v xml:space="preserve"> </v>
      </c>
      <c r="EK139" s="10" t="str">
        <f t="shared" si="342"/>
        <v xml:space="preserve"> </v>
      </c>
      <c r="EL139" s="10" t="str">
        <f t="shared" si="342"/>
        <v xml:space="preserve"> </v>
      </c>
      <c r="EM139" s="10" t="str">
        <f t="shared" si="342"/>
        <v xml:space="preserve"> </v>
      </c>
      <c r="EP139" s="10" t="str">
        <f t="shared" si="343"/>
        <v xml:space="preserve"> </v>
      </c>
      <c r="EQ139" s="10" t="str">
        <f t="shared" si="343"/>
        <v xml:space="preserve"> </v>
      </c>
      <c r="ER139" s="10" t="str">
        <f t="shared" si="343"/>
        <v xml:space="preserve"> </v>
      </c>
      <c r="ES139" s="10" t="str">
        <f t="shared" si="343"/>
        <v xml:space="preserve"> </v>
      </c>
      <c r="ET139" s="10" t="str">
        <f t="shared" si="343"/>
        <v xml:space="preserve"> </v>
      </c>
      <c r="EW139" s="10" t="str">
        <f t="shared" si="344"/>
        <v xml:space="preserve"> </v>
      </c>
      <c r="EX139" s="10" t="str">
        <f t="shared" si="344"/>
        <v xml:space="preserve"> </v>
      </c>
      <c r="EY139" s="10" t="str">
        <f t="shared" si="344"/>
        <v xml:space="preserve"> </v>
      </c>
      <c r="EZ139" s="10" t="str">
        <f t="shared" si="344"/>
        <v xml:space="preserve"> </v>
      </c>
      <c r="FA139" s="10" t="str">
        <f t="shared" si="344"/>
        <v xml:space="preserve"> </v>
      </c>
      <c r="FD139" s="10" t="str">
        <f t="shared" si="345"/>
        <v xml:space="preserve"> </v>
      </c>
      <c r="FE139" s="10" t="str">
        <f t="shared" si="345"/>
        <v xml:space="preserve"> </v>
      </c>
      <c r="FF139" s="10" t="str">
        <f t="shared" si="345"/>
        <v xml:space="preserve"> </v>
      </c>
      <c r="FG139" s="10" t="str">
        <f t="shared" si="345"/>
        <v xml:space="preserve"> </v>
      </c>
      <c r="FH139" s="10" t="str">
        <f t="shared" si="345"/>
        <v xml:space="preserve"> </v>
      </c>
      <c r="FK139" s="10" t="str">
        <f t="shared" si="346"/>
        <v xml:space="preserve"> </v>
      </c>
      <c r="FL139" s="10" t="str">
        <f t="shared" si="346"/>
        <v xml:space="preserve"> </v>
      </c>
      <c r="FM139" s="10" t="str">
        <f t="shared" si="346"/>
        <v xml:space="preserve"> </v>
      </c>
      <c r="FN139" s="10" t="str">
        <f t="shared" si="346"/>
        <v xml:space="preserve"> </v>
      </c>
      <c r="FO139" s="10" t="str">
        <f t="shared" si="346"/>
        <v xml:space="preserve"> </v>
      </c>
      <c r="FR139" s="10" t="str">
        <f t="shared" si="347"/>
        <v xml:space="preserve"> </v>
      </c>
      <c r="FS139" s="10" t="str">
        <f t="shared" si="347"/>
        <v xml:space="preserve"> </v>
      </c>
      <c r="FT139" s="10" t="str">
        <f t="shared" si="347"/>
        <v xml:space="preserve"> </v>
      </c>
      <c r="FU139" s="10" t="str">
        <f t="shared" si="347"/>
        <v xml:space="preserve"> </v>
      </c>
      <c r="FV139" s="10" t="str">
        <f t="shared" si="347"/>
        <v xml:space="preserve"> </v>
      </c>
      <c r="FY139" s="10" t="str">
        <f t="shared" si="348"/>
        <v xml:space="preserve"> </v>
      </c>
      <c r="FZ139" s="10" t="str">
        <f t="shared" si="348"/>
        <v xml:space="preserve"> </v>
      </c>
      <c r="GA139" s="10" t="str">
        <f t="shared" si="348"/>
        <v xml:space="preserve"> </v>
      </c>
      <c r="GB139" s="10" t="str">
        <f t="shared" si="348"/>
        <v xml:space="preserve"> </v>
      </c>
      <c r="GC139" s="10" t="str">
        <f t="shared" si="348"/>
        <v xml:space="preserve"> </v>
      </c>
      <c r="GF139" s="10" t="str">
        <f t="shared" si="349"/>
        <v xml:space="preserve"> </v>
      </c>
      <c r="GG139" s="10" t="str">
        <f t="shared" si="349"/>
        <v xml:space="preserve"> </v>
      </c>
      <c r="GH139" s="10" t="str">
        <f t="shared" si="349"/>
        <v xml:space="preserve"> </v>
      </c>
      <c r="GI139" s="10" t="str">
        <f t="shared" si="349"/>
        <v xml:space="preserve"> </v>
      </c>
      <c r="GJ139" s="10" t="str">
        <f t="shared" si="349"/>
        <v xml:space="preserve"> </v>
      </c>
      <c r="GM139" s="10" t="str">
        <f t="shared" si="350"/>
        <v xml:space="preserve"> </v>
      </c>
      <c r="GN139" s="10" t="str">
        <f t="shared" si="350"/>
        <v xml:space="preserve"> </v>
      </c>
      <c r="GO139" s="10" t="str">
        <f t="shared" si="350"/>
        <v xml:space="preserve"> </v>
      </c>
      <c r="GP139" s="10" t="str">
        <f t="shared" si="350"/>
        <v xml:space="preserve"> </v>
      </c>
      <c r="GQ139" s="10" t="str">
        <f t="shared" si="350"/>
        <v xml:space="preserve"> </v>
      </c>
      <c r="GT139" s="10" t="str">
        <f t="shared" si="351"/>
        <v xml:space="preserve"> </v>
      </c>
      <c r="GU139" s="10" t="str">
        <f t="shared" si="351"/>
        <v xml:space="preserve"> </v>
      </c>
      <c r="GV139" s="10" t="str">
        <f t="shared" si="351"/>
        <v xml:space="preserve"> </v>
      </c>
      <c r="GW139" s="10" t="str">
        <f t="shared" si="351"/>
        <v xml:space="preserve"> </v>
      </c>
      <c r="GX139" s="10" t="str">
        <f t="shared" si="351"/>
        <v xml:space="preserve"> </v>
      </c>
      <c r="HA139" s="10" t="str">
        <f t="shared" si="352"/>
        <v xml:space="preserve"> </v>
      </c>
      <c r="HB139" s="10" t="str">
        <f t="shared" si="352"/>
        <v xml:space="preserve"> </v>
      </c>
      <c r="HC139" s="10" t="str">
        <f t="shared" si="352"/>
        <v xml:space="preserve"> </v>
      </c>
      <c r="HD139" s="10" t="str">
        <f t="shared" si="352"/>
        <v xml:space="preserve"> </v>
      </c>
      <c r="HE139" s="10" t="str">
        <f t="shared" si="352"/>
        <v xml:space="preserve"> </v>
      </c>
      <c r="HH139" s="10" t="str">
        <f t="shared" si="353"/>
        <v xml:space="preserve"> </v>
      </c>
      <c r="HI139" s="10" t="str">
        <f t="shared" si="353"/>
        <v xml:space="preserve"> </v>
      </c>
      <c r="HJ139" s="10" t="str">
        <f t="shared" si="353"/>
        <v xml:space="preserve"> </v>
      </c>
      <c r="HK139" s="10" t="str">
        <f t="shared" si="353"/>
        <v xml:space="preserve"> </v>
      </c>
      <c r="HL139" s="10" t="str">
        <f t="shared" si="353"/>
        <v xml:space="preserve"> </v>
      </c>
      <c r="HO139" s="10" t="str">
        <f t="shared" si="354"/>
        <v xml:space="preserve"> </v>
      </c>
      <c r="HP139" s="10" t="str">
        <f t="shared" si="354"/>
        <v xml:space="preserve"> </v>
      </c>
      <c r="HQ139" s="10" t="str">
        <f t="shared" si="354"/>
        <v xml:space="preserve"> </v>
      </c>
      <c r="HR139" s="10" t="str">
        <f t="shared" si="354"/>
        <v xml:space="preserve"> </v>
      </c>
      <c r="HS139" s="10" t="str">
        <f t="shared" si="354"/>
        <v xml:space="preserve"> </v>
      </c>
      <c r="HV139" s="10" t="str">
        <f t="shared" si="355"/>
        <v xml:space="preserve"> </v>
      </c>
      <c r="HW139" s="10" t="str">
        <f t="shared" si="355"/>
        <v xml:space="preserve"> </v>
      </c>
      <c r="HX139" s="10" t="str">
        <f t="shared" si="355"/>
        <v xml:space="preserve"> </v>
      </c>
      <c r="HY139" s="10" t="str">
        <f t="shared" si="355"/>
        <v xml:space="preserve"> </v>
      </c>
      <c r="HZ139" s="10" t="str">
        <f t="shared" si="355"/>
        <v xml:space="preserve"> </v>
      </c>
      <c r="IC139" s="10" t="str">
        <f t="shared" si="356"/>
        <v xml:space="preserve"> </v>
      </c>
      <c r="ID139" s="10" t="str">
        <f t="shared" si="356"/>
        <v xml:space="preserve"> </v>
      </c>
      <c r="IE139" s="10" t="str">
        <f t="shared" si="356"/>
        <v xml:space="preserve"> </v>
      </c>
      <c r="IF139" s="10" t="str">
        <f t="shared" si="356"/>
        <v xml:space="preserve"> </v>
      </c>
      <c r="IG139" s="10" t="str">
        <f t="shared" si="356"/>
        <v xml:space="preserve"> </v>
      </c>
      <c r="IJ139" s="10" t="str">
        <f t="shared" si="357"/>
        <v xml:space="preserve"> </v>
      </c>
      <c r="IK139" s="10" t="str">
        <f t="shared" si="357"/>
        <v xml:space="preserve"> </v>
      </c>
      <c r="IL139" s="10" t="str">
        <f t="shared" si="357"/>
        <v xml:space="preserve"> </v>
      </c>
      <c r="IM139" s="10" t="str">
        <f t="shared" si="357"/>
        <v xml:space="preserve"> </v>
      </c>
      <c r="IN139" s="10" t="str">
        <f t="shared" si="357"/>
        <v xml:space="preserve"> </v>
      </c>
      <c r="IQ139" s="10" t="str">
        <f t="shared" si="358"/>
        <v xml:space="preserve"> </v>
      </c>
      <c r="IR139" s="10" t="str">
        <f t="shared" si="358"/>
        <v xml:space="preserve"> </v>
      </c>
      <c r="IS139" s="10" t="str">
        <f t="shared" si="358"/>
        <v xml:space="preserve"> </v>
      </c>
      <c r="IT139" s="10" t="str">
        <f t="shared" si="358"/>
        <v xml:space="preserve"> </v>
      </c>
      <c r="IU139" s="10" t="str">
        <f t="shared" si="358"/>
        <v xml:space="preserve"> </v>
      </c>
      <c r="IX139" s="10" t="str">
        <f t="shared" si="359"/>
        <v xml:space="preserve"> </v>
      </c>
      <c r="IY139" s="10" t="str">
        <f t="shared" si="359"/>
        <v xml:space="preserve"> </v>
      </c>
      <c r="IZ139" s="10" t="str">
        <f t="shared" si="359"/>
        <v xml:space="preserve"> </v>
      </c>
      <c r="JA139" s="10" t="str">
        <f t="shared" si="359"/>
        <v xml:space="preserve"> </v>
      </c>
      <c r="JB139" s="10" t="str">
        <f t="shared" si="359"/>
        <v xml:space="preserve"> </v>
      </c>
      <c r="JE139" s="10" t="str">
        <f t="shared" si="360"/>
        <v xml:space="preserve"> </v>
      </c>
      <c r="JF139" s="10" t="str">
        <f t="shared" si="360"/>
        <v xml:space="preserve"> </v>
      </c>
      <c r="JG139" s="10" t="str">
        <f t="shared" si="360"/>
        <v xml:space="preserve"> </v>
      </c>
      <c r="JH139" s="10" t="str">
        <f t="shared" si="360"/>
        <v xml:space="preserve"> </v>
      </c>
      <c r="JI139" s="10" t="str">
        <f t="shared" si="360"/>
        <v xml:space="preserve"> </v>
      </c>
    </row>
    <row r="140" spans="13:269">
      <c r="M140" s="10" t="str">
        <f t="shared" si="361"/>
        <v xml:space="preserve"> </v>
      </c>
      <c r="N140" s="10" t="str">
        <f t="shared" si="361"/>
        <v xml:space="preserve"> </v>
      </c>
      <c r="O140" s="10" t="str">
        <f t="shared" si="361"/>
        <v xml:space="preserve"> </v>
      </c>
      <c r="P140" s="10" t="str">
        <f t="shared" si="361"/>
        <v xml:space="preserve"> </v>
      </c>
      <c r="Q140" s="10" t="str">
        <f t="shared" si="361"/>
        <v xml:space="preserve"> </v>
      </c>
      <c r="R140" s="14"/>
      <c r="S140" s="14"/>
      <c r="T140" s="10" t="str">
        <f t="shared" si="325"/>
        <v xml:space="preserve"> </v>
      </c>
      <c r="U140" s="10" t="str">
        <f t="shared" si="325"/>
        <v xml:space="preserve"> </v>
      </c>
      <c r="V140" s="10" t="str">
        <f t="shared" si="325"/>
        <v xml:space="preserve"> </v>
      </c>
      <c r="W140" s="10" t="str">
        <f t="shared" si="325"/>
        <v xml:space="preserve"> </v>
      </c>
      <c r="X140" s="10" t="str">
        <f t="shared" si="325"/>
        <v xml:space="preserve"> </v>
      </c>
      <c r="Y140" s="14"/>
      <c r="Z140" s="14"/>
      <c r="AA140" s="10" t="str">
        <f t="shared" si="326"/>
        <v xml:space="preserve"> </v>
      </c>
      <c r="AB140" s="10" t="str">
        <f t="shared" si="326"/>
        <v xml:space="preserve"> </v>
      </c>
      <c r="AC140" s="10" t="str">
        <f t="shared" si="326"/>
        <v xml:space="preserve"> </v>
      </c>
      <c r="AD140" s="10" t="str">
        <f t="shared" si="326"/>
        <v xml:space="preserve"> </v>
      </c>
      <c r="AE140" s="10" t="str">
        <f t="shared" si="326"/>
        <v xml:space="preserve"> </v>
      </c>
      <c r="AF140" s="14"/>
      <c r="AG140" s="14"/>
      <c r="AH140" s="10" t="str">
        <f t="shared" si="327"/>
        <v xml:space="preserve"> </v>
      </c>
      <c r="AI140" s="10" t="str">
        <f t="shared" si="327"/>
        <v xml:space="preserve"> </v>
      </c>
      <c r="AJ140" s="10" t="str">
        <f t="shared" si="327"/>
        <v xml:space="preserve"> </v>
      </c>
      <c r="AK140" s="10" t="str">
        <f t="shared" si="327"/>
        <v xml:space="preserve"> </v>
      </c>
      <c r="AL140" s="10" t="str">
        <f t="shared" si="327"/>
        <v xml:space="preserve"> </v>
      </c>
      <c r="AM140" s="14"/>
      <c r="AN140" s="14"/>
      <c r="AO140" s="10" t="str">
        <f t="shared" si="328"/>
        <v xml:space="preserve"> </v>
      </c>
      <c r="AP140" s="10" t="str">
        <f t="shared" si="328"/>
        <v xml:space="preserve"> </v>
      </c>
      <c r="AQ140" s="10" t="str">
        <f t="shared" si="328"/>
        <v xml:space="preserve"> </v>
      </c>
      <c r="AR140" s="10" t="str">
        <f t="shared" si="328"/>
        <v xml:space="preserve"> </v>
      </c>
      <c r="AS140" s="10" t="str">
        <f t="shared" si="328"/>
        <v xml:space="preserve"> </v>
      </c>
      <c r="AT140" s="14"/>
      <c r="AU140" s="14"/>
      <c r="AV140" s="10" t="str">
        <f t="shared" si="329"/>
        <v xml:space="preserve"> </v>
      </c>
      <c r="AW140" s="10" t="str">
        <f t="shared" si="329"/>
        <v xml:space="preserve"> </v>
      </c>
      <c r="AX140" s="10" t="str">
        <f t="shared" si="329"/>
        <v xml:space="preserve"> </v>
      </c>
      <c r="AY140" s="10" t="str">
        <f t="shared" si="329"/>
        <v xml:space="preserve"> </v>
      </c>
      <c r="AZ140" s="10" t="str">
        <f t="shared" si="329"/>
        <v xml:space="preserve"> </v>
      </c>
      <c r="BA140" s="14"/>
      <c r="BB140" s="14"/>
      <c r="BC140" s="10" t="str">
        <f t="shared" si="330"/>
        <v xml:space="preserve"> </v>
      </c>
      <c r="BD140" s="10" t="str">
        <f t="shared" si="330"/>
        <v xml:space="preserve"> </v>
      </c>
      <c r="BE140" s="10" t="str">
        <f t="shared" si="330"/>
        <v xml:space="preserve"> </v>
      </c>
      <c r="BF140" s="10" t="str">
        <f t="shared" si="330"/>
        <v xml:space="preserve"> </v>
      </c>
      <c r="BG140" s="10" t="str">
        <f t="shared" si="330"/>
        <v xml:space="preserve"> </v>
      </c>
      <c r="BH140" s="14"/>
      <c r="BI140" s="14"/>
      <c r="BJ140" s="10" t="str">
        <f t="shared" si="331"/>
        <v xml:space="preserve"> </v>
      </c>
      <c r="BK140" s="10" t="str">
        <f t="shared" si="331"/>
        <v xml:space="preserve"> </v>
      </c>
      <c r="BL140" s="10" t="str">
        <f t="shared" si="331"/>
        <v xml:space="preserve"> </v>
      </c>
      <c r="BM140" s="10" t="str">
        <f t="shared" si="331"/>
        <v xml:space="preserve"> </v>
      </c>
      <c r="BN140" s="10" t="str">
        <f t="shared" si="331"/>
        <v xml:space="preserve"> </v>
      </c>
      <c r="BO140" s="14"/>
      <c r="BP140" s="14"/>
      <c r="BQ140" s="10" t="str">
        <f t="shared" si="332"/>
        <v xml:space="preserve"> </v>
      </c>
      <c r="BR140" s="10" t="str">
        <f t="shared" si="332"/>
        <v xml:space="preserve"> </v>
      </c>
      <c r="BS140" s="10" t="str">
        <f t="shared" si="332"/>
        <v xml:space="preserve"> </v>
      </c>
      <c r="BT140" s="10" t="str">
        <f t="shared" si="332"/>
        <v xml:space="preserve"> </v>
      </c>
      <c r="BU140" s="10" t="str">
        <f t="shared" si="332"/>
        <v xml:space="preserve"> </v>
      </c>
      <c r="BV140" s="14"/>
      <c r="BW140" s="14"/>
      <c r="BX140" s="10" t="str">
        <f t="shared" si="333"/>
        <v xml:space="preserve"> </v>
      </c>
      <c r="BY140" s="10" t="str">
        <f t="shared" si="333"/>
        <v xml:space="preserve"> </v>
      </c>
      <c r="BZ140" s="10" t="str">
        <f t="shared" si="333"/>
        <v xml:space="preserve"> </v>
      </c>
      <c r="CA140" s="10" t="str">
        <f t="shared" si="333"/>
        <v xml:space="preserve"> </v>
      </c>
      <c r="CB140" s="10" t="str">
        <f t="shared" si="333"/>
        <v xml:space="preserve"> </v>
      </c>
      <c r="CC140" s="14"/>
      <c r="CD140" s="14"/>
      <c r="CE140" s="10" t="str">
        <f t="shared" si="334"/>
        <v xml:space="preserve"> </v>
      </c>
      <c r="CF140" s="10" t="str">
        <f t="shared" si="334"/>
        <v xml:space="preserve"> </v>
      </c>
      <c r="CG140" s="10" t="str">
        <f t="shared" si="334"/>
        <v xml:space="preserve"> </v>
      </c>
      <c r="CH140" s="10" t="str">
        <f t="shared" si="334"/>
        <v xml:space="preserve"> </v>
      </c>
      <c r="CI140" s="10" t="str">
        <f t="shared" si="334"/>
        <v xml:space="preserve"> </v>
      </c>
      <c r="CJ140" s="14"/>
      <c r="CK140" s="14"/>
      <c r="CL140" s="10" t="str">
        <f t="shared" si="335"/>
        <v xml:space="preserve"> </v>
      </c>
      <c r="CM140" s="10" t="str">
        <f t="shared" si="335"/>
        <v xml:space="preserve"> </v>
      </c>
      <c r="CN140" s="10" t="str">
        <f t="shared" si="335"/>
        <v xml:space="preserve"> </v>
      </c>
      <c r="CO140" s="10" t="str">
        <f t="shared" si="335"/>
        <v xml:space="preserve"> </v>
      </c>
      <c r="CP140" s="10" t="str">
        <f t="shared" si="335"/>
        <v xml:space="preserve"> </v>
      </c>
      <c r="CQ140" s="14"/>
      <c r="CR140" s="14"/>
      <c r="CS140" s="10" t="str">
        <f t="shared" si="336"/>
        <v xml:space="preserve"> </v>
      </c>
      <c r="CT140" s="10" t="str">
        <f t="shared" si="336"/>
        <v xml:space="preserve"> </v>
      </c>
      <c r="CU140" s="10" t="str">
        <f t="shared" si="336"/>
        <v xml:space="preserve"> </v>
      </c>
      <c r="CV140" s="10" t="str">
        <f t="shared" si="336"/>
        <v xml:space="preserve"> </v>
      </c>
      <c r="CW140" s="10" t="str">
        <f t="shared" si="336"/>
        <v xml:space="preserve"> </v>
      </c>
      <c r="CZ140" s="10" t="str">
        <f t="shared" si="337"/>
        <v xml:space="preserve"> </v>
      </c>
      <c r="DA140" s="10" t="str">
        <f t="shared" si="337"/>
        <v xml:space="preserve"> </v>
      </c>
      <c r="DB140" s="10" t="str">
        <f t="shared" si="337"/>
        <v xml:space="preserve"> </v>
      </c>
      <c r="DC140" s="10" t="str">
        <f t="shared" si="337"/>
        <v xml:space="preserve"> </v>
      </c>
      <c r="DD140" s="10" t="str">
        <f t="shared" si="337"/>
        <v xml:space="preserve"> </v>
      </c>
      <c r="DG140" s="10" t="str">
        <f t="shared" si="338"/>
        <v xml:space="preserve"> </v>
      </c>
      <c r="DH140" s="10" t="str">
        <f t="shared" si="338"/>
        <v xml:space="preserve"> </v>
      </c>
      <c r="DI140" s="10" t="str">
        <f t="shared" si="338"/>
        <v xml:space="preserve"> </v>
      </c>
      <c r="DJ140" s="10" t="str">
        <f t="shared" si="338"/>
        <v xml:space="preserve"> </v>
      </c>
      <c r="DK140" s="10" t="str">
        <f t="shared" si="338"/>
        <v xml:space="preserve"> </v>
      </c>
      <c r="DN140" s="10" t="str">
        <f t="shared" si="339"/>
        <v xml:space="preserve"> </v>
      </c>
      <c r="DO140" s="10" t="str">
        <f t="shared" si="339"/>
        <v xml:space="preserve"> </v>
      </c>
      <c r="DP140" s="10" t="str">
        <f t="shared" si="339"/>
        <v xml:space="preserve"> </v>
      </c>
      <c r="DQ140" s="10" t="str">
        <f t="shared" si="339"/>
        <v xml:space="preserve"> </v>
      </c>
      <c r="DR140" s="10" t="str">
        <f t="shared" si="339"/>
        <v xml:space="preserve"> </v>
      </c>
      <c r="DU140" s="10" t="str">
        <f t="shared" si="340"/>
        <v xml:space="preserve"> </v>
      </c>
      <c r="DV140" s="10" t="str">
        <f t="shared" si="340"/>
        <v xml:space="preserve"> </v>
      </c>
      <c r="DW140" s="10" t="str">
        <f t="shared" si="340"/>
        <v xml:space="preserve"> </v>
      </c>
      <c r="DX140" s="10" t="str">
        <f t="shared" si="340"/>
        <v xml:space="preserve"> </v>
      </c>
      <c r="DY140" s="10" t="str">
        <f t="shared" si="340"/>
        <v xml:space="preserve"> </v>
      </c>
      <c r="EB140" s="10" t="str">
        <f t="shared" si="341"/>
        <v xml:space="preserve"> </v>
      </c>
      <c r="EC140" s="10" t="str">
        <f t="shared" si="341"/>
        <v xml:space="preserve"> </v>
      </c>
      <c r="ED140" s="10" t="str">
        <f t="shared" si="341"/>
        <v xml:space="preserve"> </v>
      </c>
      <c r="EE140" s="10" t="str">
        <f t="shared" si="341"/>
        <v xml:space="preserve"> </v>
      </c>
      <c r="EF140" s="10" t="str">
        <f t="shared" si="341"/>
        <v xml:space="preserve"> </v>
      </c>
      <c r="EI140" s="10" t="str">
        <f t="shared" si="342"/>
        <v xml:space="preserve"> </v>
      </c>
      <c r="EJ140" s="10" t="str">
        <f t="shared" si="342"/>
        <v xml:space="preserve"> </v>
      </c>
      <c r="EK140" s="10" t="str">
        <f t="shared" si="342"/>
        <v xml:space="preserve"> </v>
      </c>
      <c r="EL140" s="10" t="str">
        <f t="shared" si="342"/>
        <v xml:space="preserve"> </v>
      </c>
      <c r="EM140" s="10" t="str">
        <f t="shared" si="342"/>
        <v xml:space="preserve"> </v>
      </c>
      <c r="EP140" s="10" t="str">
        <f t="shared" si="343"/>
        <v xml:space="preserve"> </v>
      </c>
      <c r="EQ140" s="10" t="str">
        <f t="shared" si="343"/>
        <v xml:space="preserve"> </v>
      </c>
      <c r="ER140" s="10" t="str">
        <f t="shared" si="343"/>
        <v xml:space="preserve"> </v>
      </c>
      <c r="ES140" s="10" t="str">
        <f t="shared" si="343"/>
        <v xml:space="preserve"> </v>
      </c>
      <c r="ET140" s="10" t="str">
        <f t="shared" si="343"/>
        <v xml:space="preserve"> </v>
      </c>
      <c r="EW140" s="10" t="str">
        <f t="shared" si="344"/>
        <v xml:space="preserve"> </v>
      </c>
      <c r="EX140" s="10" t="str">
        <f t="shared" si="344"/>
        <v xml:space="preserve"> </v>
      </c>
      <c r="EY140" s="10" t="str">
        <f t="shared" si="344"/>
        <v xml:space="preserve"> </v>
      </c>
      <c r="EZ140" s="10" t="str">
        <f t="shared" si="344"/>
        <v xml:space="preserve"> </v>
      </c>
      <c r="FA140" s="10" t="str">
        <f t="shared" si="344"/>
        <v xml:space="preserve"> </v>
      </c>
      <c r="FD140" s="10" t="str">
        <f t="shared" si="345"/>
        <v xml:space="preserve"> </v>
      </c>
      <c r="FE140" s="10" t="str">
        <f t="shared" si="345"/>
        <v xml:space="preserve"> </v>
      </c>
      <c r="FF140" s="10" t="str">
        <f t="shared" si="345"/>
        <v xml:space="preserve"> </v>
      </c>
      <c r="FG140" s="10" t="str">
        <f t="shared" si="345"/>
        <v xml:space="preserve"> </v>
      </c>
      <c r="FH140" s="10" t="str">
        <f t="shared" si="345"/>
        <v xml:space="preserve"> </v>
      </c>
      <c r="FK140" s="10" t="str">
        <f t="shared" si="346"/>
        <v xml:space="preserve"> </v>
      </c>
      <c r="FL140" s="10" t="str">
        <f t="shared" si="346"/>
        <v xml:space="preserve"> </v>
      </c>
      <c r="FM140" s="10" t="str">
        <f t="shared" si="346"/>
        <v xml:space="preserve"> </v>
      </c>
      <c r="FN140" s="10" t="str">
        <f t="shared" si="346"/>
        <v xml:space="preserve"> </v>
      </c>
      <c r="FO140" s="10" t="str">
        <f t="shared" si="346"/>
        <v xml:space="preserve"> </v>
      </c>
      <c r="FR140" s="10" t="str">
        <f t="shared" si="347"/>
        <v xml:space="preserve"> </v>
      </c>
      <c r="FS140" s="10" t="str">
        <f t="shared" si="347"/>
        <v xml:space="preserve"> </v>
      </c>
      <c r="FT140" s="10" t="str">
        <f t="shared" si="347"/>
        <v xml:space="preserve"> </v>
      </c>
      <c r="FU140" s="10" t="str">
        <f t="shared" si="347"/>
        <v xml:space="preserve"> </v>
      </c>
      <c r="FV140" s="10" t="str">
        <f t="shared" si="347"/>
        <v xml:space="preserve"> </v>
      </c>
      <c r="FY140" s="10" t="str">
        <f t="shared" si="348"/>
        <v xml:space="preserve"> </v>
      </c>
      <c r="FZ140" s="10" t="str">
        <f t="shared" si="348"/>
        <v xml:space="preserve"> </v>
      </c>
      <c r="GA140" s="10" t="str">
        <f t="shared" si="348"/>
        <v xml:space="preserve"> </v>
      </c>
      <c r="GB140" s="10" t="str">
        <f t="shared" si="348"/>
        <v xml:space="preserve"> </v>
      </c>
      <c r="GC140" s="10" t="str">
        <f t="shared" si="348"/>
        <v xml:space="preserve"> </v>
      </c>
      <c r="GF140" s="10" t="str">
        <f t="shared" si="349"/>
        <v xml:space="preserve"> </v>
      </c>
      <c r="GG140" s="10" t="str">
        <f t="shared" si="349"/>
        <v xml:space="preserve"> </v>
      </c>
      <c r="GH140" s="10" t="str">
        <f t="shared" si="349"/>
        <v xml:space="preserve"> </v>
      </c>
      <c r="GI140" s="10" t="str">
        <f t="shared" si="349"/>
        <v xml:space="preserve"> </v>
      </c>
      <c r="GJ140" s="10" t="str">
        <f t="shared" si="349"/>
        <v xml:space="preserve"> </v>
      </c>
      <c r="GM140" s="10" t="str">
        <f t="shared" si="350"/>
        <v xml:space="preserve"> </v>
      </c>
      <c r="GN140" s="10" t="str">
        <f t="shared" si="350"/>
        <v xml:space="preserve"> </v>
      </c>
      <c r="GO140" s="10" t="str">
        <f t="shared" si="350"/>
        <v xml:space="preserve"> </v>
      </c>
      <c r="GP140" s="10" t="str">
        <f t="shared" si="350"/>
        <v xml:space="preserve"> </v>
      </c>
      <c r="GQ140" s="10" t="str">
        <f t="shared" si="350"/>
        <v xml:space="preserve"> </v>
      </c>
      <c r="GT140" s="10" t="str">
        <f t="shared" si="351"/>
        <v xml:space="preserve"> </v>
      </c>
      <c r="GU140" s="10" t="str">
        <f t="shared" si="351"/>
        <v xml:space="preserve"> </v>
      </c>
      <c r="GV140" s="10" t="str">
        <f t="shared" si="351"/>
        <v xml:space="preserve"> </v>
      </c>
      <c r="GW140" s="10" t="str">
        <f t="shared" si="351"/>
        <v xml:space="preserve"> </v>
      </c>
      <c r="GX140" s="10" t="str">
        <f t="shared" si="351"/>
        <v xml:space="preserve"> </v>
      </c>
      <c r="HA140" s="10" t="str">
        <f t="shared" si="352"/>
        <v xml:space="preserve"> </v>
      </c>
      <c r="HB140" s="10" t="str">
        <f t="shared" si="352"/>
        <v xml:space="preserve"> </v>
      </c>
      <c r="HC140" s="10" t="str">
        <f t="shared" si="352"/>
        <v xml:space="preserve"> </v>
      </c>
      <c r="HD140" s="10" t="str">
        <f t="shared" si="352"/>
        <v xml:space="preserve"> </v>
      </c>
      <c r="HE140" s="10" t="str">
        <f t="shared" si="352"/>
        <v xml:space="preserve"> </v>
      </c>
      <c r="HH140" s="10" t="str">
        <f t="shared" si="353"/>
        <v xml:space="preserve"> </v>
      </c>
      <c r="HI140" s="10" t="str">
        <f t="shared" si="353"/>
        <v xml:space="preserve"> </v>
      </c>
      <c r="HJ140" s="10" t="str">
        <f t="shared" si="353"/>
        <v xml:space="preserve"> </v>
      </c>
      <c r="HK140" s="10" t="str">
        <f t="shared" si="353"/>
        <v xml:space="preserve"> </v>
      </c>
      <c r="HL140" s="10" t="str">
        <f t="shared" si="353"/>
        <v xml:space="preserve"> </v>
      </c>
      <c r="HO140" s="10" t="str">
        <f t="shared" si="354"/>
        <v xml:space="preserve"> </v>
      </c>
      <c r="HP140" s="10" t="str">
        <f t="shared" si="354"/>
        <v xml:space="preserve"> </v>
      </c>
      <c r="HQ140" s="10" t="str">
        <f t="shared" si="354"/>
        <v xml:space="preserve"> </v>
      </c>
      <c r="HR140" s="10" t="str">
        <f t="shared" si="354"/>
        <v xml:space="preserve"> </v>
      </c>
      <c r="HS140" s="10" t="str">
        <f t="shared" si="354"/>
        <v xml:space="preserve"> </v>
      </c>
      <c r="HV140" s="10" t="str">
        <f t="shared" si="355"/>
        <v xml:space="preserve"> </v>
      </c>
      <c r="HW140" s="10" t="str">
        <f t="shared" si="355"/>
        <v xml:space="preserve"> </v>
      </c>
      <c r="HX140" s="10" t="str">
        <f t="shared" si="355"/>
        <v xml:space="preserve"> </v>
      </c>
      <c r="HY140" s="10" t="str">
        <f t="shared" si="355"/>
        <v xml:space="preserve"> </v>
      </c>
      <c r="HZ140" s="10" t="str">
        <f t="shared" si="355"/>
        <v xml:space="preserve"> </v>
      </c>
      <c r="IC140" s="10" t="str">
        <f t="shared" si="356"/>
        <v xml:space="preserve"> </v>
      </c>
      <c r="ID140" s="10" t="str">
        <f t="shared" si="356"/>
        <v xml:space="preserve"> </v>
      </c>
      <c r="IE140" s="10" t="str">
        <f t="shared" si="356"/>
        <v xml:space="preserve"> </v>
      </c>
      <c r="IF140" s="10" t="str">
        <f t="shared" si="356"/>
        <v xml:space="preserve"> </v>
      </c>
      <c r="IG140" s="10" t="str">
        <f t="shared" si="356"/>
        <v xml:space="preserve"> </v>
      </c>
      <c r="IJ140" s="10" t="str">
        <f t="shared" si="357"/>
        <v xml:space="preserve"> </v>
      </c>
      <c r="IK140" s="10" t="str">
        <f t="shared" si="357"/>
        <v xml:space="preserve"> </v>
      </c>
      <c r="IL140" s="10" t="str">
        <f t="shared" si="357"/>
        <v xml:space="preserve"> </v>
      </c>
      <c r="IM140" s="10" t="str">
        <f t="shared" si="357"/>
        <v xml:space="preserve"> </v>
      </c>
      <c r="IN140" s="10" t="str">
        <f t="shared" si="357"/>
        <v xml:space="preserve"> </v>
      </c>
      <c r="IQ140" s="10" t="str">
        <f t="shared" si="358"/>
        <v xml:space="preserve"> </v>
      </c>
      <c r="IR140" s="10" t="str">
        <f t="shared" si="358"/>
        <v xml:space="preserve"> </v>
      </c>
      <c r="IS140" s="10" t="str">
        <f t="shared" si="358"/>
        <v xml:space="preserve"> </v>
      </c>
      <c r="IT140" s="10" t="str">
        <f t="shared" si="358"/>
        <v xml:space="preserve"> </v>
      </c>
      <c r="IU140" s="10" t="str">
        <f t="shared" si="358"/>
        <v xml:space="preserve"> </v>
      </c>
      <c r="IX140" s="10" t="str">
        <f t="shared" si="359"/>
        <v xml:space="preserve"> </v>
      </c>
      <c r="IY140" s="10" t="str">
        <f t="shared" si="359"/>
        <v xml:space="preserve"> </v>
      </c>
      <c r="IZ140" s="10" t="str">
        <f t="shared" si="359"/>
        <v xml:space="preserve"> </v>
      </c>
      <c r="JA140" s="10" t="str">
        <f t="shared" si="359"/>
        <v xml:space="preserve"> </v>
      </c>
      <c r="JB140" s="10" t="str">
        <f t="shared" si="359"/>
        <v xml:space="preserve"> </v>
      </c>
      <c r="JE140" s="10" t="str">
        <f t="shared" si="360"/>
        <v xml:space="preserve"> </v>
      </c>
      <c r="JF140" s="10" t="str">
        <f t="shared" si="360"/>
        <v xml:space="preserve"> </v>
      </c>
      <c r="JG140" s="10" t="str">
        <f t="shared" si="360"/>
        <v xml:space="preserve"> </v>
      </c>
      <c r="JH140" s="10" t="str">
        <f t="shared" si="360"/>
        <v xml:space="preserve"> </v>
      </c>
      <c r="JI140" s="10" t="str">
        <f t="shared" si="360"/>
        <v xml:space="preserve"> </v>
      </c>
    </row>
    <row r="141" spans="13:269">
      <c r="M141" s="10" t="str">
        <f t="shared" si="361"/>
        <v xml:space="preserve"> </v>
      </c>
      <c r="N141" s="10" t="str">
        <f t="shared" si="361"/>
        <v xml:space="preserve"> </v>
      </c>
      <c r="O141" s="10" t="str">
        <f t="shared" si="361"/>
        <v xml:space="preserve"> </v>
      </c>
      <c r="P141" s="10" t="str">
        <f t="shared" si="361"/>
        <v xml:space="preserve"> </v>
      </c>
      <c r="Q141" s="10" t="str">
        <f t="shared" si="361"/>
        <v xml:space="preserve"> </v>
      </c>
      <c r="R141" s="14"/>
      <c r="S141" s="14"/>
      <c r="T141" s="10" t="str">
        <f t="shared" si="325"/>
        <v xml:space="preserve"> </v>
      </c>
      <c r="U141" s="10" t="str">
        <f t="shared" si="325"/>
        <v xml:space="preserve"> </v>
      </c>
      <c r="V141" s="10" t="str">
        <f t="shared" si="325"/>
        <v xml:space="preserve"> </v>
      </c>
      <c r="W141" s="10" t="str">
        <f t="shared" si="325"/>
        <v xml:space="preserve"> </v>
      </c>
      <c r="X141" s="10" t="str">
        <f t="shared" si="325"/>
        <v xml:space="preserve"> </v>
      </c>
      <c r="Y141" s="14"/>
      <c r="Z141" s="14"/>
      <c r="AA141" s="10" t="str">
        <f t="shared" si="326"/>
        <v xml:space="preserve"> </v>
      </c>
      <c r="AB141" s="10" t="str">
        <f t="shared" si="326"/>
        <v xml:space="preserve"> </v>
      </c>
      <c r="AC141" s="10" t="str">
        <f t="shared" si="326"/>
        <v xml:space="preserve"> </v>
      </c>
      <c r="AD141" s="10" t="str">
        <f t="shared" si="326"/>
        <v xml:space="preserve"> </v>
      </c>
      <c r="AE141" s="10" t="str">
        <f t="shared" si="326"/>
        <v xml:space="preserve"> </v>
      </c>
      <c r="AF141" s="14"/>
      <c r="AG141" s="14"/>
      <c r="AH141" s="10" t="str">
        <f t="shared" si="327"/>
        <v xml:space="preserve"> </v>
      </c>
      <c r="AI141" s="10" t="str">
        <f t="shared" si="327"/>
        <v xml:space="preserve"> </v>
      </c>
      <c r="AJ141" s="10" t="str">
        <f t="shared" si="327"/>
        <v xml:space="preserve"> </v>
      </c>
      <c r="AK141" s="10" t="str">
        <f t="shared" si="327"/>
        <v xml:space="preserve"> </v>
      </c>
      <c r="AL141" s="10" t="str">
        <f t="shared" si="327"/>
        <v xml:space="preserve"> </v>
      </c>
      <c r="AM141" s="14"/>
      <c r="AN141" s="14"/>
      <c r="AO141" s="10" t="str">
        <f t="shared" si="328"/>
        <v xml:space="preserve"> </v>
      </c>
      <c r="AP141" s="10" t="str">
        <f t="shared" si="328"/>
        <v xml:space="preserve"> </v>
      </c>
      <c r="AQ141" s="10" t="str">
        <f t="shared" si="328"/>
        <v xml:space="preserve"> </v>
      </c>
      <c r="AR141" s="10" t="str">
        <f t="shared" si="328"/>
        <v xml:space="preserve"> </v>
      </c>
      <c r="AS141" s="10" t="str">
        <f t="shared" si="328"/>
        <v xml:space="preserve"> </v>
      </c>
      <c r="AT141" s="14"/>
      <c r="AU141" s="14"/>
      <c r="AV141" s="10" t="str">
        <f t="shared" si="329"/>
        <v xml:space="preserve"> </v>
      </c>
      <c r="AW141" s="10" t="str">
        <f t="shared" si="329"/>
        <v xml:space="preserve"> </v>
      </c>
      <c r="AX141" s="10" t="str">
        <f t="shared" si="329"/>
        <v xml:space="preserve"> </v>
      </c>
      <c r="AY141" s="10" t="str">
        <f t="shared" si="329"/>
        <v xml:space="preserve"> </v>
      </c>
      <c r="AZ141" s="10" t="str">
        <f t="shared" si="329"/>
        <v xml:space="preserve"> </v>
      </c>
      <c r="BA141" s="14"/>
      <c r="BB141" s="14"/>
      <c r="BC141" s="10" t="str">
        <f t="shared" si="330"/>
        <v xml:space="preserve"> </v>
      </c>
      <c r="BD141" s="10" t="str">
        <f t="shared" si="330"/>
        <v xml:space="preserve"> </v>
      </c>
      <c r="BE141" s="10" t="str">
        <f t="shared" si="330"/>
        <v xml:space="preserve"> </v>
      </c>
      <c r="BF141" s="10" t="str">
        <f t="shared" si="330"/>
        <v xml:space="preserve"> </v>
      </c>
      <c r="BG141" s="10" t="str">
        <f t="shared" si="330"/>
        <v xml:space="preserve"> </v>
      </c>
      <c r="BH141" s="14"/>
      <c r="BI141" s="14"/>
      <c r="BJ141" s="10" t="str">
        <f t="shared" si="331"/>
        <v xml:space="preserve"> </v>
      </c>
      <c r="BK141" s="10" t="str">
        <f t="shared" si="331"/>
        <v xml:space="preserve"> </v>
      </c>
      <c r="BL141" s="10" t="str">
        <f t="shared" si="331"/>
        <v xml:space="preserve"> </v>
      </c>
      <c r="BM141" s="10" t="str">
        <f t="shared" si="331"/>
        <v xml:space="preserve"> </v>
      </c>
      <c r="BN141" s="10" t="str">
        <f t="shared" si="331"/>
        <v xml:space="preserve"> </v>
      </c>
      <c r="BO141" s="14"/>
      <c r="BP141" s="14"/>
      <c r="BQ141" s="10" t="str">
        <f t="shared" si="332"/>
        <v xml:space="preserve"> </v>
      </c>
      <c r="BR141" s="10" t="str">
        <f t="shared" si="332"/>
        <v xml:space="preserve"> </v>
      </c>
      <c r="BS141" s="10" t="str">
        <f t="shared" si="332"/>
        <v xml:space="preserve"> </v>
      </c>
      <c r="BT141" s="10" t="str">
        <f t="shared" si="332"/>
        <v xml:space="preserve"> </v>
      </c>
      <c r="BU141" s="10" t="str">
        <f t="shared" si="332"/>
        <v xml:space="preserve"> </v>
      </c>
      <c r="BV141" s="14"/>
      <c r="BW141" s="14"/>
      <c r="BX141" s="10" t="str">
        <f t="shared" si="333"/>
        <v xml:space="preserve"> </v>
      </c>
      <c r="BY141" s="10" t="str">
        <f t="shared" si="333"/>
        <v xml:space="preserve"> </v>
      </c>
      <c r="BZ141" s="10" t="str">
        <f t="shared" si="333"/>
        <v xml:space="preserve"> </v>
      </c>
      <c r="CA141" s="10" t="str">
        <f t="shared" si="333"/>
        <v xml:space="preserve"> </v>
      </c>
      <c r="CB141" s="10" t="str">
        <f t="shared" si="333"/>
        <v xml:space="preserve"> </v>
      </c>
      <c r="CC141" s="14"/>
      <c r="CD141" s="14"/>
      <c r="CE141" s="10" t="str">
        <f t="shared" si="334"/>
        <v xml:space="preserve"> </v>
      </c>
      <c r="CF141" s="10" t="str">
        <f t="shared" si="334"/>
        <v xml:space="preserve"> </v>
      </c>
      <c r="CG141" s="10" t="str">
        <f t="shared" si="334"/>
        <v xml:space="preserve"> </v>
      </c>
      <c r="CH141" s="10" t="str">
        <f t="shared" si="334"/>
        <v xml:space="preserve"> </v>
      </c>
      <c r="CI141" s="10" t="str">
        <f t="shared" si="334"/>
        <v xml:space="preserve"> </v>
      </c>
      <c r="CJ141" s="14"/>
      <c r="CK141" s="14"/>
      <c r="CL141" s="10" t="str">
        <f t="shared" si="335"/>
        <v xml:space="preserve"> </v>
      </c>
      <c r="CM141" s="10" t="str">
        <f t="shared" si="335"/>
        <v xml:space="preserve"> </v>
      </c>
      <c r="CN141" s="10" t="str">
        <f t="shared" si="335"/>
        <v xml:space="preserve"> </v>
      </c>
      <c r="CO141" s="10" t="str">
        <f t="shared" si="335"/>
        <v xml:space="preserve"> </v>
      </c>
      <c r="CP141" s="10" t="str">
        <f t="shared" si="335"/>
        <v xml:space="preserve"> </v>
      </c>
      <c r="CQ141" s="14"/>
      <c r="CR141" s="14"/>
      <c r="CS141" s="10" t="str">
        <f t="shared" si="336"/>
        <v xml:space="preserve"> </v>
      </c>
      <c r="CT141" s="10" t="str">
        <f t="shared" si="336"/>
        <v xml:space="preserve"> </v>
      </c>
      <c r="CU141" s="10" t="str">
        <f t="shared" si="336"/>
        <v xml:space="preserve"> </v>
      </c>
      <c r="CV141" s="10" t="str">
        <f t="shared" si="336"/>
        <v xml:space="preserve"> </v>
      </c>
      <c r="CW141" s="10" t="str">
        <f t="shared" si="336"/>
        <v xml:space="preserve"> </v>
      </c>
      <c r="CZ141" s="10" t="str">
        <f t="shared" si="337"/>
        <v xml:space="preserve"> </v>
      </c>
      <c r="DA141" s="10" t="str">
        <f t="shared" si="337"/>
        <v xml:space="preserve"> </v>
      </c>
      <c r="DB141" s="10" t="str">
        <f t="shared" si="337"/>
        <v xml:space="preserve"> </v>
      </c>
      <c r="DC141" s="10" t="str">
        <f t="shared" si="337"/>
        <v xml:space="preserve"> </v>
      </c>
      <c r="DD141" s="10" t="str">
        <f t="shared" si="337"/>
        <v xml:space="preserve"> </v>
      </c>
      <c r="DG141" s="10" t="str">
        <f t="shared" si="338"/>
        <v xml:space="preserve"> </v>
      </c>
      <c r="DH141" s="10" t="str">
        <f t="shared" si="338"/>
        <v xml:space="preserve"> </v>
      </c>
      <c r="DI141" s="10" t="str">
        <f t="shared" si="338"/>
        <v xml:space="preserve"> </v>
      </c>
      <c r="DJ141" s="10" t="str">
        <f t="shared" si="338"/>
        <v xml:space="preserve"> </v>
      </c>
      <c r="DK141" s="10" t="str">
        <f t="shared" si="338"/>
        <v xml:space="preserve"> </v>
      </c>
      <c r="DN141" s="10" t="str">
        <f t="shared" si="339"/>
        <v xml:space="preserve"> </v>
      </c>
      <c r="DO141" s="10" t="str">
        <f t="shared" si="339"/>
        <v xml:space="preserve"> </v>
      </c>
      <c r="DP141" s="10" t="str">
        <f t="shared" si="339"/>
        <v xml:space="preserve"> </v>
      </c>
      <c r="DQ141" s="10" t="str">
        <f t="shared" si="339"/>
        <v xml:space="preserve"> </v>
      </c>
      <c r="DR141" s="10" t="str">
        <f t="shared" si="339"/>
        <v xml:space="preserve"> </v>
      </c>
      <c r="DU141" s="10" t="str">
        <f t="shared" si="340"/>
        <v xml:space="preserve"> </v>
      </c>
      <c r="DV141" s="10" t="str">
        <f t="shared" si="340"/>
        <v xml:space="preserve"> </v>
      </c>
      <c r="DW141" s="10" t="str">
        <f t="shared" si="340"/>
        <v xml:space="preserve"> </v>
      </c>
      <c r="DX141" s="10" t="str">
        <f t="shared" si="340"/>
        <v xml:space="preserve"> </v>
      </c>
      <c r="DY141" s="10" t="str">
        <f t="shared" si="340"/>
        <v xml:space="preserve"> </v>
      </c>
      <c r="EB141" s="10" t="str">
        <f t="shared" si="341"/>
        <v xml:space="preserve"> </v>
      </c>
      <c r="EC141" s="10" t="str">
        <f t="shared" si="341"/>
        <v xml:space="preserve"> </v>
      </c>
      <c r="ED141" s="10" t="str">
        <f t="shared" si="341"/>
        <v xml:space="preserve"> </v>
      </c>
      <c r="EE141" s="10" t="str">
        <f t="shared" si="341"/>
        <v xml:space="preserve"> </v>
      </c>
      <c r="EF141" s="10" t="str">
        <f t="shared" si="341"/>
        <v xml:space="preserve"> </v>
      </c>
      <c r="EI141" s="10" t="str">
        <f t="shared" si="342"/>
        <v xml:space="preserve"> </v>
      </c>
      <c r="EJ141" s="10" t="str">
        <f t="shared" si="342"/>
        <v xml:space="preserve"> </v>
      </c>
      <c r="EK141" s="10" t="str">
        <f t="shared" si="342"/>
        <v xml:space="preserve"> </v>
      </c>
      <c r="EL141" s="10" t="str">
        <f t="shared" si="342"/>
        <v xml:space="preserve"> </v>
      </c>
      <c r="EM141" s="10" t="str">
        <f t="shared" si="342"/>
        <v xml:space="preserve"> </v>
      </c>
      <c r="EP141" s="10" t="str">
        <f t="shared" si="343"/>
        <v xml:space="preserve"> </v>
      </c>
      <c r="EQ141" s="10" t="str">
        <f t="shared" si="343"/>
        <v xml:space="preserve"> </v>
      </c>
      <c r="ER141" s="10" t="str">
        <f t="shared" si="343"/>
        <v xml:space="preserve"> </v>
      </c>
      <c r="ES141" s="10" t="str">
        <f t="shared" si="343"/>
        <v xml:space="preserve"> </v>
      </c>
      <c r="ET141" s="10" t="str">
        <f t="shared" si="343"/>
        <v xml:space="preserve"> </v>
      </c>
      <c r="EW141" s="10" t="str">
        <f t="shared" si="344"/>
        <v xml:space="preserve"> </v>
      </c>
      <c r="EX141" s="10" t="str">
        <f t="shared" si="344"/>
        <v xml:space="preserve"> </v>
      </c>
      <c r="EY141" s="10" t="str">
        <f t="shared" si="344"/>
        <v xml:space="preserve"> </v>
      </c>
      <c r="EZ141" s="10" t="str">
        <f t="shared" si="344"/>
        <v xml:space="preserve"> </v>
      </c>
      <c r="FA141" s="10" t="str">
        <f t="shared" si="344"/>
        <v xml:space="preserve"> </v>
      </c>
      <c r="FD141" s="10" t="str">
        <f t="shared" si="345"/>
        <v xml:space="preserve"> </v>
      </c>
      <c r="FE141" s="10" t="str">
        <f t="shared" si="345"/>
        <v xml:space="preserve"> </v>
      </c>
      <c r="FF141" s="10" t="str">
        <f t="shared" si="345"/>
        <v xml:space="preserve"> </v>
      </c>
      <c r="FG141" s="10" t="str">
        <f t="shared" si="345"/>
        <v xml:space="preserve"> </v>
      </c>
      <c r="FH141" s="10" t="str">
        <f t="shared" si="345"/>
        <v xml:space="preserve"> </v>
      </c>
      <c r="FK141" s="10" t="str">
        <f t="shared" si="346"/>
        <v xml:space="preserve"> </v>
      </c>
      <c r="FL141" s="10" t="str">
        <f t="shared" si="346"/>
        <v xml:space="preserve"> </v>
      </c>
      <c r="FM141" s="10" t="str">
        <f t="shared" si="346"/>
        <v xml:space="preserve"> </v>
      </c>
      <c r="FN141" s="10" t="str">
        <f t="shared" si="346"/>
        <v xml:space="preserve"> </v>
      </c>
      <c r="FO141" s="10" t="str">
        <f t="shared" si="346"/>
        <v xml:space="preserve"> </v>
      </c>
      <c r="FR141" s="10" t="str">
        <f t="shared" si="347"/>
        <v xml:space="preserve"> </v>
      </c>
      <c r="FS141" s="10" t="str">
        <f t="shared" si="347"/>
        <v xml:space="preserve"> </v>
      </c>
      <c r="FT141" s="10" t="str">
        <f t="shared" si="347"/>
        <v xml:space="preserve"> </v>
      </c>
      <c r="FU141" s="10" t="str">
        <f t="shared" si="347"/>
        <v xml:space="preserve"> </v>
      </c>
      <c r="FV141" s="10" t="str">
        <f t="shared" si="347"/>
        <v xml:space="preserve"> </v>
      </c>
      <c r="FY141" s="10" t="str">
        <f t="shared" si="348"/>
        <v xml:space="preserve"> </v>
      </c>
      <c r="FZ141" s="10" t="str">
        <f t="shared" si="348"/>
        <v xml:space="preserve"> </v>
      </c>
      <c r="GA141" s="10" t="str">
        <f t="shared" si="348"/>
        <v xml:space="preserve"> </v>
      </c>
      <c r="GB141" s="10" t="str">
        <f t="shared" si="348"/>
        <v xml:space="preserve"> </v>
      </c>
      <c r="GC141" s="10" t="str">
        <f t="shared" si="348"/>
        <v xml:space="preserve"> </v>
      </c>
      <c r="GF141" s="10" t="str">
        <f t="shared" si="349"/>
        <v xml:space="preserve"> </v>
      </c>
      <c r="GG141" s="10" t="str">
        <f t="shared" si="349"/>
        <v xml:space="preserve"> </v>
      </c>
      <c r="GH141" s="10" t="str">
        <f t="shared" si="349"/>
        <v xml:space="preserve"> </v>
      </c>
      <c r="GI141" s="10" t="str">
        <f t="shared" si="349"/>
        <v xml:space="preserve"> </v>
      </c>
      <c r="GJ141" s="10" t="str">
        <f t="shared" si="349"/>
        <v xml:space="preserve"> </v>
      </c>
      <c r="GM141" s="10" t="str">
        <f t="shared" si="350"/>
        <v xml:space="preserve"> </v>
      </c>
      <c r="GN141" s="10" t="str">
        <f t="shared" si="350"/>
        <v xml:space="preserve"> </v>
      </c>
      <c r="GO141" s="10" t="str">
        <f t="shared" si="350"/>
        <v xml:space="preserve"> </v>
      </c>
      <c r="GP141" s="10" t="str">
        <f t="shared" si="350"/>
        <v xml:space="preserve"> </v>
      </c>
      <c r="GQ141" s="10" t="str">
        <f t="shared" si="350"/>
        <v xml:space="preserve"> </v>
      </c>
      <c r="GT141" s="10" t="str">
        <f t="shared" si="351"/>
        <v xml:space="preserve"> </v>
      </c>
      <c r="GU141" s="10" t="str">
        <f t="shared" si="351"/>
        <v xml:space="preserve"> </v>
      </c>
      <c r="GV141" s="10" t="str">
        <f t="shared" si="351"/>
        <v xml:space="preserve"> </v>
      </c>
      <c r="GW141" s="10" t="str">
        <f t="shared" si="351"/>
        <v xml:space="preserve"> </v>
      </c>
      <c r="GX141" s="10" t="str">
        <f t="shared" si="351"/>
        <v xml:space="preserve"> </v>
      </c>
      <c r="HA141" s="10" t="str">
        <f t="shared" si="352"/>
        <v xml:space="preserve"> </v>
      </c>
      <c r="HB141" s="10" t="str">
        <f t="shared" si="352"/>
        <v xml:space="preserve"> </v>
      </c>
      <c r="HC141" s="10" t="str">
        <f t="shared" si="352"/>
        <v xml:space="preserve"> </v>
      </c>
      <c r="HD141" s="10" t="str">
        <f t="shared" si="352"/>
        <v xml:space="preserve"> </v>
      </c>
      <c r="HE141" s="10" t="str">
        <f t="shared" si="352"/>
        <v xml:space="preserve"> </v>
      </c>
      <c r="HH141" s="10" t="str">
        <f t="shared" si="353"/>
        <v xml:space="preserve"> </v>
      </c>
      <c r="HI141" s="10" t="str">
        <f t="shared" si="353"/>
        <v xml:space="preserve"> </v>
      </c>
      <c r="HJ141" s="10" t="str">
        <f t="shared" si="353"/>
        <v xml:space="preserve"> </v>
      </c>
      <c r="HK141" s="10" t="str">
        <f t="shared" si="353"/>
        <v xml:space="preserve"> </v>
      </c>
      <c r="HL141" s="10" t="str">
        <f t="shared" si="353"/>
        <v xml:space="preserve"> </v>
      </c>
      <c r="HO141" s="10" t="str">
        <f t="shared" si="354"/>
        <v xml:space="preserve"> </v>
      </c>
      <c r="HP141" s="10" t="str">
        <f t="shared" si="354"/>
        <v xml:space="preserve"> </v>
      </c>
      <c r="HQ141" s="10" t="str">
        <f t="shared" si="354"/>
        <v xml:space="preserve"> </v>
      </c>
      <c r="HR141" s="10" t="str">
        <f t="shared" si="354"/>
        <v xml:space="preserve"> </v>
      </c>
      <c r="HS141" s="10" t="str">
        <f t="shared" si="354"/>
        <v xml:space="preserve"> </v>
      </c>
      <c r="HV141" s="10" t="str">
        <f t="shared" si="355"/>
        <v xml:space="preserve"> </v>
      </c>
      <c r="HW141" s="10" t="str">
        <f t="shared" si="355"/>
        <v xml:space="preserve"> </v>
      </c>
      <c r="HX141" s="10" t="str">
        <f t="shared" si="355"/>
        <v xml:space="preserve"> </v>
      </c>
      <c r="HY141" s="10" t="str">
        <f t="shared" si="355"/>
        <v xml:space="preserve"> </v>
      </c>
      <c r="HZ141" s="10" t="str">
        <f t="shared" si="355"/>
        <v xml:space="preserve"> </v>
      </c>
      <c r="IC141" s="10" t="str">
        <f t="shared" si="356"/>
        <v xml:space="preserve"> </v>
      </c>
      <c r="ID141" s="10" t="str">
        <f t="shared" si="356"/>
        <v xml:space="preserve"> </v>
      </c>
      <c r="IE141" s="10" t="str">
        <f t="shared" si="356"/>
        <v xml:space="preserve"> </v>
      </c>
      <c r="IF141" s="10" t="str">
        <f t="shared" si="356"/>
        <v xml:space="preserve"> </v>
      </c>
      <c r="IG141" s="10" t="str">
        <f t="shared" si="356"/>
        <v xml:space="preserve"> </v>
      </c>
      <c r="IJ141" s="10" t="str">
        <f t="shared" si="357"/>
        <v xml:space="preserve"> </v>
      </c>
      <c r="IK141" s="10" t="str">
        <f t="shared" si="357"/>
        <v xml:space="preserve"> </v>
      </c>
      <c r="IL141" s="10" t="str">
        <f t="shared" si="357"/>
        <v xml:space="preserve"> </v>
      </c>
      <c r="IM141" s="10" t="str">
        <f t="shared" si="357"/>
        <v xml:space="preserve"> </v>
      </c>
      <c r="IN141" s="10" t="str">
        <f t="shared" si="357"/>
        <v xml:space="preserve"> </v>
      </c>
      <c r="IQ141" s="10" t="str">
        <f t="shared" si="358"/>
        <v xml:space="preserve"> </v>
      </c>
      <c r="IR141" s="10" t="str">
        <f t="shared" si="358"/>
        <v xml:space="preserve"> </v>
      </c>
      <c r="IS141" s="10" t="str">
        <f t="shared" si="358"/>
        <v xml:space="preserve"> </v>
      </c>
      <c r="IT141" s="10" t="str">
        <f t="shared" si="358"/>
        <v xml:space="preserve"> </v>
      </c>
      <c r="IU141" s="10" t="str">
        <f t="shared" si="358"/>
        <v xml:space="preserve"> </v>
      </c>
      <c r="IX141" s="10" t="str">
        <f t="shared" si="359"/>
        <v xml:space="preserve"> </v>
      </c>
      <c r="IY141" s="10" t="str">
        <f t="shared" si="359"/>
        <v xml:space="preserve"> </v>
      </c>
      <c r="IZ141" s="10" t="str">
        <f t="shared" si="359"/>
        <v xml:space="preserve"> </v>
      </c>
      <c r="JA141" s="10" t="str">
        <f t="shared" si="359"/>
        <v xml:space="preserve"> </v>
      </c>
      <c r="JB141" s="10" t="str">
        <f t="shared" si="359"/>
        <v xml:space="preserve"> </v>
      </c>
      <c r="JE141" s="10" t="str">
        <f t="shared" si="360"/>
        <v xml:space="preserve"> </v>
      </c>
      <c r="JF141" s="10" t="str">
        <f t="shared" si="360"/>
        <v xml:space="preserve"> </v>
      </c>
      <c r="JG141" s="10" t="str">
        <f t="shared" si="360"/>
        <v xml:space="preserve"> </v>
      </c>
      <c r="JH141" s="10" t="str">
        <f t="shared" si="360"/>
        <v xml:space="preserve"> </v>
      </c>
      <c r="JI141" s="10" t="str">
        <f t="shared" si="360"/>
        <v xml:space="preserve"> </v>
      </c>
    </row>
    <row r="142" spans="13:269">
      <c r="M142" s="10" t="str">
        <f t="shared" si="361"/>
        <v xml:space="preserve"> </v>
      </c>
      <c r="N142" s="10" t="str">
        <f t="shared" si="361"/>
        <v xml:space="preserve"> </v>
      </c>
      <c r="O142" s="10" t="str">
        <f t="shared" si="361"/>
        <v xml:space="preserve"> </v>
      </c>
      <c r="P142" s="10" t="str">
        <f t="shared" si="361"/>
        <v xml:space="preserve"> </v>
      </c>
      <c r="Q142" s="10" t="str">
        <f t="shared" si="361"/>
        <v xml:space="preserve"> </v>
      </c>
      <c r="R142" s="14"/>
      <c r="S142" s="14"/>
      <c r="T142" s="10" t="str">
        <f t="shared" si="325"/>
        <v xml:space="preserve"> </v>
      </c>
      <c r="U142" s="10" t="str">
        <f t="shared" si="325"/>
        <v xml:space="preserve"> </v>
      </c>
      <c r="V142" s="10" t="str">
        <f t="shared" si="325"/>
        <v xml:space="preserve"> </v>
      </c>
      <c r="W142" s="10" t="str">
        <f t="shared" si="325"/>
        <v xml:space="preserve"> </v>
      </c>
      <c r="X142" s="10" t="str">
        <f t="shared" si="325"/>
        <v xml:space="preserve"> </v>
      </c>
      <c r="Y142" s="14"/>
      <c r="Z142" s="14"/>
      <c r="AA142" s="10" t="str">
        <f t="shared" si="326"/>
        <v xml:space="preserve"> </v>
      </c>
      <c r="AB142" s="10" t="str">
        <f t="shared" si="326"/>
        <v xml:space="preserve"> </v>
      </c>
      <c r="AC142" s="10" t="str">
        <f t="shared" si="326"/>
        <v xml:space="preserve"> </v>
      </c>
      <c r="AD142" s="10" t="str">
        <f t="shared" si="326"/>
        <v xml:space="preserve"> </v>
      </c>
      <c r="AE142" s="10" t="str">
        <f t="shared" si="326"/>
        <v xml:space="preserve"> </v>
      </c>
      <c r="AF142" s="14"/>
      <c r="AG142" s="14"/>
      <c r="AH142" s="10" t="str">
        <f t="shared" si="327"/>
        <v xml:space="preserve"> </v>
      </c>
      <c r="AI142" s="10" t="str">
        <f t="shared" si="327"/>
        <v xml:space="preserve"> </v>
      </c>
      <c r="AJ142" s="10" t="str">
        <f t="shared" si="327"/>
        <v xml:space="preserve"> </v>
      </c>
      <c r="AK142" s="10" t="str">
        <f t="shared" si="327"/>
        <v xml:space="preserve"> </v>
      </c>
      <c r="AL142" s="10" t="str">
        <f t="shared" si="327"/>
        <v xml:space="preserve"> </v>
      </c>
      <c r="AM142" s="14"/>
      <c r="AN142" s="14"/>
      <c r="AO142" s="10" t="str">
        <f t="shared" si="328"/>
        <v xml:space="preserve"> </v>
      </c>
      <c r="AP142" s="10" t="str">
        <f t="shared" si="328"/>
        <v xml:space="preserve"> </v>
      </c>
      <c r="AQ142" s="10" t="str">
        <f t="shared" si="328"/>
        <v xml:space="preserve"> </v>
      </c>
      <c r="AR142" s="10" t="str">
        <f t="shared" si="328"/>
        <v xml:space="preserve"> </v>
      </c>
      <c r="AS142" s="10" t="str">
        <f t="shared" si="328"/>
        <v xml:space="preserve"> </v>
      </c>
      <c r="AT142" s="14"/>
      <c r="AU142" s="14"/>
      <c r="AV142" s="10" t="str">
        <f t="shared" si="329"/>
        <v xml:space="preserve"> </v>
      </c>
      <c r="AW142" s="10" t="str">
        <f t="shared" si="329"/>
        <v xml:space="preserve"> </v>
      </c>
      <c r="AX142" s="10" t="str">
        <f t="shared" si="329"/>
        <v xml:space="preserve"> </v>
      </c>
      <c r="AY142" s="10" t="str">
        <f t="shared" si="329"/>
        <v xml:space="preserve"> </v>
      </c>
      <c r="AZ142" s="10" t="str">
        <f t="shared" si="329"/>
        <v xml:space="preserve"> </v>
      </c>
      <c r="BA142" s="14"/>
      <c r="BB142" s="14"/>
      <c r="BC142" s="10" t="str">
        <f t="shared" si="330"/>
        <v xml:space="preserve"> </v>
      </c>
      <c r="BD142" s="10" t="str">
        <f t="shared" si="330"/>
        <v xml:space="preserve"> </v>
      </c>
      <c r="BE142" s="10" t="str">
        <f t="shared" si="330"/>
        <v xml:space="preserve"> </v>
      </c>
      <c r="BF142" s="10" t="str">
        <f t="shared" si="330"/>
        <v xml:space="preserve"> </v>
      </c>
      <c r="BG142" s="10" t="str">
        <f t="shared" si="330"/>
        <v xml:space="preserve"> </v>
      </c>
      <c r="BH142" s="14"/>
      <c r="BI142" s="14"/>
      <c r="BJ142" s="10" t="str">
        <f t="shared" si="331"/>
        <v xml:space="preserve"> </v>
      </c>
      <c r="BK142" s="10" t="str">
        <f t="shared" si="331"/>
        <v xml:space="preserve"> </v>
      </c>
      <c r="BL142" s="10" t="str">
        <f t="shared" si="331"/>
        <v xml:space="preserve"> </v>
      </c>
      <c r="BM142" s="10" t="str">
        <f t="shared" si="331"/>
        <v xml:space="preserve"> </v>
      </c>
      <c r="BN142" s="10" t="str">
        <f t="shared" si="331"/>
        <v xml:space="preserve"> </v>
      </c>
      <c r="BO142" s="14"/>
      <c r="BP142" s="14"/>
      <c r="BQ142" s="10" t="str">
        <f t="shared" si="332"/>
        <v xml:space="preserve"> </v>
      </c>
      <c r="BR142" s="10" t="str">
        <f t="shared" si="332"/>
        <v xml:space="preserve"> </v>
      </c>
      <c r="BS142" s="10" t="str">
        <f t="shared" si="332"/>
        <v xml:space="preserve"> </v>
      </c>
      <c r="BT142" s="10" t="str">
        <f t="shared" si="332"/>
        <v xml:space="preserve"> </v>
      </c>
      <c r="BU142" s="10" t="str">
        <f t="shared" si="332"/>
        <v xml:space="preserve"> </v>
      </c>
      <c r="BV142" s="14"/>
      <c r="BW142" s="14"/>
      <c r="BX142" s="10" t="str">
        <f t="shared" si="333"/>
        <v xml:space="preserve"> </v>
      </c>
      <c r="BY142" s="10" t="str">
        <f t="shared" si="333"/>
        <v xml:space="preserve"> </v>
      </c>
      <c r="BZ142" s="10" t="str">
        <f t="shared" si="333"/>
        <v xml:space="preserve"> </v>
      </c>
      <c r="CA142" s="10" t="str">
        <f t="shared" si="333"/>
        <v xml:space="preserve"> </v>
      </c>
      <c r="CB142" s="10" t="str">
        <f t="shared" si="333"/>
        <v xml:space="preserve"> </v>
      </c>
      <c r="CC142" s="14"/>
      <c r="CD142" s="14"/>
      <c r="CE142" s="10" t="str">
        <f t="shared" si="334"/>
        <v xml:space="preserve"> </v>
      </c>
      <c r="CF142" s="10" t="str">
        <f t="shared" si="334"/>
        <v xml:space="preserve"> </v>
      </c>
      <c r="CG142" s="10" t="str">
        <f t="shared" si="334"/>
        <v xml:space="preserve"> </v>
      </c>
      <c r="CH142" s="10" t="str">
        <f t="shared" si="334"/>
        <v xml:space="preserve"> </v>
      </c>
      <c r="CI142" s="10" t="str">
        <f t="shared" si="334"/>
        <v xml:space="preserve"> </v>
      </c>
      <c r="CJ142" s="14"/>
      <c r="CK142" s="14"/>
      <c r="CL142" s="10" t="str">
        <f t="shared" si="335"/>
        <v xml:space="preserve"> </v>
      </c>
      <c r="CM142" s="10" t="str">
        <f t="shared" si="335"/>
        <v xml:space="preserve"> </v>
      </c>
      <c r="CN142" s="10" t="str">
        <f t="shared" si="335"/>
        <v xml:space="preserve"> </v>
      </c>
      <c r="CO142" s="10" t="str">
        <f t="shared" si="335"/>
        <v xml:space="preserve"> </v>
      </c>
      <c r="CP142" s="10" t="str">
        <f t="shared" si="335"/>
        <v xml:space="preserve"> </v>
      </c>
      <c r="CQ142" s="14"/>
      <c r="CR142" s="14"/>
      <c r="CS142" s="10" t="str">
        <f t="shared" si="336"/>
        <v xml:space="preserve"> </v>
      </c>
      <c r="CT142" s="10" t="str">
        <f t="shared" si="336"/>
        <v xml:space="preserve"> </v>
      </c>
      <c r="CU142" s="10" t="str">
        <f t="shared" si="336"/>
        <v xml:space="preserve"> </v>
      </c>
      <c r="CV142" s="10" t="str">
        <f t="shared" si="336"/>
        <v xml:space="preserve"> </v>
      </c>
      <c r="CW142" s="10" t="str">
        <f t="shared" si="336"/>
        <v xml:space="preserve"> </v>
      </c>
      <c r="CZ142" s="10" t="str">
        <f t="shared" si="337"/>
        <v xml:space="preserve"> </v>
      </c>
      <c r="DA142" s="10" t="str">
        <f t="shared" si="337"/>
        <v xml:space="preserve"> </v>
      </c>
      <c r="DB142" s="10" t="str">
        <f t="shared" si="337"/>
        <v xml:space="preserve"> </v>
      </c>
      <c r="DC142" s="10" t="str">
        <f t="shared" si="337"/>
        <v xml:space="preserve"> </v>
      </c>
      <c r="DD142" s="10" t="str">
        <f t="shared" si="337"/>
        <v xml:space="preserve"> </v>
      </c>
      <c r="DG142" s="10" t="str">
        <f t="shared" si="338"/>
        <v xml:space="preserve"> </v>
      </c>
      <c r="DH142" s="10" t="str">
        <f t="shared" si="338"/>
        <v xml:space="preserve"> </v>
      </c>
      <c r="DI142" s="10" t="str">
        <f t="shared" si="338"/>
        <v xml:space="preserve"> </v>
      </c>
      <c r="DJ142" s="10" t="str">
        <f t="shared" si="338"/>
        <v xml:space="preserve"> </v>
      </c>
      <c r="DK142" s="10" t="str">
        <f t="shared" si="338"/>
        <v xml:space="preserve"> </v>
      </c>
      <c r="DN142" s="10" t="str">
        <f t="shared" si="339"/>
        <v xml:space="preserve"> </v>
      </c>
      <c r="DO142" s="10" t="str">
        <f t="shared" si="339"/>
        <v xml:space="preserve"> </v>
      </c>
      <c r="DP142" s="10" t="str">
        <f t="shared" si="339"/>
        <v xml:space="preserve"> </v>
      </c>
      <c r="DQ142" s="10" t="str">
        <f t="shared" si="339"/>
        <v xml:space="preserve"> </v>
      </c>
      <c r="DR142" s="10" t="str">
        <f t="shared" si="339"/>
        <v xml:space="preserve"> </v>
      </c>
      <c r="DU142" s="10" t="str">
        <f t="shared" si="340"/>
        <v xml:space="preserve"> </v>
      </c>
      <c r="DV142" s="10" t="str">
        <f t="shared" si="340"/>
        <v xml:space="preserve"> </v>
      </c>
      <c r="DW142" s="10" t="str">
        <f t="shared" si="340"/>
        <v xml:space="preserve"> </v>
      </c>
      <c r="DX142" s="10" t="str">
        <f t="shared" si="340"/>
        <v xml:space="preserve"> </v>
      </c>
      <c r="DY142" s="10" t="str">
        <f t="shared" si="340"/>
        <v xml:space="preserve"> </v>
      </c>
      <c r="EB142" s="10" t="str">
        <f t="shared" si="341"/>
        <v xml:space="preserve"> </v>
      </c>
      <c r="EC142" s="10" t="str">
        <f t="shared" si="341"/>
        <v xml:space="preserve"> </v>
      </c>
      <c r="ED142" s="10" t="str">
        <f t="shared" si="341"/>
        <v xml:space="preserve"> </v>
      </c>
      <c r="EE142" s="10" t="str">
        <f t="shared" si="341"/>
        <v xml:space="preserve"> </v>
      </c>
      <c r="EF142" s="10" t="str">
        <f t="shared" si="341"/>
        <v xml:space="preserve"> </v>
      </c>
      <c r="EI142" s="10" t="str">
        <f t="shared" si="342"/>
        <v xml:space="preserve"> </v>
      </c>
      <c r="EJ142" s="10" t="str">
        <f t="shared" si="342"/>
        <v xml:space="preserve"> </v>
      </c>
      <c r="EK142" s="10" t="str">
        <f t="shared" si="342"/>
        <v xml:space="preserve"> </v>
      </c>
      <c r="EL142" s="10" t="str">
        <f t="shared" si="342"/>
        <v xml:space="preserve"> </v>
      </c>
      <c r="EM142" s="10" t="str">
        <f t="shared" si="342"/>
        <v xml:space="preserve"> </v>
      </c>
      <c r="EP142" s="10" t="str">
        <f t="shared" si="343"/>
        <v xml:space="preserve"> </v>
      </c>
      <c r="EQ142" s="10" t="str">
        <f t="shared" si="343"/>
        <v xml:space="preserve"> </v>
      </c>
      <c r="ER142" s="10" t="str">
        <f t="shared" si="343"/>
        <v xml:space="preserve"> </v>
      </c>
      <c r="ES142" s="10" t="str">
        <f t="shared" si="343"/>
        <v xml:space="preserve"> </v>
      </c>
      <c r="ET142" s="10" t="str">
        <f t="shared" si="343"/>
        <v xml:space="preserve"> </v>
      </c>
      <c r="EW142" s="10" t="str">
        <f t="shared" si="344"/>
        <v xml:space="preserve"> </v>
      </c>
      <c r="EX142" s="10" t="str">
        <f t="shared" si="344"/>
        <v xml:space="preserve"> </v>
      </c>
      <c r="EY142" s="10" t="str">
        <f t="shared" si="344"/>
        <v xml:space="preserve"> </v>
      </c>
      <c r="EZ142" s="10" t="str">
        <f t="shared" si="344"/>
        <v xml:space="preserve"> </v>
      </c>
      <c r="FA142" s="10" t="str">
        <f t="shared" si="344"/>
        <v xml:space="preserve"> </v>
      </c>
      <c r="FD142" s="10" t="str">
        <f t="shared" si="345"/>
        <v xml:space="preserve"> </v>
      </c>
      <c r="FE142" s="10" t="str">
        <f t="shared" si="345"/>
        <v xml:space="preserve"> </v>
      </c>
      <c r="FF142" s="10" t="str">
        <f t="shared" si="345"/>
        <v xml:space="preserve"> </v>
      </c>
      <c r="FG142" s="10" t="str">
        <f t="shared" si="345"/>
        <v xml:space="preserve"> </v>
      </c>
      <c r="FH142" s="10" t="str">
        <f t="shared" si="345"/>
        <v xml:space="preserve"> </v>
      </c>
      <c r="FK142" s="10" t="str">
        <f t="shared" si="346"/>
        <v xml:space="preserve"> </v>
      </c>
      <c r="FL142" s="10" t="str">
        <f t="shared" si="346"/>
        <v xml:space="preserve"> </v>
      </c>
      <c r="FM142" s="10" t="str">
        <f t="shared" si="346"/>
        <v xml:space="preserve"> </v>
      </c>
      <c r="FN142" s="10" t="str">
        <f t="shared" si="346"/>
        <v xml:space="preserve"> </v>
      </c>
      <c r="FO142" s="10" t="str">
        <f t="shared" si="346"/>
        <v xml:space="preserve"> </v>
      </c>
      <c r="FR142" s="10" t="str">
        <f t="shared" si="347"/>
        <v xml:space="preserve"> </v>
      </c>
      <c r="FS142" s="10" t="str">
        <f t="shared" si="347"/>
        <v xml:space="preserve"> </v>
      </c>
      <c r="FT142" s="10" t="str">
        <f t="shared" si="347"/>
        <v xml:space="preserve"> </v>
      </c>
      <c r="FU142" s="10" t="str">
        <f t="shared" si="347"/>
        <v xml:space="preserve"> </v>
      </c>
      <c r="FV142" s="10" t="str">
        <f t="shared" si="347"/>
        <v xml:space="preserve"> </v>
      </c>
      <c r="FY142" s="10" t="str">
        <f t="shared" si="348"/>
        <v xml:space="preserve"> </v>
      </c>
      <c r="FZ142" s="10" t="str">
        <f t="shared" si="348"/>
        <v xml:space="preserve"> </v>
      </c>
      <c r="GA142" s="10" t="str">
        <f t="shared" si="348"/>
        <v xml:space="preserve"> </v>
      </c>
      <c r="GB142" s="10" t="str">
        <f t="shared" si="348"/>
        <v xml:space="preserve"> </v>
      </c>
      <c r="GC142" s="10" t="str">
        <f t="shared" si="348"/>
        <v xml:space="preserve"> </v>
      </c>
      <c r="GF142" s="10" t="str">
        <f t="shared" si="349"/>
        <v xml:space="preserve"> </v>
      </c>
      <c r="GG142" s="10" t="str">
        <f t="shared" si="349"/>
        <v xml:space="preserve"> </v>
      </c>
      <c r="GH142" s="10" t="str">
        <f t="shared" si="349"/>
        <v xml:space="preserve"> </v>
      </c>
      <c r="GI142" s="10" t="str">
        <f t="shared" si="349"/>
        <v xml:space="preserve"> </v>
      </c>
      <c r="GJ142" s="10" t="str">
        <f t="shared" si="349"/>
        <v xml:space="preserve"> </v>
      </c>
      <c r="GM142" s="10" t="str">
        <f t="shared" si="350"/>
        <v xml:space="preserve"> </v>
      </c>
      <c r="GN142" s="10" t="str">
        <f t="shared" si="350"/>
        <v xml:space="preserve"> </v>
      </c>
      <c r="GO142" s="10" t="str">
        <f t="shared" si="350"/>
        <v xml:space="preserve"> </v>
      </c>
      <c r="GP142" s="10" t="str">
        <f t="shared" si="350"/>
        <v xml:space="preserve"> </v>
      </c>
      <c r="GQ142" s="10" t="str">
        <f t="shared" si="350"/>
        <v xml:space="preserve"> </v>
      </c>
      <c r="GT142" s="10" t="str">
        <f t="shared" si="351"/>
        <v xml:space="preserve"> </v>
      </c>
      <c r="GU142" s="10" t="str">
        <f t="shared" si="351"/>
        <v xml:space="preserve"> </v>
      </c>
      <c r="GV142" s="10" t="str">
        <f t="shared" si="351"/>
        <v xml:space="preserve"> </v>
      </c>
      <c r="GW142" s="10" t="str">
        <f t="shared" si="351"/>
        <v xml:space="preserve"> </v>
      </c>
      <c r="GX142" s="10" t="str">
        <f t="shared" si="351"/>
        <v xml:space="preserve"> </v>
      </c>
      <c r="HA142" s="10" t="str">
        <f t="shared" si="352"/>
        <v xml:space="preserve"> </v>
      </c>
      <c r="HB142" s="10" t="str">
        <f t="shared" si="352"/>
        <v xml:space="preserve"> </v>
      </c>
      <c r="HC142" s="10" t="str">
        <f t="shared" si="352"/>
        <v xml:space="preserve"> </v>
      </c>
      <c r="HD142" s="10" t="str">
        <f t="shared" si="352"/>
        <v xml:space="preserve"> </v>
      </c>
      <c r="HE142" s="10" t="str">
        <f t="shared" si="352"/>
        <v xml:space="preserve"> </v>
      </c>
      <c r="HH142" s="10" t="str">
        <f t="shared" si="353"/>
        <v xml:space="preserve"> </v>
      </c>
      <c r="HI142" s="10" t="str">
        <f t="shared" si="353"/>
        <v xml:space="preserve"> </v>
      </c>
      <c r="HJ142" s="10" t="str">
        <f t="shared" si="353"/>
        <v xml:space="preserve"> </v>
      </c>
      <c r="HK142" s="10" t="str">
        <f t="shared" si="353"/>
        <v xml:space="preserve"> </v>
      </c>
      <c r="HL142" s="10" t="str">
        <f t="shared" si="353"/>
        <v xml:space="preserve"> </v>
      </c>
      <c r="HO142" s="10" t="str">
        <f t="shared" si="354"/>
        <v xml:space="preserve"> </v>
      </c>
      <c r="HP142" s="10" t="str">
        <f t="shared" si="354"/>
        <v xml:space="preserve"> </v>
      </c>
      <c r="HQ142" s="10" t="str">
        <f t="shared" si="354"/>
        <v xml:space="preserve"> </v>
      </c>
      <c r="HR142" s="10" t="str">
        <f t="shared" si="354"/>
        <v xml:space="preserve"> </v>
      </c>
      <c r="HS142" s="10" t="str">
        <f t="shared" si="354"/>
        <v xml:space="preserve"> </v>
      </c>
      <c r="HV142" s="10" t="str">
        <f t="shared" si="355"/>
        <v xml:space="preserve"> </v>
      </c>
      <c r="HW142" s="10" t="str">
        <f t="shared" si="355"/>
        <v xml:space="preserve"> </v>
      </c>
      <c r="HX142" s="10" t="str">
        <f t="shared" si="355"/>
        <v xml:space="preserve"> </v>
      </c>
      <c r="HY142" s="10" t="str">
        <f t="shared" si="355"/>
        <v xml:space="preserve"> </v>
      </c>
      <c r="HZ142" s="10" t="str">
        <f t="shared" si="355"/>
        <v xml:space="preserve"> </v>
      </c>
      <c r="IC142" s="10" t="str">
        <f t="shared" si="356"/>
        <v xml:space="preserve"> </v>
      </c>
      <c r="ID142" s="10" t="str">
        <f t="shared" si="356"/>
        <v xml:space="preserve"> </v>
      </c>
      <c r="IE142" s="10" t="str">
        <f t="shared" si="356"/>
        <v xml:space="preserve"> </v>
      </c>
      <c r="IF142" s="10" t="str">
        <f t="shared" si="356"/>
        <v xml:space="preserve"> </v>
      </c>
      <c r="IG142" s="10" t="str">
        <f t="shared" si="356"/>
        <v xml:space="preserve"> </v>
      </c>
      <c r="IJ142" s="10" t="str">
        <f t="shared" si="357"/>
        <v xml:space="preserve"> </v>
      </c>
      <c r="IK142" s="10" t="str">
        <f t="shared" si="357"/>
        <v xml:space="preserve"> </v>
      </c>
      <c r="IL142" s="10" t="str">
        <f t="shared" si="357"/>
        <v xml:space="preserve"> </v>
      </c>
      <c r="IM142" s="10" t="str">
        <f t="shared" si="357"/>
        <v xml:space="preserve"> </v>
      </c>
      <c r="IN142" s="10" t="str">
        <f t="shared" si="357"/>
        <v xml:space="preserve"> </v>
      </c>
      <c r="IQ142" s="10" t="str">
        <f t="shared" si="358"/>
        <v xml:space="preserve"> </v>
      </c>
      <c r="IR142" s="10" t="str">
        <f t="shared" si="358"/>
        <v xml:space="preserve"> </v>
      </c>
      <c r="IS142" s="10" t="str">
        <f t="shared" si="358"/>
        <v xml:space="preserve"> </v>
      </c>
      <c r="IT142" s="10" t="str">
        <f t="shared" si="358"/>
        <v xml:space="preserve"> </v>
      </c>
      <c r="IU142" s="10" t="str">
        <f t="shared" si="358"/>
        <v xml:space="preserve"> </v>
      </c>
      <c r="IX142" s="10" t="str">
        <f t="shared" si="359"/>
        <v xml:space="preserve"> </v>
      </c>
      <c r="IY142" s="10" t="str">
        <f t="shared" si="359"/>
        <v xml:space="preserve"> </v>
      </c>
      <c r="IZ142" s="10" t="str">
        <f t="shared" si="359"/>
        <v xml:space="preserve"> </v>
      </c>
      <c r="JA142" s="10" t="str">
        <f t="shared" si="359"/>
        <v xml:space="preserve"> </v>
      </c>
      <c r="JB142" s="10" t="str">
        <f t="shared" si="359"/>
        <v xml:space="preserve"> </v>
      </c>
      <c r="JE142" s="10" t="str">
        <f t="shared" si="360"/>
        <v xml:space="preserve"> </v>
      </c>
      <c r="JF142" s="10" t="str">
        <f t="shared" si="360"/>
        <v xml:space="preserve"> </v>
      </c>
      <c r="JG142" s="10" t="str">
        <f t="shared" si="360"/>
        <v xml:space="preserve"> </v>
      </c>
      <c r="JH142" s="10" t="str">
        <f t="shared" si="360"/>
        <v xml:space="preserve"> </v>
      </c>
      <c r="JI142" s="10" t="str">
        <f t="shared" si="360"/>
        <v xml:space="preserve"> </v>
      </c>
    </row>
    <row r="143" spans="13:269">
      <c r="M143" s="10" t="str">
        <f t="shared" si="361"/>
        <v xml:space="preserve"> </v>
      </c>
      <c r="N143" s="10" t="str">
        <f t="shared" si="361"/>
        <v xml:space="preserve"> </v>
      </c>
      <c r="O143" s="10" t="str">
        <f t="shared" si="361"/>
        <v xml:space="preserve"> </v>
      </c>
      <c r="P143" s="10" t="str">
        <f t="shared" si="361"/>
        <v xml:space="preserve"> </v>
      </c>
      <c r="Q143" s="10" t="str">
        <f t="shared" si="361"/>
        <v xml:space="preserve"> </v>
      </c>
      <c r="R143" s="14"/>
      <c r="S143" s="14"/>
      <c r="T143" s="10" t="str">
        <f t="shared" si="325"/>
        <v xml:space="preserve"> </v>
      </c>
      <c r="U143" s="10" t="str">
        <f t="shared" si="325"/>
        <v xml:space="preserve"> </v>
      </c>
      <c r="V143" s="10" t="str">
        <f t="shared" si="325"/>
        <v xml:space="preserve"> </v>
      </c>
      <c r="W143" s="10" t="str">
        <f t="shared" si="325"/>
        <v xml:space="preserve"> </v>
      </c>
      <c r="X143" s="10" t="str">
        <f t="shared" si="325"/>
        <v xml:space="preserve"> </v>
      </c>
      <c r="Y143" s="14"/>
      <c r="Z143" s="14"/>
      <c r="AA143" s="10" t="str">
        <f t="shared" si="326"/>
        <v xml:space="preserve"> </v>
      </c>
      <c r="AB143" s="10" t="str">
        <f t="shared" si="326"/>
        <v xml:space="preserve"> </v>
      </c>
      <c r="AC143" s="10" t="str">
        <f t="shared" si="326"/>
        <v xml:space="preserve"> </v>
      </c>
      <c r="AD143" s="10" t="str">
        <f t="shared" si="326"/>
        <v xml:space="preserve"> </v>
      </c>
      <c r="AE143" s="10" t="str">
        <f t="shared" si="326"/>
        <v xml:space="preserve"> </v>
      </c>
      <c r="AF143" s="14"/>
      <c r="AG143" s="14"/>
      <c r="AH143" s="10" t="str">
        <f t="shared" si="327"/>
        <v xml:space="preserve"> </v>
      </c>
      <c r="AI143" s="10" t="str">
        <f t="shared" si="327"/>
        <v xml:space="preserve"> </v>
      </c>
      <c r="AJ143" s="10" t="str">
        <f t="shared" si="327"/>
        <v xml:space="preserve"> </v>
      </c>
      <c r="AK143" s="10" t="str">
        <f t="shared" si="327"/>
        <v xml:space="preserve"> </v>
      </c>
      <c r="AL143" s="10" t="str">
        <f t="shared" si="327"/>
        <v xml:space="preserve"> </v>
      </c>
      <c r="AM143" s="14"/>
      <c r="AN143" s="14"/>
      <c r="AO143" s="10" t="str">
        <f t="shared" si="328"/>
        <v xml:space="preserve"> </v>
      </c>
      <c r="AP143" s="10" t="str">
        <f t="shared" si="328"/>
        <v xml:space="preserve"> </v>
      </c>
      <c r="AQ143" s="10" t="str">
        <f t="shared" si="328"/>
        <v xml:space="preserve"> </v>
      </c>
      <c r="AR143" s="10" t="str">
        <f t="shared" si="328"/>
        <v xml:space="preserve"> </v>
      </c>
      <c r="AS143" s="10" t="str">
        <f t="shared" si="328"/>
        <v xml:space="preserve"> </v>
      </c>
      <c r="AT143" s="14"/>
      <c r="AU143" s="14"/>
      <c r="AV143" s="10" t="str">
        <f t="shared" si="329"/>
        <v xml:space="preserve"> </v>
      </c>
      <c r="AW143" s="10" t="str">
        <f t="shared" si="329"/>
        <v xml:space="preserve"> </v>
      </c>
      <c r="AX143" s="10" t="str">
        <f t="shared" si="329"/>
        <v xml:space="preserve"> </v>
      </c>
      <c r="AY143" s="10" t="str">
        <f t="shared" si="329"/>
        <v xml:space="preserve"> </v>
      </c>
      <c r="AZ143" s="10" t="str">
        <f t="shared" si="329"/>
        <v xml:space="preserve"> </v>
      </c>
      <c r="BA143" s="14"/>
      <c r="BB143" s="14"/>
      <c r="BC143" s="10" t="str">
        <f t="shared" si="330"/>
        <v xml:space="preserve"> </v>
      </c>
      <c r="BD143" s="10" t="str">
        <f t="shared" si="330"/>
        <v xml:space="preserve"> </v>
      </c>
      <c r="BE143" s="10" t="str">
        <f t="shared" si="330"/>
        <v xml:space="preserve"> </v>
      </c>
      <c r="BF143" s="10" t="str">
        <f t="shared" si="330"/>
        <v xml:space="preserve"> </v>
      </c>
      <c r="BG143" s="10" t="str">
        <f t="shared" si="330"/>
        <v xml:space="preserve"> </v>
      </c>
      <c r="BH143" s="14"/>
      <c r="BI143" s="14"/>
      <c r="BJ143" s="10" t="str">
        <f t="shared" si="331"/>
        <v xml:space="preserve"> </v>
      </c>
      <c r="BK143" s="10" t="str">
        <f t="shared" si="331"/>
        <v xml:space="preserve"> </v>
      </c>
      <c r="BL143" s="10" t="str">
        <f t="shared" si="331"/>
        <v xml:space="preserve"> </v>
      </c>
      <c r="BM143" s="10" t="str">
        <f t="shared" si="331"/>
        <v xml:space="preserve"> </v>
      </c>
      <c r="BN143" s="10" t="str">
        <f t="shared" si="331"/>
        <v xml:space="preserve"> </v>
      </c>
      <c r="BO143" s="14"/>
      <c r="BP143" s="14"/>
      <c r="BQ143" s="10" t="str">
        <f t="shared" si="332"/>
        <v xml:space="preserve"> </v>
      </c>
      <c r="BR143" s="10" t="str">
        <f t="shared" si="332"/>
        <v xml:space="preserve"> </v>
      </c>
      <c r="BS143" s="10" t="str">
        <f t="shared" si="332"/>
        <v xml:space="preserve"> </v>
      </c>
      <c r="BT143" s="10" t="str">
        <f t="shared" si="332"/>
        <v xml:space="preserve"> </v>
      </c>
      <c r="BU143" s="10" t="str">
        <f t="shared" si="332"/>
        <v xml:space="preserve"> </v>
      </c>
      <c r="BV143" s="14"/>
      <c r="BW143" s="14"/>
      <c r="BX143" s="10" t="str">
        <f t="shared" si="333"/>
        <v xml:space="preserve"> </v>
      </c>
      <c r="BY143" s="10" t="str">
        <f t="shared" si="333"/>
        <v xml:space="preserve"> </v>
      </c>
      <c r="BZ143" s="10" t="str">
        <f t="shared" si="333"/>
        <v xml:space="preserve"> </v>
      </c>
      <c r="CA143" s="10" t="str">
        <f t="shared" si="333"/>
        <v xml:space="preserve"> </v>
      </c>
      <c r="CB143" s="10" t="str">
        <f t="shared" si="333"/>
        <v xml:space="preserve"> </v>
      </c>
      <c r="CC143" s="14"/>
      <c r="CD143" s="14"/>
      <c r="CE143" s="10" t="str">
        <f t="shared" si="334"/>
        <v xml:space="preserve"> </v>
      </c>
      <c r="CF143" s="10" t="str">
        <f t="shared" si="334"/>
        <v xml:space="preserve"> </v>
      </c>
      <c r="CG143" s="10" t="str">
        <f t="shared" si="334"/>
        <v xml:space="preserve"> </v>
      </c>
      <c r="CH143" s="10" t="str">
        <f t="shared" si="334"/>
        <v xml:space="preserve"> </v>
      </c>
      <c r="CI143" s="10" t="str">
        <f t="shared" si="334"/>
        <v xml:space="preserve"> </v>
      </c>
      <c r="CJ143" s="14"/>
      <c r="CK143" s="14"/>
      <c r="CL143" s="10" t="str">
        <f t="shared" si="335"/>
        <v xml:space="preserve"> </v>
      </c>
      <c r="CM143" s="10" t="str">
        <f t="shared" si="335"/>
        <v xml:space="preserve"> </v>
      </c>
      <c r="CN143" s="10" t="str">
        <f t="shared" si="335"/>
        <v xml:space="preserve"> </v>
      </c>
      <c r="CO143" s="10" t="str">
        <f t="shared" si="335"/>
        <v xml:space="preserve"> </v>
      </c>
      <c r="CP143" s="10" t="str">
        <f t="shared" si="335"/>
        <v xml:space="preserve"> </v>
      </c>
      <c r="CQ143" s="14"/>
      <c r="CR143" s="14"/>
      <c r="CS143" s="10" t="str">
        <f t="shared" si="336"/>
        <v xml:space="preserve"> </v>
      </c>
      <c r="CT143" s="10" t="str">
        <f t="shared" si="336"/>
        <v xml:space="preserve"> </v>
      </c>
      <c r="CU143" s="10" t="str">
        <f t="shared" si="336"/>
        <v xml:space="preserve"> </v>
      </c>
      <c r="CV143" s="10" t="str">
        <f t="shared" si="336"/>
        <v xml:space="preserve"> </v>
      </c>
      <c r="CW143" s="10" t="str">
        <f t="shared" si="336"/>
        <v xml:space="preserve"> </v>
      </c>
      <c r="CZ143" s="10" t="str">
        <f t="shared" si="337"/>
        <v xml:space="preserve"> </v>
      </c>
      <c r="DA143" s="10" t="str">
        <f t="shared" si="337"/>
        <v xml:space="preserve"> </v>
      </c>
      <c r="DB143" s="10" t="str">
        <f t="shared" si="337"/>
        <v xml:space="preserve"> </v>
      </c>
      <c r="DC143" s="10" t="str">
        <f t="shared" si="337"/>
        <v xml:space="preserve"> </v>
      </c>
      <c r="DD143" s="10" t="str">
        <f t="shared" si="337"/>
        <v xml:space="preserve"> </v>
      </c>
      <c r="DG143" s="10" t="str">
        <f t="shared" si="338"/>
        <v xml:space="preserve"> </v>
      </c>
      <c r="DH143" s="10" t="str">
        <f t="shared" si="338"/>
        <v xml:space="preserve"> </v>
      </c>
      <c r="DI143" s="10" t="str">
        <f t="shared" si="338"/>
        <v xml:space="preserve"> </v>
      </c>
      <c r="DJ143" s="10" t="str">
        <f t="shared" si="338"/>
        <v xml:space="preserve"> </v>
      </c>
      <c r="DK143" s="10" t="str">
        <f t="shared" si="338"/>
        <v xml:space="preserve"> </v>
      </c>
      <c r="DN143" s="10" t="str">
        <f t="shared" si="339"/>
        <v xml:space="preserve"> </v>
      </c>
      <c r="DO143" s="10" t="str">
        <f t="shared" si="339"/>
        <v xml:space="preserve"> </v>
      </c>
      <c r="DP143" s="10" t="str">
        <f t="shared" si="339"/>
        <v xml:space="preserve"> </v>
      </c>
      <c r="DQ143" s="10" t="str">
        <f t="shared" si="339"/>
        <v xml:space="preserve"> </v>
      </c>
      <c r="DR143" s="10" t="str">
        <f t="shared" si="339"/>
        <v xml:space="preserve"> </v>
      </c>
      <c r="DU143" s="10" t="str">
        <f t="shared" si="340"/>
        <v xml:space="preserve"> </v>
      </c>
      <c r="DV143" s="10" t="str">
        <f t="shared" si="340"/>
        <v xml:space="preserve"> </v>
      </c>
      <c r="DW143" s="10" t="str">
        <f t="shared" si="340"/>
        <v xml:space="preserve"> </v>
      </c>
      <c r="DX143" s="10" t="str">
        <f t="shared" si="340"/>
        <v xml:space="preserve"> </v>
      </c>
      <c r="DY143" s="10" t="str">
        <f t="shared" si="340"/>
        <v xml:space="preserve"> </v>
      </c>
      <c r="EB143" s="10" t="str">
        <f t="shared" si="341"/>
        <v xml:space="preserve"> </v>
      </c>
      <c r="EC143" s="10" t="str">
        <f t="shared" si="341"/>
        <v xml:space="preserve"> </v>
      </c>
      <c r="ED143" s="10" t="str">
        <f t="shared" si="341"/>
        <v xml:space="preserve"> </v>
      </c>
      <c r="EE143" s="10" t="str">
        <f t="shared" si="341"/>
        <v xml:space="preserve"> </v>
      </c>
      <c r="EF143" s="10" t="str">
        <f t="shared" si="341"/>
        <v xml:space="preserve"> </v>
      </c>
      <c r="EI143" s="10" t="str">
        <f t="shared" si="342"/>
        <v xml:space="preserve"> </v>
      </c>
      <c r="EJ143" s="10" t="str">
        <f t="shared" si="342"/>
        <v xml:space="preserve"> </v>
      </c>
      <c r="EK143" s="10" t="str">
        <f t="shared" si="342"/>
        <v xml:space="preserve"> </v>
      </c>
      <c r="EL143" s="10" t="str">
        <f t="shared" si="342"/>
        <v xml:space="preserve"> </v>
      </c>
      <c r="EM143" s="10" t="str">
        <f t="shared" si="342"/>
        <v xml:space="preserve"> </v>
      </c>
      <c r="EP143" s="10" t="str">
        <f t="shared" si="343"/>
        <v xml:space="preserve"> </v>
      </c>
      <c r="EQ143" s="10" t="str">
        <f t="shared" si="343"/>
        <v xml:space="preserve"> </v>
      </c>
      <c r="ER143" s="10" t="str">
        <f t="shared" si="343"/>
        <v xml:space="preserve"> </v>
      </c>
      <c r="ES143" s="10" t="str">
        <f t="shared" si="343"/>
        <v xml:space="preserve"> </v>
      </c>
      <c r="ET143" s="10" t="str">
        <f t="shared" si="343"/>
        <v xml:space="preserve"> </v>
      </c>
      <c r="EW143" s="10" t="str">
        <f t="shared" si="344"/>
        <v xml:space="preserve"> </v>
      </c>
      <c r="EX143" s="10" t="str">
        <f t="shared" si="344"/>
        <v xml:space="preserve"> </v>
      </c>
      <c r="EY143" s="10" t="str">
        <f t="shared" si="344"/>
        <v xml:space="preserve"> </v>
      </c>
      <c r="EZ143" s="10" t="str">
        <f t="shared" si="344"/>
        <v xml:space="preserve"> </v>
      </c>
      <c r="FA143" s="10" t="str">
        <f t="shared" si="344"/>
        <v xml:space="preserve"> </v>
      </c>
      <c r="FD143" s="10" t="str">
        <f t="shared" si="345"/>
        <v xml:space="preserve"> </v>
      </c>
      <c r="FE143" s="10" t="str">
        <f t="shared" si="345"/>
        <v xml:space="preserve"> </v>
      </c>
      <c r="FF143" s="10" t="str">
        <f t="shared" si="345"/>
        <v xml:space="preserve"> </v>
      </c>
      <c r="FG143" s="10" t="str">
        <f t="shared" si="345"/>
        <v xml:space="preserve"> </v>
      </c>
      <c r="FH143" s="10" t="str">
        <f t="shared" si="345"/>
        <v xml:space="preserve"> </v>
      </c>
      <c r="FK143" s="10" t="str">
        <f t="shared" si="346"/>
        <v xml:space="preserve"> </v>
      </c>
      <c r="FL143" s="10" t="str">
        <f t="shared" si="346"/>
        <v xml:space="preserve"> </v>
      </c>
      <c r="FM143" s="10" t="str">
        <f t="shared" si="346"/>
        <v xml:space="preserve"> </v>
      </c>
      <c r="FN143" s="10" t="str">
        <f t="shared" si="346"/>
        <v xml:space="preserve"> </v>
      </c>
      <c r="FO143" s="10" t="str">
        <f t="shared" si="346"/>
        <v xml:space="preserve"> </v>
      </c>
      <c r="FR143" s="10" t="str">
        <f t="shared" si="347"/>
        <v xml:space="preserve"> </v>
      </c>
      <c r="FS143" s="10" t="str">
        <f t="shared" si="347"/>
        <v xml:space="preserve"> </v>
      </c>
      <c r="FT143" s="10" t="str">
        <f t="shared" si="347"/>
        <v xml:space="preserve"> </v>
      </c>
      <c r="FU143" s="10" t="str">
        <f t="shared" si="347"/>
        <v xml:space="preserve"> </v>
      </c>
      <c r="FV143" s="10" t="str">
        <f t="shared" si="347"/>
        <v xml:space="preserve"> </v>
      </c>
      <c r="FY143" s="10" t="str">
        <f t="shared" si="348"/>
        <v xml:space="preserve"> </v>
      </c>
      <c r="FZ143" s="10" t="str">
        <f t="shared" si="348"/>
        <v xml:space="preserve"> </v>
      </c>
      <c r="GA143" s="10" t="str">
        <f t="shared" si="348"/>
        <v xml:space="preserve"> </v>
      </c>
      <c r="GB143" s="10" t="str">
        <f t="shared" si="348"/>
        <v xml:space="preserve"> </v>
      </c>
      <c r="GC143" s="10" t="str">
        <f t="shared" si="348"/>
        <v xml:space="preserve"> </v>
      </c>
      <c r="GF143" s="10" t="str">
        <f t="shared" si="349"/>
        <v xml:space="preserve"> </v>
      </c>
      <c r="GG143" s="10" t="str">
        <f t="shared" si="349"/>
        <v xml:space="preserve"> </v>
      </c>
      <c r="GH143" s="10" t="str">
        <f t="shared" si="349"/>
        <v xml:space="preserve"> </v>
      </c>
      <c r="GI143" s="10" t="str">
        <f t="shared" si="349"/>
        <v xml:space="preserve"> </v>
      </c>
      <c r="GJ143" s="10" t="str">
        <f t="shared" si="349"/>
        <v xml:space="preserve"> </v>
      </c>
      <c r="GM143" s="10" t="str">
        <f t="shared" si="350"/>
        <v xml:space="preserve"> </v>
      </c>
      <c r="GN143" s="10" t="str">
        <f t="shared" si="350"/>
        <v xml:space="preserve"> </v>
      </c>
      <c r="GO143" s="10" t="str">
        <f t="shared" si="350"/>
        <v xml:space="preserve"> </v>
      </c>
      <c r="GP143" s="10" t="str">
        <f t="shared" si="350"/>
        <v xml:space="preserve"> </v>
      </c>
      <c r="GQ143" s="10" t="str">
        <f t="shared" si="350"/>
        <v xml:space="preserve"> </v>
      </c>
      <c r="GT143" s="10" t="str">
        <f t="shared" si="351"/>
        <v xml:space="preserve"> </v>
      </c>
      <c r="GU143" s="10" t="str">
        <f t="shared" si="351"/>
        <v xml:space="preserve"> </v>
      </c>
      <c r="GV143" s="10" t="str">
        <f t="shared" si="351"/>
        <v xml:space="preserve"> </v>
      </c>
      <c r="GW143" s="10" t="str">
        <f t="shared" si="351"/>
        <v xml:space="preserve"> </v>
      </c>
      <c r="GX143" s="10" t="str">
        <f t="shared" si="351"/>
        <v xml:space="preserve"> </v>
      </c>
      <c r="HA143" s="10" t="str">
        <f t="shared" si="352"/>
        <v xml:space="preserve"> </v>
      </c>
      <c r="HB143" s="10" t="str">
        <f t="shared" si="352"/>
        <v xml:space="preserve"> </v>
      </c>
      <c r="HC143" s="10" t="str">
        <f t="shared" si="352"/>
        <v xml:space="preserve"> </v>
      </c>
      <c r="HD143" s="10" t="str">
        <f t="shared" si="352"/>
        <v xml:space="preserve"> </v>
      </c>
      <c r="HE143" s="10" t="str">
        <f t="shared" si="352"/>
        <v xml:space="preserve"> </v>
      </c>
      <c r="HH143" s="10" t="str">
        <f t="shared" si="353"/>
        <v xml:space="preserve"> </v>
      </c>
      <c r="HI143" s="10" t="str">
        <f t="shared" si="353"/>
        <v xml:space="preserve"> </v>
      </c>
      <c r="HJ143" s="10" t="str">
        <f t="shared" si="353"/>
        <v xml:space="preserve"> </v>
      </c>
      <c r="HK143" s="10" t="str">
        <f t="shared" si="353"/>
        <v xml:space="preserve"> </v>
      </c>
      <c r="HL143" s="10" t="str">
        <f t="shared" si="353"/>
        <v xml:space="preserve"> </v>
      </c>
      <c r="HO143" s="10" t="str">
        <f t="shared" si="354"/>
        <v xml:space="preserve"> </v>
      </c>
      <c r="HP143" s="10" t="str">
        <f t="shared" si="354"/>
        <v xml:space="preserve"> </v>
      </c>
      <c r="HQ143" s="10" t="str">
        <f t="shared" si="354"/>
        <v xml:space="preserve"> </v>
      </c>
      <c r="HR143" s="10" t="str">
        <f t="shared" si="354"/>
        <v xml:space="preserve"> </v>
      </c>
      <c r="HS143" s="10" t="str">
        <f t="shared" si="354"/>
        <v xml:space="preserve"> </v>
      </c>
      <c r="HV143" s="10" t="str">
        <f t="shared" si="355"/>
        <v xml:space="preserve"> </v>
      </c>
      <c r="HW143" s="10" t="str">
        <f t="shared" si="355"/>
        <v xml:space="preserve"> </v>
      </c>
      <c r="HX143" s="10" t="str">
        <f t="shared" si="355"/>
        <v xml:space="preserve"> </v>
      </c>
      <c r="HY143" s="10" t="str">
        <f t="shared" si="355"/>
        <v xml:space="preserve"> </v>
      </c>
      <c r="HZ143" s="10" t="str">
        <f t="shared" si="355"/>
        <v xml:space="preserve"> </v>
      </c>
      <c r="IC143" s="10" t="str">
        <f t="shared" si="356"/>
        <v xml:space="preserve"> </v>
      </c>
      <c r="ID143" s="10" t="str">
        <f t="shared" si="356"/>
        <v xml:space="preserve"> </v>
      </c>
      <c r="IE143" s="10" t="str">
        <f t="shared" si="356"/>
        <v xml:space="preserve"> </v>
      </c>
      <c r="IF143" s="10" t="str">
        <f t="shared" si="356"/>
        <v xml:space="preserve"> </v>
      </c>
      <c r="IG143" s="10" t="str">
        <f t="shared" si="356"/>
        <v xml:space="preserve"> </v>
      </c>
      <c r="IJ143" s="10" t="str">
        <f t="shared" si="357"/>
        <v xml:space="preserve"> </v>
      </c>
      <c r="IK143" s="10" t="str">
        <f t="shared" si="357"/>
        <v xml:space="preserve"> </v>
      </c>
      <c r="IL143" s="10" t="str">
        <f t="shared" si="357"/>
        <v xml:space="preserve"> </v>
      </c>
      <c r="IM143" s="10" t="str">
        <f t="shared" si="357"/>
        <v xml:space="preserve"> </v>
      </c>
      <c r="IN143" s="10" t="str">
        <f t="shared" si="357"/>
        <v xml:space="preserve"> </v>
      </c>
      <c r="IQ143" s="10" t="str">
        <f t="shared" si="358"/>
        <v xml:space="preserve"> </v>
      </c>
      <c r="IR143" s="10" t="str">
        <f t="shared" si="358"/>
        <v xml:space="preserve"> </v>
      </c>
      <c r="IS143" s="10" t="str">
        <f t="shared" si="358"/>
        <v xml:space="preserve"> </v>
      </c>
      <c r="IT143" s="10" t="str">
        <f t="shared" si="358"/>
        <v xml:space="preserve"> </v>
      </c>
      <c r="IU143" s="10" t="str">
        <f t="shared" si="358"/>
        <v xml:space="preserve"> </v>
      </c>
      <c r="IX143" s="10" t="str">
        <f t="shared" si="359"/>
        <v xml:space="preserve"> </v>
      </c>
      <c r="IY143" s="10" t="str">
        <f t="shared" si="359"/>
        <v xml:space="preserve"> </v>
      </c>
      <c r="IZ143" s="10" t="str">
        <f t="shared" si="359"/>
        <v xml:space="preserve"> </v>
      </c>
      <c r="JA143" s="10" t="str">
        <f t="shared" si="359"/>
        <v xml:space="preserve"> </v>
      </c>
      <c r="JB143" s="10" t="str">
        <f t="shared" si="359"/>
        <v xml:space="preserve"> </v>
      </c>
      <c r="JE143" s="10" t="str">
        <f t="shared" si="360"/>
        <v xml:space="preserve"> </v>
      </c>
      <c r="JF143" s="10" t="str">
        <f t="shared" si="360"/>
        <v xml:space="preserve"> </v>
      </c>
      <c r="JG143" s="10" t="str">
        <f t="shared" si="360"/>
        <v xml:space="preserve"> </v>
      </c>
      <c r="JH143" s="10" t="str">
        <f t="shared" si="360"/>
        <v xml:space="preserve"> </v>
      </c>
      <c r="JI143" s="10" t="str">
        <f t="shared" si="360"/>
        <v xml:space="preserve"> </v>
      </c>
    </row>
    <row r="144" spans="13:269">
      <c r="M144" s="10" t="str">
        <f t="shared" si="361"/>
        <v xml:space="preserve"> </v>
      </c>
      <c r="N144" s="10" t="str">
        <f t="shared" si="361"/>
        <v xml:space="preserve"> </v>
      </c>
      <c r="O144" s="10" t="str">
        <f t="shared" si="361"/>
        <v xml:space="preserve"> </v>
      </c>
      <c r="P144" s="10" t="str">
        <f t="shared" si="361"/>
        <v xml:space="preserve"> </v>
      </c>
      <c r="Q144" s="10" t="str">
        <f t="shared" si="361"/>
        <v xml:space="preserve"> </v>
      </c>
      <c r="R144" s="14"/>
      <c r="S144" s="14"/>
      <c r="T144" s="10" t="str">
        <f t="shared" si="325"/>
        <v xml:space="preserve"> </v>
      </c>
      <c r="U144" s="10" t="str">
        <f t="shared" si="325"/>
        <v xml:space="preserve"> </v>
      </c>
      <c r="V144" s="10" t="str">
        <f t="shared" si="325"/>
        <v xml:space="preserve"> </v>
      </c>
      <c r="W144" s="10" t="str">
        <f t="shared" si="325"/>
        <v xml:space="preserve"> </v>
      </c>
      <c r="X144" s="10" t="str">
        <f t="shared" si="325"/>
        <v xml:space="preserve"> </v>
      </c>
      <c r="Y144" s="14"/>
      <c r="Z144" s="14"/>
      <c r="AA144" s="10" t="str">
        <f t="shared" si="326"/>
        <v xml:space="preserve"> </v>
      </c>
      <c r="AB144" s="10" t="str">
        <f t="shared" si="326"/>
        <v xml:space="preserve"> </v>
      </c>
      <c r="AC144" s="10" t="str">
        <f t="shared" si="326"/>
        <v xml:space="preserve"> </v>
      </c>
      <c r="AD144" s="10" t="str">
        <f t="shared" si="326"/>
        <v xml:space="preserve"> </v>
      </c>
      <c r="AE144" s="10" t="str">
        <f t="shared" si="326"/>
        <v xml:space="preserve"> </v>
      </c>
      <c r="AF144" s="14"/>
      <c r="AG144" s="14"/>
      <c r="AH144" s="10" t="str">
        <f t="shared" si="327"/>
        <v xml:space="preserve"> </v>
      </c>
      <c r="AI144" s="10" t="str">
        <f t="shared" si="327"/>
        <v xml:space="preserve"> </v>
      </c>
      <c r="AJ144" s="10" t="str">
        <f t="shared" si="327"/>
        <v xml:space="preserve"> </v>
      </c>
      <c r="AK144" s="10" t="str">
        <f t="shared" si="327"/>
        <v xml:space="preserve"> </v>
      </c>
      <c r="AL144" s="10" t="str">
        <f t="shared" si="327"/>
        <v xml:space="preserve"> </v>
      </c>
      <c r="AM144" s="14"/>
      <c r="AN144" s="14"/>
      <c r="AO144" s="10" t="str">
        <f t="shared" si="328"/>
        <v xml:space="preserve"> </v>
      </c>
      <c r="AP144" s="10" t="str">
        <f t="shared" si="328"/>
        <v xml:space="preserve"> </v>
      </c>
      <c r="AQ144" s="10" t="str">
        <f t="shared" si="328"/>
        <v xml:space="preserve"> </v>
      </c>
      <c r="AR144" s="10" t="str">
        <f t="shared" si="328"/>
        <v xml:space="preserve"> </v>
      </c>
      <c r="AS144" s="10" t="str">
        <f t="shared" si="328"/>
        <v xml:space="preserve"> </v>
      </c>
      <c r="AT144" s="14"/>
      <c r="AU144" s="14"/>
      <c r="AV144" s="10" t="str">
        <f t="shared" si="329"/>
        <v xml:space="preserve"> </v>
      </c>
      <c r="AW144" s="10" t="str">
        <f t="shared" si="329"/>
        <v xml:space="preserve"> </v>
      </c>
      <c r="AX144" s="10" t="str">
        <f t="shared" si="329"/>
        <v xml:space="preserve"> </v>
      </c>
      <c r="AY144" s="10" t="str">
        <f t="shared" si="329"/>
        <v xml:space="preserve"> </v>
      </c>
      <c r="AZ144" s="10" t="str">
        <f t="shared" si="329"/>
        <v xml:space="preserve"> </v>
      </c>
      <c r="BA144" s="14"/>
      <c r="BB144" s="14"/>
      <c r="BC144" s="10" t="str">
        <f t="shared" si="330"/>
        <v xml:space="preserve"> </v>
      </c>
      <c r="BD144" s="10" t="str">
        <f t="shared" si="330"/>
        <v xml:space="preserve"> </v>
      </c>
      <c r="BE144" s="10" t="str">
        <f t="shared" si="330"/>
        <v xml:space="preserve"> </v>
      </c>
      <c r="BF144" s="10" t="str">
        <f t="shared" si="330"/>
        <v xml:space="preserve"> </v>
      </c>
      <c r="BG144" s="10" t="str">
        <f t="shared" si="330"/>
        <v xml:space="preserve"> </v>
      </c>
      <c r="BH144" s="14"/>
      <c r="BI144" s="14"/>
      <c r="BJ144" s="10" t="str">
        <f t="shared" si="331"/>
        <v xml:space="preserve"> </v>
      </c>
      <c r="BK144" s="10" t="str">
        <f t="shared" si="331"/>
        <v xml:space="preserve"> </v>
      </c>
      <c r="BL144" s="10" t="str">
        <f t="shared" si="331"/>
        <v xml:space="preserve"> </v>
      </c>
      <c r="BM144" s="10" t="str">
        <f t="shared" si="331"/>
        <v xml:space="preserve"> </v>
      </c>
      <c r="BN144" s="10" t="str">
        <f t="shared" si="331"/>
        <v xml:space="preserve"> </v>
      </c>
      <c r="BO144" s="14"/>
      <c r="BP144" s="14"/>
      <c r="BQ144" s="10" t="str">
        <f t="shared" si="332"/>
        <v xml:space="preserve"> </v>
      </c>
      <c r="BR144" s="10" t="str">
        <f t="shared" si="332"/>
        <v xml:space="preserve"> </v>
      </c>
      <c r="BS144" s="10" t="str">
        <f t="shared" si="332"/>
        <v xml:space="preserve"> </v>
      </c>
      <c r="BT144" s="10" t="str">
        <f t="shared" si="332"/>
        <v xml:space="preserve"> </v>
      </c>
      <c r="BU144" s="10" t="str">
        <f t="shared" si="332"/>
        <v xml:space="preserve"> </v>
      </c>
      <c r="BV144" s="14"/>
      <c r="BW144" s="14"/>
      <c r="BX144" s="10" t="str">
        <f t="shared" si="333"/>
        <v xml:space="preserve"> </v>
      </c>
      <c r="BY144" s="10" t="str">
        <f t="shared" si="333"/>
        <v xml:space="preserve"> </v>
      </c>
      <c r="BZ144" s="10" t="str">
        <f t="shared" si="333"/>
        <v xml:space="preserve"> </v>
      </c>
      <c r="CA144" s="10" t="str">
        <f t="shared" si="333"/>
        <v xml:space="preserve"> </v>
      </c>
      <c r="CB144" s="10" t="str">
        <f t="shared" si="333"/>
        <v xml:space="preserve"> </v>
      </c>
      <c r="CC144" s="14"/>
      <c r="CD144" s="14"/>
      <c r="CE144" s="10" t="str">
        <f t="shared" si="334"/>
        <v xml:space="preserve"> </v>
      </c>
      <c r="CF144" s="10" t="str">
        <f t="shared" si="334"/>
        <v xml:space="preserve"> </v>
      </c>
      <c r="CG144" s="10" t="str">
        <f t="shared" si="334"/>
        <v xml:space="preserve"> </v>
      </c>
      <c r="CH144" s="10" t="str">
        <f t="shared" si="334"/>
        <v xml:space="preserve"> </v>
      </c>
      <c r="CI144" s="10" t="str">
        <f t="shared" si="334"/>
        <v xml:space="preserve"> </v>
      </c>
      <c r="CJ144" s="14"/>
      <c r="CK144" s="14"/>
      <c r="CL144" s="10" t="str">
        <f t="shared" si="335"/>
        <v xml:space="preserve"> </v>
      </c>
      <c r="CM144" s="10" t="str">
        <f t="shared" si="335"/>
        <v xml:space="preserve"> </v>
      </c>
      <c r="CN144" s="10" t="str">
        <f t="shared" si="335"/>
        <v xml:space="preserve"> </v>
      </c>
      <c r="CO144" s="10" t="str">
        <f t="shared" si="335"/>
        <v xml:space="preserve"> </v>
      </c>
      <c r="CP144" s="10" t="str">
        <f t="shared" si="335"/>
        <v xml:space="preserve"> </v>
      </c>
      <c r="CQ144" s="14"/>
      <c r="CR144" s="14"/>
      <c r="CS144" s="10" t="str">
        <f t="shared" si="336"/>
        <v xml:space="preserve"> </v>
      </c>
      <c r="CT144" s="10" t="str">
        <f t="shared" si="336"/>
        <v xml:space="preserve"> </v>
      </c>
      <c r="CU144" s="10" t="str">
        <f t="shared" si="336"/>
        <v xml:space="preserve"> </v>
      </c>
      <c r="CV144" s="10" t="str">
        <f t="shared" si="336"/>
        <v xml:space="preserve"> </v>
      </c>
      <c r="CW144" s="10" t="str">
        <f t="shared" si="336"/>
        <v xml:space="preserve"> </v>
      </c>
      <c r="CZ144" s="10" t="str">
        <f t="shared" si="337"/>
        <v xml:space="preserve"> </v>
      </c>
      <c r="DA144" s="10" t="str">
        <f t="shared" si="337"/>
        <v xml:space="preserve"> </v>
      </c>
      <c r="DB144" s="10" t="str">
        <f t="shared" si="337"/>
        <v xml:space="preserve"> </v>
      </c>
      <c r="DC144" s="10" t="str">
        <f t="shared" si="337"/>
        <v xml:space="preserve"> </v>
      </c>
      <c r="DD144" s="10" t="str">
        <f t="shared" si="337"/>
        <v xml:space="preserve"> </v>
      </c>
      <c r="DG144" s="10" t="str">
        <f t="shared" si="338"/>
        <v xml:space="preserve"> </v>
      </c>
      <c r="DH144" s="10" t="str">
        <f t="shared" si="338"/>
        <v xml:space="preserve"> </v>
      </c>
      <c r="DI144" s="10" t="str">
        <f t="shared" si="338"/>
        <v xml:space="preserve"> </v>
      </c>
      <c r="DJ144" s="10" t="str">
        <f t="shared" si="338"/>
        <v xml:space="preserve"> </v>
      </c>
      <c r="DK144" s="10" t="str">
        <f t="shared" si="338"/>
        <v xml:space="preserve"> </v>
      </c>
      <c r="DN144" s="10" t="str">
        <f t="shared" si="339"/>
        <v xml:space="preserve"> </v>
      </c>
      <c r="DO144" s="10" t="str">
        <f t="shared" si="339"/>
        <v xml:space="preserve"> </v>
      </c>
      <c r="DP144" s="10" t="str">
        <f t="shared" si="339"/>
        <v xml:space="preserve"> </v>
      </c>
      <c r="DQ144" s="10" t="str">
        <f t="shared" si="339"/>
        <v xml:space="preserve"> </v>
      </c>
      <c r="DR144" s="10" t="str">
        <f t="shared" si="339"/>
        <v xml:space="preserve"> </v>
      </c>
      <c r="DU144" s="10" t="str">
        <f t="shared" si="340"/>
        <v xml:space="preserve"> </v>
      </c>
      <c r="DV144" s="10" t="str">
        <f t="shared" si="340"/>
        <v xml:space="preserve"> </v>
      </c>
      <c r="DW144" s="10" t="str">
        <f t="shared" si="340"/>
        <v xml:space="preserve"> </v>
      </c>
      <c r="DX144" s="10" t="str">
        <f t="shared" si="340"/>
        <v xml:space="preserve"> </v>
      </c>
      <c r="DY144" s="10" t="str">
        <f t="shared" si="340"/>
        <v xml:space="preserve"> </v>
      </c>
      <c r="EB144" s="10" t="str">
        <f t="shared" si="341"/>
        <v xml:space="preserve"> </v>
      </c>
      <c r="EC144" s="10" t="str">
        <f t="shared" si="341"/>
        <v xml:space="preserve"> </v>
      </c>
      <c r="ED144" s="10" t="str">
        <f t="shared" si="341"/>
        <v xml:space="preserve"> </v>
      </c>
      <c r="EE144" s="10" t="str">
        <f t="shared" si="341"/>
        <v xml:space="preserve"> </v>
      </c>
      <c r="EF144" s="10" t="str">
        <f t="shared" si="341"/>
        <v xml:space="preserve"> </v>
      </c>
      <c r="EI144" s="10" t="str">
        <f t="shared" si="342"/>
        <v xml:space="preserve"> </v>
      </c>
      <c r="EJ144" s="10" t="str">
        <f t="shared" si="342"/>
        <v xml:space="preserve"> </v>
      </c>
      <c r="EK144" s="10" t="str">
        <f t="shared" si="342"/>
        <v xml:space="preserve"> </v>
      </c>
      <c r="EL144" s="10" t="str">
        <f t="shared" si="342"/>
        <v xml:space="preserve"> </v>
      </c>
      <c r="EM144" s="10" t="str">
        <f t="shared" si="342"/>
        <v xml:space="preserve"> </v>
      </c>
      <c r="EP144" s="10" t="str">
        <f t="shared" si="343"/>
        <v xml:space="preserve"> </v>
      </c>
      <c r="EQ144" s="10" t="str">
        <f t="shared" si="343"/>
        <v xml:space="preserve"> </v>
      </c>
      <c r="ER144" s="10" t="str">
        <f t="shared" si="343"/>
        <v xml:space="preserve"> </v>
      </c>
      <c r="ES144" s="10" t="str">
        <f t="shared" si="343"/>
        <v xml:space="preserve"> </v>
      </c>
      <c r="ET144" s="10" t="str">
        <f t="shared" si="343"/>
        <v xml:space="preserve"> </v>
      </c>
      <c r="EW144" s="10" t="str">
        <f t="shared" si="344"/>
        <v xml:space="preserve"> </v>
      </c>
      <c r="EX144" s="10" t="str">
        <f t="shared" si="344"/>
        <v xml:space="preserve"> </v>
      </c>
      <c r="EY144" s="10" t="str">
        <f t="shared" si="344"/>
        <v xml:space="preserve"> </v>
      </c>
      <c r="EZ144" s="10" t="str">
        <f t="shared" si="344"/>
        <v xml:space="preserve"> </v>
      </c>
      <c r="FA144" s="10" t="str">
        <f t="shared" si="344"/>
        <v xml:space="preserve"> </v>
      </c>
      <c r="FD144" s="10" t="str">
        <f t="shared" si="345"/>
        <v xml:space="preserve"> </v>
      </c>
      <c r="FE144" s="10" t="str">
        <f t="shared" si="345"/>
        <v xml:space="preserve"> </v>
      </c>
      <c r="FF144" s="10" t="str">
        <f t="shared" si="345"/>
        <v xml:space="preserve"> </v>
      </c>
      <c r="FG144" s="10" t="str">
        <f t="shared" si="345"/>
        <v xml:space="preserve"> </v>
      </c>
      <c r="FH144" s="10" t="str">
        <f t="shared" si="345"/>
        <v xml:space="preserve"> </v>
      </c>
      <c r="FK144" s="10" t="str">
        <f t="shared" si="346"/>
        <v xml:space="preserve"> </v>
      </c>
      <c r="FL144" s="10" t="str">
        <f t="shared" si="346"/>
        <v xml:space="preserve"> </v>
      </c>
      <c r="FM144" s="10" t="str">
        <f t="shared" si="346"/>
        <v xml:space="preserve"> </v>
      </c>
      <c r="FN144" s="10" t="str">
        <f t="shared" si="346"/>
        <v xml:space="preserve"> </v>
      </c>
      <c r="FO144" s="10" t="str">
        <f t="shared" si="346"/>
        <v xml:space="preserve"> </v>
      </c>
      <c r="FR144" s="10" t="str">
        <f t="shared" si="347"/>
        <v xml:space="preserve"> </v>
      </c>
      <c r="FS144" s="10" t="str">
        <f t="shared" si="347"/>
        <v xml:space="preserve"> </v>
      </c>
      <c r="FT144" s="10" t="str">
        <f t="shared" si="347"/>
        <v xml:space="preserve"> </v>
      </c>
      <c r="FU144" s="10" t="str">
        <f t="shared" si="347"/>
        <v xml:space="preserve"> </v>
      </c>
      <c r="FV144" s="10" t="str">
        <f t="shared" si="347"/>
        <v xml:space="preserve"> </v>
      </c>
      <c r="FY144" s="10" t="str">
        <f t="shared" si="348"/>
        <v xml:space="preserve"> </v>
      </c>
      <c r="FZ144" s="10" t="str">
        <f t="shared" si="348"/>
        <v xml:space="preserve"> </v>
      </c>
      <c r="GA144" s="10" t="str">
        <f t="shared" si="348"/>
        <v xml:space="preserve"> </v>
      </c>
      <c r="GB144" s="10" t="str">
        <f t="shared" si="348"/>
        <v xml:space="preserve"> </v>
      </c>
      <c r="GC144" s="10" t="str">
        <f t="shared" si="348"/>
        <v xml:space="preserve"> </v>
      </c>
      <c r="GF144" s="10" t="str">
        <f t="shared" si="349"/>
        <v xml:space="preserve"> </v>
      </c>
      <c r="GG144" s="10" t="str">
        <f t="shared" si="349"/>
        <v xml:space="preserve"> </v>
      </c>
      <c r="GH144" s="10" t="str">
        <f t="shared" si="349"/>
        <v xml:space="preserve"> </v>
      </c>
      <c r="GI144" s="10" t="str">
        <f t="shared" si="349"/>
        <v xml:space="preserve"> </v>
      </c>
      <c r="GJ144" s="10" t="str">
        <f t="shared" si="349"/>
        <v xml:space="preserve"> </v>
      </c>
      <c r="GM144" s="10" t="str">
        <f t="shared" si="350"/>
        <v xml:space="preserve"> </v>
      </c>
      <c r="GN144" s="10" t="str">
        <f t="shared" si="350"/>
        <v xml:space="preserve"> </v>
      </c>
      <c r="GO144" s="10" t="str">
        <f t="shared" si="350"/>
        <v xml:space="preserve"> </v>
      </c>
      <c r="GP144" s="10" t="str">
        <f t="shared" si="350"/>
        <v xml:space="preserve"> </v>
      </c>
      <c r="GQ144" s="10" t="str">
        <f t="shared" si="350"/>
        <v xml:space="preserve"> </v>
      </c>
      <c r="GT144" s="10" t="str">
        <f t="shared" si="351"/>
        <v xml:space="preserve"> </v>
      </c>
      <c r="GU144" s="10" t="str">
        <f t="shared" si="351"/>
        <v xml:space="preserve"> </v>
      </c>
      <c r="GV144" s="10" t="str">
        <f t="shared" si="351"/>
        <v xml:space="preserve"> </v>
      </c>
      <c r="GW144" s="10" t="str">
        <f t="shared" si="351"/>
        <v xml:space="preserve"> </v>
      </c>
      <c r="GX144" s="10" t="str">
        <f t="shared" si="351"/>
        <v xml:space="preserve"> </v>
      </c>
      <c r="HA144" s="10" t="str">
        <f t="shared" si="352"/>
        <v xml:space="preserve"> </v>
      </c>
      <c r="HB144" s="10" t="str">
        <f t="shared" si="352"/>
        <v xml:space="preserve"> </v>
      </c>
      <c r="HC144" s="10" t="str">
        <f t="shared" si="352"/>
        <v xml:space="preserve"> </v>
      </c>
      <c r="HD144" s="10" t="str">
        <f t="shared" si="352"/>
        <v xml:space="preserve"> </v>
      </c>
      <c r="HE144" s="10" t="str">
        <f t="shared" si="352"/>
        <v xml:space="preserve"> </v>
      </c>
      <c r="HH144" s="10" t="str">
        <f t="shared" si="353"/>
        <v xml:space="preserve"> </v>
      </c>
      <c r="HI144" s="10" t="str">
        <f t="shared" si="353"/>
        <v xml:space="preserve"> </v>
      </c>
      <c r="HJ144" s="10" t="str">
        <f t="shared" si="353"/>
        <v xml:space="preserve"> </v>
      </c>
      <c r="HK144" s="10" t="str">
        <f t="shared" si="353"/>
        <v xml:space="preserve"> </v>
      </c>
      <c r="HL144" s="10" t="str">
        <f t="shared" si="353"/>
        <v xml:space="preserve"> </v>
      </c>
      <c r="HO144" s="10" t="str">
        <f t="shared" si="354"/>
        <v xml:space="preserve"> </v>
      </c>
      <c r="HP144" s="10" t="str">
        <f t="shared" si="354"/>
        <v xml:space="preserve"> </v>
      </c>
      <c r="HQ144" s="10" t="str">
        <f t="shared" si="354"/>
        <v xml:space="preserve"> </v>
      </c>
      <c r="HR144" s="10" t="str">
        <f t="shared" si="354"/>
        <v xml:space="preserve"> </v>
      </c>
      <c r="HS144" s="10" t="str">
        <f t="shared" si="354"/>
        <v xml:space="preserve"> </v>
      </c>
      <c r="HV144" s="10" t="str">
        <f t="shared" si="355"/>
        <v xml:space="preserve"> </v>
      </c>
      <c r="HW144" s="10" t="str">
        <f t="shared" si="355"/>
        <v xml:space="preserve"> </v>
      </c>
      <c r="HX144" s="10" t="str">
        <f t="shared" si="355"/>
        <v xml:space="preserve"> </v>
      </c>
      <c r="HY144" s="10" t="str">
        <f t="shared" si="355"/>
        <v xml:space="preserve"> </v>
      </c>
      <c r="HZ144" s="10" t="str">
        <f t="shared" si="355"/>
        <v xml:space="preserve"> </v>
      </c>
      <c r="IC144" s="10" t="str">
        <f t="shared" si="356"/>
        <v xml:space="preserve"> </v>
      </c>
      <c r="ID144" s="10" t="str">
        <f t="shared" si="356"/>
        <v xml:space="preserve"> </v>
      </c>
      <c r="IE144" s="10" t="str">
        <f t="shared" si="356"/>
        <v xml:space="preserve"> </v>
      </c>
      <c r="IF144" s="10" t="str">
        <f t="shared" si="356"/>
        <v xml:space="preserve"> </v>
      </c>
      <c r="IG144" s="10" t="str">
        <f t="shared" si="356"/>
        <v xml:space="preserve"> </v>
      </c>
      <c r="IJ144" s="10" t="str">
        <f t="shared" si="357"/>
        <v xml:space="preserve"> </v>
      </c>
      <c r="IK144" s="10" t="str">
        <f t="shared" si="357"/>
        <v xml:space="preserve"> </v>
      </c>
      <c r="IL144" s="10" t="str">
        <f t="shared" si="357"/>
        <v xml:space="preserve"> </v>
      </c>
      <c r="IM144" s="10" t="str">
        <f t="shared" si="357"/>
        <v xml:space="preserve"> </v>
      </c>
      <c r="IN144" s="10" t="str">
        <f t="shared" si="357"/>
        <v xml:space="preserve"> </v>
      </c>
      <c r="IQ144" s="10" t="str">
        <f t="shared" si="358"/>
        <v xml:space="preserve"> </v>
      </c>
      <c r="IR144" s="10" t="str">
        <f t="shared" si="358"/>
        <v xml:space="preserve"> </v>
      </c>
      <c r="IS144" s="10" t="str">
        <f t="shared" si="358"/>
        <v xml:space="preserve"> </v>
      </c>
      <c r="IT144" s="10" t="str">
        <f t="shared" si="358"/>
        <v xml:space="preserve"> </v>
      </c>
      <c r="IU144" s="10" t="str">
        <f t="shared" si="358"/>
        <v xml:space="preserve"> </v>
      </c>
      <c r="IX144" s="10" t="str">
        <f t="shared" si="359"/>
        <v xml:space="preserve"> </v>
      </c>
      <c r="IY144" s="10" t="str">
        <f t="shared" si="359"/>
        <v xml:space="preserve"> </v>
      </c>
      <c r="IZ144" s="10" t="str">
        <f t="shared" si="359"/>
        <v xml:space="preserve"> </v>
      </c>
      <c r="JA144" s="10" t="str">
        <f t="shared" si="359"/>
        <v xml:space="preserve"> </v>
      </c>
      <c r="JB144" s="10" t="str">
        <f t="shared" si="359"/>
        <v xml:space="preserve"> </v>
      </c>
      <c r="JE144" s="10" t="str">
        <f t="shared" si="360"/>
        <v xml:space="preserve"> </v>
      </c>
      <c r="JF144" s="10" t="str">
        <f t="shared" si="360"/>
        <v xml:space="preserve"> </v>
      </c>
      <c r="JG144" s="10" t="str">
        <f t="shared" si="360"/>
        <v xml:space="preserve"> </v>
      </c>
      <c r="JH144" s="10" t="str">
        <f t="shared" si="360"/>
        <v xml:space="preserve"> </v>
      </c>
      <c r="JI144" s="10" t="str">
        <f t="shared" si="360"/>
        <v xml:space="preserve"> </v>
      </c>
    </row>
    <row r="145" spans="13:269">
      <c r="M145" s="10" t="str">
        <f t="shared" si="361"/>
        <v xml:space="preserve"> </v>
      </c>
      <c r="N145" s="10" t="str">
        <f t="shared" si="361"/>
        <v xml:space="preserve"> </v>
      </c>
      <c r="O145" s="10" t="str">
        <f t="shared" si="361"/>
        <v xml:space="preserve"> </v>
      </c>
      <c r="P145" s="10" t="str">
        <f t="shared" si="361"/>
        <v xml:space="preserve"> </v>
      </c>
      <c r="Q145" s="10" t="str">
        <f t="shared" si="361"/>
        <v xml:space="preserve"> </v>
      </c>
      <c r="R145" s="14"/>
      <c r="S145" s="14"/>
      <c r="T145" s="10" t="str">
        <f t="shared" si="325"/>
        <v xml:space="preserve"> </v>
      </c>
      <c r="U145" s="10" t="str">
        <f t="shared" si="325"/>
        <v xml:space="preserve"> </v>
      </c>
      <c r="V145" s="10" t="str">
        <f t="shared" si="325"/>
        <v xml:space="preserve"> </v>
      </c>
      <c r="W145" s="10" t="str">
        <f t="shared" si="325"/>
        <v xml:space="preserve"> </v>
      </c>
      <c r="X145" s="10" t="str">
        <f t="shared" si="325"/>
        <v xml:space="preserve"> </v>
      </c>
      <c r="Y145" s="14"/>
      <c r="Z145" s="14"/>
      <c r="AA145" s="10" t="str">
        <f t="shared" si="326"/>
        <v xml:space="preserve"> </v>
      </c>
      <c r="AB145" s="10" t="str">
        <f t="shared" si="326"/>
        <v xml:space="preserve"> </v>
      </c>
      <c r="AC145" s="10" t="str">
        <f t="shared" si="326"/>
        <v xml:space="preserve"> </v>
      </c>
      <c r="AD145" s="10" t="str">
        <f t="shared" si="326"/>
        <v xml:space="preserve"> </v>
      </c>
      <c r="AE145" s="10" t="str">
        <f t="shared" si="326"/>
        <v xml:space="preserve"> </v>
      </c>
      <c r="AF145" s="14"/>
      <c r="AG145" s="14"/>
      <c r="AH145" s="10" t="str">
        <f t="shared" si="327"/>
        <v xml:space="preserve"> </v>
      </c>
      <c r="AI145" s="10" t="str">
        <f t="shared" si="327"/>
        <v xml:space="preserve"> </v>
      </c>
      <c r="AJ145" s="10" t="str">
        <f t="shared" si="327"/>
        <v xml:space="preserve"> </v>
      </c>
      <c r="AK145" s="10" t="str">
        <f t="shared" si="327"/>
        <v xml:space="preserve"> </v>
      </c>
      <c r="AL145" s="10" t="str">
        <f t="shared" si="327"/>
        <v xml:space="preserve"> </v>
      </c>
      <c r="AM145" s="14"/>
      <c r="AN145" s="14"/>
      <c r="AO145" s="10" t="str">
        <f t="shared" si="328"/>
        <v xml:space="preserve"> </v>
      </c>
      <c r="AP145" s="10" t="str">
        <f t="shared" si="328"/>
        <v xml:space="preserve"> </v>
      </c>
      <c r="AQ145" s="10" t="str">
        <f t="shared" si="328"/>
        <v xml:space="preserve"> </v>
      </c>
      <c r="AR145" s="10" t="str">
        <f t="shared" si="328"/>
        <v xml:space="preserve"> </v>
      </c>
      <c r="AS145" s="10" t="str">
        <f t="shared" si="328"/>
        <v xml:space="preserve"> </v>
      </c>
      <c r="AT145" s="14"/>
      <c r="AU145" s="14"/>
      <c r="AV145" s="10" t="str">
        <f t="shared" si="329"/>
        <v xml:space="preserve"> </v>
      </c>
      <c r="AW145" s="10" t="str">
        <f t="shared" si="329"/>
        <v xml:space="preserve"> </v>
      </c>
      <c r="AX145" s="10" t="str">
        <f t="shared" si="329"/>
        <v xml:space="preserve"> </v>
      </c>
      <c r="AY145" s="10" t="str">
        <f t="shared" si="329"/>
        <v xml:space="preserve"> </v>
      </c>
      <c r="AZ145" s="10" t="str">
        <f t="shared" si="329"/>
        <v xml:space="preserve"> </v>
      </c>
      <c r="BA145" s="14"/>
      <c r="BB145" s="14"/>
      <c r="BC145" s="10" t="str">
        <f t="shared" si="330"/>
        <v xml:space="preserve"> </v>
      </c>
      <c r="BD145" s="10" t="str">
        <f t="shared" si="330"/>
        <v xml:space="preserve"> </v>
      </c>
      <c r="BE145" s="10" t="str">
        <f t="shared" si="330"/>
        <v xml:space="preserve"> </v>
      </c>
      <c r="BF145" s="10" t="str">
        <f t="shared" si="330"/>
        <v xml:space="preserve"> </v>
      </c>
      <c r="BG145" s="10" t="str">
        <f t="shared" si="330"/>
        <v xml:space="preserve"> </v>
      </c>
      <c r="BH145" s="14"/>
      <c r="BI145" s="14"/>
      <c r="BJ145" s="10" t="str">
        <f t="shared" si="331"/>
        <v xml:space="preserve"> </v>
      </c>
      <c r="BK145" s="10" t="str">
        <f t="shared" si="331"/>
        <v xml:space="preserve"> </v>
      </c>
      <c r="BL145" s="10" t="str">
        <f t="shared" si="331"/>
        <v xml:space="preserve"> </v>
      </c>
      <c r="BM145" s="10" t="str">
        <f t="shared" si="331"/>
        <v xml:space="preserve"> </v>
      </c>
      <c r="BN145" s="10" t="str">
        <f t="shared" si="331"/>
        <v xml:space="preserve"> </v>
      </c>
      <c r="BO145" s="14"/>
      <c r="BP145" s="14"/>
      <c r="BQ145" s="10" t="str">
        <f t="shared" si="332"/>
        <v xml:space="preserve"> </v>
      </c>
      <c r="BR145" s="10" t="str">
        <f t="shared" si="332"/>
        <v xml:space="preserve"> </v>
      </c>
      <c r="BS145" s="10" t="str">
        <f t="shared" si="332"/>
        <v xml:space="preserve"> </v>
      </c>
      <c r="BT145" s="10" t="str">
        <f t="shared" si="332"/>
        <v xml:space="preserve"> </v>
      </c>
      <c r="BU145" s="10" t="str">
        <f t="shared" si="332"/>
        <v xml:space="preserve"> </v>
      </c>
      <c r="BV145" s="14"/>
      <c r="BW145" s="14"/>
      <c r="BX145" s="10" t="str">
        <f t="shared" si="333"/>
        <v xml:space="preserve"> </v>
      </c>
      <c r="BY145" s="10" t="str">
        <f t="shared" si="333"/>
        <v xml:space="preserve"> </v>
      </c>
      <c r="BZ145" s="10" t="str">
        <f t="shared" si="333"/>
        <v xml:space="preserve"> </v>
      </c>
      <c r="CA145" s="10" t="str">
        <f t="shared" si="333"/>
        <v xml:space="preserve"> </v>
      </c>
      <c r="CB145" s="10" t="str">
        <f t="shared" si="333"/>
        <v xml:space="preserve"> </v>
      </c>
      <c r="CC145" s="14"/>
      <c r="CD145" s="14"/>
      <c r="CE145" s="10" t="str">
        <f t="shared" si="334"/>
        <v xml:space="preserve"> </v>
      </c>
      <c r="CF145" s="10" t="str">
        <f t="shared" si="334"/>
        <v xml:space="preserve"> </v>
      </c>
      <c r="CG145" s="10" t="str">
        <f t="shared" si="334"/>
        <v xml:space="preserve"> </v>
      </c>
      <c r="CH145" s="10" t="str">
        <f t="shared" si="334"/>
        <v xml:space="preserve"> </v>
      </c>
      <c r="CI145" s="10" t="str">
        <f t="shared" si="334"/>
        <v xml:space="preserve"> </v>
      </c>
      <c r="CJ145" s="14"/>
      <c r="CK145" s="14"/>
      <c r="CL145" s="10" t="str">
        <f t="shared" si="335"/>
        <v xml:space="preserve"> </v>
      </c>
      <c r="CM145" s="10" t="str">
        <f t="shared" si="335"/>
        <v xml:space="preserve"> </v>
      </c>
      <c r="CN145" s="10" t="str">
        <f t="shared" si="335"/>
        <v xml:space="preserve"> </v>
      </c>
      <c r="CO145" s="10" t="str">
        <f t="shared" si="335"/>
        <v xml:space="preserve"> </v>
      </c>
      <c r="CP145" s="10" t="str">
        <f t="shared" si="335"/>
        <v xml:space="preserve"> </v>
      </c>
      <c r="CQ145" s="14"/>
      <c r="CR145" s="14"/>
      <c r="CS145" s="10" t="str">
        <f t="shared" si="336"/>
        <v xml:space="preserve"> </v>
      </c>
      <c r="CT145" s="10" t="str">
        <f t="shared" si="336"/>
        <v xml:space="preserve"> </v>
      </c>
      <c r="CU145" s="10" t="str">
        <f t="shared" si="336"/>
        <v xml:space="preserve"> </v>
      </c>
      <c r="CV145" s="10" t="str">
        <f t="shared" si="336"/>
        <v xml:space="preserve"> </v>
      </c>
      <c r="CW145" s="10" t="str">
        <f t="shared" si="336"/>
        <v xml:space="preserve"> </v>
      </c>
      <c r="CZ145" s="10" t="str">
        <f t="shared" si="337"/>
        <v xml:space="preserve"> </v>
      </c>
      <c r="DA145" s="10" t="str">
        <f t="shared" si="337"/>
        <v xml:space="preserve"> </v>
      </c>
      <c r="DB145" s="10" t="str">
        <f t="shared" si="337"/>
        <v xml:space="preserve"> </v>
      </c>
      <c r="DC145" s="10" t="str">
        <f t="shared" si="337"/>
        <v xml:space="preserve"> </v>
      </c>
      <c r="DD145" s="10" t="str">
        <f t="shared" si="337"/>
        <v xml:space="preserve"> </v>
      </c>
      <c r="DG145" s="10" t="str">
        <f t="shared" si="338"/>
        <v xml:space="preserve"> </v>
      </c>
      <c r="DH145" s="10" t="str">
        <f t="shared" si="338"/>
        <v xml:space="preserve"> </v>
      </c>
      <c r="DI145" s="10" t="str">
        <f t="shared" si="338"/>
        <v xml:space="preserve"> </v>
      </c>
      <c r="DJ145" s="10" t="str">
        <f t="shared" si="338"/>
        <v xml:space="preserve"> </v>
      </c>
      <c r="DK145" s="10" t="str">
        <f t="shared" si="338"/>
        <v xml:space="preserve"> </v>
      </c>
      <c r="DN145" s="10" t="str">
        <f t="shared" si="339"/>
        <v xml:space="preserve"> </v>
      </c>
      <c r="DO145" s="10" t="str">
        <f t="shared" si="339"/>
        <v xml:space="preserve"> </v>
      </c>
      <c r="DP145" s="10" t="str">
        <f t="shared" si="339"/>
        <v xml:space="preserve"> </v>
      </c>
      <c r="DQ145" s="10" t="str">
        <f t="shared" si="339"/>
        <v xml:space="preserve"> </v>
      </c>
      <c r="DR145" s="10" t="str">
        <f t="shared" si="339"/>
        <v xml:space="preserve"> </v>
      </c>
      <c r="DU145" s="10" t="str">
        <f t="shared" si="340"/>
        <v xml:space="preserve"> </v>
      </c>
      <c r="DV145" s="10" t="str">
        <f t="shared" si="340"/>
        <v xml:space="preserve"> </v>
      </c>
      <c r="DW145" s="10" t="str">
        <f t="shared" si="340"/>
        <v xml:space="preserve"> </v>
      </c>
      <c r="DX145" s="10" t="str">
        <f t="shared" si="340"/>
        <v xml:space="preserve"> </v>
      </c>
      <c r="DY145" s="10" t="str">
        <f t="shared" si="340"/>
        <v xml:space="preserve"> </v>
      </c>
      <c r="EB145" s="10" t="str">
        <f t="shared" si="341"/>
        <v xml:space="preserve"> </v>
      </c>
      <c r="EC145" s="10" t="str">
        <f t="shared" si="341"/>
        <v xml:space="preserve"> </v>
      </c>
      <c r="ED145" s="10" t="str">
        <f t="shared" si="341"/>
        <v xml:space="preserve"> </v>
      </c>
      <c r="EE145" s="10" t="str">
        <f t="shared" si="341"/>
        <v xml:space="preserve"> </v>
      </c>
      <c r="EF145" s="10" t="str">
        <f t="shared" si="341"/>
        <v xml:space="preserve"> </v>
      </c>
      <c r="EI145" s="10" t="str">
        <f t="shared" si="342"/>
        <v xml:space="preserve"> </v>
      </c>
      <c r="EJ145" s="10" t="str">
        <f t="shared" si="342"/>
        <v xml:space="preserve"> </v>
      </c>
      <c r="EK145" s="10" t="str">
        <f t="shared" si="342"/>
        <v xml:space="preserve"> </v>
      </c>
      <c r="EL145" s="10" t="str">
        <f t="shared" si="342"/>
        <v xml:space="preserve"> </v>
      </c>
      <c r="EM145" s="10" t="str">
        <f t="shared" si="342"/>
        <v xml:space="preserve"> </v>
      </c>
      <c r="EP145" s="10" t="str">
        <f t="shared" si="343"/>
        <v xml:space="preserve"> </v>
      </c>
      <c r="EQ145" s="10" t="str">
        <f t="shared" si="343"/>
        <v xml:space="preserve"> </v>
      </c>
      <c r="ER145" s="10" t="str">
        <f t="shared" si="343"/>
        <v xml:space="preserve"> </v>
      </c>
      <c r="ES145" s="10" t="str">
        <f t="shared" si="343"/>
        <v xml:space="preserve"> </v>
      </c>
      <c r="ET145" s="10" t="str">
        <f t="shared" si="343"/>
        <v xml:space="preserve"> </v>
      </c>
      <c r="EW145" s="10" t="str">
        <f t="shared" si="344"/>
        <v xml:space="preserve"> </v>
      </c>
      <c r="EX145" s="10" t="str">
        <f t="shared" si="344"/>
        <v xml:space="preserve"> </v>
      </c>
      <c r="EY145" s="10" t="str">
        <f t="shared" si="344"/>
        <v xml:space="preserve"> </v>
      </c>
      <c r="EZ145" s="10" t="str">
        <f t="shared" si="344"/>
        <v xml:space="preserve"> </v>
      </c>
      <c r="FA145" s="10" t="str">
        <f t="shared" si="344"/>
        <v xml:space="preserve"> </v>
      </c>
      <c r="FD145" s="10" t="str">
        <f t="shared" si="345"/>
        <v xml:space="preserve"> </v>
      </c>
      <c r="FE145" s="10" t="str">
        <f t="shared" si="345"/>
        <v xml:space="preserve"> </v>
      </c>
      <c r="FF145" s="10" t="str">
        <f t="shared" si="345"/>
        <v xml:space="preserve"> </v>
      </c>
      <c r="FG145" s="10" t="str">
        <f t="shared" si="345"/>
        <v xml:space="preserve"> </v>
      </c>
      <c r="FH145" s="10" t="str">
        <f t="shared" si="345"/>
        <v xml:space="preserve"> </v>
      </c>
      <c r="FK145" s="10" t="str">
        <f t="shared" si="346"/>
        <v xml:space="preserve"> </v>
      </c>
      <c r="FL145" s="10" t="str">
        <f t="shared" si="346"/>
        <v xml:space="preserve"> </v>
      </c>
      <c r="FM145" s="10" t="str">
        <f t="shared" si="346"/>
        <v xml:space="preserve"> </v>
      </c>
      <c r="FN145" s="10" t="str">
        <f t="shared" si="346"/>
        <v xml:space="preserve"> </v>
      </c>
      <c r="FO145" s="10" t="str">
        <f t="shared" si="346"/>
        <v xml:space="preserve"> </v>
      </c>
      <c r="FR145" s="10" t="str">
        <f t="shared" si="347"/>
        <v xml:space="preserve"> </v>
      </c>
      <c r="FS145" s="10" t="str">
        <f t="shared" si="347"/>
        <v xml:space="preserve"> </v>
      </c>
      <c r="FT145" s="10" t="str">
        <f t="shared" si="347"/>
        <v xml:space="preserve"> </v>
      </c>
      <c r="FU145" s="10" t="str">
        <f t="shared" si="347"/>
        <v xml:space="preserve"> </v>
      </c>
      <c r="FV145" s="10" t="str">
        <f t="shared" si="347"/>
        <v xml:space="preserve"> </v>
      </c>
      <c r="FY145" s="10" t="str">
        <f t="shared" si="348"/>
        <v xml:space="preserve"> </v>
      </c>
      <c r="FZ145" s="10" t="str">
        <f t="shared" si="348"/>
        <v xml:space="preserve"> </v>
      </c>
      <c r="GA145" s="10" t="str">
        <f t="shared" si="348"/>
        <v xml:space="preserve"> </v>
      </c>
      <c r="GB145" s="10" t="str">
        <f t="shared" si="348"/>
        <v xml:space="preserve"> </v>
      </c>
      <c r="GC145" s="10" t="str">
        <f t="shared" si="348"/>
        <v xml:space="preserve"> </v>
      </c>
      <c r="GF145" s="10" t="str">
        <f t="shared" si="349"/>
        <v xml:space="preserve"> </v>
      </c>
      <c r="GG145" s="10" t="str">
        <f t="shared" si="349"/>
        <v xml:space="preserve"> </v>
      </c>
      <c r="GH145" s="10" t="str">
        <f t="shared" si="349"/>
        <v xml:space="preserve"> </v>
      </c>
      <c r="GI145" s="10" t="str">
        <f t="shared" si="349"/>
        <v xml:space="preserve"> </v>
      </c>
      <c r="GJ145" s="10" t="str">
        <f t="shared" si="349"/>
        <v xml:space="preserve"> </v>
      </c>
      <c r="GM145" s="10" t="str">
        <f t="shared" si="350"/>
        <v xml:space="preserve"> </v>
      </c>
      <c r="GN145" s="10" t="str">
        <f t="shared" si="350"/>
        <v xml:space="preserve"> </v>
      </c>
      <c r="GO145" s="10" t="str">
        <f t="shared" si="350"/>
        <v xml:space="preserve"> </v>
      </c>
      <c r="GP145" s="10" t="str">
        <f t="shared" si="350"/>
        <v xml:space="preserve"> </v>
      </c>
      <c r="GQ145" s="10" t="str">
        <f t="shared" si="350"/>
        <v xml:space="preserve"> </v>
      </c>
      <c r="GT145" s="10" t="str">
        <f t="shared" si="351"/>
        <v xml:space="preserve"> </v>
      </c>
      <c r="GU145" s="10" t="str">
        <f t="shared" si="351"/>
        <v xml:space="preserve"> </v>
      </c>
      <c r="GV145" s="10" t="str">
        <f t="shared" si="351"/>
        <v xml:space="preserve"> </v>
      </c>
      <c r="GW145" s="10" t="str">
        <f t="shared" si="351"/>
        <v xml:space="preserve"> </v>
      </c>
      <c r="GX145" s="10" t="str">
        <f t="shared" si="351"/>
        <v xml:space="preserve"> </v>
      </c>
      <c r="HA145" s="10" t="str">
        <f t="shared" si="352"/>
        <v xml:space="preserve"> </v>
      </c>
      <c r="HB145" s="10" t="str">
        <f t="shared" si="352"/>
        <v xml:space="preserve"> </v>
      </c>
      <c r="HC145" s="10" t="str">
        <f t="shared" si="352"/>
        <v xml:space="preserve"> </v>
      </c>
      <c r="HD145" s="10" t="str">
        <f t="shared" si="352"/>
        <v xml:space="preserve"> </v>
      </c>
      <c r="HE145" s="10" t="str">
        <f t="shared" si="352"/>
        <v xml:space="preserve"> </v>
      </c>
      <c r="HH145" s="10" t="str">
        <f t="shared" si="353"/>
        <v xml:space="preserve"> </v>
      </c>
      <c r="HI145" s="10" t="str">
        <f t="shared" si="353"/>
        <v xml:space="preserve"> </v>
      </c>
      <c r="HJ145" s="10" t="str">
        <f t="shared" si="353"/>
        <v xml:space="preserve"> </v>
      </c>
      <c r="HK145" s="10" t="str">
        <f t="shared" si="353"/>
        <v xml:space="preserve"> </v>
      </c>
      <c r="HL145" s="10" t="str">
        <f t="shared" si="353"/>
        <v xml:space="preserve"> </v>
      </c>
      <c r="HO145" s="10" t="str">
        <f t="shared" si="354"/>
        <v xml:space="preserve"> </v>
      </c>
      <c r="HP145" s="10" t="str">
        <f t="shared" si="354"/>
        <v xml:space="preserve"> </v>
      </c>
      <c r="HQ145" s="10" t="str">
        <f t="shared" si="354"/>
        <v xml:space="preserve"> </v>
      </c>
      <c r="HR145" s="10" t="str">
        <f t="shared" si="354"/>
        <v xml:space="preserve"> </v>
      </c>
      <c r="HS145" s="10" t="str">
        <f t="shared" si="354"/>
        <v xml:space="preserve"> </v>
      </c>
      <c r="HV145" s="10" t="str">
        <f t="shared" si="355"/>
        <v xml:space="preserve"> </v>
      </c>
      <c r="HW145" s="10" t="str">
        <f t="shared" si="355"/>
        <v xml:space="preserve"> </v>
      </c>
      <c r="HX145" s="10" t="str">
        <f t="shared" si="355"/>
        <v xml:space="preserve"> </v>
      </c>
      <c r="HY145" s="10" t="str">
        <f t="shared" si="355"/>
        <v xml:space="preserve"> </v>
      </c>
      <c r="HZ145" s="10" t="str">
        <f t="shared" si="355"/>
        <v xml:space="preserve"> </v>
      </c>
      <c r="IC145" s="10" t="str">
        <f t="shared" si="356"/>
        <v xml:space="preserve"> </v>
      </c>
      <c r="ID145" s="10" t="str">
        <f t="shared" si="356"/>
        <v xml:space="preserve"> </v>
      </c>
      <c r="IE145" s="10" t="str">
        <f t="shared" si="356"/>
        <v xml:space="preserve"> </v>
      </c>
      <c r="IF145" s="10" t="str">
        <f t="shared" si="356"/>
        <v xml:space="preserve"> </v>
      </c>
      <c r="IG145" s="10" t="str">
        <f t="shared" si="356"/>
        <v xml:space="preserve"> </v>
      </c>
      <c r="IJ145" s="10" t="str">
        <f t="shared" si="357"/>
        <v xml:space="preserve"> </v>
      </c>
      <c r="IK145" s="10" t="str">
        <f t="shared" si="357"/>
        <v xml:space="preserve"> </v>
      </c>
      <c r="IL145" s="10" t="str">
        <f t="shared" si="357"/>
        <v xml:space="preserve"> </v>
      </c>
      <c r="IM145" s="10" t="str">
        <f t="shared" si="357"/>
        <v xml:space="preserve"> </v>
      </c>
      <c r="IN145" s="10" t="str">
        <f t="shared" si="357"/>
        <v xml:space="preserve"> </v>
      </c>
      <c r="IQ145" s="10" t="str">
        <f t="shared" si="358"/>
        <v xml:space="preserve"> </v>
      </c>
      <c r="IR145" s="10" t="str">
        <f t="shared" si="358"/>
        <v xml:space="preserve"> </v>
      </c>
      <c r="IS145" s="10" t="str">
        <f t="shared" si="358"/>
        <v xml:space="preserve"> </v>
      </c>
      <c r="IT145" s="10" t="str">
        <f t="shared" si="358"/>
        <v xml:space="preserve"> </v>
      </c>
      <c r="IU145" s="10" t="str">
        <f t="shared" si="358"/>
        <v xml:space="preserve"> </v>
      </c>
      <c r="IX145" s="10" t="str">
        <f t="shared" si="359"/>
        <v xml:space="preserve"> </v>
      </c>
      <c r="IY145" s="10" t="str">
        <f t="shared" si="359"/>
        <v xml:space="preserve"> </v>
      </c>
      <c r="IZ145" s="10" t="str">
        <f t="shared" si="359"/>
        <v xml:space="preserve"> </v>
      </c>
      <c r="JA145" s="10" t="str">
        <f t="shared" si="359"/>
        <v xml:space="preserve"> </v>
      </c>
      <c r="JB145" s="10" t="str">
        <f t="shared" si="359"/>
        <v xml:space="preserve"> </v>
      </c>
      <c r="JE145" s="10" t="str">
        <f t="shared" si="360"/>
        <v xml:space="preserve"> </v>
      </c>
      <c r="JF145" s="10" t="str">
        <f t="shared" si="360"/>
        <v xml:space="preserve"> </v>
      </c>
      <c r="JG145" s="10" t="str">
        <f t="shared" si="360"/>
        <v xml:space="preserve"> </v>
      </c>
      <c r="JH145" s="10" t="str">
        <f t="shared" si="360"/>
        <v xml:space="preserve"> </v>
      </c>
      <c r="JI145" s="10" t="str">
        <f t="shared" si="360"/>
        <v xml:space="preserve"> </v>
      </c>
    </row>
    <row r="146" spans="13:269">
      <c r="M146" s="10" t="str">
        <f t="shared" si="361"/>
        <v xml:space="preserve"> </v>
      </c>
      <c r="N146" s="10" t="str">
        <f t="shared" si="361"/>
        <v xml:space="preserve"> </v>
      </c>
      <c r="O146" s="10" t="str">
        <f t="shared" si="361"/>
        <v xml:space="preserve"> </v>
      </c>
      <c r="P146" s="10" t="str">
        <f t="shared" si="361"/>
        <v xml:space="preserve"> </v>
      </c>
      <c r="Q146" s="10" t="str">
        <f t="shared" si="361"/>
        <v xml:space="preserve"> </v>
      </c>
      <c r="R146" s="14"/>
      <c r="S146" s="14"/>
      <c r="T146" s="10" t="str">
        <f t="shared" si="325"/>
        <v xml:space="preserve"> </v>
      </c>
      <c r="U146" s="10" t="str">
        <f t="shared" si="325"/>
        <v xml:space="preserve"> </v>
      </c>
      <c r="V146" s="10" t="str">
        <f t="shared" si="325"/>
        <v xml:space="preserve"> </v>
      </c>
      <c r="W146" s="10" t="str">
        <f t="shared" si="325"/>
        <v xml:space="preserve"> </v>
      </c>
      <c r="X146" s="10" t="str">
        <f t="shared" si="325"/>
        <v xml:space="preserve"> </v>
      </c>
      <c r="Y146" s="14"/>
      <c r="Z146" s="14"/>
      <c r="AA146" s="10" t="str">
        <f t="shared" si="326"/>
        <v xml:space="preserve"> </v>
      </c>
      <c r="AB146" s="10" t="str">
        <f t="shared" si="326"/>
        <v xml:space="preserve"> </v>
      </c>
      <c r="AC146" s="10" t="str">
        <f t="shared" si="326"/>
        <v xml:space="preserve"> </v>
      </c>
      <c r="AD146" s="10" t="str">
        <f t="shared" si="326"/>
        <v xml:space="preserve"> </v>
      </c>
      <c r="AE146" s="10" t="str">
        <f t="shared" si="326"/>
        <v xml:space="preserve"> </v>
      </c>
      <c r="AF146" s="14"/>
      <c r="AG146" s="14"/>
      <c r="AH146" s="10" t="str">
        <f t="shared" si="327"/>
        <v xml:space="preserve"> </v>
      </c>
      <c r="AI146" s="10" t="str">
        <f t="shared" si="327"/>
        <v xml:space="preserve"> </v>
      </c>
      <c r="AJ146" s="10" t="str">
        <f t="shared" si="327"/>
        <v xml:space="preserve"> </v>
      </c>
      <c r="AK146" s="10" t="str">
        <f t="shared" si="327"/>
        <v xml:space="preserve"> </v>
      </c>
      <c r="AL146" s="10" t="str">
        <f t="shared" si="327"/>
        <v xml:space="preserve"> </v>
      </c>
      <c r="AM146" s="14"/>
      <c r="AN146" s="14"/>
      <c r="AO146" s="10" t="str">
        <f t="shared" si="328"/>
        <v xml:space="preserve"> </v>
      </c>
      <c r="AP146" s="10" t="str">
        <f t="shared" si="328"/>
        <v xml:space="preserve"> </v>
      </c>
      <c r="AQ146" s="10" t="str">
        <f t="shared" si="328"/>
        <v xml:space="preserve"> </v>
      </c>
      <c r="AR146" s="10" t="str">
        <f t="shared" si="328"/>
        <v xml:space="preserve"> </v>
      </c>
      <c r="AS146" s="10" t="str">
        <f t="shared" si="328"/>
        <v xml:space="preserve"> </v>
      </c>
      <c r="AT146" s="14"/>
      <c r="AU146" s="14"/>
      <c r="AV146" s="10" t="str">
        <f t="shared" si="329"/>
        <v xml:space="preserve"> </v>
      </c>
      <c r="AW146" s="10" t="str">
        <f t="shared" si="329"/>
        <v xml:space="preserve"> </v>
      </c>
      <c r="AX146" s="10" t="str">
        <f t="shared" si="329"/>
        <v xml:space="preserve"> </v>
      </c>
      <c r="AY146" s="10" t="str">
        <f t="shared" si="329"/>
        <v xml:space="preserve"> </v>
      </c>
      <c r="AZ146" s="10" t="str">
        <f t="shared" si="329"/>
        <v xml:space="preserve"> </v>
      </c>
      <c r="BA146" s="14"/>
      <c r="BB146" s="14"/>
      <c r="BC146" s="10" t="str">
        <f t="shared" si="330"/>
        <v xml:space="preserve"> </v>
      </c>
      <c r="BD146" s="10" t="str">
        <f t="shared" si="330"/>
        <v xml:space="preserve"> </v>
      </c>
      <c r="BE146" s="10" t="str">
        <f t="shared" si="330"/>
        <v xml:space="preserve"> </v>
      </c>
      <c r="BF146" s="10" t="str">
        <f t="shared" si="330"/>
        <v xml:space="preserve"> </v>
      </c>
      <c r="BG146" s="10" t="str">
        <f t="shared" si="330"/>
        <v xml:space="preserve"> </v>
      </c>
      <c r="BH146" s="14"/>
      <c r="BI146" s="14"/>
      <c r="BJ146" s="10" t="str">
        <f t="shared" si="331"/>
        <v xml:space="preserve"> </v>
      </c>
      <c r="BK146" s="10" t="str">
        <f t="shared" si="331"/>
        <v xml:space="preserve"> </v>
      </c>
      <c r="BL146" s="10" t="str">
        <f t="shared" si="331"/>
        <v xml:space="preserve"> </v>
      </c>
      <c r="BM146" s="10" t="str">
        <f t="shared" si="331"/>
        <v xml:space="preserve"> </v>
      </c>
      <c r="BN146" s="10" t="str">
        <f t="shared" si="331"/>
        <v xml:space="preserve"> </v>
      </c>
      <c r="BO146" s="14"/>
      <c r="BP146" s="14"/>
      <c r="BQ146" s="10" t="str">
        <f t="shared" si="332"/>
        <v xml:space="preserve"> </v>
      </c>
      <c r="BR146" s="10" t="str">
        <f t="shared" si="332"/>
        <v xml:space="preserve"> </v>
      </c>
      <c r="BS146" s="10" t="str">
        <f t="shared" si="332"/>
        <v xml:space="preserve"> </v>
      </c>
      <c r="BT146" s="10" t="str">
        <f t="shared" si="332"/>
        <v xml:space="preserve"> </v>
      </c>
      <c r="BU146" s="10" t="str">
        <f t="shared" si="332"/>
        <v xml:space="preserve"> </v>
      </c>
      <c r="BV146" s="14"/>
      <c r="BW146" s="14"/>
      <c r="BX146" s="10" t="str">
        <f t="shared" si="333"/>
        <v xml:space="preserve"> </v>
      </c>
      <c r="BY146" s="10" t="str">
        <f t="shared" si="333"/>
        <v xml:space="preserve"> </v>
      </c>
      <c r="BZ146" s="10" t="str">
        <f t="shared" si="333"/>
        <v xml:space="preserve"> </v>
      </c>
      <c r="CA146" s="10" t="str">
        <f t="shared" si="333"/>
        <v xml:space="preserve"> </v>
      </c>
      <c r="CB146" s="10" t="str">
        <f t="shared" si="333"/>
        <v xml:space="preserve"> </v>
      </c>
      <c r="CC146" s="14"/>
      <c r="CD146" s="14"/>
      <c r="CE146" s="10" t="str">
        <f t="shared" si="334"/>
        <v xml:space="preserve"> </v>
      </c>
      <c r="CF146" s="10" t="str">
        <f t="shared" si="334"/>
        <v xml:space="preserve"> </v>
      </c>
      <c r="CG146" s="10" t="str">
        <f t="shared" si="334"/>
        <v xml:space="preserve"> </v>
      </c>
      <c r="CH146" s="10" t="str">
        <f t="shared" si="334"/>
        <v xml:space="preserve"> </v>
      </c>
      <c r="CI146" s="10" t="str">
        <f t="shared" si="334"/>
        <v xml:space="preserve"> </v>
      </c>
      <c r="CJ146" s="14"/>
      <c r="CK146" s="14"/>
      <c r="CL146" s="10" t="str">
        <f t="shared" si="335"/>
        <v xml:space="preserve"> </v>
      </c>
      <c r="CM146" s="10" t="str">
        <f t="shared" si="335"/>
        <v xml:space="preserve"> </v>
      </c>
      <c r="CN146" s="10" t="str">
        <f t="shared" si="335"/>
        <v xml:space="preserve"> </v>
      </c>
      <c r="CO146" s="10" t="str">
        <f t="shared" si="335"/>
        <v xml:space="preserve"> </v>
      </c>
      <c r="CP146" s="10" t="str">
        <f t="shared" si="335"/>
        <v xml:space="preserve"> </v>
      </c>
      <c r="CQ146" s="14"/>
      <c r="CR146" s="14"/>
      <c r="CS146" s="10" t="str">
        <f t="shared" si="336"/>
        <v xml:space="preserve"> </v>
      </c>
      <c r="CT146" s="10" t="str">
        <f t="shared" si="336"/>
        <v xml:space="preserve"> </v>
      </c>
      <c r="CU146" s="10" t="str">
        <f t="shared" si="336"/>
        <v xml:space="preserve"> </v>
      </c>
      <c r="CV146" s="10" t="str">
        <f t="shared" si="336"/>
        <v xml:space="preserve"> </v>
      </c>
      <c r="CW146" s="10" t="str">
        <f t="shared" si="336"/>
        <v xml:space="preserve"> </v>
      </c>
      <c r="CZ146" s="10" t="str">
        <f t="shared" si="337"/>
        <v xml:space="preserve"> </v>
      </c>
      <c r="DA146" s="10" t="str">
        <f t="shared" si="337"/>
        <v xml:space="preserve"> </v>
      </c>
      <c r="DB146" s="10" t="str">
        <f t="shared" si="337"/>
        <v xml:space="preserve"> </v>
      </c>
      <c r="DC146" s="10" t="str">
        <f t="shared" si="337"/>
        <v xml:space="preserve"> </v>
      </c>
      <c r="DD146" s="10" t="str">
        <f t="shared" si="337"/>
        <v xml:space="preserve"> </v>
      </c>
      <c r="DG146" s="10" t="str">
        <f t="shared" si="338"/>
        <v xml:space="preserve"> </v>
      </c>
      <c r="DH146" s="10" t="str">
        <f t="shared" si="338"/>
        <v xml:space="preserve"> </v>
      </c>
      <c r="DI146" s="10" t="str">
        <f t="shared" si="338"/>
        <v xml:space="preserve"> </v>
      </c>
      <c r="DJ146" s="10" t="str">
        <f t="shared" si="338"/>
        <v xml:space="preserve"> </v>
      </c>
      <c r="DK146" s="10" t="str">
        <f t="shared" si="338"/>
        <v xml:space="preserve"> </v>
      </c>
      <c r="DN146" s="10" t="str">
        <f t="shared" si="339"/>
        <v xml:space="preserve"> </v>
      </c>
      <c r="DO146" s="10" t="str">
        <f t="shared" si="339"/>
        <v xml:space="preserve"> </v>
      </c>
      <c r="DP146" s="10" t="str">
        <f t="shared" si="339"/>
        <v xml:space="preserve"> </v>
      </c>
      <c r="DQ146" s="10" t="str">
        <f t="shared" si="339"/>
        <v xml:space="preserve"> </v>
      </c>
      <c r="DR146" s="10" t="str">
        <f t="shared" si="339"/>
        <v xml:space="preserve"> </v>
      </c>
      <c r="DU146" s="10" t="str">
        <f t="shared" si="340"/>
        <v xml:space="preserve"> </v>
      </c>
      <c r="DV146" s="10" t="str">
        <f t="shared" si="340"/>
        <v xml:space="preserve"> </v>
      </c>
      <c r="DW146" s="10" t="str">
        <f t="shared" si="340"/>
        <v xml:space="preserve"> </v>
      </c>
      <c r="DX146" s="10" t="str">
        <f t="shared" si="340"/>
        <v xml:space="preserve"> </v>
      </c>
      <c r="DY146" s="10" t="str">
        <f t="shared" si="340"/>
        <v xml:space="preserve"> </v>
      </c>
      <c r="EB146" s="10" t="str">
        <f t="shared" si="341"/>
        <v xml:space="preserve"> </v>
      </c>
      <c r="EC146" s="10" t="str">
        <f t="shared" si="341"/>
        <v xml:space="preserve"> </v>
      </c>
      <c r="ED146" s="10" t="str">
        <f t="shared" si="341"/>
        <v xml:space="preserve"> </v>
      </c>
      <c r="EE146" s="10" t="str">
        <f t="shared" si="341"/>
        <v xml:space="preserve"> </v>
      </c>
      <c r="EF146" s="10" t="str">
        <f t="shared" si="341"/>
        <v xml:space="preserve"> </v>
      </c>
      <c r="EI146" s="10" t="str">
        <f t="shared" si="342"/>
        <v xml:space="preserve"> </v>
      </c>
      <c r="EJ146" s="10" t="str">
        <f t="shared" si="342"/>
        <v xml:space="preserve"> </v>
      </c>
      <c r="EK146" s="10" t="str">
        <f t="shared" si="342"/>
        <v xml:space="preserve"> </v>
      </c>
      <c r="EL146" s="10" t="str">
        <f t="shared" si="342"/>
        <v xml:space="preserve"> </v>
      </c>
      <c r="EM146" s="10" t="str">
        <f t="shared" si="342"/>
        <v xml:space="preserve"> </v>
      </c>
      <c r="EP146" s="10" t="str">
        <f t="shared" si="343"/>
        <v xml:space="preserve"> </v>
      </c>
      <c r="EQ146" s="10" t="str">
        <f t="shared" si="343"/>
        <v xml:space="preserve"> </v>
      </c>
      <c r="ER146" s="10" t="str">
        <f t="shared" si="343"/>
        <v xml:space="preserve"> </v>
      </c>
      <c r="ES146" s="10" t="str">
        <f t="shared" si="343"/>
        <v xml:space="preserve"> </v>
      </c>
      <c r="ET146" s="10" t="str">
        <f t="shared" si="343"/>
        <v xml:space="preserve"> </v>
      </c>
      <c r="EW146" s="10" t="str">
        <f t="shared" si="344"/>
        <v xml:space="preserve"> </v>
      </c>
      <c r="EX146" s="10" t="str">
        <f t="shared" si="344"/>
        <v xml:space="preserve"> </v>
      </c>
      <c r="EY146" s="10" t="str">
        <f t="shared" si="344"/>
        <v xml:space="preserve"> </v>
      </c>
      <c r="EZ146" s="10" t="str">
        <f t="shared" si="344"/>
        <v xml:space="preserve"> </v>
      </c>
      <c r="FA146" s="10" t="str">
        <f t="shared" si="344"/>
        <v xml:space="preserve"> </v>
      </c>
      <c r="FD146" s="10" t="str">
        <f t="shared" si="345"/>
        <v xml:space="preserve"> </v>
      </c>
      <c r="FE146" s="10" t="str">
        <f t="shared" si="345"/>
        <v xml:space="preserve"> </v>
      </c>
      <c r="FF146" s="10" t="str">
        <f t="shared" si="345"/>
        <v xml:space="preserve"> </v>
      </c>
      <c r="FG146" s="10" t="str">
        <f t="shared" si="345"/>
        <v xml:space="preserve"> </v>
      </c>
      <c r="FH146" s="10" t="str">
        <f t="shared" si="345"/>
        <v xml:space="preserve"> </v>
      </c>
      <c r="FK146" s="10" t="str">
        <f t="shared" si="346"/>
        <v xml:space="preserve"> </v>
      </c>
      <c r="FL146" s="10" t="str">
        <f t="shared" si="346"/>
        <v xml:space="preserve"> </v>
      </c>
      <c r="FM146" s="10" t="str">
        <f t="shared" si="346"/>
        <v xml:space="preserve"> </v>
      </c>
      <c r="FN146" s="10" t="str">
        <f t="shared" si="346"/>
        <v xml:space="preserve"> </v>
      </c>
      <c r="FO146" s="10" t="str">
        <f t="shared" si="346"/>
        <v xml:space="preserve"> </v>
      </c>
      <c r="FR146" s="10" t="str">
        <f t="shared" si="347"/>
        <v xml:space="preserve"> </v>
      </c>
      <c r="FS146" s="10" t="str">
        <f t="shared" si="347"/>
        <v xml:space="preserve"> </v>
      </c>
      <c r="FT146" s="10" t="str">
        <f t="shared" si="347"/>
        <v xml:space="preserve"> </v>
      </c>
      <c r="FU146" s="10" t="str">
        <f t="shared" si="347"/>
        <v xml:space="preserve"> </v>
      </c>
      <c r="FV146" s="10" t="str">
        <f t="shared" si="347"/>
        <v xml:space="preserve"> </v>
      </c>
      <c r="FY146" s="10" t="str">
        <f t="shared" si="348"/>
        <v xml:space="preserve"> </v>
      </c>
      <c r="FZ146" s="10" t="str">
        <f t="shared" si="348"/>
        <v xml:space="preserve"> </v>
      </c>
      <c r="GA146" s="10" t="str">
        <f t="shared" si="348"/>
        <v xml:space="preserve"> </v>
      </c>
      <c r="GB146" s="10" t="str">
        <f t="shared" si="348"/>
        <v xml:space="preserve"> </v>
      </c>
      <c r="GC146" s="10" t="str">
        <f t="shared" si="348"/>
        <v xml:space="preserve"> </v>
      </c>
      <c r="GF146" s="10" t="str">
        <f t="shared" si="349"/>
        <v xml:space="preserve"> </v>
      </c>
      <c r="GG146" s="10" t="str">
        <f t="shared" si="349"/>
        <v xml:space="preserve"> </v>
      </c>
      <c r="GH146" s="10" t="str">
        <f t="shared" si="349"/>
        <v xml:space="preserve"> </v>
      </c>
      <c r="GI146" s="10" t="str">
        <f t="shared" si="349"/>
        <v xml:space="preserve"> </v>
      </c>
      <c r="GJ146" s="10" t="str">
        <f t="shared" si="349"/>
        <v xml:space="preserve"> </v>
      </c>
      <c r="GM146" s="10" t="str">
        <f t="shared" si="350"/>
        <v xml:space="preserve"> </v>
      </c>
      <c r="GN146" s="10" t="str">
        <f t="shared" si="350"/>
        <v xml:space="preserve"> </v>
      </c>
      <c r="GO146" s="10" t="str">
        <f t="shared" si="350"/>
        <v xml:space="preserve"> </v>
      </c>
      <c r="GP146" s="10" t="str">
        <f t="shared" si="350"/>
        <v xml:space="preserve"> </v>
      </c>
      <c r="GQ146" s="10" t="str">
        <f t="shared" si="350"/>
        <v xml:space="preserve"> </v>
      </c>
      <c r="GT146" s="10" t="str">
        <f t="shared" si="351"/>
        <v xml:space="preserve"> </v>
      </c>
      <c r="GU146" s="10" t="str">
        <f t="shared" si="351"/>
        <v xml:space="preserve"> </v>
      </c>
      <c r="GV146" s="10" t="str">
        <f t="shared" si="351"/>
        <v xml:space="preserve"> </v>
      </c>
      <c r="GW146" s="10" t="str">
        <f t="shared" si="351"/>
        <v xml:space="preserve"> </v>
      </c>
      <c r="GX146" s="10" t="str">
        <f t="shared" si="351"/>
        <v xml:space="preserve"> </v>
      </c>
      <c r="HA146" s="10" t="str">
        <f t="shared" si="352"/>
        <v xml:space="preserve"> </v>
      </c>
      <c r="HB146" s="10" t="str">
        <f t="shared" si="352"/>
        <v xml:space="preserve"> </v>
      </c>
      <c r="HC146" s="10" t="str">
        <f t="shared" si="352"/>
        <v xml:space="preserve"> </v>
      </c>
      <c r="HD146" s="10" t="str">
        <f t="shared" si="352"/>
        <v xml:space="preserve"> </v>
      </c>
      <c r="HE146" s="10" t="str">
        <f t="shared" si="352"/>
        <v xml:space="preserve"> </v>
      </c>
      <c r="HH146" s="10" t="str">
        <f t="shared" si="353"/>
        <v xml:space="preserve"> </v>
      </c>
      <c r="HI146" s="10" t="str">
        <f t="shared" si="353"/>
        <v xml:space="preserve"> </v>
      </c>
      <c r="HJ146" s="10" t="str">
        <f t="shared" si="353"/>
        <v xml:space="preserve"> </v>
      </c>
      <c r="HK146" s="10" t="str">
        <f t="shared" si="353"/>
        <v xml:space="preserve"> </v>
      </c>
      <c r="HL146" s="10" t="str">
        <f t="shared" si="353"/>
        <v xml:space="preserve"> </v>
      </c>
      <c r="HO146" s="10" t="str">
        <f t="shared" si="354"/>
        <v xml:space="preserve"> </v>
      </c>
      <c r="HP146" s="10" t="str">
        <f t="shared" si="354"/>
        <v xml:space="preserve"> </v>
      </c>
      <c r="HQ146" s="10" t="str">
        <f t="shared" si="354"/>
        <v xml:space="preserve"> </v>
      </c>
      <c r="HR146" s="10" t="str">
        <f t="shared" si="354"/>
        <v xml:space="preserve"> </v>
      </c>
      <c r="HS146" s="10" t="str">
        <f t="shared" si="354"/>
        <v xml:space="preserve"> </v>
      </c>
      <c r="HV146" s="10" t="str">
        <f t="shared" si="355"/>
        <v xml:space="preserve"> </v>
      </c>
      <c r="HW146" s="10" t="str">
        <f t="shared" si="355"/>
        <v xml:space="preserve"> </v>
      </c>
      <c r="HX146" s="10" t="str">
        <f t="shared" si="355"/>
        <v xml:space="preserve"> </v>
      </c>
      <c r="HY146" s="10" t="str">
        <f t="shared" si="355"/>
        <v xml:space="preserve"> </v>
      </c>
      <c r="HZ146" s="10" t="str">
        <f t="shared" si="355"/>
        <v xml:space="preserve"> </v>
      </c>
      <c r="IC146" s="10" t="str">
        <f t="shared" si="356"/>
        <v xml:space="preserve"> </v>
      </c>
      <c r="ID146" s="10" t="str">
        <f t="shared" si="356"/>
        <v xml:space="preserve"> </v>
      </c>
      <c r="IE146" s="10" t="str">
        <f t="shared" si="356"/>
        <v xml:space="preserve"> </v>
      </c>
      <c r="IF146" s="10" t="str">
        <f t="shared" si="356"/>
        <v xml:space="preserve"> </v>
      </c>
      <c r="IG146" s="10" t="str">
        <f t="shared" si="356"/>
        <v xml:space="preserve"> </v>
      </c>
      <c r="IJ146" s="10" t="str">
        <f t="shared" si="357"/>
        <v xml:space="preserve"> </v>
      </c>
      <c r="IK146" s="10" t="str">
        <f t="shared" si="357"/>
        <v xml:space="preserve"> </v>
      </c>
      <c r="IL146" s="10" t="str">
        <f t="shared" si="357"/>
        <v xml:space="preserve"> </v>
      </c>
      <c r="IM146" s="10" t="str">
        <f t="shared" si="357"/>
        <v xml:space="preserve"> </v>
      </c>
      <c r="IN146" s="10" t="str">
        <f t="shared" si="357"/>
        <v xml:space="preserve"> </v>
      </c>
      <c r="IQ146" s="10" t="str">
        <f t="shared" si="358"/>
        <v xml:space="preserve"> </v>
      </c>
      <c r="IR146" s="10" t="str">
        <f t="shared" si="358"/>
        <v xml:space="preserve"> </v>
      </c>
      <c r="IS146" s="10" t="str">
        <f t="shared" si="358"/>
        <v xml:space="preserve"> </v>
      </c>
      <c r="IT146" s="10" t="str">
        <f t="shared" si="358"/>
        <v xml:space="preserve"> </v>
      </c>
      <c r="IU146" s="10" t="str">
        <f t="shared" si="358"/>
        <v xml:space="preserve"> </v>
      </c>
      <c r="IX146" s="10" t="str">
        <f t="shared" si="359"/>
        <v xml:space="preserve"> </v>
      </c>
      <c r="IY146" s="10" t="str">
        <f t="shared" si="359"/>
        <v xml:space="preserve"> </v>
      </c>
      <c r="IZ146" s="10" t="str">
        <f t="shared" si="359"/>
        <v xml:space="preserve"> </v>
      </c>
      <c r="JA146" s="10" t="str">
        <f t="shared" si="359"/>
        <v xml:space="preserve"> </v>
      </c>
      <c r="JB146" s="10" t="str">
        <f t="shared" si="359"/>
        <v xml:space="preserve"> </v>
      </c>
      <c r="JE146" s="10" t="str">
        <f t="shared" si="360"/>
        <v xml:space="preserve"> </v>
      </c>
      <c r="JF146" s="10" t="str">
        <f t="shared" si="360"/>
        <v xml:space="preserve"> </v>
      </c>
      <c r="JG146" s="10" t="str">
        <f t="shared" si="360"/>
        <v xml:space="preserve"> </v>
      </c>
      <c r="JH146" s="10" t="str">
        <f t="shared" si="360"/>
        <v xml:space="preserve"> </v>
      </c>
      <c r="JI146" s="10" t="str">
        <f t="shared" si="360"/>
        <v xml:space="preserve"> </v>
      </c>
    </row>
    <row r="147" spans="13:269">
      <c r="M147" s="10" t="str">
        <f t="shared" si="361"/>
        <v xml:space="preserve"> </v>
      </c>
      <c r="N147" s="10" t="str">
        <f t="shared" si="361"/>
        <v xml:space="preserve"> </v>
      </c>
      <c r="O147" s="10" t="str">
        <f t="shared" si="361"/>
        <v xml:space="preserve"> </v>
      </c>
      <c r="P147" s="10" t="str">
        <f t="shared" si="361"/>
        <v xml:space="preserve"> </v>
      </c>
      <c r="Q147" s="10" t="str">
        <f t="shared" si="361"/>
        <v xml:space="preserve"> </v>
      </c>
      <c r="R147" s="14"/>
      <c r="S147" s="14"/>
      <c r="T147" s="10" t="str">
        <f t="shared" si="325"/>
        <v xml:space="preserve"> </v>
      </c>
      <c r="U147" s="10" t="str">
        <f t="shared" si="325"/>
        <v xml:space="preserve"> </v>
      </c>
      <c r="V147" s="10" t="str">
        <f t="shared" si="325"/>
        <v xml:space="preserve"> </v>
      </c>
      <c r="W147" s="10" t="str">
        <f t="shared" si="325"/>
        <v xml:space="preserve"> </v>
      </c>
      <c r="X147" s="10" t="str">
        <f t="shared" si="325"/>
        <v xml:space="preserve"> </v>
      </c>
      <c r="Y147" s="14"/>
      <c r="Z147" s="14"/>
      <c r="AA147" s="10" t="str">
        <f t="shared" si="326"/>
        <v xml:space="preserve"> </v>
      </c>
      <c r="AB147" s="10" t="str">
        <f t="shared" si="326"/>
        <v xml:space="preserve"> </v>
      </c>
      <c r="AC147" s="10" t="str">
        <f t="shared" si="326"/>
        <v xml:space="preserve"> </v>
      </c>
      <c r="AD147" s="10" t="str">
        <f t="shared" si="326"/>
        <v xml:space="preserve"> </v>
      </c>
      <c r="AE147" s="10" t="str">
        <f t="shared" si="326"/>
        <v xml:space="preserve"> </v>
      </c>
      <c r="AF147" s="14"/>
      <c r="AG147" s="14"/>
      <c r="AH147" s="10" t="str">
        <f t="shared" si="327"/>
        <v xml:space="preserve"> </v>
      </c>
      <c r="AI147" s="10" t="str">
        <f t="shared" si="327"/>
        <v xml:space="preserve"> </v>
      </c>
      <c r="AJ147" s="10" t="str">
        <f t="shared" si="327"/>
        <v xml:space="preserve"> </v>
      </c>
      <c r="AK147" s="10" t="str">
        <f t="shared" si="327"/>
        <v xml:space="preserve"> </v>
      </c>
      <c r="AL147" s="10" t="str">
        <f t="shared" si="327"/>
        <v xml:space="preserve"> </v>
      </c>
      <c r="AM147" s="14"/>
      <c r="AN147" s="14"/>
      <c r="AO147" s="10" t="str">
        <f t="shared" si="328"/>
        <v xml:space="preserve"> </v>
      </c>
      <c r="AP147" s="10" t="str">
        <f t="shared" si="328"/>
        <v xml:space="preserve"> </v>
      </c>
      <c r="AQ147" s="10" t="str">
        <f t="shared" si="328"/>
        <v xml:space="preserve"> </v>
      </c>
      <c r="AR147" s="10" t="str">
        <f t="shared" si="328"/>
        <v xml:space="preserve"> </v>
      </c>
      <c r="AS147" s="10" t="str">
        <f t="shared" si="328"/>
        <v xml:space="preserve"> </v>
      </c>
      <c r="AT147" s="14"/>
      <c r="AU147" s="14"/>
      <c r="AV147" s="10" t="str">
        <f t="shared" si="329"/>
        <v xml:space="preserve"> </v>
      </c>
      <c r="AW147" s="10" t="str">
        <f t="shared" si="329"/>
        <v xml:space="preserve"> </v>
      </c>
      <c r="AX147" s="10" t="str">
        <f t="shared" si="329"/>
        <v xml:space="preserve"> </v>
      </c>
      <c r="AY147" s="10" t="str">
        <f t="shared" si="329"/>
        <v xml:space="preserve"> </v>
      </c>
      <c r="AZ147" s="10" t="str">
        <f t="shared" si="329"/>
        <v xml:space="preserve"> </v>
      </c>
      <c r="BA147" s="14"/>
      <c r="BB147" s="14"/>
      <c r="BC147" s="10" t="str">
        <f t="shared" si="330"/>
        <v xml:space="preserve"> </v>
      </c>
      <c r="BD147" s="10" t="str">
        <f t="shared" si="330"/>
        <v xml:space="preserve"> </v>
      </c>
      <c r="BE147" s="10" t="str">
        <f t="shared" si="330"/>
        <v xml:space="preserve"> </v>
      </c>
      <c r="BF147" s="10" t="str">
        <f t="shared" si="330"/>
        <v xml:space="preserve"> </v>
      </c>
      <c r="BG147" s="10" t="str">
        <f t="shared" si="330"/>
        <v xml:space="preserve"> </v>
      </c>
      <c r="BH147" s="14"/>
      <c r="BI147" s="14"/>
      <c r="BJ147" s="10" t="str">
        <f t="shared" si="331"/>
        <v xml:space="preserve"> </v>
      </c>
      <c r="BK147" s="10" t="str">
        <f t="shared" si="331"/>
        <v xml:space="preserve"> </v>
      </c>
      <c r="BL147" s="10" t="str">
        <f t="shared" si="331"/>
        <v xml:space="preserve"> </v>
      </c>
      <c r="BM147" s="10" t="str">
        <f t="shared" si="331"/>
        <v xml:space="preserve"> </v>
      </c>
      <c r="BN147" s="10" t="str">
        <f t="shared" si="331"/>
        <v xml:space="preserve"> </v>
      </c>
      <c r="BO147" s="14"/>
      <c r="BP147" s="14"/>
      <c r="BQ147" s="10" t="str">
        <f t="shared" si="332"/>
        <v xml:space="preserve"> </v>
      </c>
      <c r="BR147" s="10" t="str">
        <f t="shared" si="332"/>
        <v xml:space="preserve"> </v>
      </c>
      <c r="BS147" s="10" t="str">
        <f t="shared" si="332"/>
        <v xml:space="preserve"> </v>
      </c>
      <c r="BT147" s="10" t="str">
        <f t="shared" si="332"/>
        <v xml:space="preserve"> </v>
      </c>
      <c r="BU147" s="10" t="str">
        <f t="shared" si="332"/>
        <v xml:space="preserve"> </v>
      </c>
      <c r="BV147" s="14"/>
      <c r="BW147" s="14"/>
      <c r="BX147" s="10" t="str">
        <f t="shared" si="333"/>
        <v xml:space="preserve"> </v>
      </c>
      <c r="BY147" s="10" t="str">
        <f t="shared" si="333"/>
        <v xml:space="preserve"> </v>
      </c>
      <c r="BZ147" s="10" t="str">
        <f t="shared" si="333"/>
        <v xml:space="preserve"> </v>
      </c>
      <c r="CA147" s="10" t="str">
        <f t="shared" si="333"/>
        <v xml:space="preserve"> </v>
      </c>
      <c r="CB147" s="10" t="str">
        <f t="shared" si="333"/>
        <v xml:space="preserve"> </v>
      </c>
      <c r="CC147" s="14"/>
      <c r="CD147" s="14"/>
      <c r="CE147" s="10" t="str">
        <f t="shared" si="334"/>
        <v xml:space="preserve"> </v>
      </c>
      <c r="CF147" s="10" t="str">
        <f t="shared" si="334"/>
        <v xml:space="preserve"> </v>
      </c>
      <c r="CG147" s="10" t="str">
        <f t="shared" si="334"/>
        <v xml:space="preserve"> </v>
      </c>
      <c r="CH147" s="10" t="str">
        <f t="shared" si="334"/>
        <v xml:space="preserve"> </v>
      </c>
      <c r="CI147" s="10" t="str">
        <f t="shared" si="334"/>
        <v xml:space="preserve"> </v>
      </c>
      <c r="CJ147" s="14"/>
      <c r="CK147" s="14"/>
      <c r="CL147" s="10" t="str">
        <f t="shared" si="335"/>
        <v xml:space="preserve"> </v>
      </c>
      <c r="CM147" s="10" t="str">
        <f t="shared" si="335"/>
        <v xml:space="preserve"> </v>
      </c>
      <c r="CN147" s="10" t="str">
        <f t="shared" si="335"/>
        <v xml:space="preserve"> </v>
      </c>
      <c r="CO147" s="10" t="str">
        <f t="shared" si="335"/>
        <v xml:space="preserve"> </v>
      </c>
      <c r="CP147" s="10" t="str">
        <f t="shared" si="335"/>
        <v xml:space="preserve"> </v>
      </c>
      <c r="CQ147" s="14"/>
      <c r="CR147" s="14"/>
      <c r="CS147" s="10" t="str">
        <f t="shared" si="336"/>
        <v xml:space="preserve"> </v>
      </c>
      <c r="CT147" s="10" t="str">
        <f t="shared" si="336"/>
        <v xml:space="preserve"> </v>
      </c>
      <c r="CU147" s="10" t="str">
        <f t="shared" si="336"/>
        <v xml:space="preserve"> </v>
      </c>
      <c r="CV147" s="10" t="str">
        <f t="shared" si="336"/>
        <v xml:space="preserve"> </v>
      </c>
      <c r="CW147" s="10" t="str">
        <f t="shared" si="336"/>
        <v xml:space="preserve"> </v>
      </c>
      <c r="CZ147" s="10" t="str">
        <f t="shared" si="337"/>
        <v xml:space="preserve"> </v>
      </c>
      <c r="DA147" s="10" t="str">
        <f t="shared" si="337"/>
        <v xml:space="preserve"> </v>
      </c>
      <c r="DB147" s="10" t="str">
        <f t="shared" si="337"/>
        <v xml:space="preserve"> </v>
      </c>
      <c r="DC147" s="10" t="str">
        <f t="shared" si="337"/>
        <v xml:space="preserve"> </v>
      </c>
      <c r="DD147" s="10" t="str">
        <f t="shared" si="337"/>
        <v xml:space="preserve"> </v>
      </c>
      <c r="DG147" s="10" t="str">
        <f t="shared" si="338"/>
        <v xml:space="preserve"> </v>
      </c>
      <c r="DH147" s="10" t="str">
        <f t="shared" si="338"/>
        <v xml:space="preserve"> </v>
      </c>
      <c r="DI147" s="10" t="str">
        <f t="shared" si="338"/>
        <v xml:space="preserve"> </v>
      </c>
      <c r="DJ147" s="10" t="str">
        <f t="shared" si="338"/>
        <v xml:space="preserve"> </v>
      </c>
      <c r="DK147" s="10" t="str">
        <f t="shared" si="338"/>
        <v xml:space="preserve"> </v>
      </c>
      <c r="DN147" s="10" t="str">
        <f t="shared" si="339"/>
        <v xml:space="preserve"> </v>
      </c>
      <c r="DO147" s="10" t="str">
        <f t="shared" si="339"/>
        <v xml:space="preserve"> </v>
      </c>
      <c r="DP147" s="10" t="str">
        <f t="shared" si="339"/>
        <v xml:space="preserve"> </v>
      </c>
      <c r="DQ147" s="10" t="str">
        <f t="shared" si="339"/>
        <v xml:space="preserve"> </v>
      </c>
      <c r="DR147" s="10" t="str">
        <f t="shared" si="339"/>
        <v xml:space="preserve"> </v>
      </c>
      <c r="DU147" s="10" t="str">
        <f t="shared" si="340"/>
        <v xml:space="preserve"> </v>
      </c>
      <c r="DV147" s="10" t="str">
        <f t="shared" si="340"/>
        <v xml:space="preserve"> </v>
      </c>
      <c r="DW147" s="10" t="str">
        <f t="shared" si="340"/>
        <v xml:space="preserve"> </v>
      </c>
      <c r="DX147" s="10" t="str">
        <f t="shared" si="340"/>
        <v xml:space="preserve"> </v>
      </c>
      <c r="DY147" s="10" t="str">
        <f t="shared" si="340"/>
        <v xml:space="preserve"> </v>
      </c>
      <c r="EB147" s="10" t="str">
        <f t="shared" si="341"/>
        <v xml:space="preserve"> </v>
      </c>
      <c r="EC147" s="10" t="str">
        <f t="shared" si="341"/>
        <v xml:space="preserve"> </v>
      </c>
      <c r="ED147" s="10" t="str">
        <f t="shared" si="341"/>
        <v xml:space="preserve"> </v>
      </c>
      <c r="EE147" s="10" t="str">
        <f t="shared" si="341"/>
        <v xml:space="preserve"> </v>
      </c>
      <c r="EF147" s="10" t="str">
        <f t="shared" si="341"/>
        <v xml:space="preserve"> </v>
      </c>
      <c r="EI147" s="10" t="str">
        <f t="shared" si="342"/>
        <v xml:space="preserve"> </v>
      </c>
      <c r="EJ147" s="10" t="str">
        <f t="shared" si="342"/>
        <v xml:space="preserve"> </v>
      </c>
      <c r="EK147" s="10" t="str">
        <f t="shared" si="342"/>
        <v xml:space="preserve"> </v>
      </c>
      <c r="EL147" s="10" t="str">
        <f t="shared" si="342"/>
        <v xml:space="preserve"> </v>
      </c>
      <c r="EM147" s="10" t="str">
        <f t="shared" si="342"/>
        <v xml:space="preserve"> </v>
      </c>
      <c r="EP147" s="10" t="str">
        <f t="shared" si="343"/>
        <v xml:space="preserve"> </v>
      </c>
      <c r="EQ147" s="10" t="str">
        <f t="shared" si="343"/>
        <v xml:space="preserve"> </v>
      </c>
      <c r="ER147" s="10" t="str">
        <f t="shared" si="343"/>
        <v xml:space="preserve"> </v>
      </c>
      <c r="ES147" s="10" t="str">
        <f t="shared" si="343"/>
        <v xml:space="preserve"> </v>
      </c>
      <c r="ET147" s="10" t="str">
        <f t="shared" si="343"/>
        <v xml:space="preserve"> </v>
      </c>
      <c r="EW147" s="10" t="str">
        <f t="shared" si="344"/>
        <v xml:space="preserve"> </v>
      </c>
      <c r="EX147" s="10" t="str">
        <f t="shared" si="344"/>
        <v xml:space="preserve"> </v>
      </c>
      <c r="EY147" s="10" t="str">
        <f t="shared" si="344"/>
        <v xml:space="preserve"> </v>
      </c>
      <c r="EZ147" s="10" t="str">
        <f t="shared" si="344"/>
        <v xml:space="preserve"> </v>
      </c>
      <c r="FA147" s="10" t="str">
        <f t="shared" si="344"/>
        <v xml:space="preserve"> </v>
      </c>
      <c r="FD147" s="10" t="str">
        <f t="shared" si="345"/>
        <v xml:space="preserve"> </v>
      </c>
      <c r="FE147" s="10" t="str">
        <f t="shared" si="345"/>
        <v xml:space="preserve"> </v>
      </c>
      <c r="FF147" s="10" t="str">
        <f t="shared" si="345"/>
        <v xml:space="preserve"> </v>
      </c>
      <c r="FG147" s="10" t="str">
        <f t="shared" si="345"/>
        <v xml:space="preserve"> </v>
      </c>
      <c r="FH147" s="10" t="str">
        <f t="shared" si="345"/>
        <v xml:space="preserve"> </v>
      </c>
      <c r="FK147" s="10" t="str">
        <f t="shared" si="346"/>
        <v xml:space="preserve"> </v>
      </c>
      <c r="FL147" s="10" t="str">
        <f t="shared" si="346"/>
        <v xml:space="preserve"> </v>
      </c>
      <c r="FM147" s="10" t="str">
        <f t="shared" si="346"/>
        <v xml:space="preserve"> </v>
      </c>
      <c r="FN147" s="10" t="str">
        <f t="shared" si="346"/>
        <v xml:space="preserve"> </v>
      </c>
      <c r="FO147" s="10" t="str">
        <f t="shared" si="346"/>
        <v xml:space="preserve"> </v>
      </c>
      <c r="FR147" s="10" t="str">
        <f t="shared" si="347"/>
        <v xml:space="preserve"> </v>
      </c>
      <c r="FS147" s="10" t="str">
        <f t="shared" si="347"/>
        <v xml:space="preserve"> </v>
      </c>
      <c r="FT147" s="10" t="str">
        <f t="shared" si="347"/>
        <v xml:space="preserve"> </v>
      </c>
      <c r="FU147" s="10" t="str">
        <f t="shared" si="347"/>
        <v xml:space="preserve"> </v>
      </c>
      <c r="FV147" s="10" t="str">
        <f t="shared" si="347"/>
        <v xml:space="preserve"> </v>
      </c>
      <c r="FY147" s="10" t="str">
        <f t="shared" si="348"/>
        <v xml:space="preserve"> </v>
      </c>
      <c r="FZ147" s="10" t="str">
        <f t="shared" si="348"/>
        <v xml:space="preserve"> </v>
      </c>
      <c r="GA147" s="10" t="str">
        <f t="shared" si="348"/>
        <v xml:space="preserve"> </v>
      </c>
      <c r="GB147" s="10" t="str">
        <f t="shared" si="348"/>
        <v xml:space="preserve"> </v>
      </c>
      <c r="GC147" s="10" t="str">
        <f t="shared" si="348"/>
        <v xml:space="preserve"> </v>
      </c>
      <c r="GF147" s="10" t="str">
        <f t="shared" si="349"/>
        <v xml:space="preserve"> </v>
      </c>
      <c r="GG147" s="10" t="str">
        <f t="shared" si="349"/>
        <v xml:space="preserve"> </v>
      </c>
      <c r="GH147" s="10" t="str">
        <f t="shared" si="349"/>
        <v xml:space="preserve"> </v>
      </c>
      <c r="GI147" s="10" t="str">
        <f t="shared" si="349"/>
        <v xml:space="preserve"> </v>
      </c>
      <c r="GJ147" s="10" t="str">
        <f t="shared" si="349"/>
        <v xml:space="preserve"> </v>
      </c>
      <c r="GM147" s="10" t="str">
        <f t="shared" si="350"/>
        <v xml:space="preserve"> </v>
      </c>
      <c r="GN147" s="10" t="str">
        <f t="shared" si="350"/>
        <v xml:space="preserve"> </v>
      </c>
      <c r="GO147" s="10" t="str">
        <f t="shared" si="350"/>
        <v xml:space="preserve"> </v>
      </c>
      <c r="GP147" s="10" t="str">
        <f t="shared" si="350"/>
        <v xml:space="preserve"> </v>
      </c>
      <c r="GQ147" s="10" t="str">
        <f t="shared" si="350"/>
        <v xml:space="preserve"> </v>
      </c>
      <c r="GT147" s="10" t="str">
        <f t="shared" si="351"/>
        <v xml:space="preserve"> </v>
      </c>
      <c r="GU147" s="10" t="str">
        <f t="shared" si="351"/>
        <v xml:space="preserve"> </v>
      </c>
      <c r="GV147" s="10" t="str">
        <f t="shared" si="351"/>
        <v xml:space="preserve"> </v>
      </c>
      <c r="GW147" s="10" t="str">
        <f t="shared" si="351"/>
        <v xml:space="preserve"> </v>
      </c>
      <c r="GX147" s="10" t="str">
        <f t="shared" si="351"/>
        <v xml:space="preserve"> </v>
      </c>
      <c r="HA147" s="10" t="str">
        <f t="shared" si="352"/>
        <v xml:space="preserve"> </v>
      </c>
      <c r="HB147" s="10" t="str">
        <f t="shared" si="352"/>
        <v xml:space="preserve"> </v>
      </c>
      <c r="HC147" s="10" t="str">
        <f t="shared" si="352"/>
        <v xml:space="preserve"> </v>
      </c>
      <c r="HD147" s="10" t="str">
        <f t="shared" si="352"/>
        <v xml:space="preserve"> </v>
      </c>
      <c r="HE147" s="10" t="str">
        <f t="shared" si="352"/>
        <v xml:space="preserve"> </v>
      </c>
      <c r="HH147" s="10" t="str">
        <f t="shared" si="353"/>
        <v xml:space="preserve"> </v>
      </c>
      <c r="HI147" s="10" t="str">
        <f t="shared" si="353"/>
        <v xml:space="preserve"> </v>
      </c>
      <c r="HJ147" s="10" t="str">
        <f t="shared" si="353"/>
        <v xml:space="preserve"> </v>
      </c>
      <c r="HK147" s="10" t="str">
        <f t="shared" si="353"/>
        <v xml:space="preserve"> </v>
      </c>
      <c r="HL147" s="10" t="str">
        <f t="shared" si="353"/>
        <v xml:space="preserve"> </v>
      </c>
      <c r="HO147" s="10" t="str">
        <f t="shared" si="354"/>
        <v xml:space="preserve"> </v>
      </c>
      <c r="HP147" s="10" t="str">
        <f t="shared" si="354"/>
        <v xml:space="preserve"> </v>
      </c>
      <c r="HQ147" s="10" t="str">
        <f t="shared" si="354"/>
        <v xml:space="preserve"> </v>
      </c>
      <c r="HR147" s="10" t="str">
        <f t="shared" si="354"/>
        <v xml:space="preserve"> </v>
      </c>
      <c r="HS147" s="10" t="str">
        <f t="shared" si="354"/>
        <v xml:space="preserve"> </v>
      </c>
      <c r="HV147" s="10" t="str">
        <f t="shared" si="355"/>
        <v xml:space="preserve"> </v>
      </c>
      <c r="HW147" s="10" t="str">
        <f t="shared" si="355"/>
        <v xml:space="preserve"> </v>
      </c>
      <c r="HX147" s="10" t="str">
        <f t="shared" si="355"/>
        <v xml:space="preserve"> </v>
      </c>
      <c r="HY147" s="10" t="str">
        <f t="shared" si="355"/>
        <v xml:space="preserve"> </v>
      </c>
      <c r="HZ147" s="10" t="str">
        <f t="shared" si="355"/>
        <v xml:space="preserve"> </v>
      </c>
      <c r="IC147" s="10" t="str">
        <f t="shared" si="356"/>
        <v xml:space="preserve"> </v>
      </c>
      <c r="ID147" s="10" t="str">
        <f t="shared" si="356"/>
        <v xml:space="preserve"> </v>
      </c>
      <c r="IE147" s="10" t="str">
        <f t="shared" si="356"/>
        <v xml:space="preserve"> </v>
      </c>
      <c r="IF147" s="10" t="str">
        <f t="shared" si="356"/>
        <v xml:space="preserve"> </v>
      </c>
      <c r="IG147" s="10" t="str">
        <f t="shared" si="356"/>
        <v xml:space="preserve"> </v>
      </c>
      <c r="IJ147" s="10" t="str">
        <f t="shared" si="357"/>
        <v xml:space="preserve"> </v>
      </c>
      <c r="IK147" s="10" t="str">
        <f t="shared" si="357"/>
        <v xml:space="preserve"> </v>
      </c>
      <c r="IL147" s="10" t="str">
        <f t="shared" si="357"/>
        <v xml:space="preserve"> </v>
      </c>
      <c r="IM147" s="10" t="str">
        <f t="shared" si="357"/>
        <v xml:space="preserve"> </v>
      </c>
      <c r="IN147" s="10" t="str">
        <f t="shared" si="357"/>
        <v xml:space="preserve"> </v>
      </c>
      <c r="IQ147" s="10" t="str">
        <f t="shared" si="358"/>
        <v xml:space="preserve"> </v>
      </c>
      <c r="IR147" s="10" t="str">
        <f t="shared" si="358"/>
        <v xml:space="preserve"> </v>
      </c>
      <c r="IS147" s="10" t="str">
        <f t="shared" si="358"/>
        <v xml:space="preserve"> </v>
      </c>
      <c r="IT147" s="10" t="str">
        <f t="shared" si="358"/>
        <v xml:space="preserve"> </v>
      </c>
      <c r="IU147" s="10" t="str">
        <f t="shared" si="358"/>
        <v xml:space="preserve"> </v>
      </c>
      <c r="IX147" s="10" t="str">
        <f t="shared" si="359"/>
        <v xml:space="preserve"> </v>
      </c>
      <c r="IY147" s="10" t="str">
        <f t="shared" si="359"/>
        <v xml:space="preserve"> </v>
      </c>
      <c r="IZ147" s="10" t="str">
        <f t="shared" si="359"/>
        <v xml:space="preserve"> </v>
      </c>
      <c r="JA147" s="10" t="str">
        <f t="shared" si="359"/>
        <v xml:space="preserve"> </v>
      </c>
      <c r="JB147" s="10" t="str">
        <f t="shared" si="359"/>
        <v xml:space="preserve"> </v>
      </c>
      <c r="JE147" s="10" t="str">
        <f t="shared" si="360"/>
        <v xml:space="preserve"> </v>
      </c>
      <c r="JF147" s="10" t="str">
        <f t="shared" si="360"/>
        <v xml:space="preserve"> </v>
      </c>
      <c r="JG147" s="10" t="str">
        <f t="shared" si="360"/>
        <v xml:space="preserve"> </v>
      </c>
      <c r="JH147" s="10" t="str">
        <f t="shared" si="360"/>
        <v xml:space="preserve"> </v>
      </c>
      <c r="JI147" s="10" t="str">
        <f t="shared" si="360"/>
        <v xml:space="preserve"> </v>
      </c>
    </row>
    <row r="148" spans="13:269">
      <c r="M148" s="10" t="str">
        <f t="shared" si="361"/>
        <v xml:space="preserve"> </v>
      </c>
      <c r="N148" s="10" t="str">
        <f t="shared" si="361"/>
        <v xml:space="preserve"> </v>
      </c>
      <c r="O148" s="10" t="str">
        <f t="shared" si="361"/>
        <v xml:space="preserve"> </v>
      </c>
      <c r="P148" s="10" t="str">
        <f t="shared" si="361"/>
        <v xml:space="preserve"> </v>
      </c>
      <c r="Q148" s="10" t="str">
        <f t="shared" si="361"/>
        <v xml:space="preserve"> </v>
      </c>
      <c r="R148" s="14"/>
      <c r="S148" s="14"/>
      <c r="T148" s="10" t="str">
        <f t="shared" si="325"/>
        <v xml:space="preserve"> </v>
      </c>
      <c r="U148" s="10" t="str">
        <f t="shared" si="325"/>
        <v xml:space="preserve"> </v>
      </c>
      <c r="V148" s="10" t="str">
        <f t="shared" si="325"/>
        <v xml:space="preserve"> </v>
      </c>
      <c r="W148" s="10" t="str">
        <f t="shared" si="325"/>
        <v xml:space="preserve"> </v>
      </c>
      <c r="X148" s="10" t="str">
        <f t="shared" si="325"/>
        <v xml:space="preserve"> </v>
      </c>
      <c r="Y148" s="14"/>
      <c r="Z148" s="14"/>
      <c r="AA148" s="10" t="str">
        <f t="shared" si="326"/>
        <v xml:space="preserve"> </v>
      </c>
      <c r="AB148" s="10" t="str">
        <f t="shared" si="326"/>
        <v xml:space="preserve"> </v>
      </c>
      <c r="AC148" s="10" t="str">
        <f t="shared" si="326"/>
        <v xml:space="preserve"> </v>
      </c>
      <c r="AD148" s="10" t="str">
        <f t="shared" si="326"/>
        <v xml:space="preserve"> </v>
      </c>
      <c r="AE148" s="10" t="str">
        <f t="shared" si="326"/>
        <v xml:space="preserve"> </v>
      </c>
      <c r="AF148" s="14"/>
      <c r="AG148" s="14"/>
      <c r="AH148" s="10" t="str">
        <f t="shared" si="327"/>
        <v xml:space="preserve"> </v>
      </c>
      <c r="AI148" s="10" t="str">
        <f t="shared" si="327"/>
        <v xml:space="preserve"> </v>
      </c>
      <c r="AJ148" s="10" t="str">
        <f t="shared" si="327"/>
        <v xml:space="preserve"> </v>
      </c>
      <c r="AK148" s="10" t="str">
        <f t="shared" si="327"/>
        <v xml:space="preserve"> </v>
      </c>
      <c r="AL148" s="10" t="str">
        <f t="shared" si="327"/>
        <v xml:space="preserve"> </v>
      </c>
      <c r="AM148" s="14"/>
      <c r="AN148" s="14"/>
      <c r="AO148" s="10" t="str">
        <f t="shared" si="328"/>
        <v xml:space="preserve"> </v>
      </c>
      <c r="AP148" s="10" t="str">
        <f t="shared" si="328"/>
        <v xml:space="preserve"> </v>
      </c>
      <c r="AQ148" s="10" t="str">
        <f t="shared" si="328"/>
        <v xml:space="preserve"> </v>
      </c>
      <c r="AR148" s="10" t="str">
        <f t="shared" si="328"/>
        <v xml:space="preserve"> </v>
      </c>
      <c r="AS148" s="10" t="str">
        <f t="shared" si="328"/>
        <v xml:space="preserve"> </v>
      </c>
      <c r="AT148" s="14"/>
      <c r="AU148" s="14"/>
      <c r="AV148" s="10" t="str">
        <f t="shared" si="329"/>
        <v xml:space="preserve"> </v>
      </c>
      <c r="AW148" s="10" t="str">
        <f t="shared" si="329"/>
        <v xml:space="preserve"> </v>
      </c>
      <c r="AX148" s="10" t="str">
        <f t="shared" si="329"/>
        <v xml:space="preserve"> </v>
      </c>
      <c r="AY148" s="10" t="str">
        <f t="shared" si="329"/>
        <v xml:space="preserve"> </v>
      </c>
      <c r="AZ148" s="10" t="str">
        <f t="shared" si="329"/>
        <v xml:space="preserve"> </v>
      </c>
      <c r="BA148" s="14"/>
      <c r="BB148" s="14"/>
      <c r="BC148" s="10" t="str">
        <f t="shared" si="330"/>
        <v xml:space="preserve"> </v>
      </c>
      <c r="BD148" s="10" t="str">
        <f t="shared" si="330"/>
        <v xml:space="preserve"> </v>
      </c>
      <c r="BE148" s="10" t="str">
        <f t="shared" si="330"/>
        <v xml:space="preserve"> </v>
      </c>
      <c r="BF148" s="10" t="str">
        <f t="shared" si="330"/>
        <v xml:space="preserve"> </v>
      </c>
      <c r="BG148" s="10" t="str">
        <f t="shared" si="330"/>
        <v xml:space="preserve"> </v>
      </c>
      <c r="BH148" s="14"/>
      <c r="BI148" s="14"/>
      <c r="BJ148" s="10" t="str">
        <f t="shared" si="331"/>
        <v xml:space="preserve"> </v>
      </c>
      <c r="BK148" s="10" t="str">
        <f t="shared" si="331"/>
        <v xml:space="preserve"> </v>
      </c>
      <c r="BL148" s="10" t="str">
        <f t="shared" si="331"/>
        <v xml:space="preserve"> </v>
      </c>
      <c r="BM148" s="10" t="str">
        <f t="shared" si="331"/>
        <v xml:space="preserve"> </v>
      </c>
      <c r="BN148" s="10" t="str">
        <f t="shared" si="331"/>
        <v xml:space="preserve"> </v>
      </c>
      <c r="BO148" s="14"/>
      <c r="BP148" s="14"/>
      <c r="BQ148" s="10" t="str">
        <f t="shared" si="332"/>
        <v xml:space="preserve"> </v>
      </c>
      <c r="BR148" s="10" t="str">
        <f t="shared" si="332"/>
        <v xml:space="preserve"> </v>
      </c>
      <c r="BS148" s="10" t="str">
        <f t="shared" si="332"/>
        <v xml:space="preserve"> </v>
      </c>
      <c r="BT148" s="10" t="str">
        <f t="shared" si="332"/>
        <v xml:space="preserve"> </v>
      </c>
      <c r="BU148" s="10" t="str">
        <f t="shared" si="332"/>
        <v xml:space="preserve"> </v>
      </c>
      <c r="BV148" s="14"/>
      <c r="BW148" s="14"/>
      <c r="BX148" s="10" t="str">
        <f t="shared" si="333"/>
        <v xml:space="preserve"> </v>
      </c>
      <c r="BY148" s="10" t="str">
        <f t="shared" si="333"/>
        <v xml:space="preserve"> </v>
      </c>
      <c r="BZ148" s="10" t="str">
        <f t="shared" si="333"/>
        <v xml:space="preserve"> </v>
      </c>
      <c r="CA148" s="10" t="str">
        <f t="shared" si="333"/>
        <v xml:space="preserve"> </v>
      </c>
      <c r="CB148" s="10" t="str">
        <f t="shared" si="333"/>
        <v xml:space="preserve"> </v>
      </c>
      <c r="CC148" s="14"/>
      <c r="CD148" s="14"/>
      <c r="CE148" s="10" t="str">
        <f t="shared" si="334"/>
        <v xml:space="preserve"> </v>
      </c>
      <c r="CF148" s="10" t="str">
        <f t="shared" si="334"/>
        <v xml:space="preserve"> </v>
      </c>
      <c r="CG148" s="10" t="str">
        <f t="shared" si="334"/>
        <v xml:space="preserve"> </v>
      </c>
      <c r="CH148" s="10" t="str">
        <f t="shared" si="334"/>
        <v xml:space="preserve"> </v>
      </c>
      <c r="CI148" s="10" t="str">
        <f t="shared" si="334"/>
        <v xml:space="preserve"> </v>
      </c>
      <c r="CJ148" s="14"/>
      <c r="CK148" s="14"/>
      <c r="CL148" s="10" t="str">
        <f t="shared" si="335"/>
        <v xml:space="preserve"> </v>
      </c>
      <c r="CM148" s="10" t="str">
        <f t="shared" si="335"/>
        <v xml:space="preserve"> </v>
      </c>
      <c r="CN148" s="10" t="str">
        <f t="shared" si="335"/>
        <v xml:space="preserve"> </v>
      </c>
      <c r="CO148" s="10" t="str">
        <f t="shared" si="335"/>
        <v xml:space="preserve"> </v>
      </c>
      <c r="CP148" s="10" t="str">
        <f t="shared" si="335"/>
        <v xml:space="preserve"> </v>
      </c>
      <c r="CQ148" s="14"/>
      <c r="CR148" s="14"/>
      <c r="CS148" s="10" t="str">
        <f t="shared" si="336"/>
        <v xml:space="preserve"> </v>
      </c>
      <c r="CT148" s="10" t="str">
        <f t="shared" si="336"/>
        <v xml:space="preserve"> </v>
      </c>
      <c r="CU148" s="10" t="str">
        <f t="shared" si="336"/>
        <v xml:space="preserve"> </v>
      </c>
      <c r="CV148" s="10" t="str">
        <f t="shared" si="336"/>
        <v xml:space="preserve"> </v>
      </c>
      <c r="CW148" s="10" t="str">
        <f t="shared" si="336"/>
        <v xml:space="preserve"> </v>
      </c>
      <c r="CZ148" s="10" t="str">
        <f t="shared" si="337"/>
        <v xml:space="preserve"> </v>
      </c>
      <c r="DA148" s="10" t="str">
        <f t="shared" si="337"/>
        <v xml:space="preserve"> </v>
      </c>
      <c r="DB148" s="10" t="str">
        <f t="shared" si="337"/>
        <v xml:space="preserve"> </v>
      </c>
      <c r="DC148" s="10" t="str">
        <f t="shared" si="337"/>
        <v xml:space="preserve"> </v>
      </c>
      <c r="DD148" s="10" t="str">
        <f t="shared" si="337"/>
        <v xml:space="preserve"> </v>
      </c>
      <c r="DG148" s="10" t="str">
        <f t="shared" si="338"/>
        <v xml:space="preserve"> </v>
      </c>
      <c r="DH148" s="10" t="str">
        <f t="shared" si="338"/>
        <v xml:space="preserve"> </v>
      </c>
      <c r="DI148" s="10" t="str">
        <f t="shared" si="338"/>
        <v xml:space="preserve"> </v>
      </c>
      <c r="DJ148" s="10" t="str">
        <f t="shared" si="338"/>
        <v xml:space="preserve"> </v>
      </c>
      <c r="DK148" s="10" t="str">
        <f t="shared" si="338"/>
        <v xml:space="preserve"> </v>
      </c>
      <c r="DN148" s="10" t="str">
        <f t="shared" si="339"/>
        <v xml:space="preserve"> </v>
      </c>
      <c r="DO148" s="10" t="str">
        <f t="shared" si="339"/>
        <v xml:space="preserve"> </v>
      </c>
      <c r="DP148" s="10" t="str">
        <f t="shared" si="339"/>
        <v xml:space="preserve"> </v>
      </c>
      <c r="DQ148" s="10" t="str">
        <f t="shared" si="339"/>
        <v xml:space="preserve"> </v>
      </c>
      <c r="DR148" s="10" t="str">
        <f t="shared" si="339"/>
        <v xml:space="preserve"> </v>
      </c>
      <c r="DU148" s="10" t="str">
        <f t="shared" si="340"/>
        <v xml:space="preserve"> </v>
      </c>
      <c r="DV148" s="10" t="str">
        <f t="shared" si="340"/>
        <v xml:space="preserve"> </v>
      </c>
      <c r="DW148" s="10" t="str">
        <f t="shared" si="340"/>
        <v xml:space="preserve"> </v>
      </c>
      <c r="DX148" s="10" t="str">
        <f t="shared" si="340"/>
        <v xml:space="preserve"> </v>
      </c>
      <c r="DY148" s="10" t="str">
        <f t="shared" si="340"/>
        <v xml:space="preserve"> </v>
      </c>
      <c r="EB148" s="10" t="str">
        <f t="shared" si="341"/>
        <v xml:space="preserve"> </v>
      </c>
      <c r="EC148" s="10" t="str">
        <f t="shared" si="341"/>
        <v xml:space="preserve"> </v>
      </c>
      <c r="ED148" s="10" t="str">
        <f t="shared" si="341"/>
        <v xml:space="preserve"> </v>
      </c>
      <c r="EE148" s="10" t="str">
        <f t="shared" si="341"/>
        <v xml:space="preserve"> </v>
      </c>
      <c r="EF148" s="10" t="str">
        <f t="shared" si="341"/>
        <v xml:space="preserve"> </v>
      </c>
      <c r="EI148" s="10" t="str">
        <f t="shared" si="342"/>
        <v xml:space="preserve"> </v>
      </c>
      <c r="EJ148" s="10" t="str">
        <f t="shared" si="342"/>
        <v xml:space="preserve"> </v>
      </c>
      <c r="EK148" s="10" t="str">
        <f t="shared" si="342"/>
        <v xml:space="preserve"> </v>
      </c>
      <c r="EL148" s="10" t="str">
        <f t="shared" si="342"/>
        <v xml:space="preserve"> </v>
      </c>
      <c r="EM148" s="10" t="str">
        <f t="shared" si="342"/>
        <v xml:space="preserve"> </v>
      </c>
      <c r="EP148" s="10" t="str">
        <f t="shared" si="343"/>
        <v xml:space="preserve"> </v>
      </c>
      <c r="EQ148" s="10" t="str">
        <f t="shared" si="343"/>
        <v xml:space="preserve"> </v>
      </c>
      <c r="ER148" s="10" t="str">
        <f t="shared" si="343"/>
        <v xml:space="preserve"> </v>
      </c>
      <c r="ES148" s="10" t="str">
        <f t="shared" si="343"/>
        <v xml:space="preserve"> </v>
      </c>
      <c r="ET148" s="10" t="str">
        <f t="shared" si="343"/>
        <v xml:space="preserve"> </v>
      </c>
      <c r="EW148" s="10" t="str">
        <f t="shared" si="344"/>
        <v xml:space="preserve"> </v>
      </c>
      <c r="EX148" s="10" t="str">
        <f t="shared" si="344"/>
        <v xml:space="preserve"> </v>
      </c>
      <c r="EY148" s="10" t="str">
        <f t="shared" si="344"/>
        <v xml:space="preserve"> </v>
      </c>
      <c r="EZ148" s="10" t="str">
        <f t="shared" si="344"/>
        <v xml:space="preserve"> </v>
      </c>
      <c r="FA148" s="10" t="str">
        <f t="shared" si="344"/>
        <v xml:space="preserve"> </v>
      </c>
      <c r="FD148" s="10" t="str">
        <f t="shared" si="345"/>
        <v xml:space="preserve"> </v>
      </c>
      <c r="FE148" s="10" t="str">
        <f t="shared" si="345"/>
        <v xml:space="preserve"> </v>
      </c>
      <c r="FF148" s="10" t="str">
        <f t="shared" si="345"/>
        <v xml:space="preserve"> </v>
      </c>
      <c r="FG148" s="10" t="str">
        <f t="shared" si="345"/>
        <v xml:space="preserve"> </v>
      </c>
      <c r="FH148" s="10" t="str">
        <f t="shared" si="345"/>
        <v xml:space="preserve"> </v>
      </c>
      <c r="FK148" s="10" t="str">
        <f t="shared" si="346"/>
        <v xml:space="preserve"> </v>
      </c>
      <c r="FL148" s="10" t="str">
        <f t="shared" si="346"/>
        <v xml:space="preserve"> </v>
      </c>
      <c r="FM148" s="10" t="str">
        <f t="shared" si="346"/>
        <v xml:space="preserve"> </v>
      </c>
      <c r="FN148" s="10" t="str">
        <f t="shared" si="346"/>
        <v xml:space="preserve"> </v>
      </c>
      <c r="FO148" s="10" t="str">
        <f t="shared" si="346"/>
        <v xml:space="preserve"> </v>
      </c>
      <c r="FR148" s="10" t="str">
        <f t="shared" si="347"/>
        <v xml:space="preserve"> </v>
      </c>
      <c r="FS148" s="10" t="str">
        <f t="shared" si="347"/>
        <v xml:space="preserve"> </v>
      </c>
      <c r="FT148" s="10" t="str">
        <f t="shared" si="347"/>
        <v xml:space="preserve"> </v>
      </c>
      <c r="FU148" s="10" t="str">
        <f t="shared" si="347"/>
        <v xml:space="preserve"> </v>
      </c>
      <c r="FV148" s="10" t="str">
        <f t="shared" si="347"/>
        <v xml:space="preserve"> </v>
      </c>
      <c r="FY148" s="10" t="str">
        <f t="shared" si="348"/>
        <v xml:space="preserve"> </v>
      </c>
      <c r="FZ148" s="10" t="str">
        <f t="shared" si="348"/>
        <v xml:space="preserve"> </v>
      </c>
      <c r="GA148" s="10" t="str">
        <f t="shared" si="348"/>
        <v xml:space="preserve"> </v>
      </c>
      <c r="GB148" s="10" t="str">
        <f t="shared" si="348"/>
        <v xml:space="preserve"> </v>
      </c>
      <c r="GC148" s="10" t="str">
        <f t="shared" si="348"/>
        <v xml:space="preserve"> </v>
      </c>
      <c r="GF148" s="10" t="str">
        <f t="shared" si="349"/>
        <v xml:space="preserve"> </v>
      </c>
      <c r="GG148" s="10" t="str">
        <f t="shared" si="349"/>
        <v xml:space="preserve"> </v>
      </c>
      <c r="GH148" s="10" t="str">
        <f t="shared" si="349"/>
        <v xml:space="preserve"> </v>
      </c>
      <c r="GI148" s="10" t="str">
        <f t="shared" si="349"/>
        <v xml:space="preserve"> </v>
      </c>
      <c r="GJ148" s="10" t="str">
        <f t="shared" si="349"/>
        <v xml:space="preserve"> </v>
      </c>
      <c r="GM148" s="10" t="str">
        <f t="shared" si="350"/>
        <v xml:space="preserve"> </v>
      </c>
      <c r="GN148" s="10" t="str">
        <f t="shared" si="350"/>
        <v xml:space="preserve"> </v>
      </c>
      <c r="GO148" s="10" t="str">
        <f t="shared" si="350"/>
        <v xml:space="preserve"> </v>
      </c>
      <c r="GP148" s="10" t="str">
        <f t="shared" si="350"/>
        <v xml:space="preserve"> </v>
      </c>
      <c r="GQ148" s="10" t="str">
        <f t="shared" si="350"/>
        <v xml:space="preserve"> </v>
      </c>
      <c r="GT148" s="10" t="str">
        <f t="shared" si="351"/>
        <v xml:space="preserve"> </v>
      </c>
      <c r="GU148" s="10" t="str">
        <f t="shared" si="351"/>
        <v xml:space="preserve"> </v>
      </c>
      <c r="GV148" s="10" t="str">
        <f t="shared" si="351"/>
        <v xml:space="preserve"> </v>
      </c>
      <c r="GW148" s="10" t="str">
        <f t="shared" si="351"/>
        <v xml:space="preserve"> </v>
      </c>
      <c r="GX148" s="10" t="str">
        <f t="shared" si="351"/>
        <v xml:space="preserve"> </v>
      </c>
      <c r="HA148" s="10" t="str">
        <f t="shared" si="352"/>
        <v xml:space="preserve"> </v>
      </c>
      <c r="HB148" s="10" t="str">
        <f t="shared" si="352"/>
        <v xml:space="preserve"> </v>
      </c>
      <c r="HC148" s="10" t="str">
        <f t="shared" si="352"/>
        <v xml:space="preserve"> </v>
      </c>
      <c r="HD148" s="10" t="str">
        <f t="shared" si="352"/>
        <v xml:space="preserve"> </v>
      </c>
      <c r="HE148" s="10" t="str">
        <f t="shared" si="352"/>
        <v xml:space="preserve"> </v>
      </c>
      <c r="HH148" s="10" t="str">
        <f t="shared" si="353"/>
        <v xml:space="preserve"> </v>
      </c>
      <c r="HI148" s="10" t="str">
        <f t="shared" si="353"/>
        <v xml:space="preserve"> </v>
      </c>
      <c r="HJ148" s="10" t="str">
        <f t="shared" si="353"/>
        <v xml:space="preserve"> </v>
      </c>
      <c r="HK148" s="10" t="str">
        <f t="shared" si="353"/>
        <v xml:space="preserve"> </v>
      </c>
      <c r="HL148" s="10" t="str">
        <f t="shared" si="353"/>
        <v xml:space="preserve"> </v>
      </c>
      <c r="HO148" s="10" t="str">
        <f t="shared" si="354"/>
        <v xml:space="preserve"> </v>
      </c>
      <c r="HP148" s="10" t="str">
        <f t="shared" si="354"/>
        <v xml:space="preserve"> </v>
      </c>
      <c r="HQ148" s="10" t="str">
        <f t="shared" si="354"/>
        <v xml:space="preserve"> </v>
      </c>
      <c r="HR148" s="10" t="str">
        <f t="shared" si="354"/>
        <v xml:space="preserve"> </v>
      </c>
      <c r="HS148" s="10" t="str">
        <f t="shared" si="354"/>
        <v xml:space="preserve"> </v>
      </c>
      <c r="HV148" s="10" t="str">
        <f t="shared" si="355"/>
        <v xml:space="preserve"> </v>
      </c>
      <c r="HW148" s="10" t="str">
        <f t="shared" si="355"/>
        <v xml:space="preserve"> </v>
      </c>
      <c r="HX148" s="10" t="str">
        <f t="shared" si="355"/>
        <v xml:space="preserve"> </v>
      </c>
      <c r="HY148" s="10" t="str">
        <f t="shared" si="355"/>
        <v xml:space="preserve"> </v>
      </c>
      <c r="HZ148" s="10" t="str">
        <f t="shared" si="355"/>
        <v xml:space="preserve"> </v>
      </c>
      <c r="IC148" s="10" t="str">
        <f t="shared" si="356"/>
        <v xml:space="preserve"> </v>
      </c>
      <c r="ID148" s="10" t="str">
        <f t="shared" si="356"/>
        <v xml:space="preserve"> </v>
      </c>
      <c r="IE148" s="10" t="str">
        <f t="shared" si="356"/>
        <v xml:space="preserve"> </v>
      </c>
      <c r="IF148" s="10" t="str">
        <f t="shared" si="356"/>
        <v xml:space="preserve"> </v>
      </c>
      <c r="IG148" s="10" t="str">
        <f t="shared" si="356"/>
        <v xml:space="preserve"> </v>
      </c>
      <c r="IJ148" s="10" t="str">
        <f t="shared" si="357"/>
        <v xml:space="preserve"> </v>
      </c>
      <c r="IK148" s="10" t="str">
        <f t="shared" si="357"/>
        <v xml:space="preserve"> </v>
      </c>
      <c r="IL148" s="10" t="str">
        <f t="shared" si="357"/>
        <v xml:space="preserve"> </v>
      </c>
      <c r="IM148" s="10" t="str">
        <f t="shared" si="357"/>
        <v xml:space="preserve"> </v>
      </c>
      <c r="IN148" s="10" t="str">
        <f t="shared" si="357"/>
        <v xml:space="preserve"> </v>
      </c>
      <c r="IQ148" s="10" t="str">
        <f t="shared" si="358"/>
        <v xml:space="preserve"> </v>
      </c>
      <c r="IR148" s="10" t="str">
        <f t="shared" si="358"/>
        <v xml:space="preserve"> </v>
      </c>
      <c r="IS148" s="10" t="str">
        <f t="shared" si="358"/>
        <v xml:space="preserve"> </v>
      </c>
      <c r="IT148" s="10" t="str">
        <f t="shared" si="358"/>
        <v xml:space="preserve"> </v>
      </c>
      <c r="IU148" s="10" t="str">
        <f t="shared" si="358"/>
        <v xml:space="preserve"> </v>
      </c>
      <c r="IX148" s="10" t="str">
        <f t="shared" si="359"/>
        <v xml:space="preserve"> </v>
      </c>
      <c r="IY148" s="10" t="str">
        <f t="shared" si="359"/>
        <v xml:space="preserve"> </v>
      </c>
      <c r="IZ148" s="10" t="str">
        <f t="shared" si="359"/>
        <v xml:space="preserve"> </v>
      </c>
      <c r="JA148" s="10" t="str">
        <f t="shared" si="359"/>
        <v xml:space="preserve"> </v>
      </c>
      <c r="JB148" s="10" t="str">
        <f t="shared" si="359"/>
        <v xml:space="preserve"> </v>
      </c>
      <c r="JE148" s="10" t="str">
        <f t="shared" si="360"/>
        <v xml:space="preserve"> </v>
      </c>
      <c r="JF148" s="10" t="str">
        <f t="shared" si="360"/>
        <v xml:space="preserve"> </v>
      </c>
      <c r="JG148" s="10" t="str">
        <f t="shared" si="360"/>
        <v xml:space="preserve"> </v>
      </c>
      <c r="JH148" s="10" t="str">
        <f t="shared" si="360"/>
        <v xml:space="preserve"> </v>
      </c>
      <c r="JI148" s="10" t="str">
        <f t="shared" si="360"/>
        <v xml:space="preserve"> </v>
      </c>
    </row>
    <row r="149" spans="13:269">
      <c r="M149" s="10" t="str">
        <f t="shared" si="361"/>
        <v xml:space="preserve"> </v>
      </c>
      <c r="N149" s="10" t="str">
        <f t="shared" si="361"/>
        <v xml:space="preserve"> </v>
      </c>
      <c r="O149" s="10" t="str">
        <f t="shared" si="361"/>
        <v xml:space="preserve"> </v>
      </c>
      <c r="P149" s="10" t="str">
        <f t="shared" si="361"/>
        <v xml:space="preserve"> </v>
      </c>
      <c r="Q149" s="10" t="str">
        <f t="shared" si="361"/>
        <v xml:space="preserve"> </v>
      </c>
      <c r="R149" s="14"/>
      <c r="S149" s="14"/>
      <c r="T149" s="10" t="str">
        <f t="shared" si="325"/>
        <v xml:space="preserve"> </v>
      </c>
      <c r="U149" s="10" t="str">
        <f t="shared" si="325"/>
        <v xml:space="preserve"> </v>
      </c>
      <c r="V149" s="10" t="str">
        <f t="shared" si="325"/>
        <v xml:space="preserve"> </v>
      </c>
      <c r="W149" s="10" t="str">
        <f t="shared" si="325"/>
        <v xml:space="preserve"> </v>
      </c>
      <c r="X149" s="10" t="str">
        <f t="shared" si="325"/>
        <v xml:space="preserve"> </v>
      </c>
      <c r="Y149" s="14"/>
      <c r="Z149" s="14"/>
      <c r="AA149" s="10" t="str">
        <f t="shared" si="326"/>
        <v xml:space="preserve"> </v>
      </c>
      <c r="AB149" s="10" t="str">
        <f t="shared" si="326"/>
        <v xml:space="preserve"> </v>
      </c>
      <c r="AC149" s="10" t="str">
        <f t="shared" si="326"/>
        <v xml:space="preserve"> </v>
      </c>
      <c r="AD149" s="10" t="str">
        <f t="shared" si="326"/>
        <v xml:space="preserve"> </v>
      </c>
      <c r="AE149" s="10" t="str">
        <f t="shared" si="326"/>
        <v xml:space="preserve"> </v>
      </c>
      <c r="AF149" s="14"/>
      <c r="AG149" s="14"/>
      <c r="AH149" s="10" t="str">
        <f t="shared" si="327"/>
        <v xml:space="preserve"> </v>
      </c>
      <c r="AI149" s="10" t="str">
        <f t="shared" si="327"/>
        <v xml:space="preserve"> </v>
      </c>
      <c r="AJ149" s="10" t="str">
        <f t="shared" si="327"/>
        <v xml:space="preserve"> </v>
      </c>
      <c r="AK149" s="10" t="str">
        <f t="shared" si="327"/>
        <v xml:space="preserve"> </v>
      </c>
      <c r="AL149" s="10" t="str">
        <f t="shared" si="327"/>
        <v xml:space="preserve"> </v>
      </c>
      <c r="AM149" s="14"/>
      <c r="AN149" s="14"/>
      <c r="AO149" s="10" t="str">
        <f t="shared" si="328"/>
        <v xml:space="preserve"> </v>
      </c>
      <c r="AP149" s="10" t="str">
        <f t="shared" si="328"/>
        <v xml:space="preserve"> </v>
      </c>
      <c r="AQ149" s="10" t="str">
        <f t="shared" si="328"/>
        <v xml:space="preserve"> </v>
      </c>
      <c r="AR149" s="10" t="str">
        <f t="shared" si="328"/>
        <v xml:space="preserve"> </v>
      </c>
      <c r="AS149" s="10" t="str">
        <f t="shared" si="328"/>
        <v xml:space="preserve"> </v>
      </c>
      <c r="AT149" s="14"/>
      <c r="AU149" s="14"/>
      <c r="AV149" s="10" t="str">
        <f t="shared" si="329"/>
        <v xml:space="preserve"> </v>
      </c>
      <c r="AW149" s="10" t="str">
        <f t="shared" si="329"/>
        <v xml:space="preserve"> </v>
      </c>
      <c r="AX149" s="10" t="str">
        <f t="shared" si="329"/>
        <v xml:space="preserve"> </v>
      </c>
      <c r="AY149" s="10" t="str">
        <f t="shared" si="329"/>
        <v xml:space="preserve"> </v>
      </c>
      <c r="AZ149" s="10" t="str">
        <f t="shared" si="329"/>
        <v xml:space="preserve"> </v>
      </c>
      <c r="BA149" s="14"/>
      <c r="BB149" s="14"/>
      <c r="BC149" s="10" t="str">
        <f t="shared" si="330"/>
        <v xml:space="preserve"> </v>
      </c>
      <c r="BD149" s="10" t="str">
        <f t="shared" si="330"/>
        <v xml:space="preserve"> </v>
      </c>
      <c r="BE149" s="10" t="str">
        <f t="shared" si="330"/>
        <v xml:space="preserve"> </v>
      </c>
      <c r="BF149" s="10" t="str">
        <f t="shared" si="330"/>
        <v xml:space="preserve"> </v>
      </c>
      <c r="BG149" s="10" t="str">
        <f t="shared" si="330"/>
        <v xml:space="preserve"> </v>
      </c>
      <c r="BH149" s="14"/>
      <c r="BI149" s="14"/>
      <c r="BJ149" s="10" t="str">
        <f t="shared" si="331"/>
        <v xml:space="preserve"> </v>
      </c>
      <c r="BK149" s="10" t="str">
        <f t="shared" si="331"/>
        <v xml:space="preserve"> </v>
      </c>
      <c r="BL149" s="10" t="str">
        <f t="shared" si="331"/>
        <v xml:space="preserve"> </v>
      </c>
      <c r="BM149" s="10" t="str">
        <f t="shared" si="331"/>
        <v xml:space="preserve"> </v>
      </c>
      <c r="BN149" s="10" t="str">
        <f t="shared" si="331"/>
        <v xml:space="preserve"> </v>
      </c>
      <c r="BO149" s="14"/>
      <c r="BP149" s="14"/>
      <c r="BQ149" s="10" t="str">
        <f t="shared" si="332"/>
        <v xml:space="preserve"> </v>
      </c>
      <c r="BR149" s="10" t="str">
        <f t="shared" si="332"/>
        <v xml:space="preserve"> </v>
      </c>
      <c r="BS149" s="10" t="str">
        <f t="shared" si="332"/>
        <v xml:space="preserve"> </v>
      </c>
      <c r="BT149" s="10" t="str">
        <f t="shared" si="332"/>
        <v xml:space="preserve"> </v>
      </c>
      <c r="BU149" s="10" t="str">
        <f t="shared" si="332"/>
        <v xml:space="preserve"> </v>
      </c>
      <c r="BV149" s="14"/>
      <c r="BW149" s="14"/>
      <c r="BX149" s="10" t="str">
        <f t="shared" si="333"/>
        <v xml:space="preserve"> </v>
      </c>
      <c r="BY149" s="10" t="str">
        <f t="shared" si="333"/>
        <v xml:space="preserve"> </v>
      </c>
      <c r="BZ149" s="10" t="str">
        <f t="shared" si="333"/>
        <v xml:space="preserve"> </v>
      </c>
      <c r="CA149" s="10" t="str">
        <f t="shared" si="333"/>
        <v xml:space="preserve"> </v>
      </c>
      <c r="CB149" s="10" t="str">
        <f t="shared" si="333"/>
        <v xml:space="preserve"> </v>
      </c>
      <c r="CC149" s="14"/>
      <c r="CD149" s="14"/>
      <c r="CE149" s="10" t="str">
        <f t="shared" si="334"/>
        <v xml:space="preserve"> </v>
      </c>
      <c r="CF149" s="10" t="str">
        <f t="shared" si="334"/>
        <v xml:space="preserve"> </v>
      </c>
      <c r="CG149" s="10" t="str">
        <f t="shared" si="334"/>
        <v xml:space="preserve"> </v>
      </c>
      <c r="CH149" s="10" t="str">
        <f t="shared" si="334"/>
        <v xml:space="preserve"> </v>
      </c>
      <c r="CI149" s="10" t="str">
        <f t="shared" si="334"/>
        <v xml:space="preserve"> </v>
      </c>
      <c r="CJ149" s="14"/>
      <c r="CK149" s="14"/>
      <c r="CL149" s="10" t="str">
        <f t="shared" si="335"/>
        <v xml:space="preserve"> </v>
      </c>
      <c r="CM149" s="10" t="str">
        <f t="shared" si="335"/>
        <v xml:space="preserve"> </v>
      </c>
      <c r="CN149" s="10" t="str">
        <f t="shared" si="335"/>
        <v xml:space="preserve"> </v>
      </c>
      <c r="CO149" s="10" t="str">
        <f t="shared" si="335"/>
        <v xml:space="preserve"> </v>
      </c>
      <c r="CP149" s="10" t="str">
        <f t="shared" si="335"/>
        <v xml:space="preserve"> </v>
      </c>
      <c r="CQ149" s="14"/>
      <c r="CR149" s="14"/>
      <c r="CS149" s="10" t="str">
        <f t="shared" si="336"/>
        <v xml:space="preserve"> </v>
      </c>
      <c r="CT149" s="10" t="str">
        <f t="shared" si="336"/>
        <v xml:space="preserve"> </v>
      </c>
      <c r="CU149" s="10" t="str">
        <f t="shared" si="336"/>
        <v xml:space="preserve"> </v>
      </c>
      <c r="CV149" s="10" t="str">
        <f t="shared" si="336"/>
        <v xml:space="preserve"> </v>
      </c>
      <c r="CW149" s="10" t="str">
        <f t="shared" si="336"/>
        <v xml:space="preserve"> </v>
      </c>
      <c r="CZ149" s="10" t="str">
        <f t="shared" si="337"/>
        <v xml:space="preserve"> </v>
      </c>
      <c r="DA149" s="10" t="str">
        <f t="shared" si="337"/>
        <v xml:space="preserve"> </v>
      </c>
      <c r="DB149" s="10" t="str">
        <f t="shared" si="337"/>
        <v xml:space="preserve"> </v>
      </c>
      <c r="DC149" s="10" t="str">
        <f t="shared" si="337"/>
        <v xml:space="preserve"> </v>
      </c>
      <c r="DD149" s="10" t="str">
        <f t="shared" si="337"/>
        <v xml:space="preserve"> </v>
      </c>
      <c r="DG149" s="10" t="str">
        <f t="shared" si="338"/>
        <v xml:space="preserve"> </v>
      </c>
      <c r="DH149" s="10" t="str">
        <f t="shared" si="338"/>
        <v xml:space="preserve"> </v>
      </c>
      <c r="DI149" s="10" t="str">
        <f t="shared" si="338"/>
        <v xml:space="preserve"> </v>
      </c>
      <c r="DJ149" s="10" t="str">
        <f t="shared" si="338"/>
        <v xml:space="preserve"> </v>
      </c>
      <c r="DK149" s="10" t="str">
        <f t="shared" si="338"/>
        <v xml:space="preserve"> </v>
      </c>
      <c r="DN149" s="10" t="str">
        <f t="shared" si="339"/>
        <v xml:space="preserve"> </v>
      </c>
      <c r="DO149" s="10" t="str">
        <f t="shared" si="339"/>
        <v xml:space="preserve"> </v>
      </c>
      <c r="DP149" s="10" t="str">
        <f t="shared" si="339"/>
        <v xml:space="preserve"> </v>
      </c>
      <c r="DQ149" s="10" t="str">
        <f t="shared" si="339"/>
        <v xml:space="preserve"> </v>
      </c>
      <c r="DR149" s="10" t="str">
        <f t="shared" si="339"/>
        <v xml:space="preserve"> </v>
      </c>
      <c r="DU149" s="10" t="str">
        <f t="shared" si="340"/>
        <v xml:space="preserve"> </v>
      </c>
      <c r="DV149" s="10" t="str">
        <f t="shared" si="340"/>
        <v xml:space="preserve"> </v>
      </c>
      <c r="DW149" s="10" t="str">
        <f t="shared" si="340"/>
        <v xml:space="preserve"> </v>
      </c>
      <c r="DX149" s="10" t="str">
        <f t="shared" si="340"/>
        <v xml:space="preserve"> </v>
      </c>
      <c r="DY149" s="10" t="str">
        <f t="shared" si="340"/>
        <v xml:space="preserve"> </v>
      </c>
      <c r="EB149" s="10" t="str">
        <f t="shared" si="341"/>
        <v xml:space="preserve"> </v>
      </c>
      <c r="EC149" s="10" t="str">
        <f t="shared" si="341"/>
        <v xml:space="preserve"> </v>
      </c>
      <c r="ED149" s="10" t="str">
        <f t="shared" si="341"/>
        <v xml:space="preserve"> </v>
      </c>
      <c r="EE149" s="10" t="str">
        <f t="shared" si="341"/>
        <v xml:space="preserve"> </v>
      </c>
      <c r="EF149" s="10" t="str">
        <f t="shared" si="341"/>
        <v xml:space="preserve"> </v>
      </c>
      <c r="EI149" s="10" t="str">
        <f t="shared" si="342"/>
        <v xml:space="preserve"> </v>
      </c>
      <c r="EJ149" s="10" t="str">
        <f t="shared" si="342"/>
        <v xml:space="preserve"> </v>
      </c>
      <c r="EK149" s="10" t="str">
        <f t="shared" si="342"/>
        <v xml:space="preserve"> </v>
      </c>
      <c r="EL149" s="10" t="str">
        <f t="shared" si="342"/>
        <v xml:space="preserve"> </v>
      </c>
      <c r="EM149" s="10" t="str">
        <f t="shared" si="342"/>
        <v xml:space="preserve"> </v>
      </c>
      <c r="EP149" s="10" t="str">
        <f t="shared" si="343"/>
        <v xml:space="preserve"> </v>
      </c>
      <c r="EQ149" s="10" t="str">
        <f t="shared" si="343"/>
        <v xml:space="preserve"> </v>
      </c>
      <c r="ER149" s="10" t="str">
        <f t="shared" si="343"/>
        <v xml:space="preserve"> </v>
      </c>
      <c r="ES149" s="10" t="str">
        <f t="shared" si="343"/>
        <v xml:space="preserve"> </v>
      </c>
      <c r="ET149" s="10" t="str">
        <f t="shared" si="343"/>
        <v xml:space="preserve"> </v>
      </c>
      <c r="EW149" s="10" t="str">
        <f t="shared" si="344"/>
        <v xml:space="preserve"> </v>
      </c>
      <c r="EX149" s="10" t="str">
        <f t="shared" si="344"/>
        <v xml:space="preserve"> </v>
      </c>
      <c r="EY149" s="10" t="str">
        <f t="shared" si="344"/>
        <v xml:space="preserve"> </v>
      </c>
      <c r="EZ149" s="10" t="str">
        <f t="shared" si="344"/>
        <v xml:space="preserve"> </v>
      </c>
      <c r="FA149" s="10" t="str">
        <f t="shared" si="344"/>
        <v xml:space="preserve"> </v>
      </c>
      <c r="FD149" s="10" t="str">
        <f t="shared" si="345"/>
        <v xml:space="preserve"> </v>
      </c>
      <c r="FE149" s="10" t="str">
        <f t="shared" si="345"/>
        <v xml:space="preserve"> </v>
      </c>
      <c r="FF149" s="10" t="str">
        <f t="shared" si="345"/>
        <v xml:space="preserve"> </v>
      </c>
      <c r="FG149" s="10" t="str">
        <f t="shared" si="345"/>
        <v xml:space="preserve"> </v>
      </c>
      <c r="FH149" s="10" t="str">
        <f t="shared" si="345"/>
        <v xml:space="preserve"> </v>
      </c>
      <c r="FK149" s="10" t="str">
        <f t="shared" si="346"/>
        <v xml:space="preserve"> </v>
      </c>
      <c r="FL149" s="10" t="str">
        <f t="shared" si="346"/>
        <v xml:space="preserve"> </v>
      </c>
      <c r="FM149" s="10" t="str">
        <f t="shared" si="346"/>
        <v xml:space="preserve"> </v>
      </c>
      <c r="FN149" s="10" t="str">
        <f t="shared" si="346"/>
        <v xml:space="preserve"> </v>
      </c>
      <c r="FO149" s="10" t="str">
        <f t="shared" si="346"/>
        <v xml:space="preserve"> </v>
      </c>
      <c r="FR149" s="10" t="str">
        <f t="shared" si="347"/>
        <v xml:space="preserve"> </v>
      </c>
      <c r="FS149" s="10" t="str">
        <f t="shared" si="347"/>
        <v xml:space="preserve"> </v>
      </c>
      <c r="FT149" s="10" t="str">
        <f t="shared" si="347"/>
        <v xml:space="preserve"> </v>
      </c>
      <c r="FU149" s="10" t="str">
        <f t="shared" si="347"/>
        <v xml:space="preserve"> </v>
      </c>
      <c r="FV149" s="10" t="str">
        <f t="shared" si="347"/>
        <v xml:space="preserve"> </v>
      </c>
      <c r="FY149" s="10" t="str">
        <f t="shared" si="348"/>
        <v xml:space="preserve"> </v>
      </c>
      <c r="FZ149" s="10" t="str">
        <f t="shared" si="348"/>
        <v xml:space="preserve"> </v>
      </c>
      <c r="GA149" s="10" t="str">
        <f t="shared" si="348"/>
        <v xml:space="preserve"> </v>
      </c>
      <c r="GB149" s="10" t="str">
        <f t="shared" si="348"/>
        <v xml:space="preserve"> </v>
      </c>
      <c r="GC149" s="10" t="str">
        <f t="shared" si="348"/>
        <v xml:space="preserve"> </v>
      </c>
      <c r="GF149" s="10" t="str">
        <f t="shared" si="349"/>
        <v xml:space="preserve"> </v>
      </c>
      <c r="GG149" s="10" t="str">
        <f t="shared" si="349"/>
        <v xml:space="preserve"> </v>
      </c>
      <c r="GH149" s="10" t="str">
        <f t="shared" si="349"/>
        <v xml:space="preserve"> </v>
      </c>
      <c r="GI149" s="10" t="str">
        <f t="shared" si="349"/>
        <v xml:space="preserve"> </v>
      </c>
      <c r="GJ149" s="10" t="str">
        <f t="shared" si="349"/>
        <v xml:space="preserve"> </v>
      </c>
      <c r="GM149" s="10" t="str">
        <f t="shared" si="350"/>
        <v xml:space="preserve"> </v>
      </c>
      <c r="GN149" s="10" t="str">
        <f t="shared" si="350"/>
        <v xml:space="preserve"> </v>
      </c>
      <c r="GO149" s="10" t="str">
        <f t="shared" si="350"/>
        <v xml:space="preserve"> </v>
      </c>
      <c r="GP149" s="10" t="str">
        <f t="shared" si="350"/>
        <v xml:space="preserve"> </v>
      </c>
      <c r="GQ149" s="10" t="str">
        <f t="shared" si="350"/>
        <v xml:space="preserve"> </v>
      </c>
      <c r="GT149" s="10" t="str">
        <f t="shared" si="351"/>
        <v xml:space="preserve"> </v>
      </c>
      <c r="GU149" s="10" t="str">
        <f t="shared" si="351"/>
        <v xml:space="preserve"> </v>
      </c>
      <c r="GV149" s="10" t="str">
        <f t="shared" si="351"/>
        <v xml:space="preserve"> </v>
      </c>
      <c r="GW149" s="10" t="str">
        <f t="shared" si="351"/>
        <v xml:space="preserve"> </v>
      </c>
      <c r="GX149" s="10" t="str">
        <f t="shared" si="351"/>
        <v xml:space="preserve"> </v>
      </c>
      <c r="HA149" s="10" t="str">
        <f t="shared" si="352"/>
        <v xml:space="preserve"> </v>
      </c>
      <c r="HB149" s="10" t="str">
        <f t="shared" si="352"/>
        <v xml:space="preserve"> </v>
      </c>
      <c r="HC149" s="10" t="str">
        <f t="shared" si="352"/>
        <v xml:space="preserve"> </v>
      </c>
      <c r="HD149" s="10" t="str">
        <f t="shared" si="352"/>
        <v xml:space="preserve"> </v>
      </c>
      <c r="HE149" s="10" t="str">
        <f t="shared" si="352"/>
        <v xml:space="preserve"> </v>
      </c>
      <c r="HH149" s="10" t="str">
        <f t="shared" si="353"/>
        <v xml:space="preserve"> </v>
      </c>
      <c r="HI149" s="10" t="str">
        <f t="shared" si="353"/>
        <v xml:space="preserve"> </v>
      </c>
      <c r="HJ149" s="10" t="str">
        <f t="shared" si="353"/>
        <v xml:space="preserve"> </v>
      </c>
      <c r="HK149" s="10" t="str">
        <f t="shared" si="353"/>
        <v xml:space="preserve"> </v>
      </c>
      <c r="HL149" s="10" t="str">
        <f t="shared" si="353"/>
        <v xml:space="preserve"> </v>
      </c>
      <c r="HO149" s="10" t="str">
        <f t="shared" si="354"/>
        <v xml:space="preserve"> </v>
      </c>
      <c r="HP149" s="10" t="str">
        <f t="shared" si="354"/>
        <v xml:space="preserve"> </v>
      </c>
      <c r="HQ149" s="10" t="str">
        <f t="shared" si="354"/>
        <v xml:space="preserve"> </v>
      </c>
      <c r="HR149" s="10" t="str">
        <f t="shared" si="354"/>
        <v xml:space="preserve"> </v>
      </c>
      <c r="HS149" s="10" t="str">
        <f t="shared" si="354"/>
        <v xml:space="preserve"> </v>
      </c>
      <c r="HV149" s="10" t="str">
        <f t="shared" si="355"/>
        <v xml:space="preserve"> </v>
      </c>
      <c r="HW149" s="10" t="str">
        <f t="shared" si="355"/>
        <v xml:space="preserve"> </v>
      </c>
      <c r="HX149" s="10" t="str">
        <f t="shared" si="355"/>
        <v xml:space="preserve"> </v>
      </c>
      <c r="HY149" s="10" t="str">
        <f t="shared" si="355"/>
        <v xml:space="preserve"> </v>
      </c>
      <c r="HZ149" s="10" t="str">
        <f t="shared" si="355"/>
        <v xml:space="preserve"> </v>
      </c>
      <c r="IC149" s="10" t="str">
        <f t="shared" si="356"/>
        <v xml:space="preserve"> </v>
      </c>
      <c r="ID149" s="10" t="str">
        <f t="shared" si="356"/>
        <v xml:space="preserve"> </v>
      </c>
      <c r="IE149" s="10" t="str">
        <f t="shared" si="356"/>
        <v xml:space="preserve"> </v>
      </c>
      <c r="IF149" s="10" t="str">
        <f t="shared" si="356"/>
        <v xml:space="preserve"> </v>
      </c>
      <c r="IG149" s="10" t="str">
        <f t="shared" si="356"/>
        <v xml:space="preserve"> </v>
      </c>
      <c r="IJ149" s="10" t="str">
        <f t="shared" si="357"/>
        <v xml:space="preserve"> </v>
      </c>
      <c r="IK149" s="10" t="str">
        <f t="shared" si="357"/>
        <v xml:space="preserve"> </v>
      </c>
      <c r="IL149" s="10" t="str">
        <f t="shared" si="357"/>
        <v xml:space="preserve"> </v>
      </c>
      <c r="IM149" s="10" t="str">
        <f t="shared" si="357"/>
        <v xml:space="preserve"> </v>
      </c>
      <c r="IN149" s="10" t="str">
        <f t="shared" si="357"/>
        <v xml:space="preserve"> </v>
      </c>
      <c r="IQ149" s="10" t="str">
        <f t="shared" si="358"/>
        <v xml:space="preserve"> </v>
      </c>
      <c r="IR149" s="10" t="str">
        <f t="shared" si="358"/>
        <v xml:space="preserve"> </v>
      </c>
      <c r="IS149" s="10" t="str">
        <f t="shared" si="358"/>
        <v xml:space="preserve"> </v>
      </c>
      <c r="IT149" s="10" t="str">
        <f t="shared" si="358"/>
        <v xml:space="preserve"> </v>
      </c>
      <c r="IU149" s="10" t="str">
        <f t="shared" si="358"/>
        <v xml:space="preserve"> </v>
      </c>
      <c r="IX149" s="10" t="str">
        <f t="shared" si="359"/>
        <v xml:space="preserve"> </v>
      </c>
      <c r="IY149" s="10" t="str">
        <f t="shared" si="359"/>
        <v xml:space="preserve"> </v>
      </c>
      <c r="IZ149" s="10" t="str">
        <f t="shared" si="359"/>
        <v xml:space="preserve"> </v>
      </c>
      <c r="JA149" s="10" t="str">
        <f t="shared" si="359"/>
        <v xml:space="preserve"> </v>
      </c>
      <c r="JB149" s="10" t="str">
        <f t="shared" si="359"/>
        <v xml:space="preserve"> </v>
      </c>
      <c r="JE149" s="10" t="str">
        <f t="shared" si="360"/>
        <v xml:space="preserve"> </v>
      </c>
      <c r="JF149" s="10" t="str">
        <f t="shared" si="360"/>
        <v xml:space="preserve"> </v>
      </c>
      <c r="JG149" s="10" t="str">
        <f t="shared" si="360"/>
        <v xml:space="preserve"> </v>
      </c>
      <c r="JH149" s="10" t="str">
        <f t="shared" si="360"/>
        <v xml:space="preserve"> </v>
      </c>
      <c r="JI149" s="10" t="str">
        <f t="shared" si="360"/>
        <v xml:space="preserve"> </v>
      </c>
    </row>
    <row r="150" spans="13:269">
      <c r="M150" s="10" t="str">
        <f t="shared" si="361"/>
        <v xml:space="preserve"> </v>
      </c>
      <c r="N150" s="10" t="str">
        <f t="shared" si="361"/>
        <v xml:space="preserve"> </v>
      </c>
      <c r="O150" s="10" t="str">
        <f t="shared" si="361"/>
        <v xml:space="preserve"> </v>
      </c>
      <c r="P150" s="10" t="str">
        <f t="shared" si="361"/>
        <v xml:space="preserve"> </v>
      </c>
      <c r="Q150" s="10" t="str">
        <f t="shared" si="361"/>
        <v xml:space="preserve"> </v>
      </c>
      <c r="R150" s="14"/>
      <c r="S150" s="14"/>
      <c r="T150" s="10" t="str">
        <f t="shared" si="325"/>
        <v xml:space="preserve"> </v>
      </c>
      <c r="U150" s="10" t="str">
        <f t="shared" si="325"/>
        <v xml:space="preserve"> </v>
      </c>
      <c r="V150" s="10" t="str">
        <f t="shared" si="325"/>
        <v xml:space="preserve"> </v>
      </c>
      <c r="W150" s="10" t="str">
        <f t="shared" si="325"/>
        <v xml:space="preserve"> </v>
      </c>
      <c r="X150" s="10" t="str">
        <f t="shared" si="325"/>
        <v xml:space="preserve"> </v>
      </c>
      <c r="Y150" s="14"/>
      <c r="Z150" s="14"/>
      <c r="AA150" s="10" t="str">
        <f t="shared" si="326"/>
        <v xml:space="preserve"> </v>
      </c>
      <c r="AB150" s="10" t="str">
        <f t="shared" si="326"/>
        <v xml:space="preserve"> </v>
      </c>
      <c r="AC150" s="10" t="str">
        <f t="shared" si="326"/>
        <v xml:space="preserve"> </v>
      </c>
      <c r="AD150" s="10" t="str">
        <f t="shared" si="326"/>
        <v xml:space="preserve"> </v>
      </c>
      <c r="AE150" s="10" t="str">
        <f t="shared" si="326"/>
        <v xml:space="preserve"> </v>
      </c>
      <c r="AF150" s="14"/>
      <c r="AG150" s="14"/>
      <c r="AH150" s="10" t="str">
        <f t="shared" si="327"/>
        <v xml:space="preserve"> </v>
      </c>
      <c r="AI150" s="10" t="str">
        <f t="shared" si="327"/>
        <v xml:space="preserve"> </v>
      </c>
      <c r="AJ150" s="10" t="str">
        <f t="shared" si="327"/>
        <v xml:space="preserve"> </v>
      </c>
      <c r="AK150" s="10" t="str">
        <f t="shared" si="327"/>
        <v xml:space="preserve"> </v>
      </c>
      <c r="AL150" s="10" t="str">
        <f t="shared" si="327"/>
        <v xml:space="preserve"> </v>
      </c>
      <c r="AM150" s="14"/>
      <c r="AN150" s="14"/>
      <c r="AO150" s="10" t="str">
        <f t="shared" si="328"/>
        <v xml:space="preserve"> </v>
      </c>
      <c r="AP150" s="10" t="str">
        <f t="shared" si="328"/>
        <v xml:space="preserve"> </v>
      </c>
      <c r="AQ150" s="10" t="str">
        <f t="shared" si="328"/>
        <v xml:space="preserve"> </v>
      </c>
      <c r="AR150" s="10" t="str">
        <f t="shared" si="328"/>
        <v xml:space="preserve"> </v>
      </c>
      <c r="AS150" s="10" t="str">
        <f t="shared" si="328"/>
        <v xml:space="preserve"> </v>
      </c>
      <c r="AT150" s="14"/>
      <c r="AU150" s="14"/>
      <c r="AV150" s="10" t="str">
        <f t="shared" si="329"/>
        <v xml:space="preserve"> </v>
      </c>
      <c r="AW150" s="10" t="str">
        <f t="shared" si="329"/>
        <v xml:space="preserve"> </v>
      </c>
      <c r="AX150" s="10" t="str">
        <f t="shared" si="329"/>
        <v xml:space="preserve"> </v>
      </c>
      <c r="AY150" s="10" t="str">
        <f t="shared" si="329"/>
        <v xml:space="preserve"> </v>
      </c>
      <c r="AZ150" s="10" t="str">
        <f t="shared" si="329"/>
        <v xml:space="preserve"> </v>
      </c>
      <c r="BA150" s="14"/>
      <c r="BB150" s="14"/>
      <c r="BC150" s="10" t="str">
        <f t="shared" si="330"/>
        <v xml:space="preserve"> </v>
      </c>
      <c r="BD150" s="10" t="str">
        <f t="shared" si="330"/>
        <v xml:space="preserve"> </v>
      </c>
      <c r="BE150" s="10" t="str">
        <f t="shared" si="330"/>
        <v xml:space="preserve"> </v>
      </c>
      <c r="BF150" s="10" t="str">
        <f t="shared" si="330"/>
        <v xml:space="preserve"> </v>
      </c>
      <c r="BG150" s="10" t="str">
        <f t="shared" si="330"/>
        <v xml:space="preserve"> </v>
      </c>
      <c r="BH150" s="14"/>
      <c r="BI150" s="14"/>
      <c r="BJ150" s="10" t="str">
        <f t="shared" si="331"/>
        <v xml:space="preserve"> </v>
      </c>
      <c r="BK150" s="10" t="str">
        <f t="shared" si="331"/>
        <v xml:space="preserve"> </v>
      </c>
      <c r="BL150" s="10" t="str">
        <f t="shared" si="331"/>
        <v xml:space="preserve"> </v>
      </c>
      <c r="BM150" s="10" t="str">
        <f t="shared" si="331"/>
        <v xml:space="preserve"> </v>
      </c>
      <c r="BN150" s="10" t="str">
        <f t="shared" si="331"/>
        <v xml:space="preserve"> </v>
      </c>
      <c r="BO150" s="14"/>
      <c r="BP150" s="14"/>
      <c r="BQ150" s="10" t="str">
        <f t="shared" si="332"/>
        <v xml:space="preserve"> </v>
      </c>
      <c r="BR150" s="10" t="str">
        <f t="shared" si="332"/>
        <v xml:space="preserve"> </v>
      </c>
      <c r="BS150" s="10" t="str">
        <f t="shared" si="332"/>
        <v xml:space="preserve"> </v>
      </c>
      <c r="BT150" s="10" t="str">
        <f t="shared" si="332"/>
        <v xml:space="preserve"> </v>
      </c>
      <c r="BU150" s="10" t="str">
        <f t="shared" si="332"/>
        <v xml:space="preserve"> </v>
      </c>
      <c r="BV150" s="14"/>
      <c r="BW150" s="14"/>
      <c r="BX150" s="10" t="str">
        <f t="shared" si="333"/>
        <v xml:space="preserve"> </v>
      </c>
      <c r="BY150" s="10" t="str">
        <f t="shared" si="333"/>
        <v xml:space="preserve"> </v>
      </c>
      <c r="BZ150" s="10" t="str">
        <f t="shared" si="333"/>
        <v xml:space="preserve"> </v>
      </c>
      <c r="CA150" s="10" t="str">
        <f t="shared" si="333"/>
        <v xml:space="preserve"> </v>
      </c>
      <c r="CB150" s="10" t="str">
        <f t="shared" si="333"/>
        <v xml:space="preserve"> </v>
      </c>
      <c r="CC150" s="14"/>
      <c r="CD150" s="14"/>
      <c r="CE150" s="10" t="str">
        <f t="shared" si="334"/>
        <v xml:space="preserve"> </v>
      </c>
      <c r="CF150" s="10" t="str">
        <f t="shared" si="334"/>
        <v xml:space="preserve"> </v>
      </c>
      <c r="CG150" s="10" t="str">
        <f t="shared" si="334"/>
        <v xml:space="preserve"> </v>
      </c>
      <c r="CH150" s="10" t="str">
        <f t="shared" si="334"/>
        <v xml:space="preserve"> </v>
      </c>
      <c r="CI150" s="10" t="str">
        <f t="shared" si="334"/>
        <v xml:space="preserve"> </v>
      </c>
      <c r="CJ150" s="14"/>
      <c r="CK150" s="14"/>
      <c r="CL150" s="10" t="str">
        <f t="shared" si="335"/>
        <v xml:space="preserve"> </v>
      </c>
      <c r="CM150" s="10" t="str">
        <f t="shared" si="335"/>
        <v xml:space="preserve"> </v>
      </c>
      <c r="CN150" s="10" t="str">
        <f t="shared" si="335"/>
        <v xml:space="preserve"> </v>
      </c>
      <c r="CO150" s="10" t="str">
        <f t="shared" si="335"/>
        <v xml:space="preserve"> </v>
      </c>
      <c r="CP150" s="10" t="str">
        <f t="shared" si="335"/>
        <v xml:space="preserve"> </v>
      </c>
      <c r="CQ150" s="14"/>
      <c r="CR150" s="14"/>
      <c r="CS150" s="10" t="str">
        <f t="shared" si="336"/>
        <v xml:space="preserve"> </v>
      </c>
      <c r="CT150" s="10" t="str">
        <f t="shared" si="336"/>
        <v xml:space="preserve"> </v>
      </c>
      <c r="CU150" s="10" t="str">
        <f t="shared" si="336"/>
        <v xml:space="preserve"> </v>
      </c>
      <c r="CV150" s="10" t="str">
        <f t="shared" si="336"/>
        <v xml:space="preserve"> </v>
      </c>
      <c r="CW150" s="10" t="str">
        <f t="shared" si="336"/>
        <v xml:space="preserve"> </v>
      </c>
      <c r="CZ150" s="10" t="str">
        <f t="shared" si="337"/>
        <v xml:space="preserve"> </v>
      </c>
      <c r="DA150" s="10" t="str">
        <f t="shared" si="337"/>
        <v xml:space="preserve"> </v>
      </c>
      <c r="DB150" s="10" t="str">
        <f t="shared" si="337"/>
        <v xml:space="preserve"> </v>
      </c>
      <c r="DC150" s="10" t="str">
        <f t="shared" si="337"/>
        <v xml:space="preserve"> </v>
      </c>
      <c r="DD150" s="10" t="str">
        <f t="shared" si="337"/>
        <v xml:space="preserve"> </v>
      </c>
      <c r="DG150" s="10" t="str">
        <f t="shared" si="338"/>
        <v xml:space="preserve"> </v>
      </c>
      <c r="DH150" s="10" t="str">
        <f t="shared" si="338"/>
        <v xml:space="preserve"> </v>
      </c>
      <c r="DI150" s="10" t="str">
        <f t="shared" si="338"/>
        <v xml:space="preserve"> </v>
      </c>
      <c r="DJ150" s="10" t="str">
        <f t="shared" si="338"/>
        <v xml:space="preserve"> </v>
      </c>
      <c r="DK150" s="10" t="str">
        <f t="shared" si="338"/>
        <v xml:space="preserve"> </v>
      </c>
      <c r="DN150" s="10" t="str">
        <f t="shared" si="339"/>
        <v xml:space="preserve"> </v>
      </c>
      <c r="DO150" s="10" t="str">
        <f t="shared" si="339"/>
        <v xml:space="preserve"> </v>
      </c>
      <c r="DP150" s="10" t="str">
        <f t="shared" si="339"/>
        <v xml:space="preserve"> </v>
      </c>
      <c r="DQ150" s="10" t="str">
        <f t="shared" si="339"/>
        <v xml:space="preserve"> </v>
      </c>
      <c r="DR150" s="10" t="str">
        <f t="shared" si="339"/>
        <v xml:space="preserve"> </v>
      </c>
      <c r="DU150" s="10" t="str">
        <f t="shared" si="340"/>
        <v xml:space="preserve"> </v>
      </c>
      <c r="DV150" s="10" t="str">
        <f t="shared" si="340"/>
        <v xml:space="preserve"> </v>
      </c>
      <c r="DW150" s="10" t="str">
        <f t="shared" si="340"/>
        <v xml:space="preserve"> </v>
      </c>
      <c r="DX150" s="10" t="str">
        <f t="shared" si="340"/>
        <v xml:space="preserve"> </v>
      </c>
      <c r="DY150" s="10" t="str">
        <f t="shared" si="340"/>
        <v xml:space="preserve"> </v>
      </c>
      <c r="EB150" s="10" t="str">
        <f t="shared" si="341"/>
        <v xml:space="preserve"> </v>
      </c>
      <c r="EC150" s="10" t="str">
        <f t="shared" si="341"/>
        <v xml:space="preserve"> </v>
      </c>
      <c r="ED150" s="10" t="str">
        <f t="shared" si="341"/>
        <v xml:space="preserve"> </v>
      </c>
      <c r="EE150" s="10" t="str">
        <f t="shared" si="341"/>
        <v xml:space="preserve"> </v>
      </c>
      <c r="EF150" s="10" t="str">
        <f t="shared" si="341"/>
        <v xml:space="preserve"> </v>
      </c>
      <c r="EI150" s="10" t="str">
        <f t="shared" si="342"/>
        <v xml:space="preserve"> </v>
      </c>
      <c r="EJ150" s="10" t="str">
        <f t="shared" si="342"/>
        <v xml:space="preserve"> </v>
      </c>
      <c r="EK150" s="10" t="str">
        <f t="shared" si="342"/>
        <v xml:space="preserve"> </v>
      </c>
      <c r="EL150" s="10" t="str">
        <f t="shared" si="342"/>
        <v xml:space="preserve"> </v>
      </c>
      <c r="EM150" s="10" t="str">
        <f t="shared" si="342"/>
        <v xml:space="preserve"> </v>
      </c>
      <c r="EP150" s="10" t="str">
        <f t="shared" si="343"/>
        <v xml:space="preserve"> </v>
      </c>
      <c r="EQ150" s="10" t="str">
        <f t="shared" si="343"/>
        <v xml:space="preserve"> </v>
      </c>
      <c r="ER150" s="10" t="str">
        <f t="shared" si="343"/>
        <v xml:space="preserve"> </v>
      </c>
      <c r="ES150" s="10" t="str">
        <f t="shared" si="343"/>
        <v xml:space="preserve"> </v>
      </c>
      <c r="ET150" s="10" t="str">
        <f t="shared" si="343"/>
        <v xml:space="preserve"> </v>
      </c>
      <c r="EW150" s="10" t="str">
        <f t="shared" si="344"/>
        <v xml:space="preserve"> </v>
      </c>
      <c r="EX150" s="10" t="str">
        <f t="shared" si="344"/>
        <v xml:space="preserve"> </v>
      </c>
      <c r="EY150" s="10" t="str">
        <f t="shared" si="344"/>
        <v xml:space="preserve"> </v>
      </c>
      <c r="EZ150" s="10" t="str">
        <f t="shared" si="344"/>
        <v xml:space="preserve"> </v>
      </c>
      <c r="FA150" s="10" t="str">
        <f t="shared" si="344"/>
        <v xml:space="preserve"> </v>
      </c>
      <c r="FD150" s="10" t="str">
        <f t="shared" si="345"/>
        <v xml:space="preserve"> </v>
      </c>
      <c r="FE150" s="10" t="str">
        <f t="shared" si="345"/>
        <v xml:space="preserve"> </v>
      </c>
      <c r="FF150" s="10" t="str">
        <f t="shared" si="345"/>
        <v xml:space="preserve"> </v>
      </c>
      <c r="FG150" s="10" t="str">
        <f t="shared" si="345"/>
        <v xml:space="preserve"> </v>
      </c>
      <c r="FH150" s="10" t="str">
        <f t="shared" si="345"/>
        <v xml:space="preserve"> </v>
      </c>
      <c r="FK150" s="10" t="str">
        <f t="shared" si="346"/>
        <v xml:space="preserve"> </v>
      </c>
      <c r="FL150" s="10" t="str">
        <f t="shared" si="346"/>
        <v xml:space="preserve"> </v>
      </c>
      <c r="FM150" s="10" t="str">
        <f t="shared" si="346"/>
        <v xml:space="preserve"> </v>
      </c>
      <c r="FN150" s="10" t="str">
        <f t="shared" si="346"/>
        <v xml:space="preserve"> </v>
      </c>
      <c r="FO150" s="10" t="str">
        <f t="shared" si="346"/>
        <v xml:space="preserve"> </v>
      </c>
      <c r="FR150" s="10" t="str">
        <f t="shared" si="347"/>
        <v xml:space="preserve"> </v>
      </c>
      <c r="FS150" s="10" t="str">
        <f t="shared" si="347"/>
        <v xml:space="preserve"> </v>
      </c>
      <c r="FT150" s="10" t="str">
        <f t="shared" si="347"/>
        <v xml:space="preserve"> </v>
      </c>
      <c r="FU150" s="10" t="str">
        <f t="shared" si="347"/>
        <v xml:space="preserve"> </v>
      </c>
      <c r="FV150" s="10" t="str">
        <f t="shared" si="347"/>
        <v xml:space="preserve"> </v>
      </c>
      <c r="FY150" s="10" t="str">
        <f t="shared" si="348"/>
        <v xml:space="preserve"> </v>
      </c>
      <c r="FZ150" s="10" t="str">
        <f t="shared" si="348"/>
        <v xml:space="preserve"> </v>
      </c>
      <c r="GA150" s="10" t="str">
        <f t="shared" si="348"/>
        <v xml:space="preserve"> </v>
      </c>
      <c r="GB150" s="10" t="str">
        <f t="shared" si="348"/>
        <v xml:space="preserve"> </v>
      </c>
      <c r="GC150" s="10" t="str">
        <f t="shared" si="348"/>
        <v xml:space="preserve"> </v>
      </c>
      <c r="GF150" s="10" t="str">
        <f t="shared" si="349"/>
        <v xml:space="preserve"> </v>
      </c>
      <c r="GG150" s="10" t="str">
        <f t="shared" si="349"/>
        <v xml:space="preserve"> </v>
      </c>
      <c r="GH150" s="10" t="str">
        <f t="shared" si="349"/>
        <v xml:space="preserve"> </v>
      </c>
      <c r="GI150" s="10" t="str">
        <f t="shared" si="349"/>
        <v xml:space="preserve"> </v>
      </c>
      <c r="GJ150" s="10" t="str">
        <f t="shared" si="349"/>
        <v xml:space="preserve"> </v>
      </c>
      <c r="GM150" s="10" t="str">
        <f t="shared" si="350"/>
        <v xml:space="preserve"> </v>
      </c>
      <c r="GN150" s="10" t="str">
        <f t="shared" si="350"/>
        <v xml:space="preserve"> </v>
      </c>
      <c r="GO150" s="10" t="str">
        <f t="shared" si="350"/>
        <v xml:space="preserve"> </v>
      </c>
      <c r="GP150" s="10" t="str">
        <f t="shared" si="350"/>
        <v xml:space="preserve"> </v>
      </c>
      <c r="GQ150" s="10" t="str">
        <f t="shared" si="350"/>
        <v xml:space="preserve"> </v>
      </c>
      <c r="GT150" s="10" t="str">
        <f t="shared" si="351"/>
        <v xml:space="preserve"> </v>
      </c>
      <c r="GU150" s="10" t="str">
        <f t="shared" si="351"/>
        <v xml:space="preserve"> </v>
      </c>
      <c r="GV150" s="10" t="str">
        <f t="shared" si="351"/>
        <v xml:space="preserve"> </v>
      </c>
      <c r="GW150" s="10" t="str">
        <f t="shared" si="351"/>
        <v xml:space="preserve"> </v>
      </c>
      <c r="GX150" s="10" t="str">
        <f t="shared" si="351"/>
        <v xml:space="preserve"> </v>
      </c>
      <c r="HA150" s="10" t="str">
        <f t="shared" si="352"/>
        <v xml:space="preserve"> </v>
      </c>
      <c r="HB150" s="10" t="str">
        <f t="shared" si="352"/>
        <v xml:space="preserve"> </v>
      </c>
      <c r="HC150" s="10" t="str">
        <f t="shared" si="352"/>
        <v xml:space="preserve"> </v>
      </c>
      <c r="HD150" s="10" t="str">
        <f t="shared" si="352"/>
        <v xml:space="preserve"> </v>
      </c>
      <c r="HE150" s="10" t="str">
        <f t="shared" si="352"/>
        <v xml:space="preserve"> </v>
      </c>
      <c r="HH150" s="10" t="str">
        <f t="shared" si="353"/>
        <v xml:space="preserve"> </v>
      </c>
      <c r="HI150" s="10" t="str">
        <f t="shared" si="353"/>
        <v xml:space="preserve"> </v>
      </c>
      <c r="HJ150" s="10" t="str">
        <f t="shared" si="353"/>
        <v xml:space="preserve"> </v>
      </c>
      <c r="HK150" s="10" t="str">
        <f t="shared" si="353"/>
        <v xml:space="preserve"> </v>
      </c>
      <c r="HL150" s="10" t="str">
        <f t="shared" si="353"/>
        <v xml:space="preserve"> </v>
      </c>
      <c r="HO150" s="10" t="str">
        <f t="shared" si="354"/>
        <v xml:space="preserve"> </v>
      </c>
      <c r="HP150" s="10" t="str">
        <f t="shared" si="354"/>
        <v xml:space="preserve"> </v>
      </c>
      <c r="HQ150" s="10" t="str">
        <f t="shared" si="354"/>
        <v xml:space="preserve"> </v>
      </c>
      <c r="HR150" s="10" t="str">
        <f t="shared" si="354"/>
        <v xml:space="preserve"> </v>
      </c>
      <c r="HS150" s="10" t="str">
        <f t="shared" si="354"/>
        <v xml:space="preserve"> </v>
      </c>
      <c r="HV150" s="10" t="str">
        <f t="shared" si="355"/>
        <v xml:space="preserve"> </v>
      </c>
      <c r="HW150" s="10" t="str">
        <f t="shared" si="355"/>
        <v xml:space="preserve"> </v>
      </c>
      <c r="HX150" s="10" t="str">
        <f t="shared" si="355"/>
        <v xml:space="preserve"> </v>
      </c>
      <c r="HY150" s="10" t="str">
        <f t="shared" si="355"/>
        <v xml:space="preserve"> </v>
      </c>
      <c r="HZ150" s="10" t="str">
        <f t="shared" si="355"/>
        <v xml:space="preserve"> </v>
      </c>
      <c r="IC150" s="10" t="str">
        <f t="shared" si="356"/>
        <v xml:space="preserve"> </v>
      </c>
      <c r="ID150" s="10" t="str">
        <f t="shared" si="356"/>
        <v xml:space="preserve"> </v>
      </c>
      <c r="IE150" s="10" t="str">
        <f t="shared" si="356"/>
        <v xml:space="preserve"> </v>
      </c>
      <c r="IF150" s="10" t="str">
        <f t="shared" si="356"/>
        <v xml:space="preserve"> </v>
      </c>
      <c r="IG150" s="10" t="str">
        <f t="shared" si="356"/>
        <v xml:space="preserve"> </v>
      </c>
      <c r="IJ150" s="10" t="str">
        <f t="shared" si="357"/>
        <v xml:space="preserve"> </v>
      </c>
      <c r="IK150" s="10" t="str">
        <f t="shared" si="357"/>
        <v xml:space="preserve"> </v>
      </c>
      <c r="IL150" s="10" t="str">
        <f t="shared" si="357"/>
        <v xml:space="preserve"> </v>
      </c>
      <c r="IM150" s="10" t="str">
        <f t="shared" si="357"/>
        <v xml:space="preserve"> </v>
      </c>
      <c r="IN150" s="10" t="str">
        <f t="shared" si="357"/>
        <v xml:space="preserve"> </v>
      </c>
      <c r="IQ150" s="10" t="str">
        <f t="shared" si="358"/>
        <v xml:space="preserve"> </v>
      </c>
      <c r="IR150" s="10" t="str">
        <f t="shared" si="358"/>
        <v xml:space="preserve"> </v>
      </c>
      <c r="IS150" s="10" t="str">
        <f t="shared" si="358"/>
        <v xml:space="preserve"> </v>
      </c>
      <c r="IT150" s="10" t="str">
        <f t="shared" si="358"/>
        <v xml:space="preserve"> </v>
      </c>
      <c r="IU150" s="10" t="str">
        <f t="shared" si="358"/>
        <v xml:space="preserve"> </v>
      </c>
      <c r="IX150" s="10" t="str">
        <f t="shared" si="359"/>
        <v xml:space="preserve"> </v>
      </c>
      <c r="IY150" s="10" t="str">
        <f t="shared" si="359"/>
        <v xml:space="preserve"> </v>
      </c>
      <c r="IZ150" s="10" t="str">
        <f t="shared" si="359"/>
        <v xml:space="preserve"> </v>
      </c>
      <c r="JA150" s="10" t="str">
        <f t="shared" si="359"/>
        <v xml:space="preserve"> </v>
      </c>
      <c r="JB150" s="10" t="str">
        <f t="shared" si="359"/>
        <v xml:space="preserve"> </v>
      </c>
      <c r="JE150" s="10" t="str">
        <f t="shared" si="360"/>
        <v xml:space="preserve"> </v>
      </c>
      <c r="JF150" s="10" t="str">
        <f t="shared" si="360"/>
        <v xml:space="preserve"> </v>
      </c>
      <c r="JG150" s="10" t="str">
        <f t="shared" si="360"/>
        <v xml:space="preserve"> </v>
      </c>
      <c r="JH150" s="10" t="str">
        <f t="shared" si="360"/>
        <v xml:space="preserve"> </v>
      </c>
      <c r="JI150" s="10" t="str">
        <f t="shared" si="360"/>
        <v xml:space="preserve"> </v>
      </c>
    </row>
    <row r="151" spans="13:269">
      <c r="M151" s="10" t="str">
        <f t="shared" si="361"/>
        <v xml:space="preserve"> </v>
      </c>
      <c r="N151" s="10" t="str">
        <f t="shared" si="361"/>
        <v xml:space="preserve"> </v>
      </c>
      <c r="O151" s="10" t="str">
        <f t="shared" si="361"/>
        <v xml:space="preserve"> </v>
      </c>
      <c r="P151" s="10" t="str">
        <f t="shared" si="361"/>
        <v xml:space="preserve"> </v>
      </c>
      <c r="Q151" s="10" t="str">
        <f t="shared" si="361"/>
        <v xml:space="preserve"> </v>
      </c>
      <c r="R151" s="14"/>
      <c r="S151" s="14"/>
      <c r="T151" s="10" t="str">
        <f t="shared" si="325"/>
        <v xml:space="preserve"> </v>
      </c>
      <c r="U151" s="10" t="str">
        <f t="shared" si="325"/>
        <v xml:space="preserve"> </v>
      </c>
      <c r="V151" s="10" t="str">
        <f t="shared" si="325"/>
        <v xml:space="preserve"> </v>
      </c>
      <c r="W151" s="10" t="str">
        <f t="shared" si="325"/>
        <v xml:space="preserve"> </v>
      </c>
      <c r="X151" s="10" t="str">
        <f t="shared" si="325"/>
        <v xml:space="preserve"> </v>
      </c>
      <c r="Y151" s="14"/>
      <c r="Z151" s="14"/>
      <c r="AA151" s="10" t="str">
        <f t="shared" si="326"/>
        <v xml:space="preserve"> </v>
      </c>
      <c r="AB151" s="10" t="str">
        <f t="shared" si="326"/>
        <v xml:space="preserve"> </v>
      </c>
      <c r="AC151" s="10" t="str">
        <f t="shared" si="326"/>
        <v xml:space="preserve"> </v>
      </c>
      <c r="AD151" s="10" t="str">
        <f t="shared" si="326"/>
        <v xml:space="preserve"> </v>
      </c>
      <c r="AE151" s="10" t="str">
        <f t="shared" si="326"/>
        <v xml:space="preserve"> </v>
      </c>
      <c r="AF151" s="14"/>
      <c r="AG151" s="14"/>
      <c r="AH151" s="10" t="str">
        <f t="shared" si="327"/>
        <v xml:space="preserve"> </v>
      </c>
      <c r="AI151" s="10" t="str">
        <f t="shared" si="327"/>
        <v xml:space="preserve"> </v>
      </c>
      <c r="AJ151" s="10" t="str">
        <f t="shared" si="327"/>
        <v xml:space="preserve"> </v>
      </c>
      <c r="AK151" s="10" t="str">
        <f t="shared" si="327"/>
        <v xml:space="preserve"> </v>
      </c>
      <c r="AL151" s="10" t="str">
        <f t="shared" si="327"/>
        <v xml:space="preserve"> </v>
      </c>
      <c r="AM151" s="14"/>
      <c r="AN151" s="14"/>
      <c r="AO151" s="10" t="str">
        <f t="shared" si="328"/>
        <v xml:space="preserve"> </v>
      </c>
      <c r="AP151" s="10" t="str">
        <f t="shared" si="328"/>
        <v xml:space="preserve"> </v>
      </c>
      <c r="AQ151" s="10" t="str">
        <f t="shared" si="328"/>
        <v xml:space="preserve"> </v>
      </c>
      <c r="AR151" s="10" t="str">
        <f t="shared" si="328"/>
        <v xml:space="preserve"> </v>
      </c>
      <c r="AS151" s="10" t="str">
        <f t="shared" si="328"/>
        <v xml:space="preserve"> </v>
      </c>
      <c r="AT151" s="14"/>
      <c r="AU151" s="14"/>
      <c r="AV151" s="10" t="str">
        <f t="shared" si="329"/>
        <v xml:space="preserve"> </v>
      </c>
      <c r="AW151" s="10" t="str">
        <f t="shared" si="329"/>
        <v xml:space="preserve"> </v>
      </c>
      <c r="AX151" s="10" t="str">
        <f t="shared" si="329"/>
        <v xml:space="preserve"> </v>
      </c>
      <c r="AY151" s="10" t="str">
        <f t="shared" si="329"/>
        <v xml:space="preserve"> </v>
      </c>
      <c r="AZ151" s="10" t="str">
        <f t="shared" si="329"/>
        <v xml:space="preserve"> </v>
      </c>
      <c r="BA151" s="14"/>
      <c r="BB151" s="14"/>
      <c r="BC151" s="10" t="str">
        <f t="shared" si="330"/>
        <v xml:space="preserve"> </v>
      </c>
      <c r="BD151" s="10" t="str">
        <f t="shared" si="330"/>
        <v xml:space="preserve"> </v>
      </c>
      <c r="BE151" s="10" t="str">
        <f t="shared" si="330"/>
        <v xml:space="preserve"> </v>
      </c>
      <c r="BF151" s="10" t="str">
        <f t="shared" si="330"/>
        <v xml:space="preserve"> </v>
      </c>
      <c r="BG151" s="10" t="str">
        <f t="shared" si="330"/>
        <v xml:space="preserve"> </v>
      </c>
      <c r="BH151" s="14"/>
      <c r="BI151" s="14"/>
      <c r="BJ151" s="10" t="str">
        <f t="shared" si="331"/>
        <v xml:space="preserve"> </v>
      </c>
      <c r="BK151" s="10" t="str">
        <f t="shared" si="331"/>
        <v xml:space="preserve"> </v>
      </c>
      <c r="BL151" s="10" t="str">
        <f t="shared" si="331"/>
        <v xml:space="preserve"> </v>
      </c>
      <c r="BM151" s="10" t="str">
        <f t="shared" si="331"/>
        <v xml:space="preserve"> </v>
      </c>
      <c r="BN151" s="10" t="str">
        <f t="shared" si="331"/>
        <v xml:space="preserve"> </v>
      </c>
      <c r="BO151" s="14"/>
      <c r="BP151" s="14"/>
      <c r="BQ151" s="10" t="str">
        <f t="shared" si="332"/>
        <v xml:space="preserve"> </v>
      </c>
      <c r="BR151" s="10" t="str">
        <f t="shared" si="332"/>
        <v xml:space="preserve"> </v>
      </c>
      <c r="BS151" s="10" t="str">
        <f t="shared" si="332"/>
        <v xml:space="preserve"> </v>
      </c>
      <c r="BT151" s="10" t="str">
        <f t="shared" si="332"/>
        <v xml:space="preserve"> </v>
      </c>
      <c r="BU151" s="10" t="str">
        <f t="shared" si="332"/>
        <v xml:space="preserve"> </v>
      </c>
      <c r="BV151" s="14"/>
      <c r="BW151" s="14"/>
      <c r="BX151" s="10" t="str">
        <f t="shared" si="333"/>
        <v xml:space="preserve"> </v>
      </c>
      <c r="BY151" s="10" t="str">
        <f t="shared" si="333"/>
        <v xml:space="preserve"> </v>
      </c>
      <c r="BZ151" s="10" t="str">
        <f t="shared" si="333"/>
        <v xml:space="preserve"> </v>
      </c>
      <c r="CA151" s="10" t="str">
        <f t="shared" si="333"/>
        <v xml:space="preserve"> </v>
      </c>
      <c r="CB151" s="10" t="str">
        <f t="shared" si="333"/>
        <v xml:space="preserve"> </v>
      </c>
      <c r="CC151" s="14"/>
      <c r="CD151" s="14"/>
      <c r="CE151" s="10" t="str">
        <f t="shared" si="334"/>
        <v xml:space="preserve"> </v>
      </c>
      <c r="CF151" s="10" t="str">
        <f t="shared" si="334"/>
        <v xml:space="preserve"> </v>
      </c>
      <c r="CG151" s="10" t="str">
        <f t="shared" si="334"/>
        <v xml:space="preserve"> </v>
      </c>
      <c r="CH151" s="10" t="str">
        <f t="shared" si="334"/>
        <v xml:space="preserve"> </v>
      </c>
      <c r="CI151" s="10" t="str">
        <f t="shared" si="334"/>
        <v xml:space="preserve"> </v>
      </c>
      <c r="CJ151" s="14"/>
      <c r="CK151" s="14"/>
      <c r="CL151" s="10" t="str">
        <f t="shared" si="335"/>
        <v xml:space="preserve"> </v>
      </c>
      <c r="CM151" s="10" t="str">
        <f t="shared" si="335"/>
        <v xml:space="preserve"> </v>
      </c>
      <c r="CN151" s="10" t="str">
        <f t="shared" si="335"/>
        <v xml:space="preserve"> </v>
      </c>
      <c r="CO151" s="10" t="str">
        <f t="shared" si="335"/>
        <v xml:space="preserve"> </v>
      </c>
      <c r="CP151" s="10" t="str">
        <f t="shared" si="335"/>
        <v xml:space="preserve"> </v>
      </c>
      <c r="CQ151" s="14"/>
      <c r="CR151" s="14"/>
      <c r="CS151" s="10" t="str">
        <f t="shared" si="336"/>
        <v xml:space="preserve"> </v>
      </c>
      <c r="CT151" s="10" t="str">
        <f t="shared" si="336"/>
        <v xml:space="preserve"> </v>
      </c>
      <c r="CU151" s="10" t="str">
        <f t="shared" si="336"/>
        <v xml:space="preserve"> </v>
      </c>
      <c r="CV151" s="10" t="str">
        <f t="shared" si="336"/>
        <v xml:space="preserve"> </v>
      </c>
      <c r="CW151" s="10" t="str">
        <f t="shared" si="336"/>
        <v xml:space="preserve"> </v>
      </c>
      <c r="CZ151" s="10" t="str">
        <f t="shared" si="337"/>
        <v xml:space="preserve"> </v>
      </c>
      <c r="DA151" s="10" t="str">
        <f t="shared" si="337"/>
        <v xml:space="preserve"> </v>
      </c>
      <c r="DB151" s="10" t="str">
        <f t="shared" si="337"/>
        <v xml:space="preserve"> </v>
      </c>
      <c r="DC151" s="10" t="str">
        <f t="shared" si="337"/>
        <v xml:space="preserve"> </v>
      </c>
      <c r="DD151" s="10" t="str">
        <f t="shared" si="337"/>
        <v xml:space="preserve"> </v>
      </c>
      <c r="DG151" s="10" t="str">
        <f t="shared" si="338"/>
        <v xml:space="preserve"> </v>
      </c>
      <c r="DH151" s="10" t="str">
        <f t="shared" si="338"/>
        <v xml:space="preserve"> </v>
      </c>
      <c r="DI151" s="10" t="str">
        <f t="shared" si="338"/>
        <v xml:space="preserve"> </v>
      </c>
      <c r="DJ151" s="10" t="str">
        <f t="shared" si="338"/>
        <v xml:space="preserve"> </v>
      </c>
      <c r="DK151" s="10" t="str">
        <f t="shared" si="338"/>
        <v xml:space="preserve"> </v>
      </c>
      <c r="DN151" s="10" t="str">
        <f t="shared" si="339"/>
        <v xml:space="preserve"> </v>
      </c>
      <c r="DO151" s="10" t="str">
        <f t="shared" si="339"/>
        <v xml:space="preserve"> </v>
      </c>
      <c r="DP151" s="10" t="str">
        <f t="shared" si="339"/>
        <v xml:space="preserve"> </v>
      </c>
      <c r="DQ151" s="10" t="str">
        <f t="shared" si="339"/>
        <v xml:space="preserve"> </v>
      </c>
      <c r="DR151" s="10" t="str">
        <f t="shared" si="339"/>
        <v xml:space="preserve"> </v>
      </c>
      <c r="DU151" s="10" t="str">
        <f t="shared" si="340"/>
        <v xml:space="preserve"> </v>
      </c>
      <c r="DV151" s="10" t="str">
        <f t="shared" si="340"/>
        <v xml:space="preserve"> </v>
      </c>
      <c r="DW151" s="10" t="str">
        <f t="shared" si="340"/>
        <v xml:space="preserve"> </v>
      </c>
      <c r="DX151" s="10" t="str">
        <f t="shared" si="340"/>
        <v xml:space="preserve"> </v>
      </c>
      <c r="DY151" s="10" t="str">
        <f t="shared" si="340"/>
        <v xml:space="preserve"> </v>
      </c>
      <c r="EB151" s="10" t="str">
        <f t="shared" si="341"/>
        <v xml:space="preserve"> </v>
      </c>
      <c r="EC151" s="10" t="str">
        <f t="shared" si="341"/>
        <v xml:space="preserve"> </v>
      </c>
      <c r="ED151" s="10" t="str">
        <f t="shared" si="341"/>
        <v xml:space="preserve"> </v>
      </c>
      <c r="EE151" s="10" t="str">
        <f t="shared" si="341"/>
        <v xml:space="preserve"> </v>
      </c>
      <c r="EF151" s="10" t="str">
        <f t="shared" si="341"/>
        <v xml:space="preserve"> </v>
      </c>
      <c r="EI151" s="10" t="str">
        <f t="shared" si="342"/>
        <v xml:space="preserve"> </v>
      </c>
      <c r="EJ151" s="10" t="str">
        <f t="shared" si="342"/>
        <v xml:space="preserve"> </v>
      </c>
      <c r="EK151" s="10" t="str">
        <f t="shared" si="342"/>
        <v xml:space="preserve"> </v>
      </c>
      <c r="EL151" s="10" t="str">
        <f t="shared" si="342"/>
        <v xml:space="preserve"> </v>
      </c>
      <c r="EM151" s="10" t="str">
        <f t="shared" si="342"/>
        <v xml:space="preserve"> </v>
      </c>
      <c r="EP151" s="10" t="str">
        <f t="shared" si="343"/>
        <v xml:space="preserve"> </v>
      </c>
      <c r="EQ151" s="10" t="str">
        <f t="shared" si="343"/>
        <v xml:space="preserve"> </v>
      </c>
      <c r="ER151" s="10" t="str">
        <f t="shared" si="343"/>
        <v xml:space="preserve"> </v>
      </c>
      <c r="ES151" s="10" t="str">
        <f t="shared" si="343"/>
        <v xml:space="preserve"> </v>
      </c>
      <c r="ET151" s="10" t="str">
        <f t="shared" si="343"/>
        <v xml:space="preserve"> </v>
      </c>
      <c r="EW151" s="10" t="str">
        <f t="shared" si="344"/>
        <v xml:space="preserve"> </v>
      </c>
      <c r="EX151" s="10" t="str">
        <f t="shared" si="344"/>
        <v xml:space="preserve"> </v>
      </c>
      <c r="EY151" s="10" t="str">
        <f t="shared" si="344"/>
        <v xml:space="preserve"> </v>
      </c>
      <c r="EZ151" s="10" t="str">
        <f t="shared" si="344"/>
        <v xml:space="preserve"> </v>
      </c>
      <c r="FA151" s="10" t="str">
        <f t="shared" si="344"/>
        <v xml:space="preserve"> </v>
      </c>
      <c r="FD151" s="10" t="str">
        <f t="shared" si="345"/>
        <v xml:space="preserve"> </v>
      </c>
      <c r="FE151" s="10" t="str">
        <f t="shared" si="345"/>
        <v xml:space="preserve"> </v>
      </c>
      <c r="FF151" s="10" t="str">
        <f t="shared" si="345"/>
        <v xml:space="preserve"> </v>
      </c>
      <c r="FG151" s="10" t="str">
        <f t="shared" si="345"/>
        <v xml:space="preserve"> </v>
      </c>
      <c r="FH151" s="10" t="str">
        <f t="shared" si="345"/>
        <v xml:space="preserve"> </v>
      </c>
      <c r="FK151" s="10" t="str">
        <f t="shared" si="346"/>
        <v xml:space="preserve"> </v>
      </c>
      <c r="FL151" s="10" t="str">
        <f t="shared" si="346"/>
        <v xml:space="preserve"> </v>
      </c>
      <c r="FM151" s="10" t="str">
        <f t="shared" si="346"/>
        <v xml:space="preserve"> </v>
      </c>
      <c r="FN151" s="10" t="str">
        <f t="shared" si="346"/>
        <v xml:space="preserve"> </v>
      </c>
      <c r="FO151" s="10" t="str">
        <f t="shared" si="346"/>
        <v xml:space="preserve"> </v>
      </c>
      <c r="FR151" s="10" t="str">
        <f t="shared" si="347"/>
        <v xml:space="preserve"> </v>
      </c>
      <c r="FS151" s="10" t="str">
        <f t="shared" si="347"/>
        <v xml:space="preserve"> </v>
      </c>
      <c r="FT151" s="10" t="str">
        <f t="shared" si="347"/>
        <v xml:space="preserve"> </v>
      </c>
      <c r="FU151" s="10" t="str">
        <f t="shared" si="347"/>
        <v xml:space="preserve"> </v>
      </c>
      <c r="FV151" s="10" t="str">
        <f t="shared" si="347"/>
        <v xml:space="preserve"> </v>
      </c>
      <c r="FY151" s="10" t="str">
        <f t="shared" si="348"/>
        <v xml:space="preserve"> </v>
      </c>
      <c r="FZ151" s="10" t="str">
        <f t="shared" si="348"/>
        <v xml:space="preserve"> </v>
      </c>
      <c r="GA151" s="10" t="str">
        <f t="shared" si="348"/>
        <v xml:space="preserve"> </v>
      </c>
      <c r="GB151" s="10" t="str">
        <f t="shared" si="348"/>
        <v xml:space="preserve"> </v>
      </c>
      <c r="GC151" s="10" t="str">
        <f t="shared" si="348"/>
        <v xml:space="preserve"> </v>
      </c>
      <c r="GF151" s="10" t="str">
        <f t="shared" si="349"/>
        <v xml:space="preserve"> </v>
      </c>
      <c r="GG151" s="10" t="str">
        <f t="shared" si="349"/>
        <v xml:space="preserve"> </v>
      </c>
      <c r="GH151" s="10" t="str">
        <f t="shared" si="349"/>
        <v xml:space="preserve"> </v>
      </c>
      <c r="GI151" s="10" t="str">
        <f t="shared" si="349"/>
        <v xml:space="preserve"> </v>
      </c>
      <c r="GJ151" s="10" t="str">
        <f t="shared" si="349"/>
        <v xml:space="preserve"> </v>
      </c>
      <c r="GM151" s="10" t="str">
        <f t="shared" si="350"/>
        <v xml:space="preserve"> </v>
      </c>
      <c r="GN151" s="10" t="str">
        <f t="shared" si="350"/>
        <v xml:space="preserve"> </v>
      </c>
      <c r="GO151" s="10" t="str">
        <f t="shared" si="350"/>
        <v xml:space="preserve"> </v>
      </c>
      <c r="GP151" s="10" t="str">
        <f t="shared" si="350"/>
        <v xml:space="preserve"> </v>
      </c>
      <c r="GQ151" s="10" t="str">
        <f t="shared" si="350"/>
        <v xml:space="preserve"> </v>
      </c>
      <c r="GT151" s="10" t="str">
        <f t="shared" si="351"/>
        <v xml:space="preserve"> </v>
      </c>
      <c r="GU151" s="10" t="str">
        <f t="shared" si="351"/>
        <v xml:space="preserve"> </v>
      </c>
      <c r="GV151" s="10" t="str">
        <f t="shared" si="351"/>
        <v xml:space="preserve"> </v>
      </c>
      <c r="GW151" s="10" t="str">
        <f t="shared" si="351"/>
        <v xml:space="preserve"> </v>
      </c>
      <c r="GX151" s="10" t="str">
        <f t="shared" si="351"/>
        <v xml:space="preserve"> </v>
      </c>
      <c r="HA151" s="10" t="str">
        <f t="shared" si="352"/>
        <v xml:space="preserve"> </v>
      </c>
      <c r="HB151" s="10" t="str">
        <f t="shared" si="352"/>
        <v xml:space="preserve"> </v>
      </c>
      <c r="HC151" s="10" t="str">
        <f t="shared" si="352"/>
        <v xml:space="preserve"> </v>
      </c>
      <c r="HD151" s="10" t="str">
        <f t="shared" si="352"/>
        <v xml:space="preserve"> </v>
      </c>
      <c r="HE151" s="10" t="str">
        <f t="shared" si="352"/>
        <v xml:space="preserve"> </v>
      </c>
      <c r="HH151" s="10" t="str">
        <f t="shared" si="353"/>
        <v xml:space="preserve"> </v>
      </c>
      <c r="HI151" s="10" t="str">
        <f t="shared" si="353"/>
        <v xml:space="preserve"> </v>
      </c>
      <c r="HJ151" s="10" t="str">
        <f t="shared" si="353"/>
        <v xml:space="preserve"> </v>
      </c>
      <c r="HK151" s="10" t="str">
        <f t="shared" si="353"/>
        <v xml:space="preserve"> </v>
      </c>
      <c r="HL151" s="10" t="str">
        <f t="shared" si="353"/>
        <v xml:space="preserve"> </v>
      </c>
      <c r="HO151" s="10" t="str">
        <f t="shared" si="354"/>
        <v xml:space="preserve"> </v>
      </c>
      <c r="HP151" s="10" t="str">
        <f t="shared" si="354"/>
        <v xml:space="preserve"> </v>
      </c>
      <c r="HQ151" s="10" t="str">
        <f t="shared" si="354"/>
        <v xml:space="preserve"> </v>
      </c>
      <c r="HR151" s="10" t="str">
        <f t="shared" si="354"/>
        <v xml:space="preserve"> </v>
      </c>
      <c r="HS151" s="10" t="str">
        <f t="shared" si="354"/>
        <v xml:space="preserve"> </v>
      </c>
      <c r="HV151" s="10" t="str">
        <f t="shared" si="355"/>
        <v xml:space="preserve"> </v>
      </c>
      <c r="HW151" s="10" t="str">
        <f t="shared" si="355"/>
        <v xml:space="preserve"> </v>
      </c>
      <c r="HX151" s="10" t="str">
        <f t="shared" si="355"/>
        <v xml:space="preserve"> </v>
      </c>
      <c r="HY151" s="10" t="str">
        <f t="shared" si="355"/>
        <v xml:space="preserve"> </v>
      </c>
      <c r="HZ151" s="10" t="str">
        <f t="shared" si="355"/>
        <v xml:space="preserve"> </v>
      </c>
      <c r="IC151" s="10" t="str">
        <f t="shared" si="356"/>
        <v xml:space="preserve"> </v>
      </c>
      <c r="ID151" s="10" t="str">
        <f t="shared" si="356"/>
        <v xml:space="preserve"> </v>
      </c>
      <c r="IE151" s="10" t="str">
        <f t="shared" si="356"/>
        <v xml:space="preserve"> </v>
      </c>
      <c r="IF151" s="10" t="str">
        <f t="shared" si="356"/>
        <v xml:space="preserve"> </v>
      </c>
      <c r="IG151" s="10" t="str">
        <f t="shared" si="356"/>
        <v xml:space="preserve"> </v>
      </c>
      <c r="IJ151" s="10" t="str">
        <f t="shared" si="357"/>
        <v xml:space="preserve"> </v>
      </c>
      <c r="IK151" s="10" t="str">
        <f t="shared" si="357"/>
        <v xml:space="preserve"> </v>
      </c>
      <c r="IL151" s="10" t="str">
        <f t="shared" si="357"/>
        <v xml:space="preserve"> </v>
      </c>
      <c r="IM151" s="10" t="str">
        <f t="shared" si="357"/>
        <v xml:space="preserve"> </v>
      </c>
      <c r="IN151" s="10" t="str">
        <f t="shared" si="357"/>
        <v xml:space="preserve"> </v>
      </c>
      <c r="IQ151" s="10" t="str">
        <f t="shared" si="358"/>
        <v xml:space="preserve"> </v>
      </c>
      <c r="IR151" s="10" t="str">
        <f t="shared" si="358"/>
        <v xml:space="preserve"> </v>
      </c>
      <c r="IS151" s="10" t="str">
        <f t="shared" si="358"/>
        <v xml:space="preserve"> </v>
      </c>
      <c r="IT151" s="10" t="str">
        <f t="shared" si="358"/>
        <v xml:space="preserve"> </v>
      </c>
      <c r="IU151" s="10" t="str">
        <f t="shared" si="358"/>
        <v xml:space="preserve"> </v>
      </c>
      <c r="IX151" s="10" t="str">
        <f t="shared" si="359"/>
        <v xml:space="preserve"> </v>
      </c>
      <c r="IY151" s="10" t="str">
        <f t="shared" si="359"/>
        <v xml:space="preserve"> </v>
      </c>
      <c r="IZ151" s="10" t="str">
        <f t="shared" si="359"/>
        <v xml:space="preserve"> </v>
      </c>
      <c r="JA151" s="10" t="str">
        <f t="shared" si="359"/>
        <v xml:space="preserve"> </v>
      </c>
      <c r="JB151" s="10" t="str">
        <f t="shared" si="359"/>
        <v xml:space="preserve"> </v>
      </c>
      <c r="JE151" s="10" t="str">
        <f t="shared" si="360"/>
        <v xml:space="preserve"> </v>
      </c>
      <c r="JF151" s="10" t="str">
        <f t="shared" si="360"/>
        <v xml:space="preserve"> </v>
      </c>
      <c r="JG151" s="10" t="str">
        <f t="shared" si="360"/>
        <v xml:space="preserve"> </v>
      </c>
      <c r="JH151" s="10" t="str">
        <f t="shared" si="360"/>
        <v xml:space="preserve"> </v>
      </c>
      <c r="JI151" s="10" t="str">
        <f t="shared" si="360"/>
        <v xml:space="preserve"> </v>
      </c>
    </row>
    <row r="152" spans="13:269">
      <c r="M152" s="10" t="str">
        <f t="shared" si="361"/>
        <v xml:space="preserve"> </v>
      </c>
      <c r="N152" s="10" t="str">
        <f t="shared" si="361"/>
        <v xml:space="preserve"> </v>
      </c>
      <c r="O152" s="10" t="str">
        <f t="shared" si="361"/>
        <v xml:space="preserve"> </v>
      </c>
      <c r="P152" s="10" t="str">
        <f t="shared" si="361"/>
        <v xml:space="preserve"> </v>
      </c>
      <c r="Q152" s="10" t="str">
        <f t="shared" si="361"/>
        <v xml:space="preserve"> </v>
      </c>
      <c r="R152" s="14"/>
      <c r="S152" s="14"/>
      <c r="T152" s="10" t="str">
        <f t="shared" si="325"/>
        <v xml:space="preserve"> </v>
      </c>
      <c r="U152" s="10" t="str">
        <f t="shared" si="325"/>
        <v xml:space="preserve"> </v>
      </c>
      <c r="V152" s="10" t="str">
        <f t="shared" si="325"/>
        <v xml:space="preserve"> </v>
      </c>
      <c r="W152" s="10" t="str">
        <f t="shared" si="325"/>
        <v xml:space="preserve"> </v>
      </c>
      <c r="X152" s="10" t="str">
        <f t="shared" si="325"/>
        <v xml:space="preserve"> </v>
      </c>
      <c r="Y152" s="14"/>
      <c r="Z152" s="14"/>
      <c r="AA152" s="10" t="str">
        <f t="shared" si="326"/>
        <v xml:space="preserve"> </v>
      </c>
      <c r="AB152" s="10" t="str">
        <f t="shared" si="326"/>
        <v xml:space="preserve"> </v>
      </c>
      <c r="AC152" s="10" t="str">
        <f t="shared" si="326"/>
        <v xml:space="preserve"> </v>
      </c>
      <c r="AD152" s="10" t="str">
        <f t="shared" si="326"/>
        <v xml:space="preserve"> </v>
      </c>
      <c r="AE152" s="10" t="str">
        <f t="shared" si="326"/>
        <v xml:space="preserve"> </v>
      </c>
      <c r="AF152" s="14"/>
      <c r="AG152" s="14"/>
      <c r="AH152" s="10" t="str">
        <f t="shared" si="327"/>
        <v xml:space="preserve"> </v>
      </c>
      <c r="AI152" s="10" t="str">
        <f t="shared" si="327"/>
        <v xml:space="preserve"> </v>
      </c>
      <c r="AJ152" s="10" t="str">
        <f t="shared" si="327"/>
        <v xml:space="preserve"> </v>
      </c>
      <c r="AK152" s="10" t="str">
        <f t="shared" si="327"/>
        <v xml:space="preserve"> </v>
      </c>
      <c r="AL152" s="10" t="str">
        <f t="shared" si="327"/>
        <v xml:space="preserve"> </v>
      </c>
      <c r="AM152" s="14"/>
      <c r="AN152" s="14"/>
      <c r="AO152" s="10" t="str">
        <f t="shared" si="328"/>
        <v xml:space="preserve"> </v>
      </c>
      <c r="AP152" s="10" t="str">
        <f t="shared" si="328"/>
        <v xml:space="preserve"> </v>
      </c>
      <c r="AQ152" s="10" t="str">
        <f t="shared" si="328"/>
        <v xml:space="preserve"> </v>
      </c>
      <c r="AR152" s="10" t="str">
        <f t="shared" si="328"/>
        <v xml:space="preserve"> </v>
      </c>
      <c r="AS152" s="10" t="str">
        <f t="shared" si="328"/>
        <v xml:space="preserve"> </v>
      </c>
      <c r="AT152" s="14"/>
      <c r="AU152" s="14"/>
      <c r="AV152" s="10" t="str">
        <f t="shared" si="329"/>
        <v xml:space="preserve"> </v>
      </c>
      <c r="AW152" s="10" t="str">
        <f t="shared" si="329"/>
        <v xml:space="preserve"> </v>
      </c>
      <c r="AX152" s="10" t="str">
        <f t="shared" si="329"/>
        <v xml:space="preserve"> </v>
      </c>
      <c r="AY152" s="10" t="str">
        <f t="shared" si="329"/>
        <v xml:space="preserve"> </v>
      </c>
      <c r="AZ152" s="10" t="str">
        <f t="shared" si="329"/>
        <v xml:space="preserve"> </v>
      </c>
      <c r="BA152" s="14"/>
      <c r="BB152" s="14"/>
      <c r="BC152" s="10" t="str">
        <f t="shared" si="330"/>
        <v xml:space="preserve"> </v>
      </c>
      <c r="BD152" s="10" t="str">
        <f t="shared" si="330"/>
        <v xml:space="preserve"> </v>
      </c>
      <c r="BE152" s="10" t="str">
        <f t="shared" si="330"/>
        <v xml:space="preserve"> </v>
      </c>
      <c r="BF152" s="10" t="str">
        <f t="shared" si="330"/>
        <v xml:space="preserve"> </v>
      </c>
      <c r="BG152" s="10" t="str">
        <f t="shared" si="330"/>
        <v xml:space="preserve"> </v>
      </c>
      <c r="BH152" s="14"/>
      <c r="BI152" s="14"/>
      <c r="BJ152" s="10" t="str">
        <f t="shared" si="331"/>
        <v xml:space="preserve"> </v>
      </c>
      <c r="BK152" s="10" t="str">
        <f t="shared" si="331"/>
        <v xml:space="preserve"> </v>
      </c>
      <c r="BL152" s="10" t="str">
        <f t="shared" si="331"/>
        <v xml:space="preserve"> </v>
      </c>
      <c r="BM152" s="10" t="str">
        <f t="shared" si="331"/>
        <v xml:space="preserve"> </v>
      </c>
      <c r="BN152" s="10" t="str">
        <f t="shared" si="331"/>
        <v xml:space="preserve"> </v>
      </c>
      <c r="BO152" s="14"/>
      <c r="BP152" s="14"/>
      <c r="BQ152" s="10" t="str">
        <f t="shared" si="332"/>
        <v xml:space="preserve"> </v>
      </c>
      <c r="BR152" s="10" t="str">
        <f t="shared" si="332"/>
        <v xml:space="preserve"> </v>
      </c>
      <c r="BS152" s="10" t="str">
        <f t="shared" si="332"/>
        <v xml:space="preserve"> </v>
      </c>
      <c r="BT152" s="10" t="str">
        <f t="shared" si="332"/>
        <v xml:space="preserve"> </v>
      </c>
      <c r="BU152" s="10" t="str">
        <f t="shared" si="332"/>
        <v xml:space="preserve"> </v>
      </c>
      <c r="BV152" s="14"/>
      <c r="BW152" s="14"/>
      <c r="BX152" s="10" t="str">
        <f t="shared" si="333"/>
        <v xml:space="preserve"> </v>
      </c>
      <c r="BY152" s="10" t="str">
        <f t="shared" si="333"/>
        <v xml:space="preserve"> </v>
      </c>
      <c r="BZ152" s="10" t="str">
        <f t="shared" si="333"/>
        <v xml:space="preserve"> </v>
      </c>
      <c r="CA152" s="10" t="str">
        <f t="shared" si="333"/>
        <v xml:space="preserve"> </v>
      </c>
      <c r="CB152" s="10" t="str">
        <f t="shared" si="333"/>
        <v xml:space="preserve"> </v>
      </c>
      <c r="CC152" s="14"/>
      <c r="CD152" s="14"/>
      <c r="CE152" s="10" t="str">
        <f t="shared" si="334"/>
        <v xml:space="preserve"> </v>
      </c>
      <c r="CF152" s="10" t="str">
        <f t="shared" si="334"/>
        <v xml:space="preserve"> </v>
      </c>
      <c r="CG152" s="10" t="str">
        <f t="shared" si="334"/>
        <v xml:space="preserve"> </v>
      </c>
      <c r="CH152" s="10" t="str">
        <f t="shared" si="334"/>
        <v xml:space="preserve"> </v>
      </c>
      <c r="CI152" s="10" t="str">
        <f t="shared" si="334"/>
        <v xml:space="preserve"> </v>
      </c>
      <c r="CJ152" s="14"/>
      <c r="CK152" s="14"/>
      <c r="CL152" s="10" t="str">
        <f t="shared" si="335"/>
        <v xml:space="preserve"> </v>
      </c>
      <c r="CM152" s="10" t="str">
        <f t="shared" si="335"/>
        <v xml:space="preserve"> </v>
      </c>
      <c r="CN152" s="10" t="str">
        <f t="shared" si="335"/>
        <v xml:space="preserve"> </v>
      </c>
      <c r="CO152" s="10" t="str">
        <f t="shared" si="335"/>
        <v xml:space="preserve"> </v>
      </c>
      <c r="CP152" s="10" t="str">
        <f t="shared" si="335"/>
        <v xml:space="preserve"> </v>
      </c>
      <c r="CQ152" s="14"/>
      <c r="CR152" s="14"/>
      <c r="CS152" s="10" t="str">
        <f t="shared" si="336"/>
        <v xml:space="preserve"> </v>
      </c>
      <c r="CT152" s="10" t="str">
        <f t="shared" si="336"/>
        <v xml:space="preserve"> </v>
      </c>
      <c r="CU152" s="10" t="str">
        <f t="shared" si="336"/>
        <v xml:space="preserve"> </v>
      </c>
      <c r="CV152" s="10" t="str">
        <f t="shared" si="336"/>
        <v xml:space="preserve"> </v>
      </c>
      <c r="CW152" s="10" t="str">
        <f t="shared" si="336"/>
        <v xml:space="preserve"> </v>
      </c>
      <c r="CZ152" s="10" t="str">
        <f t="shared" si="337"/>
        <v xml:space="preserve"> </v>
      </c>
      <c r="DA152" s="10" t="str">
        <f t="shared" si="337"/>
        <v xml:space="preserve"> </v>
      </c>
      <c r="DB152" s="10" t="str">
        <f t="shared" si="337"/>
        <v xml:space="preserve"> </v>
      </c>
      <c r="DC152" s="10" t="str">
        <f t="shared" si="337"/>
        <v xml:space="preserve"> </v>
      </c>
      <c r="DD152" s="10" t="str">
        <f t="shared" si="337"/>
        <v xml:space="preserve"> </v>
      </c>
      <c r="DG152" s="10" t="str">
        <f t="shared" si="338"/>
        <v xml:space="preserve"> </v>
      </c>
      <c r="DH152" s="10" t="str">
        <f t="shared" si="338"/>
        <v xml:space="preserve"> </v>
      </c>
      <c r="DI152" s="10" t="str">
        <f t="shared" si="338"/>
        <v xml:space="preserve"> </v>
      </c>
      <c r="DJ152" s="10" t="str">
        <f t="shared" si="338"/>
        <v xml:space="preserve"> </v>
      </c>
      <c r="DK152" s="10" t="str">
        <f t="shared" si="338"/>
        <v xml:space="preserve"> </v>
      </c>
      <c r="DN152" s="10" t="str">
        <f t="shared" si="339"/>
        <v xml:space="preserve"> </v>
      </c>
      <c r="DO152" s="10" t="str">
        <f t="shared" si="339"/>
        <v xml:space="preserve"> </v>
      </c>
      <c r="DP152" s="10" t="str">
        <f t="shared" si="339"/>
        <v xml:space="preserve"> </v>
      </c>
      <c r="DQ152" s="10" t="str">
        <f t="shared" si="339"/>
        <v xml:space="preserve"> </v>
      </c>
      <c r="DR152" s="10" t="str">
        <f t="shared" si="339"/>
        <v xml:space="preserve"> </v>
      </c>
      <c r="DU152" s="10" t="str">
        <f t="shared" si="340"/>
        <v xml:space="preserve"> </v>
      </c>
      <c r="DV152" s="10" t="str">
        <f t="shared" si="340"/>
        <v xml:space="preserve"> </v>
      </c>
      <c r="DW152" s="10" t="str">
        <f t="shared" si="340"/>
        <v xml:space="preserve"> </v>
      </c>
      <c r="DX152" s="10" t="str">
        <f t="shared" si="340"/>
        <v xml:space="preserve"> </v>
      </c>
      <c r="DY152" s="10" t="str">
        <f t="shared" si="340"/>
        <v xml:space="preserve"> </v>
      </c>
      <c r="EB152" s="10" t="str">
        <f t="shared" si="341"/>
        <v xml:space="preserve"> </v>
      </c>
      <c r="EC152" s="10" t="str">
        <f t="shared" si="341"/>
        <v xml:space="preserve"> </v>
      </c>
      <c r="ED152" s="10" t="str">
        <f t="shared" si="341"/>
        <v xml:space="preserve"> </v>
      </c>
      <c r="EE152" s="10" t="str">
        <f t="shared" si="341"/>
        <v xml:space="preserve"> </v>
      </c>
      <c r="EF152" s="10" t="str">
        <f t="shared" si="341"/>
        <v xml:space="preserve"> </v>
      </c>
      <c r="EI152" s="10" t="str">
        <f t="shared" si="342"/>
        <v xml:space="preserve"> </v>
      </c>
      <c r="EJ152" s="10" t="str">
        <f t="shared" si="342"/>
        <v xml:space="preserve"> </v>
      </c>
      <c r="EK152" s="10" t="str">
        <f t="shared" si="342"/>
        <v xml:space="preserve"> </v>
      </c>
      <c r="EL152" s="10" t="str">
        <f t="shared" si="342"/>
        <v xml:space="preserve"> </v>
      </c>
      <c r="EM152" s="10" t="str">
        <f t="shared" si="342"/>
        <v xml:space="preserve"> </v>
      </c>
      <c r="EP152" s="10" t="str">
        <f t="shared" si="343"/>
        <v xml:space="preserve"> </v>
      </c>
      <c r="EQ152" s="10" t="str">
        <f t="shared" si="343"/>
        <v xml:space="preserve"> </v>
      </c>
      <c r="ER152" s="10" t="str">
        <f t="shared" si="343"/>
        <v xml:space="preserve"> </v>
      </c>
      <c r="ES152" s="10" t="str">
        <f t="shared" si="343"/>
        <v xml:space="preserve"> </v>
      </c>
      <c r="ET152" s="10" t="str">
        <f t="shared" si="343"/>
        <v xml:space="preserve"> </v>
      </c>
      <c r="EW152" s="10" t="str">
        <f t="shared" si="344"/>
        <v xml:space="preserve"> </v>
      </c>
      <c r="EX152" s="10" t="str">
        <f t="shared" si="344"/>
        <v xml:space="preserve"> </v>
      </c>
      <c r="EY152" s="10" t="str">
        <f t="shared" si="344"/>
        <v xml:space="preserve"> </v>
      </c>
      <c r="EZ152" s="10" t="str">
        <f t="shared" si="344"/>
        <v xml:space="preserve"> </v>
      </c>
      <c r="FA152" s="10" t="str">
        <f t="shared" si="344"/>
        <v xml:space="preserve"> </v>
      </c>
      <c r="FD152" s="10" t="str">
        <f t="shared" si="345"/>
        <v xml:space="preserve"> </v>
      </c>
      <c r="FE152" s="10" t="str">
        <f t="shared" si="345"/>
        <v xml:space="preserve"> </v>
      </c>
      <c r="FF152" s="10" t="str">
        <f t="shared" si="345"/>
        <v xml:space="preserve"> </v>
      </c>
      <c r="FG152" s="10" t="str">
        <f t="shared" si="345"/>
        <v xml:space="preserve"> </v>
      </c>
      <c r="FH152" s="10" t="str">
        <f t="shared" si="345"/>
        <v xml:space="preserve"> </v>
      </c>
      <c r="FK152" s="10" t="str">
        <f t="shared" si="346"/>
        <v xml:space="preserve"> </v>
      </c>
      <c r="FL152" s="10" t="str">
        <f t="shared" si="346"/>
        <v xml:space="preserve"> </v>
      </c>
      <c r="FM152" s="10" t="str">
        <f t="shared" si="346"/>
        <v xml:space="preserve"> </v>
      </c>
      <c r="FN152" s="10" t="str">
        <f t="shared" si="346"/>
        <v xml:space="preserve"> </v>
      </c>
      <c r="FO152" s="10" t="str">
        <f t="shared" si="346"/>
        <v xml:space="preserve"> </v>
      </c>
      <c r="FR152" s="10" t="str">
        <f t="shared" si="347"/>
        <v xml:space="preserve"> </v>
      </c>
      <c r="FS152" s="10" t="str">
        <f t="shared" si="347"/>
        <v xml:space="preserve"> </v>
      </c>
      <c r="FT152" s="10" t="str">
        <f t="shared" si="347"/>
        <v xml:space="preserve"> </v>
      </c>
      <c r="FU152" s="10" t="str">
        <f t="shared" si="347"/>
        <v xml:space="preserve"> </v>
      </c>
      <c r="FV152" s="10" t="str">
        <f t="shared" si="347"/>
        <v xml:space="preserve"> </v>
      </c>
      <c r="FY152" s="10" t="str">
        <f t="shared" si="348"/>
        <v xml:space="preserve"> </v>
      </c>
      <c r="FZ152" s="10" t="str">
        <f t="shared" si="348"/>
        <v xml:space="preserve"> </v>
      </c>
      <c r="GA152" s="10" t="str">
        <f t="shared" si="348"/>
        <v xml:space="preserve"> </v>
      </c>
      <c r="GB152" s="10" t="str">
        <f t="shared" si="348"/>
        <v xml:space="preserve"> </v>
      </c>
      <c r="GC152" s="10" t="str">
        <f t="shared" si="348"/>
        <v xml:space="preserve"> </v>
      </c>
      <c r="GF152" s="10" t="str">
        <f t="shared" si="349"/>
        <v xml:space="preserve"> </v>
      </c>
      <c r="GG152" s="10" t="str">
        <f t="shared" si="349"/>
        <v xml:space="preserve"> </v>
      </c>
      <c r="GH152" s="10" t="str">
        <f t="shared" si="349"/>
        <v xml:space="preserve"> </v>
      </c>
      <c r="GI152" s="10" t="str">
        <f t="shared" si="349"/>
        <v xml:space="preserve"> </v>
      </c>
      <c r="GJ152" s="10" t="str">
        <f t="shared" si="349"/>
        <v xml:space="preserve"> </v>
      </c>
      <c r="GM152" s="10" t="str">
        <f t="shared" si="350"/>
        <v xml:space="preserve"> </v>
      </c>
      <c r="GN152" s="10" t="str">
        <f t="shared" si="350"/>
        <v xml:space="preserve"> </v>
      </c>
      <c r="GO152" s="10" t="str">
        <f t="shared" si="350"/>
        <v xml:space="preserve"> </v>
      </c>
      <c r="GP152" s="10" t="str">
        <f t="shared" si="350"/>
        <v xml:space="preserve"> </v>
      </c>
      <c r="GQ152" s="10" t="str">
        <f t="shared" si="350"/>
        <v xml:space="preserve"> </v>
      </c>
      <c r="GT152" s="10" t="str">
        <f t="shared" si="351"/>
        <v xml:space="preserve"> </v>
      </c>
      <c r="GU152" s="10" t="str">
        <f t="shared" si="351"/>
        <v xml:space="preserve"> </v>
      </c>
      <c r="GV152" s="10" t="str">
        <f t="shared" si="351"/>
        <v xml:space="preserve"> </v>
      </c>
      <c r="GW152" s="10" t="str">
        <f t="shared" si="351"/>
        <v xml:space="preserve"> </v>
      </c>
      <c r="GX152" s="10" t="str">
        <f t="shared" si="351"/>
        <v xml:space="preserve"> </v>
      </c>
      <c r="HA152" s="10" t="str">
        <f t="shared" si="352"/>
        <v xml:space="preserve"> </v>
      </c>
      <c r="HB152" s="10" t="str">
        <f t="shared" si="352"/>
        <v xml:space="preserve"> </v>
      </c>
      <c r="HC152" s="10" t="str">
        <f t="shared" si="352"/>
        <v xml:space="preserve"> </v>
      </c>
      <c r="HD152" s="10" t="str">
        <f t="shared" si="352"/>
        <v xml:space="preserve"> </v>
      </c>
      <c r="HE152" s="10" t="str">
        <f t="shared" si="352"/>
        <v xml:space="preserve"> </v>
      </c>
      <c r="HH152" s="10" t="str">
        <f t="shared" si="353"/>
        <v xml:space="preserve"> </v>
      </c>
      <c r="HI152" s="10" t="str">
        <f t="shared" si="353"/>
        <v xml:space="preserve"> </v>
      </c>
      <c r="HJ152" s="10" t="str">
        <f t="shared" si="353"/>
        <v xml:space="preserve"> </v>
      </c>
      <c r="HK152" s="10" t="str">
        <f t="shared" si="353"/>
        <v xml:space="preserve"> </v>
      </c>
      <c r="HL152" s="10" t="str">
        <f t="shared" si="353"/>
        <v xml:space="preserve"> </v>
      </c>
      <c r="HO152" s="10" t="str">
        <f t="shared" si="354"/>
        <v xml:space="preserve"> </v>
      </c>
      <c r="HP152" s="10" t="str">
        <f t="shared" si="354"/>
        <v xml:space="preserve"> </v>
      </c>
      <c r="HQ152" s="10" t="str">
        <f t="shared" si="354"/>
        <v xml:space="preserve"> </v>
      </c>
      <c r="HR152" s="10" t="str">
        <f t="shared" si="354"/>
        <v xml:space="preserve"> </v>
      </c>
      <c r="HS152" s="10" t="str">
        <f t="shared" si="354"/>
        <v xml:space="preserve"> </v>
      </c>
      <c r="HV152" s="10" t="str">
        <f t="shared" si="355"/>
        <v xml:space="preserve"> </v>
      </c>
      <c r="HW152" s="10" t="str">
        <f t="shared" si="355"/>
        <v xml:space="preserve"> </v>
      </c>
      <c r="HX152" s="10" t="str">
        <f t="shared" si="355"/>
        <v xml:space="preserve"> </v>
      </c>
      <c r="HY152" s="10" t="str">
        <f t="shared" si="355"/>
        <v xml:space="preserve"> </v>
      </c>
      <c r="HZ152" s="10" t="str">
        <f t="shared" si="355"/>
        <v xml:space="preserve"> </v>
      </c>
      <c r="IC152" s="10" t="str">
        <f t="shared" si="356"/>
        <v xml:space="preserve"> </v>
      </c>
      <c r="ID152" s="10" t="str">
        <f t="shared" si="356"/>
        <v xml:space="preserve"> </v>
      </c>
      <c r="IE152" s="10" t="str">
        <f t="shared" si="356"/>
        <v xml:space="preserve"> </v>
      </c>
      <c r="IF152" s="10" t="str">
        <f t="shared" si="356"/>
        <v xml:space="preserve"> </v>
      </c>
      <c r="IG152" s="10" t="str">
        <f t="shared" si="356"/>
        <v xml:space="preserve"> </v>
      </c>
      <c r="IJ152" s="10" t="str">
        <f t="shared" si="357"/>
        <v xml:space="preserve"> </v>
      </c>
      <c r="IK152" s="10" t="str">
        <f t="shared" si="357"/>
        <v xml:space="preserve"> </v>
      </c>
      <c r="IL152" s="10" t="str">
        <f t="shared" si="357"/>
        <v xml:space="preserve"> </v>
      </c>
      <c r="IM152" s="10" t="str">
        <f t="shared" si="357"/>
        <v xml:space="preserve"> </v>
      </c>
      <c r="IN152" s="10" t="str">
        <f t="shared" si="357"/>
        <v xml:space="preserve"> </v>
      </c>
      <c r="IQ152" s="10" t="str">
        <f t="shared" si="358"/>
        <v xml:space="preserve"> </v>
      </c>
      <c r="IR152" s="10" t="str">
        <f t="shared" si="358"/>
        <v xml:space="preserve"> </v>
      </c>
      <c r="IS152" s="10" t="str">
        <f t="shared" si="358"/>
        <v xml:space="preserve"> </v>
      </c>
      <c r="IT152" s="10" t="str">
        <f t="shared" si="358"/>
        <v xml:space="preserve"> </v>
      </c>
      <c r="IU152" s="10" t="str">
        <f t="shared" si="358"/>
        <v xml:space="preserve"> </v>
      </c>
      <c r="IX152" s="10" t="str">
        <f t="shared" si="359"/>
        <v xml:space="preserve"> </v>
      </c>
      <c r="IY152" s="10" t="str">
        <f t="shared" si="359"/>
        <v xml:space="preserve"> </v>
      </c>
      <c r="IZ152" s="10" t="str">
        <f t="shared" si="359"/>
        <v xml:space="preserve"> </v>
      </c>
      <c r="JA152" s="10" t="str">
        <f t="shared" si="359"/>
        <v xml:space="preserve"> </v>
      </c>
      <c r="JB152" s="10" t="str">
        <f t="shared" si="359"/>
        <v xml:space="preserve"> </v>
      </c>
      <c r="JE152" s="10" t="str">
        <f t="shared" si="360"/>
        <v xml:space="preserve"> </v>
      </c>
      <c r="JF152" s="10" t="str">
        <f t="shared" si="360"/>
        <v xml:space="preserve"> </v>
      </c>
      <c r="JG152" s="10" t="str">
        <f t="shared" si="360"/>
        <v xml:space="preserve"> </v>
      </c>
      <c r="JH152" s="10" t="str">
        <f t="shared" si="360"/>
        <v xml:space="preserve"> </v>
      </c>
      <c r="JI152" s="10" t="str">
        <f t="shared" si="360"/>
        <v xml:space="preserve"> </v>
      </c>
    </row>
    <row r="153" spans="13:269">
      <c r="M153" s="10" t="str">
        <f t="shared" si="361"/>
        <v xml:space="preserve"> </v>
      </c>
      <c r="N153" s="10" t="str">
        <f t="shared" si="361"/>
        <v xml:space="preserve"> </v>
      </c>
      <c r="O153" s="10" t="str">
        <f t="shared" si="361"/>
        <v xml:space="preserve"> </v>
      </c>
      <c r="P153" s="10" t="str">
        <f t="shared" si="361"/>
        <v xml:space="preserve"> </v>
      </c>
      <c r="Q153" s="10" t="str">
        <f t="shared" si="361"/>
        <v xml:space="preserve"> </v>
      </c>
      <c r="R153" s="14"/>
      <c r="S153" s="14"/>
      <c r="T153" s="10" t="str">
        <f t="shared" si="325"/>
        <v xml:space="preserve"> </v>
      </c>
      <c r="U153" s="10" t="str">
        <f t="shared" si="325"/>
        <v xml:space="preserve"> </v>
      </c>
      <c r="V153" s="10" t="str">
        <f t="shared" si="325"/>
        <v xml:space="preserve"> </v>
      </c>
      <c r="W153" s="10" t="str">
        <f t="shared" si="325"/>
        <v xml:space="preserve"> </v>
      </c>
      <c r="X153" s="10" t="str">
        <f t="shared" si="325"/>
        <v xml:space="preserve"> </v>
      </c>
      <c r="Y153" s="14"/>
      <c r="Z153" s="14"/>
      <c r="AA153" s="10" t="str">
        <f t="shared" si="326"/>
        <v xml:space="preserve"> </v>
      </c>
      <c r="AB153" s="10" t="str">
        <f t="shared" si="326"/>
        <v xml:space="preserve"> </v>
      </c>
      <c r="AC153" s="10" t="str">
        <f t="shared" si="326"/>
        <v xml:space="preserve"> </v>
      </c>
      <c r="AD153" s="10" t="str">
        <f t="shared" si="326"/>
        <v xml:space="preserve"> </v>
      </c>
      <c r="AE153" s="10" t="str">
        <f t="shared" si="326"/>
        <v xml:space="preserve"> </v>
      </c>
      <c r="AF153" s="14"/>
      <c r="AG153" s="14"/>
      <c r="AH153" s="10" t="str">
        <f t="shared" si="327"/>
        <v xml:space="preserve"> </v>
      </c>
      <c r="AI153" s="10" t="str">
        <f t="shared" si="327"/>
        <v xml:space="preserve"> </v>
      </c>
      <c r="AJ153" s="10" t="str">
        <f t="shared" si="327"/>
        <v xml:space="preserve"> </v>
      </c>
      <c r="AK153" s="10" t="str">
        <f t="shared" si="327"/>
        <v xml:space="preserve"> </v>
      </c>
      <c r="AL153" s="10" t="str">
        <f t="shared" si="327"/>
        <v xml:space="preserve"> </v>
      </c>
      <c r="AM153" s="14"/>
      <c r="AN153" s="14"/>
      <c r="AO153" s="10" t="str">
        <f t="shared" si="328"/>
        <v xml:space="preserve"> </v>
      </c>
      <c r="AP153" s="10" t="str">
        <f t="shared" si="328"/>
        <v xml:space="preserve"> </v>
      </c>
      <c r="AQ153" s="10" t="str">
        <f t="shared" si="328"/>
        <v xml:space="preserve"> </v>
      </c>
      <c r="AR153" s="10" t="str">
        <f t="shared" si="328"/>
        <v xml:space="preserve"> </v>
      </c>
      <c r="AS153" s="10" t="str">
        <f t="shared" si="328"/>
        <v xml:space="preserve"> </v>
      </c>
      <c r="AT153" s="14"/>
      <c r="AU153" s="14"/>
      <c r="AV153" s="10" t="str">
        <f t="shared" si="329"/>
        <v xml:space="preserve"> </v>
      </c>
      <c r="AW153" s="10" t="str">
        <f t="shared" si="329"/>
        <v xml:space="preserve"> </v>
      </c>
      <c r="AX153" s="10" t="str">
        <f t="shared" si="329"/>
        <v xml:space="preserve"> </v>
      </c>
      <c r="AY153" s="10" t="str">
        <f t="shared" si="329"/>
        <v xml:space="preserve"> </v>
      </c>
      <c r="AZ153" s="10" t="str">
        <f t="shared" si="329"/>
        <v xml:space="preserve"> </v>
      </c>
      <c r="BA153" s="14"/>
      <c r="BB153" s="14"/>
      <c r="BC153" s="10" t="str">
        <f t="shared" si="330"/>
        <v xml:space="preserve"> </v>
      </c>
      <c r="BD153" s="10" t="str">
        <f t="shared" si="330"/>
        <v xml:space="preserve"> </v>
      </c>
      <c r="BE153" s="10" t="str">
        <f t="shared" si="330"/>
        <v xml:space="preserve"> </v>
      </c>
      <c r="BF153" s="10" t="str">
        <f t="shared" si="330"/>
        <v xml:space="preserve"> </v>
      </c>
      <c r="BG153" s="10" t="str">
        <f t="shared" si="330"/>
        <v xml:space="preserve"> </v>
      </c>
      <c r="BH153" s="14"/>
      <c r="BI153" s="14"/>
      <c r="BJ153" s="10" t="str">
        <f t="shared" si="331"/>
        <v xml:space="preserve"> </v>
      </c>
      <c r="BK153" s="10" t="str">
        <f t="shared" si="331"/>
        <v xml:space="preserve"> </v>
      </c>
      <c r="BL153" s="10" t="str">
        <f t="shared" si="331"/>
        <v xml:space="preserve"> </v>
      </c>
      <c r="BM153" s="10" t="str">
        <f t="shared" si="331"/>
        <v xml:space="preserve"> </v>
      </c>
      <c r="BN153" s="10" t="str">
        <f t="shared" si="331"/>
        <v xml:space="preserve"> </v>
      </c>
      <c r="BO153" s="14"/>
      <c r="BP153" s="14"/>
      <c r="BQ153" s="10" t="str">
        <f t="shared" si="332"/>
        <v xml:space="preserve"> </v>
      </c>
      <c r="BR153" s="10" t="str">
        <f t="shared" si="332"/>
        <v xml:space="preserve"> </v>
      </c>
      <c r="BS153" s="10" t="str">
        <f t="shared" si="332"/>
        <v xml:space="preserve"> </v>
      </c>
      <c r="BT153" s="10" t="str">
        <f t="shared" si="332"/>
        <v xml:space="preserve"> </v>
      </c>
      <c r="BU153" s="10" t="str">
        <f t="shared" si="332"/>
        <v xml:space="preserve"> </v>
      </c>
      <c r="BV153" s="14"/>
      <c r="BW153" s="14"/>
      <c r="BX153" s="10" t="str">
        <f t="shared" si="333"/>
        <v xml:space="preserve"> </v>
      </c>
      <c r="BY153" s="10" t="str">
        <f t="shared" si="333"/>
        <v xml:space="preserve"> </v>
      </c>
      <c r="BZ153" s="10" t="str">
        <f t="shared" si="333"/>
        <v xml:space="preserve"> </v>
      </c>
      <c r="CA153" s="10" t="str">
        <f t="shared" si="333"/>
        <v xml:space="preserve"> </v>
      </c>
      <c r="CB153" s="10" t="str">
        <f t="shared" si="333"/>
        <v xml:space="preserve"> </v>
      </c>
      <c r="CC153" s="14"/>
      <c r="CD153" s="14"/>
      <c r="CE153" s="10" t="str">
        <f t="shared" si="334"/>
        <v xml:space="preserve"> </v>
      </c>
      <c r="CF153" s="10" t="str">
        <f t="shared" si="334"/>
        <v xml:space="preserve"> </v>
      </c>
      <c r="CG153" s="10" t="str">
        <f t="shared" si="334"/>
        <v xml:space="preserve"> </v>
      </c>
      <c r="CH153" s="10" t="str">
        <f t="shared" si="334"/>
        <v xml:space="preserve"> </v>
      </c>
      <c r="CI153" s="10" t="str">
        <f t="shared" si="334"/>
        <v xml:space="preserve"> </v>
      </c>
      <c r="CJ153" s="14"/>
      <c r="CK153" s="14"/>
      <c r="CL153" s="10" t="str">
        <f t="shared" si="335"/>
        <v xml:space="preserve"> </v>
      </c>
      <c r="CM153" s="10" t="str">
        <f t="shared" si="335"/>
        <v xml:space="preserve"> </v>
      </c>
      <c r="CN153" s="10" t="str">
        <f t="shared" si="335"/>
        <v xml:space="preserve"> </v>
      </c>
      <c r="CO153" s="10" t="str">
        <f t="shared" si="335"/>
        <v xml:space="preserve"> </v>
      </c>
      <c r="CP153" s="10" t="str">
        <f t="shared" si="335"/>
        <v xml:space="preserve"> </v>
      </c>
      <c r="CQ153" s="14"/>
      <c r="CR153" s="14"/>
      <c r="CS153" s="10" t="str">
        <f t="shared" si="336"/>
        <v xml:space="preserve"> </v>
      </c>
      <c r="CT153" s="10" t="str">
        <f t="shared" si="336"/>
        <v xml:space="preserve"> </v>
      </c>
      <c r="CU153" s="10" t="str">
        <f t="shared" si="336"/>
        <v xml:space="preserve"> </v>
      </c>
      <c r="CV153" s="10" t="str">
        <f t="shared" si="336"/>
        <v xml:space="preserve"> </v>
      </c>
      <c r="CW153" s="10" t="str">
        <f t="shared" si="336"/>
        <v xml:space="preserve"> </v>
      </c>
      <c r="CZ153" s="10" t="str">
        <f t="shared" si="337"/>
        <v xml:space="preserve"> </v>
      </c>
      <c r="DA153" s="10" t="str">
        <f t="shared" si="337"/>
        <v xml:space="preserve"> </v>
      </c>
      <c r="DB153" s="10" t="str">
        <f t="shared" si="337"/>
        <v xml:space="preserve"> </v>
      </c>
      <c r="DC153" s="10" t="str">
        <f t="shared" si="337"/>
        <v xml:space="preserve"> </v>
      </c>
      <c r="DD153" s="10" t="str">
        <f t="shared" si="337"/>
        <v xml:space="preserve"> </v>
      </c>
      <c r="DG153" s="10" t="str">
        <f t="shared" si="338"/>
        <v xml:space="preserve"> </v>
      </c>
      <c r="DH153" s="10" t="str">
        <f t="shared" si="338"/>
        <v xml:space="preserve"> </v>
      </c>
      <c r="DI153" s="10" t="str">
        <f t="shared" si="338"/>
        <v xml:space="preserve"> </v>
      </c>
      <c r="DJ153" s="10" t="str">
        <f t="shared" si="338"/>
        <v xml:space="preserve"> </v>
      </c>
      <c r="DK153" s="10" t="str">
        <f t="shared" si="338"/>
        <v xml:space="preserve"> </v>
      </c>
      <c r="DN153" s="10" t="str">
        <f t="shared" si="339"/>
        <v xml:space="preserve"> </v>
      </c>
      <c r="DO153" s="10" t="str">
        <f t="shared" si="339"/>
        <v xml:space="preserve"> </v>
      </c>
      <c r="DP153" s="10" t="str">
        <f t="shared" si="339"/>
        <v xml:space="preserve"> </v>
      </c>
      <c r="DQ153" s="10" t="str">
        <f t="shared" si="339"/>
        <v xml:space="preserve"> </v>
      </c>
      <c r="DR153" s="10" t="str">
        <f t="shared" si="339"/>
        <v xml:space="preserve"> </v>
      </c>
      <c r="DU153" s="10" t="str">
        <f t="shared" si="340"/>
        <v xml:space="preserve"> </v>
      </c>
      <c r="DV153" s="10" t="str">
        <f t="shared" si="340"/>
        <v xml:space="preserve"> </v>
      </c>
      <c r="DW153" s="10" t="str">
        <f t="shared" si="340"/>
        <v xml:space="preserve"> </v>
      </c>
      <c r="DX153" s="10" t="str">
        <f t="shared" si="340"/>
        <v xml:space="preserve"> </v>
      </c>
      <c r="DY153" s="10" t="str">
        <f t="shared" si="340"/>
        <v xml:space="preserve"> </v>
      </c>
      <c r="EB153" s="10" t="str">
        <f t="shared" si="341"/>
        <v xml:space="preserve"> </v>
      </c>
      <c r="EC153" s="10" t="str">
        <f t="shared" si="341"/>
        <v xml:space="preserve"> </v>
      </c>
      <c r="ED153" s="10" t="str">
        <f t="shared" si="341"/>
        <v xml:space="preserve"> </v>
      </c>
      <c r="EE153" s="10" t="str">
        <f t="shared" si="341"/>
        <v xml:space="preserve"> </v>
      </c>
      <c r="EF153" s="10" t="str">
        <f t="shared" si="341"/>
        <v xml:space="preserve"> </v>
      </c>
      <c r="EI153" s="10" t="str">
        <f t="shared" si="342"/>
        <v xml:space="preserve"> </v>
      </c>
      <c r="EJ153" s="10" t="str">
        <f t="shared" si="342"/>
        <v xml:space="preserve"> </v>
      </c>
      <c r="EK153" s="10" t="str">
        <f t="shared" si="342"/>
        <v xml:space="preserve"> </v>
      </c>
      <c r="EL153" s="10" t="str">
        <f t="shared" si="342"/>
        <v xml:space="preserve"> </v>
      </c>
      <c r="EM153" s="10" t="str">
        <f t="shared" si="342"/>
        <v xml:space="preserve"> </v>
      </c>
      <c r="EP153" s="10" t="str">
        <f t="shared" si="343"/>
        <v xml:space="preserve"> </v>
      </c>
      <c r="EQ153" s="10" t="str">
        <f t="shared" si="343"/>
        <v xml:space="preserve"> </v>
      </c>
      <c r="ER153" s="10" t="str">
        <f t="shared" si="343"/>
        <v xml:space="preserve"> </v>
      </c>
      <c r="ES153" s="10" t="str">
        <f t="shared" si="343"/>
        <v xml:space="preserve"> </v>
      </c>
      <c r="ET153" s="10" t="str">
        <f t="shared" si="343"/>
        <v xml:space="preserve"> </v>
      </c>
      <c r="EW153" s="10" t="str">
        <f t="shared" si="344"/>
        <v xml:space="preserve"> </v>
      </c>
      <c r="EX153" s="10" t="str">
        <f t="shared" si="344"/>
        <v xml:space="preserve"> </v>
      </c>
      <c r="EY153" s="10" t="str">
        <f t="shared" si="344"/>
        <v xml:space="preserve"> </v>
      </c>
      <c r="EZ153" s="10" t="str">
        <f t="shared" si="344"/>
        <v xml:space="preserve"> </v>
      </c>
      <c r="FA153" s="10" t="str">
        <f t="shared" si="344"/>
        <v xml:space="preserve"> </v>
      </c>
      <c r="FD153" s="10" t="str">
        <f t="shared" si="345"/>
        <v xml:space="preserve"> </v>
      </c>
      <c r="FE153" s="10" t="str">
        <f t="shared" si="345"/>
        <v xml:space="preserve"> </v>
      </c>
      <c r="FF153" s="10" t="str">
        <f t="shared" si="345"/>
        <v xml:space="preserve"> </v>
      </c>
      <c r="FG153" s="10" t="str">
        <f t="shared" si="345"/>
        <v xml:space="preserve"> </v>
      </c>
      <c r="FH153" s="10" t="str">
        <f t="shared" si="345"/>
        <v xml:space="preserve"> </v>
      </c>
      <c r="FK153" s="10" t="str">
        <f t="shared" si="346"/>
        <v xml:space="preserve"> </v>
      </c>
      <c r="FL153" s="10" t="str">
        <f t="shared" si="346"/>
        <v xml:space="preserve"> </v>
      </c>
      <c r="FM153" s="10" t="str">
        <f t="shared" si="346"/>
        <v xml:space="preserve"> </v>
      </c>
      <c r="FN153" s="10" t="str">
        <f t="shared" si="346"/>
        <v xml:space="preserve"> </v>
      </c>
      <c r="FO153" s="10" t="str">
        <f t="shared" si="346"/>
        <v xml:space="preserve"> </v>
      </c>
      <c r="FR153" s="10" t="str">
        <f t="shared" si="347"/>
        <v xml:space="preserve"> </v>
      </c>
      <c r="FS153" s="10" t="str">
        <f t="shared" si="347"/>
        <v xml:space="preserve"> </v>
      </c>
      <c r="FT153" s="10" t="str">
        <f t="shared" si="347"/>
        <v xml:space="preserve"> </v>
      </c>
      <c r="FU153" s="10" t="str">
        <f t="shared" si="347"/>
        <v xml:space="preserve"> </v>
      </c>
      <c r="FV153" s="10" t="str">
        <f t="shared" si="347"/>
        <v xml:space="preserve"> </v>
      </c>
      <c r="FY153" s="10" t="str">
        <f t="shared" si="348"/>
        <v xml:space="preserve"> </v>
      </c>
      <c r="FZ153" s="10" t="str">
        <f t="shared" si="348"/>
        <v xml:space="preserve"> </v>
      </c>
      <c r="GA153" s="10" t="str">
        <f t="shared" si="348"/>
        <v xml:space="preserve"> </v>
      </c>
      <c r="GB153" s="10" t="str">
        <f t="shared" si="348"/>
        <v xml:space="preserve"> </v>
      </c>
      <c r="GC153" s="10" t="str">
        <f t="shared" si="348"/>
        <v xml:space="preserve"> </v>
      </c>
      <c r="GF153" s="10" t="str">
        <f t="shared" si="349"/>
        <v xml:space="preserve"> </v>
      </c>
      <c r="GG153" s="10" t="str">
        <f t="shared" si="349"/>
        <v xml:space="preserve"> </v>
      </c>
      <c r="GH153" s="10" t="str">
        <f t="shared" si="349"/>
        <v xml:space="preserve"> </v>
      </c>
      <c r="GI153" s="10" t="str">
        <f t="shared" si="349"/>
        <v xml:space="preserve"> </v>
      </c>
      <c r="GJ153" s="10" t="str">
        <f t="shared" si="349"/>
        <v xml:space="preserve"> </v>
      </c>
      <c r="GM153" s="10" t="str">
        <f t="shared" si="350"/>
        <v xml:space="preserve"> </v>
      </c>
      <c r="GN153" s="10" t="str">
        <f t="shared" si="350"/>
        <v xml:space="preserve"> </v>
      </c>
      <c r="GO153" s="10" t="str">
        <f t="shared" si="350"/>
        <v xml:space="preserve"> </v>
      </c>
      <c r="GP153" s="10" t="str">
        <f t="shared" si="350"/>
        <v xml:space="preserve"> </v>
      </c>
      <c r="GQ153" s="10" t="str">
        <f t="shared" si="350"/>
        <v xml:space="preserve"> </v>
      </c>
      <c r="GT153" s="10" t="str">
        <f t="shared" si="351"/>
        <v xml:space="preserve"> </v>
      </c>
      <c r="GU153" s="10" t="str">
        <f t="shared" si="351"/>
        <v xml:space="preserve"> </v>
      </c>
      <c r="GV153" s="10" t="str">
        <f t="shared" si="351"/>
        <v xml:space="preserve"> </v>
      </c>
      <c r="GW153" s="10" t="str">
        <f t="shared" si="351"/>
        <v xml:space="preserve"> </v>
      </c>
      <c r="GX153" s="10" t="str">
        <f t="shared" si="351"/>
        <v xml:space="preserve"> </v>
      </c>
      <c r="HA153" s="10" t="str">
        <f t="shared" si="352"/>
        <v xml:space="preserve"> </v>
      </c>
      <c r="HB153" s="10" t="str">
        <f t="shared" si="352"/>
        <v xml:space="preserve"> </v>
      </c>
      <c r="HC153" s="10" t="str">
        <f t="shared" si="352"/>
        <v xml:space="preserve"> </v>
      </c>
      <c r="HD153" s="10" t="str">
        <f t="shared" si="352"/>
        <v xml:space="preserve"> </v>
      </c>
      <c r="HE153" s="10" t="str">
        <f t="shared" si="352"/>
        <v xml:space="preserve"> </v>
      </c>
      <c r="HH153" s="10" t="str">
        <f t="shared" si="353"/>
        <v xml:space="preserve"> </v>
      </c>
      <c r="HI153" s="10" t="str">
        <f t="shared" si="353"/>
        <v xml:space="preserve"> </v>
      </c>
      <c r="HJ153" s="10" t="str">
        <f t="shared" si="353"/>
        <v xml:space="preserve"> </v>
      </c>
      <c r="HK153" s="10" t="str">
        <f t="shared" si="353"/>
        <v xml:space="preserve"> </v>
      </c>
      <c r="HL153" s="10" t="str">
        <f t="shared" si="353"/>
        <v xml:space="preserve"> </v>
      </c>
      <c r="HO153" s="10" t="str">
        <f t="shared" si="354"/>
        <v xml:space="preserve"> </v>
      </c>
      <c r="HP153" s="10" t="str">
        <f t="shared" si="354"/>
        <v xml:space="preserve"> </v>
      </c>
      <c r="HQ153" s="10" t="str">
        <f t="shared" si="354"/>
        <v xml:space="preserve"> </v>
      </c>
      <c r="HR153" s="10" t="str">
        <f t="shared" si="354"/>
        <v xml:space="preserve"> </v>
      </c>
      <c r="HS153" s="10" t="str">
        <f t="shared" si="354"/>
        <v xml:space="preserve"> </v>
      </c>
      <c r="HV153" s="10" t="str">
        <f t="shared" si="355"/>
        <v xml:space="preserve"> </v>
      </c>
      <c r="HW153" s="10" t="str">
        <f t="shared" si="355"/>
        <v xml:space="preserve"> </v>
      </c>
      <c r="HX153" s="10" t="str">
        <f t="shared" si="355"/>
        <v xml:space="preserve"> </v>
      </c>
      <c r="HY153" s="10" t="str">
        <f t="shared" si="355"/>
        <v xml:space="preserve"> </v>
      </c>
      <c r="HZ153" s="10" t="str">
        <f t="shared" si="355"/>
        <v xml:space="preserve"> </v>
      </c>
      <c r="IC153" s="10" t="str">
        <f t="shared" si="356"/>
        <v xml:space="preserve"> </v>
      </c>
      <c r="ID153" s="10" t="str">
        <f t="shared" si="356"/>
        <v xml:space="preserve"> </v>
      </c>
      <c r="IE153" s="10" t="str">
        <f t="shared" si="356"/>
        <v xml:space="preserve"> </v>
      </c>
      <c r="IF153" s="10" t="str">
        <f t="shared" si="356"/>
        <v xml:space="preserve"> </v>
      </c>
      <c r="IG153" s="10" t="str">
        <f t="shared" si="356"/>
        <v xml:space="preserve"> </v>
      </c>
      <c r="IJ153" s="10" t="str">
        <f t="shared" si="357"/>
        <v xml:space="preserve"> </v>
      </c>
      <c r="IK153" s="10" t="str">
        <f t="shared" si="357"/>
        <v xml:space="preserve"> </v>
      </c>
      <c r="IL153" s="10" t="str">
        <f t="shared" si="357"/>
        <v xml:space="preserve"> </v>
      </c>
      <c r="IM153" s="10" t="str">
        <f t="shared" si="357"/>
        <v xml:space="preserve"> </v>
      </c>
      <c r="IN153" s="10" t="str">
        <f t="shared" si="357"/>
        <v xml:space="preserve"> </v>
      </c>
      <c r="IQ153" s="10" t="str">
        <f t="shared" si="358"/>
        <v xml:space="preserve"> </v>
      </c>
      <c r="IR153" s="10" t="str">
        <f t="shared" si="358"/>
        <v xml:space="preserve"> </v>
      </c>
      <c r="IS153" s="10" t="str">
        <f t="shared" si="358"/>
        <v xml:space="preserve"> </v>
      </c>
      <c r="IT153" s="10" t="str">
        <f t="shared" si="358"/>
        <v xml:space="preserve"> </v>
      </c>
      <c r="IU153" s="10" t="str">
        <f t="shared" si="358"/>
        <v xml:space="preserve"> </v>
      </c>
      <c r="IX153" s="10" t="str">
        <f t="shared" si="359"/>
        <v xml:space="preserve"> </v>
      </c>
      <c r="IY153" s="10" t="str">
        <f t="shared" si="359"/>
        <v xml:space="preserve"> </v>
      </c>
      <c r="IZ153" s="10" t="str">
        <f t="shared" si="359"/>
        <v xml:space="preserve"> </v>
      </c>
      <c r="JA153" s="10" t="str">
        <f t="shared" si="359"/>
        <v xml:space="preserve"> </v>
      </c>
      <c r="JB153" s="10" t="str">
        <f t="shared" si="359"/>
        <v xml:space="preserve"> </v>
      </c>
      <c r="JE153" s="10" t="str">
        <f t="shared" si="360"/>
        <v xml:space="preserve"> </v>
      </c>
      <c r="JF153" s="10" t="str">
        <f t="shared" si="360"/>
        <v xml:space="preserve"> </v>
      </c>
      <c r="JG153" s="10" t="str">
        <f t="shared" si="360"/>
        <v xml:space="preserve"> </v>
      </c>
      <c r="JH153" s="10" t="str">
        <f t="shared" si="360"/>
        <v xml:space="preserve"> </v>
      </c>
      <c r="JI153" s="10" t="str">
        <f t="shared" si="360"/>
        <v xml:space="preserve"> </v>
      </c>
    </row>
    <row r="154" spans="13:269">
      <c r="M154" s="10" t="str">
        <f t="shared" si="361"/>
        <v xml:space="preserve"> </v>
      </c>
      <c r="N154" s="10" t="str">
        <f t="shared" si="361"/>
        <v xml:space="preserve"> </v>
      </c>
      <c r="O154" s="10" t="str">
        <f t="shared" si="361"/>
        <v xml:space="preserve"> </v>
      </c>
      <c r="P154" s="10" t="str">
        <f t="shared" si="361"/>
        <v xml:space="preserve"> </v>
      </c>
      <c r="Q154" s="10" t="str">
        <f t="shared" si="361"/>
        <v xml:space="preserve"> </v>
      </c>
      <c r="R154" s="14"/>
      <c r="S154" s="14"/>
      <c r="T154" s="10" t="str">
        <f t="shared" si="325"/>
        <v xml:space="preserve"> </v>
      </c>
      <c r="U154" s="10" t="str">
        <f t="shared" si="325"/>
        <v xml:space="preserve"> </v>
      </c>
      <c r="V154" s="10" t="str">
        <f t="shared" si="325"/>
        <v xml:space="preserve"> </v>
      </c>
      <c r="W154" s="10" t="str">
        <f t="shared" si="325"/>
        <v xml:space="preserve"> </v>
      </c>
      <c r="X154" s="10" t="str">
        <f t="shared" si="325"/>
        <v xml:space="preserve"> </v>
      </c>
      <c r="Y154" s="14"/>
      <c r="Z154" s="14"/>
      <c r="AA154" s="10" t="str">
        <f t="shared" si="326"/>
        <v xml:space="preserve"> </v>
      </c>
      <c r="AB154" s="10" t="str">
        <f t="shared" si="326"/>
        <v xml:space="preserve"> </v>
      </c>
      <c r="AC154" s="10" t="str">
        <f t="shared" si="326"/>
        <v xml:space="preserve"> </v>
      </c>
      <c r="AD154" s="10" t="str">
        <f t="shared" si="326"/>
        <v xml:space="preserve"> </v>
      </c>
      <c r="AE154" s="10" t="str">
        <f t="shared" si="326"/>
        <v xml:space="preserve"> </v>
      </c>
      <c r="AF154" s="14"/>
      <c r="AG154" s="14"/>
      <c r="AH154" s="10" t="str">
        <f t="shared" si="327"/>
        <v xml:space="preserve"> </v>
      </c>
      <c r="AI154" s="10" t="str">
        <f t="shared" si="327"/>
        <v xml:space="preserve"> </v>
      </c>
      <c r="AJ154" s="10" t="str">
        <f t="shared" si="327"/>
        <v xml:space="preserve"> </v>
      </c>
      <c r="AK154" s="10" t="str">
        <f t="shared" si="327"/>
        <v xml:space="preserve"> </v>
      </c>
      <c r="AL154" s="10" t="str">
        <f t="shared" si="327"/>
        <v xml:space="preserve"> </v>
      </c>
      <c r="AM154" s="14"/>
      <c r="AN154" s="14"/>
      <c r="AO154" s="10" t="str">
        <f t="shared" si="328"/>
        <v xml:space="preserve"> </v>
      </c>
      <c r="AP154" s="10" t="str">
        <f t="shared" si="328"/>
        <v xml:space="preserve"> </v>
      </c>
      <c r="AQ154" s="10" t="str">
        <f t="shared" si="328"/>
        <v xml:space="preserve"> </v>
      </c>
      <c r="AR154" s="10" t="str">
        <f t="shared" si="328"/>
        <v xml:space="preserve"> </v>
      </c>
      <c r="AS154" s="10" t="str">
        <f t="shared" si="328"/>
        <v xml:space="preserve"> </v>
      </c>
      <c r="AT154" s="14"/>
      <c r="AU154" s="14"/>
      <c r="AV154" s="10" t="str">
        <f t="shared" si="329"/>
        <v xml:space="preserve"> </v>
      </c>
      <c r="AW154" s="10" t="str">
        <f t="shared" si="329"/>
        <v xml:space="preserve"> </v>
      </c>
      <c r="AX154" s="10" t="str">
        <f t="shared" si="329"/>
        <v xml:space="preserve"> </v>
      </c>
      <c r="AY154" s="10" t="str">
        <f t="shared" si="329"/>
        <v xml:space="preserve"> </v>
      </c>
      <c r="AZ154" s="10" t="str">
        <f t="shared" si="329"/>
        <v xml:space="preserve"> </v>
      </c>
      <c r="BA154" s="14"/>
      <c r="BB154" s="14"/>
      <c r="BC154" s="10" t="str">
        <f t="shared" si="330"/>
        <v xml:space="preserve"> </v>
      </c>
      <c r="BD154" s="10" t="str">
        <f t="shared" si="330"/>
        <v xml:space="preserve"> </v>
      </c>
      <c r="BE154" s="10" t="str">
        <f t="shared" si="330"/>
        <v xml:space="preserve"> </v>
      </c>
      <c r="BF154" s="10" t="str">
        <f t="shared" si="330"/>
        <v xml:space="preserve"> </v>
      </c>
      <c r="BG154" s="10" t="str">
        <f t="shared" si="330"/>
        <v xml:space="preserve"> </v>
      </c>
      <c r="BH154" s="14"/>
      <c r="BI154" s="14"/>
      <c r="BJ154" s="10" t="str">
        <f t="shared" si="331"/>
        <v xml:space="preserve"> </v>
      </c>
      <c r="BK154" s="10" t="str">
        <f t="shared" si="331"/>
        <v xml:space="preserve"> </v>
      </c>
      <c r="BL154" s="10" t="str">
        <f t="shared" si="331"/>
        <v xml:space="preserve"> </v>
      </c>
      <c r="BM154" s="10" t="str">
        <f t="shared" si="331"/>
        <v xml:space="preserve"> </v>
      </c>
      <c r="BN154" s="10" t="str">
        <f t="shared" si="331"/>
        <v xml:space="preserve"> </v>
      </c>
      <c r="BO154" s="14"/>
      <c r="BP154" s="14"/>
      <c r="BQ154" s="10" t="str">
        <f t="shared" si="332"/>
        <v xml:space="preserve"> </v>
      </c>
      <c r="BR154" s="10" t="str">
        <f t="shared" si="332"/>
        <v xml:space="preserve"> </v>
      </c>
      <c r="BS154" s="10" t="str">
        <f t="shared" si="332"/>
        <v xml:space="preserve"> </v>
      </c>
      <c r="BT154" s="10" t="str">
        <f t="shared" si="332"/>
        <v xml:space="preserve"> </v>
      </c>
      <c r="BU154" s="10" t="str">
        <f t="shared" si="332"/>
        <v xml:space="preserve"> </v>
      </c>
      <c r="BV154" s="14"/>
      <c r="BW154" s="14"/>
      <c r="BX154" s="10" t="str">
        <f t="shared" si="333"/>
        <v xml:space="preserve"> </v>
      </c>
      <c r="BY154" s="10" t="str">
        <f t="shared" si="333"/>
        <v xml:space="preserve"> </v>
      </c>
      <c r="BZ154" s="10" t="str">
        <f t="shared" si="333"/>
        <v xml:space="preserve"> </v>
      </c>
      <c r="CA154" s="10" t="str">
        <f t="shared" si="333"/>
        <v xml:space="preserve"> </v>
      </c>
      <c r="CB154" s="10" t="str">
        <f t="shared" si="333"/>
        <v xml:space="preserve"> </v>
      </c>
      <c r="CC154" s="14"/>
      <c r="CD154" s="14"/>
      <c r="CE154" s="10" t="str">
        <f t="shared" si="334"/>
        <v xml:space="preserve"> </v>
      </c>
      <c r="CF154" s="10" t="str">
        <f t="shared" si="334"/>
        <v xml:space="preserve"> </v>
      </c>
      <c r="CG154" s="10" t="str">
        <f t="shared" si="334"/>
        <v xml:space="preserve"> </v>
      </c>
      <c r="CH154" s="10" t="str">
        <f t="shared" si="334"/>
        <v xml:space="preserve"> </v>
      </c>
      <c r="CI154" s="10" t="str">
        <f t="shared" si="334"/>
        <v xml:space="preserve"> </v>
      </c>
      <c r="CJ154" s="14"/>
      <c r="CK154" s="14"/>
      <c r="CL154" s="10" t="str">
        <f t="shared" si="335"/>
        <v xml:space="preserve"> </v>
      </c>
      <c r="CM154" s="10" t="str">
        <f t="shared" si="335"/>
        <v xml:space="preserve"> </v>
      </c>
      <c r="CN154" s="10" t="str">
        <f t="shared" si="335"/>
        <v xml:space="preserve"> </v>
      </c>
      <c r="CO154" s="10" t="str">
        <f t="shared" si="335"/>
        <v xml:space="preserve"> </v>
      </c>
      <c r="CP154" s="10" t="str">
        <f t="shared" si="335"/>
        <v xml:space="preserve"> </v>
      </c>
      <c r="CQ154" s="14"/>
      <c r="CR154" s="14"/>
      <c r="CS154" s="10" t="str">
        <f t="shared" si="336"/>
        <v xml:space="preserve"> </v>
      </c>
      <c r="CT154" s="10" t="str">
        <f t="shared" si="336"/>
        <v xml:space="preserve"> </v>
      </c>
      <c r="CU154" s="10" t="str">
        <f t="shared" si="336"/>
        <v xml:space="preserve"> </v>
      </c>
      <c r="CV154" s="10" t="str">
        <f t="shared" si="336"/>
        <v xml:space="preserve"> </v>
      </c>
      <c r="CW154" s="10" t="str">
        <f t="shared" si="336"/>
        <v xml:space="preserve"> </v>
      </c>
      <c r="CZ154" s="10" t="str">
        <f t="shared" si="337"/>
        <v xml:space="preserve"> </v>
      </c>
      <c r="DA154" s="10" t="str">
        <f t="shared" si="337"/>
        <v xml:space="preserve"> </v>
      </c>
      <c r="DB154" s="10" t="str">
        <f t="shared" si="337"/>
        <v xml:space="preserve"> </v>
      </c>
      <c r="DC154" s="10" t="str">
        <f t="shared" si="337"/>
        <v xml:space="preserve"> </v>
      </c>
      <c r="DD154" s="10" t="str">
        <f t="shared" si="337"/>
        <v xml:space="preserve"> </v>
      </c>
      <c r="DG154" s="10" t="str">
        <f t="shared" si="338"/>
        <v xml:space="preserve"> </v>
      </c>
      <c r="DH154" s="10" t="str">
        <f t="shared" si="338"/>
        <v xml:space="preserve"> </v>
      </c>
      <c r="DI154" s="10" t="str">
        <f t="shared" si="338"/>
        <v xml:space="preserve"> </v>
      </c>
      <c r="DJ154" s="10" t="str">
        <f t="shared" si="338"/>
        <v xml:space="preserve"> </v>
      </c>
      <c r="DK154" s="10" t="str">
        <f t="shared" si="338"/>
        <v xml:space="preserve"> </v>
      </c>
      <c r="DN154" s="10" t="str">
        <f t="shared" si="339"/>
        <v xml:space="preserve"> </v>
      </c>
      <c r="DO154" s="10" t="str">
        <f t="shared" si="339"/>
        <v xml:space="preserve"> </v>
      </c>
      <c r="DP154" s="10" t="str">
        <f t="shared" si="339"/>
        <v xml:space="preserve"> </v>
      </c>
      <c r="DQ154" s="10" t="str">
        <f t="shared" si="339"/>
        <v xml:space="preserve"> </v>
      </c>
      <c r="DR154" s="10" t="str">
        <f t="shared" si="339"/>
        <v xml:space="preserve"> </v>
      </c>
      <c r="DU154" s="10" t="str">
        <f t="shared" si="340"/>
        <v xml:space="preserve"> </v>
      </c>
      <c r="DV154" s="10" t="str">
        <f t="shared" si="340"/>
        <v xml:space="preserve"> </v>
      </c>
      <c r="DW154" s="10" t="str">
        <f t="shared" si="340"/>
        <v xml:space="preserve"> </v>
      </c>
      <c r="DX154" s="10" t="str">
        <f t="shared" si="340"/>
        <v xml:space="preserve"> </v>
      </c>
      <c r="DY154" s="10" t="str">
        <f t="shared" si="340"/>
        <v xml:space="preserve"> </v>
      </c>
      <c r="EB154" s="10" t="str">
        <f t="shared" si="341"/>
        <v xml:space="preserve"> </v>
      </c>
      <c r="EC154" s="10" t="str">
        <f t="shared" si="341"/>
        <v xml:space="preserve"> </v>
      </c>
      <c r="ED154" s="10" t="str">
        <f t="shared" si="341"/>
        <v xml:space="preserve"> </v>
      </c>
      <c r="EE154" s="10" t="str">
        <f t="shared" si="341"/>
        <v xml:space="preserve"> </v>
      </c>
      <c r="EF154" s="10" t="str">
        <f t="shared" si="341"/>
        <v xml:space="preserve"> </v>
      </c>
      <c r="EI154" s="10" t="str">
        <f t="shared" si="342"/>
        <v xml:space="preserve"> </v>
      </c>
      <c r="EJ154" s="10" t="str">
        <f t="shared" si="342"/>
        <v xml:space="preserve"> </v>
      </c>
      <c r="EK154" s="10" t="str">
        <f t="shared" si="342"/>
        <v xml:space="preserve"> </v>
      </c>
      <c r="EL154" s="10" t="str">
        <f t="shared" si="342"/>
        <v xml:space="preserve"> </v>
      </c>
      <c r="EM154" s="10" t="str">
        <f t="shared" si="342"/>
        <v xml:space="preserve"> </v>
      </c>
      <c r="EP154" s="10" t="str">
        <f t="shared" si="343"/>
        <v xml:space="preserve"> </v>
      </c>
      <c r="EQ154" s="10" t="str">
        <f t="shared" si="343"/>
        <v xml:space="preserve"> </v>
      </c>
      <c r="ER154" s="10" t="str">
        <f t="shared" si="343"/>
        <v xml:space="preserve"> </v>
      </c>
      <c r="ES154" s="10" t="str">
        <f t="shared" si="343"/>
        <v xml:space="preserve"> </v>
      </c>
      <c r="ET154" s="10" t="str">
        <f t="shared" si="343"/>
        <v xml:space="preserve"> </v>
      </c>
      <c r="EW154" s="10" t="str">
        <f t="shared" si="344"/>
        <v xml:space="preserve"> </v>
      </c>
      <c r="EX154" s="10" t="str">
        <f t="shared" si="344"/>
        <v xml:space="preserve"> </v>
      </c>
      <c r="EY154" s="10" t="str">
        <f t="shared" si="344"/>
        <v xml:space="preserve"> </v>
      </c>
      <c r="EZ154" s="10" t="str">
        <f t="shared" si="344"/>
        <v xml:space="preserve"> </v>
      </c>
      <c r="FA154" s="10" t="str">
        <f t="shared" si="344"/>
        <v xml:space="preserve"> </v>
      </c>
      <c r="FD154" s="10" t="str">
        <f t="shared" si="345"/>
        <v xml:space="preserve"> </v>
      </c>
      <c r="FE154" s="10" t="str">
        <f t="shared" si="345"/>
        <v xml:space="preserve"> </v>
      </c>
      <c r="FF154" s="10" t="str">
        <f t="shared" si="345"/>
        <v xml:space="preserve"> </v>
      </c>
      <c r="FG154" s="10" t="str">
        <f t="shared" si="345"/>
        <v xml:space="preserve"> </v>
      </c>
      <c r="FH154" s="10" t="str">
        <f t="shared" si="345"/>
        <v xml:space="preserve"> </v>
      </c>
      <c r="FK154" s="10" t="str">
        <f t="shared" si="346"/>
        <v xml:space="preserve"> </v>
      </c>
      <c r="FL154" s="10" t="str">
        <f t="shared" si="346"/>
        <v xml:space="preserve"> </v>
      </c>
      <c r="FM154" s="10" t="str">
        <f t="shared" si="346"/>
        <v xml:space="preserve"> </v>
      </c>
      <c r="FN154" s="10" t="str">
        <f t="shared" si="346"/>
        <v xml:space="preserve"> </v>
      </c>
      <c r="FO154" s="10" t="str">
        <f t="shared" si="346"/>
        <v xml:space="preserve"> </v>
      </c>
      <c r="FR154" s="10" t="str">
        <f t="shared" si="347"/>
        <v xml:space="preserve"> </v>
      </c>
      <c r="FS154" s="10" t="str">
        <f t="shared" si="347"/>
        <v xml:space="preserve"> </v>
      </c>
      <c r="FT154" s="10" t="str">
        <f t="shared" si="347"/>
        <v xml:space="preserve"> </v>
      </c>
      <c r="FU154" s="10" t="str">
        <f t="shared" si="347"/>
        <v xml:space="preserve"> </v>
      </c>
      <c r="FV154" s="10" t="str">
        <f t="shared" si="347"/>
        <v xml:space="preserve"> </v>
      </c>
      <c r="FY154" s="10" t="str">
        <f t="shared" si="348"/>
        <v xml:space="preserve"> </v>
      </c>
      <c r="FZ154" s="10" t="str">
        <f t="shared" si="348"/>
        <v xml:space="preserve"> </v>
      </c>
      <c r="GA154" s="10" t="str">
        <f t="shared" si="348"/>
        <v xml:space="preserve"> </v>
      </c>
      <c r="GB154" s="10" t="str">
        <f t="shared" si="348"/>
        <v xml:space="preserve"> </v>
      </c>
      <c r="GC154" s="10" t="str">
        <f t="shared" si="348"/>
        <v xml:space="preserve"> </v>
      </c>
      <c r="GF154" s="10" t="str">
        <f t="shared" si="349"/>
        <v xml:space="preserve"> </v>
      </c>
      <c r="GG154" s="10" t="str">
        <f t="shared" si="349"/>
        <v xml:space="preserve"> </v>
      </c>
      <c r="GH154" s="10" t="str">
        <f t="shared" si="349"/>
        <v xml:space="preserve"> </v>
      </c>
      <c r="GI154" s="10" t="str">
        <f t="shared" si="349"/>
        <v xml:space="preserve"> </v>
      </c>
      <c r="GJ154" s="10" t="str">
        <f t="shared" si="349"/>
        <v xml:space="preserve"> </v>
      </c>
      <c r="GM154" s="10" t="str">
        <f t="shared" si="350"/>
        <v xml:space="preserve"> </v>
      </c>
      <c r="GN154" s="10" t="str">
        <f t="shared" si="350"/>
        <v xml:space="preserve"> </v>
      </c>
      <c r="GO154" s="10" t="str">
        <f t="shared" si="350"/>
        <v xml:space="preserve"> </v>
      </c>
      <c r="GP154" s="10" t="str">
        <f t="shared" si="350"/>
        <v xml:space="preserve"> </v>
      </c>
      <c r="GQ154" s="10" t="str">
        <f t="shared" si="350"/>
        <v xml:space="preserve"> </v>
      </c>
      <c r="GT154" s="10" t="str">
        <f t="shared" si="351"/>
        <v xml:space="preserve"> </v>
      </c>
      <c r="GU154" s="10" t="str">
        <f t="shared" si="351"/>
        <v xml:space="preserve"> </v>
      </c>
      <c r="GV154" s="10" t="str">
        <f t="shared" si="351"/>
        <v xml:space="preserve"> </v>
      </c>
      <c r="GW154" s="10" t="str">
        <f t="shared" si="351"/>
        <v xml:space="preserve"> </v>
      </c>
      <c r="GX154" s="10" t="str">
        <f t="shared" si="351"/>
        <v xml:space="preserve"> </v>
      </c>
      <c r="HA154" s="10" t="str">
        <f t="shared" si="352"/>
        <v xml:space="preserve"> </v>
      </c>
      <c r="HB154" s="10" t="str">
        <f t="shared" si="352"/>
        <v xml:space="preserve"> </v>
      </c>
      <c r="HC154" s="10" t="str">
        <f t="shared" si="352"/>
        <v xml:space="preserve"> </v>
      </c>
      <c r="HD154" s="10" t="str">
        <f t="shared" si="352"/>
        <v xml:space="preserve"> </v>
      </c>
      <c r="HE154" s="10" t="str">
        <f t="shared" si="352"/>
        <v xml:space="preserve"> </v>
      </c>
      <c r="HH154" s="10" t="str">
        <f t="shared" si="353"/>
        <v xml:space="preserve"> </v>
      </c>
      <c r="HI154" s="10" t="str">
        <f t="shared" si="353"/>
        <v xml:space="preserve"> </v>
      </c>
      <c r="HJ154" s="10" t="str">
        <f t="shared" si="353"/>
        <v xml:space="preserve"> </v>
      </c>
      <c r="HK154" s="10" t="str">
        <f t="shared" si="353"/>
        <v xml:space="preserve"> </v>
      </c>
      <c r="HL154" s="10" t="str">
        <f t="shared" si="353"/>
        <v xml:space="preserve"> </v>
      </c>
      <c r="HO154" s="10" t="str">
        <f t="shared" si="354"/>
        <v xml:space="preserve"> </v>
      </c>
      <c r="HP154" s="10" t="str">
        <f t="shared" si="354"/>
        <v xml:space="preserve"> </v>
      </c>
      <c r="HQ154" s="10" t="str">
        <f t="shared" si="354"/>
        <v xml:space="preserve"> </v>
      </c>
      <c r="HR154" s="10" t="str">
        <f t="shared" si="354"/>
        <v xml:space="preserve"> </v>
      </c>
      <c r="HS154" s="10" t="str">
        <f t="shared" si="354"/>
        <v xml:space="preserve"> </v>
      </c>
      <c r="HV154" s="10" t="str">
        <f t="shared" si="355"/>
        <v xml:space="preserve"> </v>
      </c>
      <c r="HW154" s="10" t="str">
        <f t="shared" si="355"/>
        <v xml:space="preserve"> </v>
      </c>
      <c r="HX154" s="10" t="str">
        <f t="shared" si="355"/>
        <v xml:space="preserve"> </v>
      </c>
      <c r="HY154" s="10" t="str">
        <f t="shared" si="355"/>
        <v xml:space="preserve"> </v>
      </c>
      <c r="HZ154" s="10" t="str">
        <f t="shared" si="355"/>
        <v xml:space="preserve"> </v>
      </c>
      <c r="IC154" s="10" t="str">
        <f t="shared" si="356"/>
        <v xml:space="preserve"> </v>
      </c>
      <c r="ID154" s="10" t="str">
        <f t="shared" si="356"/>
        <v xml:space="preserve"> </v>
      </c>
      <c r="IE154" s="10" t="str">
        <f t="shared" si="356"/>
        <v xml:space="preserve"> </v>
      </c>
      <c r="IF154" s="10" t="str">
        <f t="shared" si="356"/>
        <v xml:space="preserve"> </v>
      </c>
      <c r="IG154" s="10" t="str">
        <f t="shared" si="356"/>
        <v xml:space="preserve"> </v>
      </c>
      <c r="IJ154" s="10" t="str">
        <f t="shared" si="357"/>
        <v xml:space="preserve"> </v>
      </c>
      <c r="IK154" s="10" t="str">
        <f t="shared" si="357"/>
        <v xml:space="preserve"> </v>
      </c>
      <c r="IL154" s="10" t="str">
        <f t="shared" si="357"/>
        <v xml:space="preserve"> </v>
      </c>
      <c r="IM154" s="10" t="str">
        <f t="shared" si="357"/>
        <v xml:space="preserve"> </v>
      </c>
      <c r="IN154" s="10" t="str">
        <f t="shared" si="357"/>
        <v xml:space="preserve"> </v>
      </c>
      <c r="IQ154" s="10" t="str">
        <f t="shared" si="358"/>
        <v xml:space="preserve"> </v>
      </c>
      <c r="IR154" s="10" t="str">
        <f t="shared" si="358"/>
        <v xml:space="preserve"> </v>
      </c>
      <c r="IS154" s="10" t="str">
        <f t="shared" si="358"/>
        <v xml:space="preserve"> </v>
      </c>
      <c r="IT154" s="10" t="str">
        <f t="shared" si="358"/>
        <v xml:space="preserve"> </v>
      </c>
      <c r="IU154" s="10" t="str">
        <f t="shared" si="358"/>
        <v xml:space="preserve"> </v>
      </c>
      <c r="IX154" s="10" t="str">
        <f t="shared" si="359"/>
        <v xml:space="preserve"> </v>
      </c>
      <c r="IY154" s="10" t="str">
        <f t="shared" si="359"/>
        <v xml:space="preserve"> </v>
      </c>
      <c r="IZ154" s="10" t="str">
        <f t="shared" si="359"/>
        <v xml:space="preserve"> </v>
      </c>
      <c r="JA154" s="10" t="str">
        <f t="shared" si="359"/>
        <v xml:space="preserve"> </v>
      </c>
      <c r="JB154" s="10" t="str">
        <f t="shared" si="359"/>
        <v xml:space="preserve"> </v>
      </c>
      <c r="JE154" s="10" t="str">
        <f t="shared" si="360"/>
        <v xml:space="preserve"> </v>
      </c>
      <c r="JF154" s="10" t="str">
        <f t="shared" si="360"/>
        <v xml:space="preserve"> </v>
      </c>
      <c r="JG154" s="10" t="str">
        <f t="shared" si="360"/>
        <v xml:space="preserve"> </v>
      </c>
      <c r="JH154" s="10" t="str">
        <f t="shared" si="360"/>
        <v xml:space="preserve"> </v>
      </c>
      <c r="JI154" s="10" t="str">
        <f t="shared" si="360"/>
        <v xml:space="preserve"> </v>
      </c>
    </row>
    <row r="155" spans="13:269">
      <c r="M155" s="10" t="str">
        <f t="shared" si="361"/>
        <v xml:space="preserve"> </v>
      </c>
      <c r="N155" s="10" t="str">
        <f t="shared" si="361"/>
        <v xml:space="preserve"> </v>
      </c>
      <c r="O155" s="10" t="str">
        <f t="shared" si="361"/>
        <v xml:space="preserve"> </v>
      </c>
      <c r="P155" s="10" t="str">
        <f t="shared" si="361"/>
        <v xml:space="preserve"> </v>
      </c>
      <c r="Q155" s="10" t="str">
        <f t="shared" si="361"/>
        <v xml:space="preserve"> </v>
      </c>
      <c r="R155" s="14"/>
      <c r="S155" s="14"/>
      <c r="T155" s="10" t="str">
        <f t="shared" si="325"/>
        <v xml:space="preserve"> </v>
      </c>
      <c r="U155" s="10" t="str">
        <f t="shared" si="325"/>
        <v xml:space="preserve"> </v>
      </c>
      <c r="V155" s="10" t="str">
        <f t="shared" si="325"/>
        <v xml:space="preserve"> </v>
      </c>
      <c r="W155" s="10" t="str">
        <f t="shared" si="325"/>
        <v xml:space="preserve"> </v>
      </c>
      <c r="X155" s="10" t="str">
        <f t="shared" si="325"/>
        <v xml:space="preserve"> </v>
      </c>
      <c r="Y155" s="14"/>
      <c r="Z155" s="14"/>
      <c r="AA155" s="10" t="str">
        <f t="shared" si="326"/>
        <v xml:space="preserve"> </v>
      </c>
      <c r="AB155" s="10" t="str">
        <f t="shared" si="326"/>
        <v xml:space="preserve"> </v>
      </c>
      <c r="AC155" s="10" t="str">
        <f t="shared" si="326"/>
        <v xml:space="preserve"> </v>
      </c>
      <c r="AD155" s="10" t="str">
        <f t="shared" si="326"/>
        <v xml:space="preserve"> </v>
      </c>
      <c r="AE155" s="10" t="str">
        <f t="shared" si="326"/>
        <v xml:space="preserve"> </v>
      </c>
      <c r="AF155" s="14"/>
      <c r="AG155" s="14"/>
      <c r="AH155" s="10" t="str">
        <f t="shared" si="327"/>
        <v xml:space="preserve"> </v>
      </c>
      <c r="AI155" s="10" t="str">
        <f t="shared" si="327"/>
        <v xml:space="preserve"> </v>
      </c>
      <c r="AJ155" s="10" t="str">
        <f t="shared" si="327"/>
        <v xml:space="preserve"> </v>
      </c>
      <c r="AK155" s="10" t="str">
        <f t="shared" si="327"/>
        <v xml:space="preserve"> </v>
      </c>
      <c r="AL155" s="10" t="str">
        <f t="shared" si="327"/>
        <v xml:space="preserve"> </v>
      </c>
      <c r="AM155" s="14"/>
      <c r="AN155" s="14"/>
      <c r="AO155" s="10" t="str">
        <f t="shared" si="328"/>
        <v xml:space="preserve"> </v>
      </c>
      <c r="AP155" s="10" t="str">
        <f t="shared" si="328"/>
        <v xml:space="preserve"> </v>
      </c>
      <c r="AQ155" s="10" t="str">
        <f t="shared" si="328"/>
        <v xml:space="preserve"> </v>
      </c>
      <c r="AR155" s="10" t="str">
        <f t="shared" si="328"/>
        <v xml:space="preserve"> </v>
      </c>
      <c r="AS155" s="10" t="str">
        <f t="shared" si="328"/>
        <v xml:space="preserve"> </v>
      </c>
      <c r="AT155" s="14"/>
      <c r="AU155" s="14"/>
      <c r="AV155" s="10" t="str">
        <f t="shared" si="329"/>
        <v xml:space="preserve"> </v>
      </c>
      <c r="AW155" s="10" t="str">
        <f t="shared" si="329"/>
        <v xml:space="preserve"> </v>
      </c>
      <c r="AX155" s="10" t="str">
        <f t="shared" si="329"/>
        <v xml:space="preserve"> </v>
      </c>
      <c r="AY155" s="10" t="str">
        <f t="shared" si="329"/>
        <v xml:space="preserve"> </v>
      </c>
      <c r="AZ155" s="10" t="str">
        <f t="shared" si="329"/>
        <v xml:space="preserve"> </v>
      </c>
      <c r="BA155" s="14"/>
      <c r="BB155" s="14"/>
      <c r="BC155" s="10" t="str">
        <f t="shared" si="330"/>
        <v xml:space="preserve"> </v>
      </c>
      <c r="BD155" s="10" t="str">
        <f t="shared" si="330"/>
        <v xml:space="preserve"> </v>
      </c>
      <c r="BE155" s="10" t="str">
        <f t="shared" si="330"/>
        <v xml:space="preserve"> </v>
      </c>
      <c r="BF155" s="10" t="str">
        <f t="shared" si="330"/>
        <v xml:space="preserve"> </v>
      </c>
      <c r="BG155" s="10" t="str">
        <f t="shared" si="330"/>
        <v xml:space="preserve"> </v>
      </c>
      <c r="BH155" s="14"/>
      <c r="BI155" s="14"/>
      <c r="BJ155" s="10" t="str">
        <f t="shared" si="331"/>
        <v xml:space="preserve"> </v>
      </c>
      <c r="BK155" s="10" t="str">
        <f t="shared" si="331"/>
        <v xml:space="preserve"> </v>
      </c>
      <c r="BL155" s="10" t="str">
        <f t="shared" si="331"/>
        <v xml:space="preserve"> </v>
      </c>
      <c r="BM155" s="10" t="str">
        <f t="shared" si="331"/>
        <v xml:space="preserve"> </v>
      </c>
      <c r="BN155" s="10" t="str">
        <f t="shared" si="331"/>
        <v xml:space="preserve"> </v>
      </c>
      <c r="BO155" s="14"/>
      <c r="BP155" s="14"/>
      <c r="BQ155" s="10" t="str">
        <f t="shared" si="332"/>
        <v xml:space="preserve"> </v>
      </c>
      <c r="BR155" s="10" t="str">
        <f t="shared" si="332"/>
        <v xml:space="preserve"> </v>
      </c>
      <c r="BS155" s="10" t="str">
        <f t="shared" si="332"/>
        <v xml:space="preserve"> </v>
      </c>
      <c r="BT155" s="10" t="str">
        <f t="shared" si="332"/>
        <v xml:space="preserve"> </v>
      </c>
      <c r="BU155" s="10" t="str">
        <f t="shared" si="332"/>
        <v xml:space="preserve"> </v>
      </c>
      <c r="BV155" s="14"/>
      <c r="BW155" s="14"/>
      <c r="BX155" s="10" t="str">
        <f t="shared" si="333"/>
        <v xml:space="preserve"> </v>
      </c>
      <c r="BY155" s="10" t="str">
        <f t="shared" si="333"/>
        <v xml:space="preserve"> </v>
      </c>
      <c r="BZ155" s="10" t="str">
        <f t="shared" si="333"/>
        <v xml:space="preserve"> </v>
      </c>
      <c r="CA155" s="10" t="str">
        <f t="shared" si="333"/>
        <v xml:space="preserve"> </v>
      </c>
      <c r="CB155" s="10" t="str">
        <f t="shared" si="333"/>
        <v xml:space="preserve"> </v>
      </c>
      <c r="CC155" s="14"/>
      <c r="CD155" s="14"/>
      <c r="CE155" s="10" t="str">
        <f t="shared" si="334"/>
        <v xml:space="preserve"> </v>
      </c>
      <c r="CF155" s="10" t="str">
        <f t="shared" si="334"/>
        <v xml:space="preserve"> </v>
      </c>
      <c r="CG155" s="10" t="str">
        <f t="shared" si="334"/>
        <v xml:space="preserve"> </v>
      </c>
      <c r="CH155" s="10" t="str">
        <f t="shared" si="334"/>
        <v xml:space="preserve"> </v>
      </c>
      <c r="CI155" s="10" t="str">
        <f t="shared" si="334"/>
        <v xml:space="preserve"> </v>
      </c>
      <c r="CJ155" s="14"/>
      <c r="CK155" s="14"/>
      <c r="CL155" s="10" t="str">
        <f t="shared" si="335"/>
        <v xml:space="preserve"> </v>
      </c>
      <c r="CM155" s="10" t="str">
        <f t="shared" si="335"/>
        <v xml:space="preserve"> </v>
      </c>
      <c r="CN155" s="10" t="str">
        <f t="shared" si="335"/>
        <v xml:space="preserve"> </v>
      </c>
      <c r="CO155" s="10" t="str">
        <f t="shared" si="335"/>
        <v xml:space="preserve"> </v>
      </c>
      <c r="CP155" s="10" t="str">
        <f t="shared" si="335"/>
        <v xml:space="preserve"> </v>
      </c>
      <c r="CQ155" s="14"/>
      <c r="CR155" s="14"/>
      <c r="CS155" s="10" t="str">
        <f t="shared" si="336"/>
        <v xml:space="preserve"> </v>
      </c>
      <c r="CT155" s="10" t="str">
        <f t="shared" si="336"/>
        <v xml:space="preserve"> </v>
      </c>
      <c r="CU155" s="10" t="str">
        <f t="shared" si="336"/>
        <v xml:space="preserve"> </v>
      </c>
      <c r="CV155" s="10" t="str">
        <f t="shared" si="336"/>
        <v xml:space="preserve"> </v>
      </c>
      <c r="CW155" s="10" t="str">
        <f t="shared" si="336"/>
        <v xml:space="preserve"> </v>
      </c>
      <c r="CZ155" s="10" t="str">
        <f t="shared" si="337"/>
        <v xml:space="preserve"> </v>
      </c>
      <c r="DA155" s="10" t="str">
        <f t="shared" si="337"/>
        <v xml:space="preserve"> </v>
      </c>
      <c r="DB155" s="10" t="str">
        <f t="shared" si="337"/>
        <v xml:space="preserve"> </v>
      </c>
      <c r="DC155" s="10" t="str">
        <f t="shared" si="337"/>
        <v xml:space="preserve"> </v>
      </c>
      <c r="DD155" s="10" t="str">
        <f t="shared" si="337"/>
        <v xml:space="preserve"> </v>
      </c>
      <c r="DG155" s="10" t="str">
        <f t="shared" si="338"/>
        <v xml:space="preserve"> </v>
      </c>
      <c r="DH155" s="10" t="str">
        <f t="shared" si="338"/>
        <v xml:space="preserve"> </v>
      </c>
      <c r="DI155" s="10" t="str">
        <f t="shared" si="338"/>
        <v xml:space="preserve"> </v>
      </c>
      <c r="DJ155" s="10" t="str">
        <f t="shared" si="338"/>
        <v xml:space="preserve"> </v>
      </c>
      <c r="DK155" s="10" t="str">
        <f t="shared" si="338"/>
        <v xml:space="preserve"> </v>
      </c>
      <c r="DN155" s="10" t="str">
        <f t="shared" si="339"/>
        <v xml:space="preserve"> </v>
      </c>
      <c r="DO155" s="10" t="str">
        <f t="shared" si="339"/>
        <v xml:space="preserve"> </v>
      </c>
      <c r="DP155" s="10" t="str">
        <f t="shared" si="339"/>
        <v xml:space="preserve"> </v>
      </c>
      <c r="DQ155" s="10" t="str">
        <f t="shared" si="339"/>
        <v xml:space="preserve"> </v>
      </c>
      <c r="DR155" s="10" t="str">
        <f t="shared" si="339"/>
        <v xml:space="preserve"> </v>
      </c>
      <c r="DU155" s="10" t="str">
        <f t="shared" si="340"/>
        <v xml:space="preserve"> </v>
      </c>
      <c r="DV155" s="10" t="str">
        <f t="shared" si="340"/>
        <v xml:space="preserve"> </v>
      </c>
      <c r="DW155" s="10" t="str">
        <f t="shared" si="340"/>
        <v xml:space="preserve"> </v>
      </c>
      <c r="DX155" s="10" t="str">
        <f t="shared" si="340"/>
        <v xml:space="preserve"> </v>
      </c>
      <c r="DY155" s="10" t="str">
        <f t="shared" si="340"/>
        <v xml:space="preserve"> </v>
      </c>
      <c r="EB155" s="10" t="str">
        <f t="shared" si="341"/>
        <v xml:space="preserve"> </v>
      </c>
      <c r="EC155" s="10" t="str">
        <f t="shared" si="341"/>
        <v xml:space="preserve"> </v>
      </c>
      <c r="ED155" s="10" t="str">
        <f t="shared" si="341"/>
        <v xml:space="preserve"> </v>
      </c>
      <c r="EE155" s="10" t="str">
        <f t="shared" si="341"/>
        <v xml:space="preserve"> </v>
      </c>
      <c r="EF155" s="10" t="str">
        <f t="shared" si="341"/>
        <v xml:space="preserve"> </v>
      </c>
      <c r="EI155" s="10" t="str">
        <f t="shared" si="342"/>
        <v xml:space="preserve"> </v>
      </c>
      <c r="EJ155" s="10" t="str">
        <f t="shared" si="342"/>
        <v xml:space="preserve"> </v>
      </c>
      <c r="EK155" s="10" t="str">
        <f t="shared" si="342"/>
        <v xml:space="preserve"> </v>
      </c>
      <c r="EL155" s="10" t="str">
        <f t="shared" si="342"/>
        <v xml:space="preserve"> </v>
      </c>
      <c r="EM155" s="10" t="str">
        <f t="shared" si="342"/>
        <v xml:space="preserve"> </v>
      </c>
      <c r="EP155" s="10" t="str">
        <f t="shared" si="343"/>
        <v xml:space="preserve"> </v>
      </c>
      <c r="EQ155" s="10" t="str">
        <f t="shared" si="343"/>
        <v xml:space="preserve"> </v>
      </c>
      <c r="ER155" s="10" t="str">
        <f t="shared" si="343"/>
        <v xml:space="preserve"> </v>
      </c>
      <c r="ES155" s="10" t="str">
        <f t="shared" si="343"/>
        <v xml:space="preserve"> </v>
      </c>
      <c r="ET155" s="10" t="str">
        <f t="shared" si="343"/>
        <v xml:space="preserve"> </v>
      </c>
      <c r="EW155" s="10" t="str">
        <f t="shared" si="344"/>
        <v xml:space="preserve"> </v>
      </c>
      <c r="EX155" s="10" t="str">
        <f t="shared" si="344"/>
        <v xml:space="preserve"> </v>
      </c>
      <c r="EY155" s="10" t="str">
        <f t="shared" si="344"/>
        <v xml:space="preserve"> </v>
      </c>
      <c r="EZ155" s="10" t="str">
        <f t="shared" si="344"/>
        <v xml:space="preserve"> </v>
      </c>
      <c r="FA155" s="10" t="str">
        <f t="shared" si="344"/>
        <v xml:space="preserve"> </v>
      </c>
      <c r="FD155" s="10" t="str">
        <f t="shared" si="345"/>
        <v xml:space="preserve"> </v>
      </c>
      <c r="FE155" s="10" t="str">
        <f t="shared" si="345"/>
        <v xml:space="preserve"> </v>
      </c>
      <c r="FF155" s="10" t="str">
        <f t="shared" si="345"/>
        <v xml:space="preserve"> </v>
      </c>
      <c r="FG155" s="10" t="str">
        <f t="shared" si="345"/>
        <v xml:space="preserve"> </v>
      </c>
      <c r="FH155" s="10" t="str">
        <f t="shared" si="345"/>
        <v xml:space="preserve"> </v>
      </c>
      <c r="FK155" s="10" t="str">
        <f t="shared" si="346"/>
        <v xml:space="preserve"> </v>
      </c>
      <c r="FL155" s="10" t="str">
        <f t="shared" si="346"/>
        <v xml:space="preserve"> </v>
      </c>
      <c r="FM155" s="10" t="str">
        <f t="shared" si="346"/>
        <v xml:space="preserve"> </v>
      </c>
      <c r="FN155" s="10" t="str">
        <f t="shared" si="346"/>
        <v xml:space="preserve"> </v>
      </c>
      <c r="FO155" s="10" t="str">
        <f t="shared" si="346"/>
        <v xml:space="preserve"> </v>
      </c>
      <c r="FR155" s="10" t="str">
        <f t="shared" si="347"/>
        <v xml:space="preserve"> </v>
      </c>
      <c r="FS155" s="10" t="str">
        <f t="shared" si="347"/>
        <v xml:space="preserve"> </v>
      </c>
      <c r="FT155" s="10" t="str">
        <f t="shared" si="347"/>
        <v xml:space="preserve"> </v>
      </c>
      <c r="FU155" s="10" t="str">
        <f t="shared" si="347"/>
        <v xml:space="preserve"> </v>
      </c>
      <c r="FV155" s="10" t="str">
        <f t="shared" si="347"/>
        <v xml:space="preserve"> </v>
      </c>
      <c r="FY155" s="10" t="str">
        <f t="shared" si="348"/>
        <v xml:space="preserve"> </v>
      </c>
      <c r="FZ155" s="10" t="str">
        <f t="shared" si="348"/>
        <v xml:space="preserve"> </v>
      </c>
      <c r="GA155" s="10" t="str">
        <f t="shared" si="348"/>
        <v xml:space="preserve"> </v>
      </c>
      <c r="GB155" s="10" t="str">
        <f t="shared" si="348"/>
        <v xml:space="preserve"> </v>
      </c>
      <c r="GC155" s="10" t="str">
        <f t="shared" si="348"/>
        <v xml:space="preserve"> </v>
      </c>
      <c r="GF155" s="10" t="str">
        <f t="shared" si="349"/>
        <v xml:space="preserve"> </v>
      </c>
      <c r="GG155" s="10" t="str">
        <f t="shared" si="349"/>
        <v xml:space="preserve"> </v>
      </c>
      <c r="GH155" s="10" t="str">
        <f t="shared" si="349"/>
        <v xml:space="preserve"> </v>
      </c>
      <c r="GI155" s="10" t="str">
        <f t="shared" si="349"/>
        <v xml:space="preserve"> </v>
      </c>
      <c r="GJ155" s="10" t="str">
        <f t="shared" si="349"/>
        <v xml:space="preserve"> </v>
      </c>
      <c r="GM155" s="10" t="str">
        <f t="shared" si="350"/>
        <v xml:space="preserve"> </v>
      </c>
      <c r="GN155" s="10" t="str">
        <f t="shared" si="350"/>
        <v xml:space="preserve"> </v>
      </c>
      <c r="GO155" s="10" t="str">
        <f t="shared" si="350"/>
        <v xml:space="preserve"> </v>
      </c>
      <c r="GP155" s="10" t="str">
        <f t="shared" si="350"/>
        <v xml:space="preserve"> </v>
      </c>
      <c r="GQ155" s="10" t="str">
        <f t="shared" si="350"/>
        <v xml:space="preserve"> </v>
      </c>
      <c r="GT155" s="10" t="str">
        <f t="shared" si="351"/>
        <v xml:space="preserve"> </v>
      </c>
      <c r="GU155" s="10" t="str">
        <f t="shared" si="351"/>
        <v xml:space="preserve"> </v>
      </c>
      <c r="GV155" s="10" t="str">
        <f t="shared" si="351"/>
        <v xml:space="preserve"> </v>
      </c>
      <c r="GW155" s="10" t="str">
        <f t="shared" si="351"/>
        <v xml:space="preserve"> </v>
      </c>
      <c r="GX155" s="10" t="str">
        <f t="shared" si="351"/>
        <v xml:space="preserve"> </v>
      </c>
      <c r="HA155" s="10" t="str">
        <f t="shared" si="352"/>
        <v xml:space="preserve"> </v>
      </c>
      <c r="HB155" s="10" t="str">
        <f t="shared" si="352"/>
        <v xml:space="preserve"> </v>
      </c>
      <c r="HC155" s="10" t="str">
        <f t="shared" si="352"/>
        <v xml:space="preserve"> </v>
      </c>
      <c r="HD155" s="10" t="str">
        <f t="shared" si="352"/>
        <v xml:space="preserve"> </v>
      </c>
      <c r="HE155" s="10" t="str">
        <f t="shared" si="352"/>
        <v xml:space="preserve"> </v>
      </c>
      <c r="HH155" s="10" t="str">
        <f t="shared" si="353"/>
        <v xml:space="preserve"> </v>
      </c>
      <c r="HI155" s="10" t="str">
        <f t="shared" si="353"/>
        <v xml:space="preserve"> </v>
      </c>
      <c r="HJ155" s="10" t="str">
        <f t="shared" si="353"/>
        <v xml:space="preserve"> </v>
      </c>
      <c r="HK155" s="10" t="str">
        <f t="shared" si="353"/>
        <v xml:space="preserve"> </v>
      </c>
      <c r="HL155" s="10" t="str">
        <f t="shared" si="353"/>
        <v xml:space="preserve"> </v>
      </c>
      <c r="HO155" s="10" t="str">
        <f t="shared" si="354"/>
        <v xml:space="preserve"> </v>
      </c>
      <c r="HP155" s="10" t="str">
        <f t="shared" si="354"/>
        <v xml:space="preserve"> </v>
      </c>
      <c r="HQ155" s="10" t="str">
        <f t="shared" si="354"/>
        <v xml:space="preserve"> </v>
      </c>
      <c r="HR155" s="10" t="str">
        <f t="shared" si="354"/>
        <v xml:space="preserve"> </v>
      </c>
      <c r="HS155" s="10" t="str">
        <f t="shared" si="354"/>
        <v xml:space="preserve"> </v>
      </c>
      <c r="HV155" s="10" t="str">
        <f t="shared" si="355"/>
        <v xml:space="preserve"> </v>
      </c>
      <c r="HW155" s="10" t="str">
        <f t="shared" si="355"/>
        <v xml:space="preserve"> </v>
      </c>
      <c r="HX155" s="10" t="str">
        <f t="shared" si="355"/>
        <v xml:space="preserve"> </v>
      </c>
      <c r="HY155" s="10" t="str">
        <f t="shared" si="355"/>
        <v xml:space="preserve"> </v>
      </c>
      <c r="HZ155" s="10" t="str">
        <f t="shared" si="355"/>
        <v xml:space="preserve"> </v>
      </c>
      <c r="IC155" s="10" t="str">
        <f t="shared" si="356"/>
        <v xml:space="preserve"> </v>
      </c>
      <c r="ID155" s="10" t="str">
        <f t="shared" si="356"/>
        <v xml:space="preserve"> </v>
      </c>
      <c r="IE155" s="10" t="str">
        <f t="shared" si="356"/>
        <v xml:space="preserve"> </v>
      </c>
      <c r="IF155" s="10" t="str">
        <f t="shared" si="356"/>
        <v xml:space="preserve"> </v>
      </c>
      <c r="IG155" s="10" t="str">
        <f t="shared" si="356"/>
        <v xml:space="preserve"> </v>
      </c>
      <c r="IJ155" s="10" t="str">
        <f t="shared" si="357"/>
        <v xml:space="preserve"> </v>
      </c>
      <c r="IK155" s="10" t="str">
        <f t="shared" si="357"/>
        <v xml:space="preserve"> </v>
      </c>
      <c r="IL155" s="10" t="str">
        <f t="shared" si="357"/>
        <v xml:space="preserve"> </v>
      </c>
      <c r="IM155" s="10" t="str">
        <f t="shared" si="357"/>
        <v xml:space="preserve"> </v>
      </c>
      <c r="IN155" s="10" t="str">
        <f t="shared" si="357"/>
        <v xml:space="preserve"> </v>
      </c>
      <c r="IQ155" s="10" t="str">
        <f t="shared" si="358"/>
        <v xml:space="preserve"> </v>
      </c>
      <c r="IR155" s="10" t="str">
        <f t="shared" si="358"/>
        <v xml:space="preserve"> </v>
      </c>
      <c r="IS155" s="10" t="str">
        <f t="shared" si="358"/>
        <v xml:space="preserve"> </v>
      </c>
      <c r="IT155" s="10" t="str">
        <f t="shared" si="358"/>
        <v xml:space="preserve"> </v>
      </c>
      <c r="IU155" s="10" t="str">
        <f t="shared" si="358"/>
        <v xml:space="preserve"> </v>
      </c>
      <c r="IX155" s="10" t="str">
        <f t="shared" si="359"/>
        <v xml:space="preserve"> </v>
      </c>
      <c r="IY155" s="10" t="str">
        <f t="shared" si="359"/>
        <v xml:space="preserve"> </v>
      </c>
      <c r="IZ155" s="10" t="str">
        <f t="shared" si="359"/>
        <v xml:space="preserve"> </v>
      </c>
      <c r="JA155" s="10" t="str">
        <f t="shared" si="359"/>
        <v xml:space="preserve"> </v>
      </c>
      <c r="JB155" s="10" t="str">
        <f t="shared" si="359"/>
        <v xml:space="preserve"> </v>
      </c>
      <c r="JE155" s="10" t="str">
        <f t="shared" si="360"/>
        <v xml:space="preserve"> </v>
      </c>
      <c r="JF155" s="10" t="str">
        <f t="shared" si="360"/>
        <v xml:space="preserve"> </v>
      </c>
      <c r="JG155" s="10" t="str">
        <f t="shared" si="360"/>
        <v xml:space="preserve"> </v>
      </c>
      <c r="JH155" s="10" t="str">
        <f t="shared" si="360"/>
        <v xml:space="preserve"> </v>
      </c>
      <c r="JI155" s="10" t="str">
        <f t="shared" si="360"/>
        <v xml:space="preserve"> </v>
      </c>
    </row>
    <row r="156" spans="13:269">
      <c r="M156" s="10" t="str">
        <f t="shared" si="361"/>
        <v xml:space="preserve"> </v>
      </c>
      <c r="N156" s="10" t="str">
        <f t="shared" si="361"/>
        <v xml:space="preserve"> </v>
      </c>
      <c r="O156" s="10" t="str">
        <f t="shared" si="361"/>
        <v xml:space="preserve"> </v>
      </c>
      <c r="P156" s="10" t="str">
        <f t="shared" si="361"/>
        <v xml:space="preserve"> </v>
      </c>
      <c r="Q156" s="10" t="str">
        <f t="shared" si="361"/>
        <v xml:space="preserve"> </v>
      </c>
      <c r="R156" s="14"/>
      <c r="S156" s="14"/>
      <c r="T156" s="10" t="str">
        <f t="shared" si="325"/>
        <v xml:space="preserve"> </v>
      </c>
      <c r="U156" s="10" t="str">
        <f t="shared" si="325"/>
        <v xml:space="preserve"> </v>
      </c>
      <c r="V156" s="10" t="str">
        <f t="shared" si="325"/>
        <v xml:space="preserve"> </v>
      </c>
      <c r="W156" s="10" t="str">
        <f t="shared" si="325"/>
        <v xml:space="preserve"> </v>
      </c>
      <c r="X156" s="10" t="str">
        <f t="shared" si="325"/>
        <v xml:space="preserve"> </v>
      </c>
      <c r="Y156" s="14"/>
      <c r="Z156" s="14"/>
      <c r="AA156" s="10" t="str">
        <f t="shared" si="326"/>
        <v xml:space="preserve"> </v>
      </c>
      <c r="AB156" s="10" t="str">
        <f t="shared" si="326"/>
        <v xml:space="preserve"> </v>
      </c>
      <c r="AC156" s="10" t="str">
        <f t="shared" si="326"/>
        <v xml:space="preserve"> </v>
      </c>
      <c r="AD156" s="10" t="str">
        <f t="shared" si="326"/>
        <v xml:space="preserve"> </v>
      </c>
      <c r="AE156" s="10" t="str">
        <f t="shared" si="326"/>
        <v xml:space="preserve"> </v>
      </c>
      <c r="AF156" s="14"/>
      <c r="AG156" s="14"/>
      <c r="AH156" s="10" t="str">
        <f t="shared" si="327"/>
        <v xml:space="preserve"> </v>
      </c>
      <c r="AI156" s="10" t="str">
        <f t="shared" si="327"/>
        <v xml:space="preserve"> </v>
      </c>
      <c r="AJ156" s="10" t="str">
        <f t="shared" si="327"/>
        <v xml:space="preserve"> </v>
      </c>
      <c r="AK156" s="10" t="str">
        <f t="shared" si="327"/>
        <v xml:space="preserve"> </v>
      </c>
      <c r="AL156" s="10" t="str">
        <f t="shared" si="327"/>
        <v xml:space="preserve"> </v>
      </c>
      <c r="AM156" s="14"/>
      <c r="AN156" s="14"/>
      <c r="AO156" s="10" t="str">
        <f t="shared" si="328"/>
        <v xml:space="preserve"> </v>
      </c>
      <c r="AP156" s="10" t="str">
        <f t="shared" si="328"/>
        <v xml:space="preserve"> </v>
      </c>
      <c r="AQ156" s="10" t="str">
        <f t="shared" si="328"/>
        <v xml:space="preserve"> </v>
      </c>
      <c r="AR156" s="10" t="str">
        <f t="shared" si="328"/>
        <v xml:space="preserve"> </v>
      </c>
      <c r="AS156" s="10" t="str">
        <f t="shared" si="328"/>
        <v xml:space="preserve"> </v>
      </c>
      <c r="AT156" s="14"/>
      <c r="AU156" s="14"/>
      <c r="AV156" s="10" t="str">
        <f t="shared" si="329"/>
        <v xml:space="preserve"> </v>
      </c>
      <c r="AW156" s="10" t="str">
        <f t="shared" si="329"/>
        <v xml:space="preserve"> </v>
      </c>
      <c r="AX156" s="10" t="str">
        <f t="shared" si="329"/>
        <v xml:space="preserve"> </v>
      </c>
      <c r="AY156" s="10" t="str">
        <f t="shared" si="329"/>
        <v xml:space="preserve"> </v>
      </c>
      <c r="AZ156" s="10" t="str">
        <f t="shared" si="329"/>
        <v xml:space="preserve"> </v>
      </c>
      <c r="BA156" s="14"/>
      <c r="BB156" s="14"/>
      <c r="BC156" s="10" t="str">
        <f t="shared" si="330"/>
        <v xml:space="preserve"> </v>
      </c>
      <c r="BD156" s="10" t="str">
        <f t="shared" si="330"/>
        <v xml:space="preserve"> </v>
      </c>
      <c r="BE156" s="10" t="str">
        <f t="shared" si="330"/>
        <v xml:space="preserve"> </v>
      </c>
      <c r="BF156" s="10" t="str">
        <f t="shared" si="330"/>
        <v xml:space="preserve"> </v>
      </c>
      <c r="BG156" s="10" t="str">
        <f t="shared" si="330"/>
        <v xml:space="preserve"> </v>
      </c>
      <c r="BH156" s="14"/>
      <c r="BI156" s="14"/>
      <c r="BJ156" s="10" t="str">
        <f t="shared" si="331"/>
        <v xml:space="preserve"> </v>
      </c>
      <c r="BK156" s="10" t="str">
        <f t="shared" si="331"/>
        <v xml:space="preserve"> </v>
      </c>
      <c r="BL156" s="10" t="str">
        <f t="shared" si="331"/>
        <v xml:space="preserve"> </v>
      </c>
      <c r="BM156" s="10" t="str">
        <f t="shared" si="331"/>
        <v xml:space="preserve"> </v>
      </c>
      <c r="BN156" s="10" t="str">
        <f t="shared" si="331"/>
        <v xml:space="preserve"> </v>
      </c>
      <c r="BO156" s="14"/>
      <c r="BP156" s="14"/>
      <c r="BQ156" s="10" t="str">
        <f t="shared" si="332"/>
        <v xml:space="preserve"> </v>
      </c>
      <c r="BR156" s="10" t="str">
        <f t="shared" si="332"/>
        <v xml:space="preserve"> </v>
      </c>
      <c r="BS156" s="10" t="str">
        <f t="shared" si="332"/>
        <v xml:space="preserve"> </v>
      </c>
      <c r="BT156" s="10" t="str">
        <f t="shared" si="332"/>
        <v xml:space="preserve"> </v>
      </c>
      <c r="BU156" s="10" t="str">
        <f t="shared" si="332"/>
        <v xml:space="preserve"> </v>
      </c>
      <c r="BV156" s="14"/>
      <c r="BW156" s="14"/>
      <c r="BX156" s="10" t="str">
        <f t="shared" si="333"/>
        <v xml:space="preserve"> </v>
      </c>
      <c r="BY156" s="10" t="str">
        <f t="shared" si="333"/>
        <v xml:space="preserve"> </v>
      </c>
      <c r="BZ156" s="10" t="str">
        <f t="shared" si="333"/>
        <v xml:space="preserve"> </v>
      </c>
      <c r="CA156" s="10" t="str">
        <f t="shared" si="333"/>
        <v xml:space="preserve"> </v>
      </c>
      <c r="CB156" s="10" t="str">
        <f t="shared" si="333"/>
        <v xml:space="preserve"> </v>
      </c>
      <c r="CC156" s="14"/>
      <c r="CD156" s="14"/>
      <c r="CE156" s="10" t="str">
        <f t="shared" si="334"/>
        <v xml:space="preserve"> </v>
      </c>
      <c r="CF156" s="10" t="str">
        <f t="shared" si="334"/>
        <v xml:space="preserve"> </v>
      </c>
      <c r="CG156" s="10" t="str">
        <f t="shared" si="334"/>
        <v xml:space="preserve"> </v>
      </c>
      <c r="CH156" s="10" t="str">
        <f t="shared" si="334"/>
        <v xml:space="preserve"> </v>
      </c>
      <c r="CI156" s="10" t="str">
        <f t="shared" si="334"/>
        <v xml:space="preserve"> </v>
      </c>
      <c r="CJ156" s="14"/>
      <c r="CK156" s="14"/>
      <c r="CL156" s="10" t="str">
        <f t="shared" si="335"/>
        <v xml:space="preserve"> </v>
      </c>
      <c r="CM156" s="10" t="str">
        <f t="shared" si="335"/>
        <v xml:space="preserve"> </v>
      </c>
      <c r="CN156" s="10" t="str">
        <f t="shared" si="335"/>
        <v xml:space="preserve"> </v>
      </c>
      <c r="CO156" s="10" t="str">
        <f t="shared" si="335"/>
        <v xml:space="preserve"> </v>
      </c>
      <c r="CP156" s="10" t="str">
        <f t="shared" si="335"/>
        <v xml:space="preserve"> </v>
      </c>
      <c r="CQ156" s="14"/>
      <c r="CR156" s="14"/>
      <c r="CS156" s="10" t="str">
        <f t="shared" si="336"/>
        <v xml:space="preserve"> </v>
      </c>
      <c r="CT156" s="10" t="str">
        <f t="shared" si="336"/>
        <v xml:space="preserve"> </v>
      </c>
      <c r="CU156" s="10" t="str">
        <f t="shared" si="336"/>
        <v xml:space="preserve"> </v>
      </c>
      <c r="CV156" s="10" t="str">
        <f t="shared" si="336"/>
        <v xml:space="preserve"> </v>
      </c>
      <c r="CW156" s="10" t="str">
        <f t="shared" si="336"/>
        <v xml:space="preserve"> </v>
      </c>
      <c r="CZ156" s="10" t="str">
        <f t="shared" si="337"/>
        <v xml:space="preserve"> </v>
      </c>
      <c r="DA156" s="10" t="str">
        <f t="shared" si="337"/>
        <v xml:space="preserve"> </v>
      </c>
      <c r="DB156" s="10" t="str">
        <f t="shared" si="337"/>
        <v xml:space="preserve"> </v>
      </c>
      <c r="DC156" s="10" t="str">
        <f t="shared" si="337"/>
        <v xml:space="preserve"> </v>
      </c>
      <c r="DD156" s="10" t="str">
        <f t="shared" si="337"/>
        <v xml:space="preserve"> </v>
      </c>
      <c r="DG156" s="10" t="str">
        <f t="shared" si="338"/>
        <v xml:space="preserve"> </v>
      </c>
      <c r="DH156" s="10" t="str">
        <f t="shared" si="338"/>
        <v xml:space="preserve"> </v>
      </c>
      <c r="DI156" s="10" t="str">
        <f t="shared" si="338"/>
        <v xml:space="preserve"> </v>
      </c>
      <c r="DJ156" s="10" t="str">
        <f t="shared" si="338"/>
        <v xml:space="preserve"> </v>
      </c>
      <c r="DK156" s="10" t="str">
        <f t="shared" si="338"/>
        <v xml:space="preserve"> </v>
      </c>
      <c r="DN156" s="10" t="str">
        <f t="shared" si="339"/>
        <v xml:space="preserve"> </v>
      </c>
      <c r="DO156" s="10" t="str">
        <f t="shared" si="339"/>
        <v xml:space="preserve"> </v>
      </c>
      <c r="DP156" s="10" t="str">
        <f t="shared" si="339"/>
        <v xml:space="preserve"> </v>
      </c>
      <c r="DQ156" s="10" t="str">
        <f t="shared" si="339"/>
        <v xml:space="preserve"> </v>
      </c>
      <c r="DR156" s="10" t="str">
        <f t="shared" si="339"/>
        <v xml:space="preserve"> </v>
      </c>
      <c r="DU156" s="10" t="str">
        <f t="shared" si="340"/>
        <v xml:space="preserve"> </v>
      </c>
      <c r="DV156" s="10" t="str">
        <f t="shared" si="340"/>
        <v xml:space="preserve"> </v>
      </c>
      <c r="DW156" s="10" t="str">
        <f t="shared" si="340"/>
        <v xml:space="preserve"> </v>
      </c>
      <c r="DX156" s="10" t="str">
        <f t="shared" si="340"/>
        <v xml:space="preserve"> </v>
      </c>
      <c r="DY156" s="10" t="str">
        <f t="shared" si="340"/>
        <v xml:space="preserve"> </v>
      </c>
      <c r="EB156" s="10" t="str">
        <f t="shared" si="341"/>
        <v xml:space="preserve"> </v>
      </c>
      <c r="EC156" s="10" t="str">
        <f t="shared" si="341"/>
        <v xml:space="preserve"> </v>
      </c>
      <c r="ED156" s="10" t="str">
        <f t="shared" si="341"/>
        <v xml:space="preserve"> </v>
      </c>
      <c r="EE156" s="10" t="str">
        <f t="shared" si="341"/>
        <v xml:space="preserve"> </v>
      </c>
      <c r="EF156" s="10" t="str">
        <f t="shared" si="341"/>
        <v xml:space="preserve"> </v>
      </c>
      <c r="EI156" s="10" t="str">
        <f t="shared" si="342"/>
        <v xml:space="preserve"> </v>
      </c>
      <c r="EJ156" s="10" t="str">
        <f t="shared" si="342"/>
        <v xml:space="preserve"> </v>
      </c>
      <c r="EK156" s="10" t="str">
        <f t="shared" si="342"/>
        <v xml:space="preserve"> </v>
      </c>
      <c r="EL156" s="10" t="str">
        <f t="shared" si="342"/>
        <v xml:space="preserve"> </v>
      </c>
      <c r="EM156" s="10" t="str">
        <f t="shared" si="342"/>
        <v xml:space="preserve"> </v>
      </c>
      <c r="EP156" s="10" t="str">
        <f t="shared" si="343"/>
        <v xml:space="preserve"> </v>
      </c>
      <c r="EQ156" s="10" t="str">
        <f t="shared" si="343"/>
        <v xml:space="preserve"> </v>
      </c>
      <c r="ER156" s="10" t="str">
        <f t="shared" si="343"/>
        <v xml:space="preserve"> </v>
      </c>
      <c r="ES156" s="10" t="str">
        <f t="shared" si="343"/>
        <v xml:space="preserve"> </v>
      </c>
      <c r="ET156" s="10" t="str">
        <f t="shared" si="343"/>
        <v xml:space="preserve"> </v>
      </c>
      <c r="EW156" s="10" t="str">
        <f t="shared" si="344"/>
        <v xml:space="preserve"> </v>
      </c>
      <c r="EX156" s="10" t="str">
        <f t="shared" si="344"/>
        <v xml:space="preserve"> </v>
      </c>
      <c r="EY156" s="10" t="str">
        <f t="shared" si="344"/>
        <v xml:space="preserve"> </v>
      </c>
      <c r="EZ156" s="10" t="str">
        <f t="shared" si="344"/>
        <v xml:space="preserve"> </v>
      </c>
      <c r="FA156" s="10" t="str">
        <f t="shared" si="344"/>
        <v xml:space="preserve"> </v>
      </c>
      <c r="FD156" s="10" t="str">
        <f t="shared" si="345"/>
        <v xml:space="preserve"> </v>
      </c>
      <c r="FE156" s="10" t="str">
        <f t="shared" si="345"/>
        <v xml:space="preserve"> </v>
      </c>
      <c r="FF156" s="10" t="str">
        <f t="shared" si="345"/>
        <v xml:space="preserve"> </v>
      </c>
      <c r="FG156" s="10" t="str">
        <f t="shared" si="345"/>
        <v xml:space="preserve"> </v>
      </c>
      <c r="FH156" s="10" t="str">
        <f t="shared" si="345"/>
        <v xml:space="preserve"> </v>
      </c>
      <c r="FK156" s="10" t="str">
        <f t="shared" si="346"/>
        <v xml:space="preserve"> </v>
      </c>
      <c r="FL156" s="10" t="str">
        <f t="shared" si="346"/>
        <v xml:space="preserve"> </v>
      </c>
      <c r="FM156" s="10" t="str">
        <f t="shared" si="346"/>
        <v xml:space="preserve"> </v>
      </c>
      <c r="FN156" s="10" t="str">
        <f t="shared" si="346"/>
        <v xml:space="preserve"> </v>
      </c>
      <c r="FO156" s="10" t="str">
        <f t="shared" si="346"/>
        <v xml:space="preserve"> </v>
      </c>
      <c r="FR156" s="10" t="str">
        <f t="shared" si="347"/>
        <v xml:space="preserve"> </v>
      </c>
      <c r="FS156" s="10" t="str">
        <f t="shared" si="347"/>
        <v xml:space="preserve"> </v>
      </c>
      <c r="FT156" s="10" t="str">
        <f t="shared" si="347"/>
        <v xml:space="preserve"> </v>
      </c>
      <c r="FU156" s="10" t="str">
        <f t="shared" si="347"/>
        <v xml:space="preserve"> </v>
      </c>
      <c r="FV156" s="10" t="str">
        <f t="shared" si="347"/>
        <v xml:space="preserve"> </v>
      </c>
      <c r="FY156" s="10" t="str">
        <f t="shared" si="348"/>
        <v xml:space="preserve"> </v>
      </c>
      <c r="FZ156" s="10" t="str">
        <f t="shared" si="348"/>
        <v xml:space="preserve"> </v>
      </c>
      <c r="GA156" s="10" t="str">
        <f t="shared" si="348"/>
        <v xml:space="preserve"> </v>
      </c>
      <c r="GB156" s="10" t="str">
        <f t="shared" si="348"/>
        <v xml:space="preserve"> </v>
      </c>
      <c r="GC156" s="10" t="str">
        <f t="shared" si="348"/>
        <v xml:space="preserve"> </v>
      </c>
      <c r="GF156" s="10" t="str">
        <f t="shared" si="349"/>
        <v xml:space="preserve"> </v>
      </c>
      <c r="GG156" s="10" t="str">
        <f t="shared" si="349"/>
        <v xml:space="preserve"> </v>
      </c>
      <c r="GH156" s="10" t="str">
        <f t="shared" si="349"/>
        <v xml:space="preserve"> </v>
      </c>
      <c r="GI156" s="10" t="str">
        <f t="shared" si="349"/>
        <v xml:space="preserve"> </v>
      </c>
      <c r="GJ156" s="10" t="str">
        <f t="shared" si="349"/>
        <v xml:space="preserve"> </v>
      </c>
      <c r="GM156" s="10" t="str">
        <f t="shared" si="350"/>
        <v xml:space="preserve"> </v>
      </c>
      <c r="GN156" s="10" t="str">
        <f t="shared" si="350"/>
        <v xml:space="preserve"> </v>
      </c>
      <c r="GO156" s="10" t="str">
        <f t="shared" si="350"/>
        <v xml:space="preserve"> </v>
      </c>
      <c r="GP156" s="10" t="str">
        <f t="shared" si="350"/>
        <v xml:space="preserve"> </v>
      </c>
      <c r="GQ156" s="10" t="str">
        <f t="shared" si="350"/>
        <v xml:space="preserve"> </v>
      </c>
      <c r="GT156" s="10" t="str">
        <f t="shared" si="351"/>
        <v xml:space="preserve"> </v>
      </c>
      <c r="GU156" s="10" t="str">
        <f t="shared" si="351"/>
        <v xml:space="preserve"> </v>
      </c>
      <c r="GV156" s="10" t="str">
        <f t="shared" si="351"/>
        <v xml:space="preserve"> </v>
      </c>
      <c r="GW156" s="10" t="str">
        <f t="shared" si="351"/>
        <v xml:space="preserve"> </v>
      </c>
      <c r="GX156" s="10" t="str">
        <f t="shared" si="351"/>
        <v xml:space="preserve"> </v>
      </c>
      <c r="HA156" s="10" t="str">
        <f t="shared" si="352"/>
        <v xml:space="preserve"> </v>
      </c>
      <c r="HB156" s="10" t="str">
        <f t="shared" si="352"/>
        <v xml:space="preserve"> </v>
      </c>
      <c r="HC156" s="10" t="str">
        <f t="shared" si="352"/>
        <v xml:space="preserve"> </v>
      </c>
      <c r="HD156" s="10" t="str">
        <f t="shared" si="352"/>
        <v xml:space="preserve"> </v>
      </c>
      <c r="HE156" s="10" t="str">
        <f t="shared" si="352"/>
        <v xml:space="preserve"> </v>
      </c>
      <c r="HH156" s="10" t="str">
        <f t="shared" si="353"/>
        <v xml:space="preserve"> </v>
      </c>
      <c r="HI156" s="10" t="str">
        <f t="shared" si="353"/>
        <v xml:space="preserve"> </v>
      </c>
      <c r="HJ156" s="10" t="str">
        <f t="shared" si="353"/>
        <v xml:space="preserve"> </v>
      </c>
      <c r="HK156" s="10" t="str">
        <f t="shared" si="353"/>
        <v xml:space="preserve"> </v>
      </c>
      <c r="HL156" s="10" t="str">
        <f t="shared" si="353"/>
        <v xml:space="preserve"> </v>
      </c>
      <c r="HO156" s="10" t="str">
        <f t="shared" si="354"/>
        <v xml:space="preserve"> </v>
      </c>
      <c r="HP156" s="10" t="str">
        <f t="shared" si="354"/>
        <v xml:space="preserve"> </v>
      </c>
      <c r="HQ156" s="10" t="str">
        <f t="shared" si="354"/>
        <v xml:space="preserve"> </v>
      </c>
      <c r="HR156" s="10" t="str">
        <f t="shared" si="354"/>
        <v xml:space="preserve"> </v>
      </c>
      <c r="HS156" s="10" t="str">
        <f t="shared" si="354"/>
        <v xml:space="preserve"> </v>
      </c>
      <c r="HV156" s="10" t="str">
        <f t="shared" si="355"/>
        <v xml:space="preserve"> </v>
      </c>
      <c r="HW156" s="10" t="str">
        <f t="shared" si="355"/>
        <v xml:space="preserve"> </v>
      </c>
      <c r="HX156" s="10" t="str">
        <f t="shared" si="355"/>
        <v xml:space="preserve"> </v>
      </c>
      <c r="HY156" s="10" t="str">
        <f t="shared" si="355"/>
        <v xml:space="preserve"> </v>
      </c>
      <c r="HZ156" s="10" t="str">
        <f t="shared" si="355"/>
        <v xml:space="preserve"> </v>
      </c>
      <c r="IC156" s="10" t="str">
        <f t="shared" si="356"/>
        <v xml:space="preserve"> </v>
      </c>
      <c r="ID156" s="10" t="str">
        <f t="shared" si="356"/>
        <v xml:space="preserve"> </v>
      </c>
      <c r="IE156" s="10" t="str">
        <f t="shared" si="356"/>
        <v xml:space="preserve"> </v>
      </c>
      <c r="IF156" s="10" t="str">
        <f t="shared" si="356"/>
        <v xml:space="preserve"> </v>
      </c>
      <c r="IG156" s="10" t="str">
        <f t="shared" si="356"/>
        <v xml:space="preserve"> </v>
      </c>
      <c r="IJ156" s="10" t="str">
        <f t="shared" si="357"/>
        <v xml:space="preserve"> </v>
      </c>
      <c r="IK156" s="10" t="str">
        <f t="shared" si="357"/>
        <v xml:space="preserve"> </v>
      </c>
      <c r="IL156" s="10" t="str">
        <f t="shared" si="357"/>
        <v xml:space="preserve"> </v>
      </c>
      <c r="IM156" s="10" t="str">
        <f t="shared" si="357"/>
        <v xml:space="preserve"> </v>
      </c>
      <c r="IN156" s="10" t="str">
        <f t="shared" si="357"/>
        <v xml:space="preserve"> </v>
      </c>
      <c r="IQ156" s="10" t="str">
        <f t="shared" si="358"/>
        <v xml:space="preserve"> </v>
      </c>
      <c r="IR156" s="10" t="str">
        <f t="shared" si="358"/>
        <v xml:space="preserve"> </v>
      </c>
      <c r="IS156" s="10" t="str">
        <f t="shared" si="358"/>
        <v xml:space="preserve"> </v>
      </c>
      <c r="IT156" s="10" t="str">
        <f t="shared" si="358"/>
        <v xml:space="preserve"> </v>
      </c>
      <c r="IU156" s="10" t="str">
        <f t="shared" si="358"/>
        <v xml:space="preserve"> </v>
      </c>
      <c r="IX156" s="10" t="str">
        <f t="shared" si="359"/>
        <v xml:space="preserve"> </v>
      </c>
      <c r="IY156" s="10" t="str">
        <f t="shared" si="359"/>
        <v xml:space="preserve"> </v>
      </c>
      <c r="IZ156" s="10" t="str">
        <f t="shared" si="359"/>
        <v xml:space="preserve"> </v>
      </c>
      <c r="JA156" s="10" t="str">
        <f t="shared" si="359"/>
        <v xml:space="preserve"> </v>
      </c>
      <c r="JB156" s="10" t="str">
        <f t="shared" si="359"/>
        <v xml:space="preserve"> </v>
      </c>
      <c r="JE156" s="10" t="str">
        <f t="shared" si="360"/>
        <v xml:space="preserve"> </v>
      </c>
      <c r="JF156" s="10" t="str">
        <f t="shared" si="360"/>
        <v xml:space="preserve"> </v>
      </c>
      <c r="JG156" s="10" t="str">
        <f t="shared" si="360"/>
        <v xml:space="preserve"> </v>
      </c>
      <c r="JH156" s="10" t="str">
        <f t="shared" si="360"/>
        <v xml:space="preserve"> </v>
      </c>
      <c r="JI156" s="10" t="str">
        <f t="shared" si="360"/>
        <v xml:space="preserve"> </v>
      </c>
    </row>
    <row r="157" spans="13:269">
      <c r="M157" s="10" t="str">
        <f t="shared" si="361"/>
        <v xml:space="preserve"> </v>
      </c>
      <c r="N157" s="10" t="str">
        <f t="shared" si="361"/>
        <v xml:space="preserve"> </v>
      </c>
      <c r="O157" s="10" t="str">
        <f t="shared" si="361"/>
        <v xml:space="preserve"> </v>
      </c>
      <c r="P157" s="10" t="str">
        <f t="shared" si="361"/>
        <v xml:space="preserve"> </v>
      </c>
      <c r="Q157" s="10" t="str">
        <f t="shared" si="361"/>
        <v xml:space="preserve"> </v>
      </c>
      <c r="R157" s="14"/>
      <c r="S157" s="14"/>
      <c r="T157" s="10" t="str">
        <f t="shared" si="325"/>
        <v xml:space="preserve"> </v>
      </c>
      <c r="U157" s="10" t="str">
        <f t="shared" si="325"/>
        <v xml:space="preserve"> </v>
      </c>
      <c r="V157" s="10" t="str">
        <f t="shared" si="325"/>
        <v xml:space="preserve"> </v>
      </c>
      <c r="W157" s="10" t="str">
        <f t="shared" si="325"/>
        <v xml:space="preserve"> </v>
      </c>
      <c r="X157" s="10" t="str">
        <f t="shared" si="325"/>
        <v xml:space="preserve"> </v>
      </c>
      <c r="Y157" s="14"/>
      <c r="Z157" s="14"/>
      <c r="AA157" s="10" t="str">
        <f t="shared" si="326"/>
        <v xml:space="preserve"> </v>
      </c>
      <c r="AB157" s="10" t="str">
        <f t="shared" si="326"/>
        <v xml:space="preserve"> </v>
      </c>
      <c r="AC157" s="10" t="str">
        <f t="shared" si="326"/>
        <v xml:space="preserve"> </v>
      </c>
      <c r="AD157" s="10" t="str">
        <f t="shared" si="326"/>
        <v xml:space="preserve"> </v>
      </c>
      <c r="AE157" s="10" t="str">
        <f t="shared" si="326"/>
        <v xml:space="preserve"> </v>
      </c>
      <c r="AF157" s="14"/>
      <c r="AG157" s="14"/>
      <c r="AH157" s="10" t="str">
        <f t="shared" si="327"/>
        <v xml:space="preserve"> </v>
      </c>
      <c r="AI157" s="10" t="str">
        <f t="shared" si="327"/>
        <v xml:space="preserve"> </v>
      </c>
      <c r="AJ157" s="10" t="str">
        <f t="shared" si="327"/>
        <v xml:space="preserve"> </v>
      </c>
      <c r="AK157" s="10" t="str">
        <f t="shared" si="327"/>
        <v xml:space="preserve"> </v>
      </c>
      <c r="AL157" s="10" t="str">
        <f t="shared" si="327"/>
        <v xml:space="preserve"> </v>
      </c>
      <c r="AM157" s="14"/>
      <c r="AN157" s="14"/>
      <c r="AO157" s="10" t="str">
        <f t="shared" si="328"/>
        <v xml:space="preserve"> </v>
      </c>
      <c r="AP157" s="10" t="str">
        <f t="shared" si="328"/>
        <v xml:space="preserve"> </v>
      </c>
      <c r="AQ157" s="10" t="str">
        <f t="shared" si="328"/>
        <v xml:space="preserve"> </v>
      </c>
      <c r="AR157" s="10" t="str">
        <f t="shared" si="328"/>
        <v xml:space="preserve"> </v>
      </c>
      <c r="AS157" s="10" t="str">
        <f t="shared" si="328"/>
        <v xml:space="preserve"> </v>
      </c>
      <c r="AT157" s="14"/>
      <c r="AU157" s="14"/>
      <c r="AV157" s="10" t="str">
        <f t="shared" si="329"/>
        <v xml:space="preserve"> </v>
      </c>
      <c r="AW157" s="10" t="str">
        <f t="shared" si="329"/>
        <v xml:space="preserve"> </v>
      </c>
      <c r="AX157" s="10" t="str">
        <f t="shared" si="329"/>
        <v xml:space="preserve"> </v>
      </c>
      <c r="AY157" s="10" t="str">
        <f t="shared" si="329"/>
        <v xml:space="preserve"> </v>
      </c>
      <c r="AZ157" s="10" t="str">
        <f t="shared" si="329"/>
        <v xml:space="preserve"> </v>
      </c>
      <c r="BA157" s="14"/>
      <c r="BB157" s="14"/>
      <c r="BC157" s="10" t="str">
        <f t="shared" si="330"/>
        <v xml:space="preserve"> </v>
      </c>
      <c r="BD157" s="10" t="str">
        <f t="shared" si="330"/>
        <v xml:space="preserve"> </v>
      </c>
      <c r="BE157" s="10" t="str">
        <f t="shared" si="330"/>
        <v xml:space="preserve"> </v>
      </c>
      <c r="BF157" s="10" t="str">
        <f t="shared" si="330"/>
        <v xml:space="preserve"> </v>
      </c>
      <c r="BG157" s="10" t="str">
        <f t="shared" si="330"/>
        <v xml:space="preserve"> </v>
      </c>
      <c r="BH157" s="14"/>
      <c r="BI157" s="14"/>
      <c r="BJ157" s="10" t="str">
        <f t="shared" si="331"/>
        <v xml:space="preserve"> </v>
      </c>
      <c r="BK157" s="10" t="str">
        <f t="shared" si="331"/>
        <v xml:space="preserve"> </v>
      </c>
      <c r="BL157" s="10" t="str">
        <f t="shared" si="331"/>
        <v xml:space="preserve"> </v>
      </c>
      <c r="BM157" s="10" t="str">
        <f t="shared" si="331"/>
        <v xml:space="preserve"> </v>
      </c>
      <c r="BN157" s="10" t="str">
        <f t="shared" si="331"/>
        <v xml:space="preserve"> </v>
      </c>
      <c r="BO157" s="14"/>
      <c r="BP157" s="14"/>
      <c r="BQ157" s="10" t="str">
        <f t="shared" si="332"/>
        <v xml:space="preserve"> </v>
      </c>
      <c r="BR157" s="10" t="str">
        <f t="shared" si="332"/>
        <v xml:space="preserve"> </v>
      </c>
      <c r="BS157" s="10" t="str">
        <f t="shared" si="332"/>
        <v xml:space="preserve"> </v>
      </c>
      <c r="BT157" s="10" t="str">
        <f t="shared" si="332"/>
        <v xml:space="preserve"> </v>
      </c>
      <c r="BU157" s="10" t="str">
        <f t="shared" si="332"/>
        <v xml:space="preserve"> </v>
      </c>
      <c r="BV157" s="14"/>
      <c r="BW157" s="14"/>
      <c r="BX157" s="10" t="str">
        <f t="shared" si="333"/>
        <v xml:space="preserve"> </v>
      </c>
      <c r="BY157" s="10" t="str">
        <f t="shared" si="333"/>
        <v xml:space="preserve"> </v>
      </c>
      <c r="BZ157" s="10" t="str">
        <f t="shared" si="333"/>
        <v xml:space="preserve"> </v>
      </c>
      <c r="CA157" s="10" t="str">
        <f t="shared" si="333"/>
        <v xml:space="preserve"> </v>
      </c>
      <c r="CB157" s="10" t="str">
        <f t="shared" si="333"/>
        <v xml:space="preserve"> </v>
      </c>
      <c r="CC157" s="14"/>
      <c r="CD157" s="14"/>
      <c r="CE157" s="10" t="str">
        <f t="shared" si="334"/>
        <v xml:space="preserve"> </v>
      </c>
      <c r="CF157" s="10" t="str">
        <f t="shared" si="334"/>
        <v xml:space="preserve"> </v>
      </c>
      <c r="CG157" s="10" t="str">
        <f t="shared" si="334"/>
        <v xml:space="preserve"> </v>
      </c>
      <c r="CH157" s="10" t="str">
        <f t="shared" si="334"/>
        <v xml:space="preserve"> </v>
      </c>
      <c r="CI157" s="10" t="str">
        <f t="shared" si="334"/>
        <v xml:space="preserve"> </v>
      </c>
      <c r="CJ157" s="14"/>
      <c r="CK157" s="14"/>
      <c r="CL157" s="10" t="str">
        <f t="shared" si="335"/>
        <v xml:space="preserve"> </v>
      </c>
      <c r="CM157" s="10" t="str">
        <f t="shared" si="335"/>
        <v xml:space="preserve"> </v>
      </c>
      <c r="CN157" s="10" t="str">
        <f t="shared" si="335"/>
        <v xml:space="preserve"> </v>
      </c>
      <c r="CO157" s="10" t="str">
        <f t="shared" si="335"/>
        <v xml:space="preserve"> </v>
      </c>
      <c r="CP157" s="10" t="str">
        <f t="shared" si="335"/>
        <v xml:space="preserve"> </v>
      </c>
      <c r="CQ157" s="14"/>
      <c r="CR157" s="14"/>
      <c r="CS157" s="10" t="str">
        <f t="shared" si="336"/>
        <v xml:space="preserve"> </v>
      </c>
      <c r="CT157" s="10" t="str">
        <f t="shared" si="336"/>
        <v xml:space="preserve"> </v>
      </c>
      <c r="CU157" s="10" t="str">
        <f t="shared" si="336"/>
        <v xml:space="preserve"> </v>
      </c>
      <c r="CV157" s="10" t="str">
        <f t="shared" si="336"/>
        <v xml:space="preserve"> </v>
      </c>
      <c r="CW157" s="10" t="str">
        <f t="shared" si="336"/>
        <v xml:space="preserve"> </v>
      </c>
      <c r="CZ157" s="10" t="str">
        <f t="shared" si="337"/>
        <v xml:space="preserve"> </v>
      </c>
      <c r="DA157" s="10" t="str">
        <f t="shared" si="337"/>
        <v xml:space="preserve"> </v>
      </c>
      <c r="DB157" s="10" t="str">
        <f t="shared" si="337"/>
        <v xml:space="preserve"> </v>
      </c>
      <c r="DC157" s="10" t="str">
        <f t="shared" si="337"/>
        <v xml:space="preserve"> </v>
      </c>
      <c r="DD157" s="10" t="str">
        <f t="shared" si="337"/>
        <v xml:space="preserve"> </v>
      </c>
      <c r="DG157" s="10" t="str">
        <f t="shared" si="338"/>
        <v xml:space="preserve"> </v>
      </c>
      <c r="DH157" s="10" t="str">
        <f t="shared" si="338"/>
        <v xml:space="preserve"> </v>
      </c>
      <c r="DI157" s="10" t="str">
        <f t="shared" si="338"/>
        <v xml:space="preserve"> </v>
      </c>
      <c r="DJ157" s="10" t="str">
        <f t="shared" si="338"/>
        <v xml:space="preserve"> </v>
      </c>
      <c r="DK157" s="10" t="str">
        <f t="shared" si="338"/>
        <v xml:space="preserve"> </v>
      </c>
      <c r="DN157" s="10" t="str">
        <f t="shared" si="339"/>
        <v xml:space="preserve"> </v>
      </c>
      <c r="DO157" s="10" t="str">
        <f t="shared" si="339"/>
        <v xml:space="preserve"> </v>
      </c>
      <c r="DP157" s="10" t="str">
        <f t="shared" si="339"/>
        <v xml:space="preserve"> </v>
      </c>
      <c r="DQ157" s="10" t="str">
        <f t="shared" si="339"/>
        <v xml:space="preserve"> </v>
      </c>
      <c r="DR157" s="10" t="str">
        <f t="shared" si="339"/>
        <v xml:space="preserve"> </v>
      </c>
      <c r="DU157" s="10" t="str">
        <f t="shared" si="340"/>
        <v xml:space="preserve"> </v>
      </c>
      <c r="DV157" s="10" t="str">
        <f t="shared" si="340"/>
        <v xml:space="preserve"> </v>
      </c>
      <c r="DW157" s="10" t="str">
        <f t="shared" si="340"/>
        <v xml:space="preserve"> </v>
      </c>
      <c r="DX157" s="10" t="str">
        <f t="shared" si="340"/>
        <v xml:space="preserve"> </v>
      </c>
      <c r="DY157" s="10" t="str">
        <f t="shared" si="340"/>
        <v xml:space="preserve"> </v>
      </c>
      <c r="EB157" s="10" t="str">
        <f t="shared" si="341"/>
        <v xml:space="preserve"> </v>
      </c>
      <c r="EC157" s="10" t="str">
        <f t="shared" si="341"/>
        <v xml:space="preserve"> </v>
      </c>
      <c r="ED157" s="10" t="str">
        <f t="shared" si="341"/>
        <v xml:space="preserve"> </v>
      </c>
      <c r="EE157" s="10" t="str">
        <f t="shared" si="341"/>
        <v xml:space="preserve"> </v>
      </c>
      <c r="EF157" s="10" t="str">
        <f t="shared" si="341"/>
        <v xml:space="preserve"> </v>
      </c>
      <c r="EI157" s="10" t="str">
        <f t="shared" si="342"/>
        <v xml:space="preserve"> </v>
      </c>
      <c r="EJ157" s="10" t="str">
        <f t="shared" si="342"/>
        <v xml:space="preserve"> </v>
      </c>
      <c r="EK157" s="10" t="str">
        <f t="shared" si="342"/>
        <v xml:space="preserve"> </v>
      </c>
      <c r="EL157" s="10" t="str">
        <f t="shared" si="342"/>
        <v xml:space="preserve"> </v>
      </c>
      <c r="EM157" s="10" t="str">
        <f t="shared" si="342"/>
        <v xml:space="preserve"> </v>
      </c>
      <c r="EP157" s="10" t="str">
        <f t="shared" si="343"/>
        <v xml:space="preserve"> </v>
      </c>
      <c r="EQ157" s="10" t="str">
        <f t="shared" si="343"/>
        <v xml:space="preserve"> </v>
      </c>
      <c r="ER157" s="10" t="str">
        <f t="shared" si="343"/>
        <v xml:space="preserve"> </v>
      </c>
      <c r="ES157" s="10" t="str">
        <f t="shared" si="343"/>
        <v xml:space="preserve"> </v>
      </c>
      <c r="ET157" s="10" t="str">
        <f t="shared" si="343"/>
        <v xml:space="preserve"> </v>
      </c>
      <c r="EW157" s="10" t="str">
        <f t="shared" si="344"/>
        <v xml:space="preserve"> </v>
      </c>
      <c r="EX157" s="10" t="str">
        <f t="shared" si="344"/>
        <v xml:space="preserve"> </v>
      </c>
      <c r="EY157" s="10" t="str">
        <f t="shared" si="344"/>
        <v xml:space="preserve"> </v>
      </c>
      <c r="EZ157" s="10" t="str">
        <f t="shared" si="344"/>
        <v xml:space="preserve"> </v>
      </c>
      <c r="FA157" s="10" t="str">
        <f t="shared" si="344"/>
        <v xml:space="preserve"> </v>
      </c>
      <c r="FD157" s="10" t="str">
        <f t="shared" si="345"/>
        <v xml:space="preserve"> </v>
      </c>
      <c r="FE157" s="10" t="str">
        <f t="shared" si="345"/>
        <v xml:space="preserve"> </v>
      </c>
      <c r="FF157" s="10" t="str">
        <f t="shared" si="345"/>
        <v xml:space="preserve"> </v>
      </c>
      <c r="FG157" s="10" t="str">
        <f t="shared" si="345"/>
        <v xml:space="preserve"> </v>
      </c>
      <c r="FH157" s="10" t="str">
        <f t="shared" si="345"/>
        <v xml:space="preserve"> </v>
      </c>
      <c r="FK157" s="10" t="str">
        <f t="shared" si="346"/>
        <v xml:space="preserve"> </v>
      </c>
      <c r="FL157" s="10" t="str">
        <f t="shared" si="346"/>
        <v xml:space="preserve"> </v>
      </c>
      <c r="FM157" s="10" t="str">
        <f t="shared" si="346"/>
        <v xml:space="preserve"> </v>
      </c>
      <c r="FN157" s="10" t="str">
        <f t="shared" si="346"/>
        <v xml:space="preserve"> </v>
      </c>
      <c r="FO157" s="10" t="str">
        <f t="shared" si="346"/>
        <v xml:space="preserve"> </v>
      </c>
      <c r="FR157" s="10" t="str">
        <f t="shared" si="347"/>
        <v xml:space="preserve"> </v>
      </c>
      <c r="FS157" s="10" t="str">
        <f t="shared" si="347"/>
        <v xml:space="preserve"> </v>
      </c>
      <c r="FT157" s="10" t="str">
        <f t="shared" si="347"/>
        <v xml:space="preserve"> </v>
      </c>
      <c r="FU157" s="10" t="str">
        <f t="shared" si="347"/>
        <v xml:space="preserve"> </v>
      </c>
      <c r="FV157" s="10" t="str">
        <f t="shared" si="347"/>
        <v xml:space="preserve"> </v>
      </c>
      <c r="FY157" s="10" t="str">
        <f t="shared" si="348"/>
        <v xml:space="preserve"> </v>
      </c>
      <c r="FZ157" s="10" t="str">
        <f t="shared" si="348"/>
        <v xml:space="preserve"> </v>
      </c>
      <c r="GA157" s="10" t="str">
        <f t="shared" si="348"/>
        <v xml:space="preserve"> </v>
      </c>
      <c r="GB157" s="10" t="str">
        <f t="shared" si="348"/>
        <v xml:space="preserve"> </v>
      </c>
      <c r="GC157" s="10" t="str">
        <f t="shared" si="348"/>
        <v xml:space="preserve"> </v>
      </c>
      <c r="GF157" s="10" t="str">
        <f t="shared" si="349"/>
        <v xml:space="preserve"> </v>
      </c>
      <c r="GG157" s="10" t="str">
        <f t="shared" si="349"/>
        <v xml:space="preserve"> </v>
      </c>
      <c r="GH157" s="10" t="str">
        <f t="shared" si="349"/>
        <v xml:space="preserve"> </v>
      </c>
      <c r="GI157" s="10" t="str">
        <f t="shared" si="349"/>
        <v xml:space="preserve"> </v>
      </c>
      <c r="GJ157" s="10" t="str">
        <f t="shared" si="349"/>
        <v xml:space="preserve"> </v>
      </c>
      <c r="GM157" s="10" t="str">
        <f t="shared" si="350"/>
        <v xml:space="preserve"> </v>
      </c>
      <c r="GN157" s="10" t="str">
        <f t="shared" si="350"/>
        <v xml:space="preserve"> </v>
      </c>
      <c r="GO157" s="10" t="str">
        <f t="shared" si="350"/>
        <v xml:space="preserve"> </v>
      </c>
      <c r="GP157" s="10" t="str">
        <f t="shared" si="350"/>
        <v xml:space="preserve"> </v>
      </c>
      <c r="GQ157" s="10" t="str">
        <f t="shared" si="350"/>
        <v xml:space="preserve"> </v>
      </c>
      <c r="GT157" s="10" t="str">
        <f t="shared" si="351"/>
        <v xml:space="preserve"> </v>
      </c>
      <c r="GU157" s="10" t="str">
        <f t="shared" si="351"/>
        <v xml:space="preserve"> </v>
      </c>
      <c r="GV157" s="10" t="str">
        <f t="shared" si="351"/>
        <v xml:space="preserve"> </v>
      </c>
      <c r="GW157" s="10" t="str">
        <f t="shared" si="351"/>
        <v xml:space="preserve"> </v>
      </c>
      <c r="GX157" s="10" t="str">
        <f t="shared" si="351"/>
        <v xml:space="preserve"> </v>
      </c>
      <c r="HA157" s="10" t="str">
        <f t="shared" si="352"/>
        <v xml:space="preserve"> </v>
      </c>
      <c r="HB157" s="10" t="str">
        <f t="shared" si="352"/>
        <v xml:space="preserve"> </v>
      </c>
      <c r="HC157" s="10" t="str">
        <f t="shared" si="352"/>
        <v xml:space="preserve"> </v>
      </c>
      <c r="HD157" s="10" t="str">
        <f t="shared" si="352"/>
        <v xml:space="preserve"> </v>
      </c>
      <c r="HE157" s="10" t="str">
        <f t="shared" si="352"/>
        <v xml:space="preserve"> </v>
      </c>
      <c r="HH157" s="10" t="str">
        <f t="shared" si="353"/>
        <v xml:space="preserve"> </v>
      </c>
      <c r="HI157" s="10" t="str">
        <f t="shared" si="353"/>
        <v xml:space="preserve"> </v>
      </c>
      <c r="HJ157" s="10" t="str">
        <f t="shared" si="353"/>
        <v xml:space="preserve"> </v>
      </c>
      <c r="HK157" s="10" t="str">
        <f t="shared" si="353"/>
        <v xml:space="preserve"> </v>
      </c>
      <c r="HL157" s="10" t="str">
        <f t="shared" si="353"/>
        <v xml:space="preserve"> </v>
      </c>
      <c r="HO157" s="10" t="str">
        <f t="shared" si="354"/>
        <v xml:space="preserve"> </v>
      </c>
      <c r="HP157" s="10" t="str">
        <f t="shared" si="354"/>
        <v xml:space="preserve"> </v>
      </c>
      <c r="HQ157" s="10" t="str">
        <f t="shared" si="354"/>
        <v xml:space="preserve"> </v>
      </c>
      <c r="HR157" s="10" t="str">
        <f t="shared" si="354"/>
        <v xml:space="preserve"> </v>
      </c>
      <c r="HS157" s="10" t="str">
        <f t="shared" si="354"/>
        <v xml:space="preserve"> </v>
      </c>
      <c r="HV157" s="10" t="str">
        <f t="shared" si="355"/>
        <v xml:space="preserve"> </v>
      </c>
      <c r="HW157" s="10" t="str">
        <f t="shared" si="355"/>
        <v xml:space="preserve"> </v>
      </c>
      <c r="HX157" s="10" t="str">
        <f t="shared" si="355"/>
        <v xml:space="preserve"> </v>
      </c>
      <c r="HY157" s="10" t="str">
        <f t="shared" si="355"/>
        <v xml:space="preserve"> </v>
      </c>
      <c r="HZ157" s="10" t="str">
        <f t="shared" si="355"/>
        <v xml:space="preserve"> </v>
      </c>
      <c r="IC157" s="10" t="str">
        <f t="shared" si="356"/>
        <v xml:space="preserve"> </v>
      </c>
      <c r="ID157" s="10" t="str">
        <f t="shared" si="356"/>
        <v xml:space="preserve"> </v>
      </c>
      <c r="IE157" s="10" t="str">
        <f t="shared" si="356"/>
        <v xml:space="preserve"> </v>
      </c>
      <c r="IF157" s="10" t="str">
        <f t="shared" si="356"/>
        <v xml:space="preserve"> </v>
      </c>
      <c r="IG157" s="10" t="str">
        <f t="shared" si="356"/>
        <v xml:space="preserve"> </v>
      </c>
      <c r="IJ157" s="10" t="str">
        <f t="shared" si="357"/>
        <v xml:space="preserve"> </v>
      </c>
      <c r="IK157" s="10" t="str">
        <f t="shared" si="357"/>
        <v xml:space="preserve"> </v>
      </c>
      <c r="IL157" s="10" t="str">
        <f t="shared" si="357"/>
        <v xml:space="preserve"> </v>
      </c>
      <c r="IM157" s="10" t="str">
        <f t="shared" si="357"/>
        <v xml:space="preserve"> </v>
      </c>
      <c r="IN157" s="10" t="str">
        <f t="shared" si="357"/>
        <v xml:space="preserve"> </v>
      </c>
      <c r="IQ157" s="10" t="str">
        <f t="shared" si="358"/>
        <v xml:space="preserve"> </v>
      </c>
      <c r="IR157" s="10" t="str">
        <f t="shared" si="358"/>
        <v xml:space="preserve"> </v>
      </c>
      <c r="IS157" s="10" t="str">
        <f t="shared" si="358"/>
        <v xml:space="preserve"> </v>
      </c>
      <c r="IT157" s="10" t="str">
        <f t="shared" si="358"/>
        <v xml:space="preserve"> </v>
      </c>
      <c r="IU157" s="10" t="str">
        <f t="shared" si="358"/>
        <v xml:space="preserve"> </v>
      </c>
      <c r="IX157" s="10" t="str">
        <f t="shared" si="359"/>
        <v xml:space="preserve"> </v>
      </c>
      <c r="IY157" s="10" t="str">
        <f t="shared" si="359"/>
        <v xml:space="preserve"> </v>
      </c>
      <c r="IZ157" s="10" t="str">
        <f t="shared" si="359"/>
        <v xml:space="preserve"> </v>
      </c>
      <c r="JA157" s="10" t="str">
        <f t="shared" si="359"/>
        <v xml:space="preserve"> </v>
      </c>
      <c r="JB157" s="10" t="str">
        <f t="shared" si="359"/>
        <v xml:space="preserve"> </v>
      </c>
      <c r="JE157" s="10" t="str">
        <f t="shared" si="360"/>
        <v xml:space="preserve"> </v>
      </c>
      <c r="JF157" s="10" t="str">
        <f t="shared" si="360"/>
        <v xml:space="preserve"> </v>
      </c>
      <c r="JG157" s="10" t="str">
        <f t="shared" si="360"/>
        <v xml:space="preserve"> </v>
      </c>
      <c r="JH157" s="10" t="str">
        <f t="shared" si="360"/>
        <v xml:space="preserve"> </v>
      </c>
      <c r="JI157" s="10" t="str">
        <f t="shared" si="360"/>
        <v xml:space="preserve"> </v>
      </c>
    </row>
    <row r="158" spans="13:269">
      <c r="M158" s="10" t="str">
        <f t="shared" si="361"/>
        <v xml:space="preserve"> </v>
      </c>
      <c r="N158" s="10" t="str">
        <f t="shared" si="361"/>
        <v xml:space="preserve"> </v>
      </c>
      <c r="O158" s="10" t="str">
        <f t="shared" si="361"/>
        <v xml:space="preserve"> </v>
      </c>
      <c r="P158" s="10" t="str">
        <f t="shared" si="361"/>
        <v xml:space="preserve"> </v>
      </c>
      <c r="Q158" s="10" t="str">
        <f t="shared" si="361"/>
        <v xml:space="preserve"> </v>
      </c>
      <c r="R158" s="14"/>
      <c r="S158" s="14"/>
      <c r="T158" s="10" t="str">
        <f t="shared" si="325"/>
        <v xml:space="preserve"> </v>
      </c>
      <c r="U158" s="10" t="str">
        <f t="shared" si="325"/>
        <v xml:space="preserve"> </v>
      </c>
      <c r="V158" s="10" t="str">
        <f t="shared" si="325"/>
        <v xml:space="preserve"> </v>
      </c>
      <c r="W158" s="10" t="str">
        <f t="shared" si="325"/>
        <v xml:space="preserve"> </v>
      </c>
      <c r="X158" s="10" t="str">
        <f t="shared" si="325"/>
        <v xml:space="preserve"> </v>
      </c>
      <c r="Y158" s="14"/>
      <c r="Z158" s="14"/>
      <c r="AA158" s="10" t="str">
        <f t="shared" si="326"/>
        <v xml:space="preserve"> </v>
      </c>
      <c r="AB158" s="10" t="str">
        <f t="shared" si="326"/>
        <v xml:space="preserve"> </v>
      </c>
      <c r="AC158" s="10" t="str">
        <f t="shared" si="326"/>
        <v xml:space="preserve"> </v>
      </c>
      <c r="AD158" s="10" t="str">
        <f t="shared" si="326"/>
        <v xml:space="preserve"> </v>
      </c>
      <c r="AE158" s="10" t="str">
        <f t="shared" si="326"/>
        <v xml:space="preserve"> </v>
      </c>
      <c r="AF158" s="14"/>
      <c r="AG158" s="14"/>
      <c r="AH158" s="10" t="str">
        <f t="shared" si="327"/>
        <v xml:space="preserve"> </v>
      </c>
      <c r="AI158" s="10" t="str">
        <f t="shared" si="327"/>
        <v xml:space="preserve"> </v>
      </c>
      <c r="AJ158" s="10" t="str">
        <f t="shared" si="327"/>
        <v xml:space="preserve"> </v>
      </c>
      <c r="AK158" s="10" t="str">
        <f t="shared" si="327"/>
        <v xml:space="preserve"> </v>
      </c>
      <c r="AL158" s="10" t="str">
        <f t="shared" si="327"/>
        <v xml:space="preserve"> </v>
      </c>
      <c r="AM158" s="14"/>
      <c r="AN158" s="14"/>
      <c r="AO158" s="10" t="str">
        <f t="shared" si="328"/>
        <v xml:space="preserve"> </v>
      </c>
      <c r="AP158" s="10" t="str">
        <f t="shared" si="328"/>
        <v xml:space="preserve"> </v>
      </c>
      <c r="AQ158" s="10" t="str">
        <f t="shared" si="328"/>
        <v xml:space="preserve"> </v>
      </c>
      <c r="AR158" s="10" t="str">
        <f t="shared" si="328"/>
        <v xml:space="preserve"> </v>
      </c>
      <c r="AS158" s="10" t="str">
        <f t="shared" si="328"/>
        <v xml:space="preserve"> </v>
      </c>
      <c r="AT158" s="14"/>
      <c r="AU158" s="14"/>
      <c r="AV158" s="10" t="str">
        <f t="shared" si="329"/>
        <v xml:space="preserve"> </v>
      </c>
      <c r="AW158" s="10" t="str">
        <f t="shared" si="329"/>
        <v xml:space="preserve"> </v>
      </c>
      <c r="AX158" s="10" t="str">
        <f t="shared" si="329"/>
        <v xml:space="preserve"> </v>
      </c>
      <c r="AY158" s="10" t="str">
        <f t="shared" si="329"/>
        <v xml:space="preserve"> </v>
      </c>
      <c r="AZ158" s="10" t="str">
        <f t="shared" si="329"/>
        <v xml:space="preserve"> </v>
      </c>
      <c r="BA158" s="14"/>
      <c r="BB158" s="14"/>
      <c r="BC158" s="10" t="str">
        <f t="shared" si="330"/>
        <v xml:space="preserve"> </v>
      </c>
      <c r="BD158" s="10" t="str">
        <f t="shared" si="330"/>
        <v xml:space="preserve"> </v>
      </c>
      <c r="BE158" s="10" t="str">
        <f t="shared" si="330"/>
        <v xml:space="preserve"> </v>
      </c>
      <c r="BF158" s="10" t="str">
        <f t="shared" si="330"/>
        <v xml:space="preserve"> </v>
      </c>
      <c r="BG158" s="10" t="str">
        <f t="shared" si="330"/>
        <v xml:space="preserve"> </v>
      </c>
      <c r="BH158" s="14"/>
      <c r="BI158" s="14"/>
      <c r="BJ158" s="10" t="str">
        <f t="shared" si="331"/>
        <v xml:space="preserve"> </v>
      </c>
      <c r="BK158" s="10" t="str">
        <f t="shared" si="331"/>
        <v xml:space="preserve"> </v>
      </c>
      <c r="BL158" s="10" t="str">
        <f t="shared" si="331"/>
        <v xml:space="preserve"> </v>
      </c>
      <c r="BM158" s="10" t="str">
        <f t="shared" si="331"/>
        <v xml:space="preserve"> </v>
      </c>
      <c r="BN158" s="10" t="str">
        <f t="shared" si="331"/>
        <v xml:space="preserve"> </v>
      </c>
      <c r="BO158" s="14"/>
      <c r="BP158" s="14"/>
      <c r="BQ158" s="10" t="str">
        <f t="shared" si="332"/>
        <v xml:space="preserve"> </v>
      </c>
      <c r="BR158" s="10" t="str">
        <f t="shared" si="332"/>
        <v xml:space="preserve"> </v>
      </c>
      <c r="BS158" s="10" t="str">
        <f t="shared" si="332"/>
        <v xml:space="preserve"> </v>
      </c>
      <c r="BT158" s="10" t="str">
        <f t="shared" si="332"/>
        <v xml:space="preserve"> </v>
      </c>
      <c r="BU158" s="10" t="str">
        <f t="shared" si="332"/>
        <v xml:space="preserve"> </v>
      </c>
      <c r="BV158" s="14"/>
      <c r="BW158" s="14"/>
      <c r="BX158" s="10" t="str">
        <f t="shared" si="333"/>
        <v xml:space="preserve"> </v>
      </c>
      <c r="BY158" s="10" t="str">
        <f t="shared" si="333"/>
        <v xml:space="preserve"> </v>
      </c>
      <c r="BZ158" s="10" t="str">
        <f t="shared" si="333"/>
        <v xml:space="preserve"> </v>
      </c>
      <c r="CA158" s="10" t="str">
        <f t="shared" si="333"/>
        <v xml:space="preserve"> </v>
      </c>
      <c r="CB158" s="10" t="str">
        <f t="shared" si="333"/>
        <v xml:space="preserve"> </v>
      </c>
      <c r="CC158" s="14"/>
      <c r="CD158" s="14"/>
      <c r="CE158" s="10" t="str">
        <f t="shared" si="334"/>
        <v xml:space="preserve"> </v>
      </c>
      <c r="CF158" s="10" t="str">
        <f t="shared" si="334"/>
        <v xml:space="preserve"> </v>
      </c>
      <c r="CG158" s="10" t="str">
        <f t="shared" si="334"/>
        <v xml:space="preserve"> </v>
      </c>
      <c r="CH158" s="10" t="str">
        <f t="shared" si="334"/>
        <v xml:space="preserve"> </v>
      </c>
      <c r="CI158" s="10" t="str">
        <f t="shared" si="334"/>
        <v xml:space="preserve"> </v>
      </c>
      <c r="CJ158" s="14"/>
      <c r="CK158" s="14"/>
      <c r="CL158" s="10" t="str">
        <f t="shared" si="335"/>
        <v xml:space="preserve"> </v>
      </c>
      <c r="CM158" s="10" t="str">
        <f t="shared" si="335"/>
        <v xml:space="preserve"> </v>
      </c>
      <c r="CN158" s="10" t="str">
        <f t="shared" si="335"/>
        <v xml:space="preserve"> </v>
      </c>
      <c r="CO158" s="10" t="str">
        <f t="shared" si="335"/>
        <v xml:space="preserve"> </v>
      </c>
      <c r="CP158" s="10" t="str">
        <f t="shared" si="335"/>
        <v xml:space="preserve"> </v>
      </c>
      <c r="CQ158" s="14"/>
      <c r="CR158" s="14"/>
      <c r="CS158" s="10" t="str">
        <f t="shared" si="336"/>
        <v xml:space="preserve"> </v>
      </c>
      <c r="CT158" s="10" t="str">
        <f t="shared" si="336"/>
        <v xml:space="preserve"> </v>
      </c>
      <c r="CU158" s="10" t="str">
        <f t="shared" si="336"/>
        <v xml:space="preserve"> </v>
      </c>
      <c r="CV158" s="10" t="str">
        <f t="shared" si="336"/>
        <v xml:space="preserve"> </v>
      </c>
      <c r="CW158" s="10" t="str">
        <f t="shared" si="336"/>
        <v xml:space="preserve"> </v>
      </c>
      <c r="CZ158" s="10" t="str">
        <f t="shared" si="337"/>
        <v xml:space="preserve"> </v>
      </c>
      <c r="DA158" s="10" t="str">
        <f t="shared" si="337"/>
        <v xml:space="preserve"> </v>
      </c>
      <c r="DB158" s="10" t="str">
        <f t="shared" si="337"/>
        <v xml:space="preserve"> </v>
      </c>
      <c r="DC158" s="10" t="str">
        <f t="shared" si="337"/>
        <v xml:space="preserve"> </v>
      </c>
      <c r="DD158" s="10" t="str">
        <f t="shared" si="337"/>
        <v xml:space="preserve"> </v>
      </c>
      <c r="DG158" s="10" t="str">
        <f t="shared" si="338"/>
        <v xml:space="preserve"> </v>
      </c>
      <c r="DH158" s="10" t="str">
        <f t="shared" si="338"/>
        <v xml:space="preserve"> </v>
      </c>
      <c r="DI158" s="10" t="str">
        <f t="shared" si="338"/>
        <v xml:space="preserve"> </v>
      </c>
      <c r="DJ158" s="10" t="str">
        <f t="shared" si="338"/>
        <v xml:space="preserve"> </v>
      </c>
      <c r="DK158" s="10" t="str">
        <f t="shared" si="338"/>
        <v xml:space="preserve"> </v>
      </c>
      <c r="DN158" s="10" t="str">
        <f t="shared" si="339"/>
        <v xml:space="preserve"> </v>
      </c>
      <c r="DO158" s="10" t="str">
        <f t="shared" si="339"/>
        <v xml:space="preserve"> </v>
      </c>
      <c r="DP158" s="10" t="str">
        <f t="shared" si="339"/>
        <v xml:space="preserve"> </v>
      </c>
      <c r="DQ158" s="10" t="str">
        <f t="shared" si="339"/>
        <v xml:space="preserve"> </v>
      </c>
      <c r="DR158" s="10" t="str">
        <f t="shared" si="339"/>
        <v xml:space="preserve"> </v>
      </c>
      <c r="DU158" s="10" t="str">
        <f t="shared" si="340"/>
        <v xml:space="preserve"> </v>
      </c>
      <c r="DV158" s="10" t="str">
        <f t="shared" si="340"/>
        <v xml:space="preserve"> </v>
      </c>
      <c r="DW158" s="10" t="str">
        <f t="shared" si="340"/>
        <v xml:space="preserve"> </v>
      </c>
      <c r="DX158" s="10" t="str">
        <f t="shared" si="340"/>
        <v xml:space="preserve"> </v>
      </c>
      <c r="DY158" s="10" t="str">
        <f t="shared" si="340"/>
        <v xml:space="preserve"> </v>
      </c>
      <c r="EB158" s="10" t="str">
        <f t="shared" si="341"/>
        <v xml:space="preserve"> </v>
      </c>
      <c r="EC158" s="10" t="str">
        <f t="shared" si="341"/>
        <v xml:space="preserve"> </v>
      </c>
      <c r="ED158" s="10" t="str">
        <f t="shared" si="341"/>
        <v xml:space="preserve"> </v>
      </c>
      <c r="EE158" s="10" t="str">
        <f t="shared" si="341"/>
        <v xml:space="preserve"> </v>
      </c>
      <c r="EF158" s="10" t="str">
        <f t="shared" si="341"/>
        <v xml:space="preserve"> </v>
      </c>
      <c r="EI158" s="10" t="str">
        <f t="shared" si="342"/>
        <v xml:space="preserve"> </v>
      </c>
      <c r="EJ158" s="10" t="str">
        <f t="shared" si="342"/>
        <v xml:space="preserve"> </v>
      </c>
      <c r="EK158" s="10" t="str">
        <f t="shared" si="342"/>
        <v xml:space="preserve"> </v>
      </c>
      <c r="EL158" s="10" t="str">
        <f t="shared" si="342"/>
        <v xml:space="preserve"> </v>
      </c>
      <c r="EM158" s="10" t="str">
        <f t="shared" si="342"/>
        <v xml:space="preserve"> </v>
      </c>
      <c r="EP158" s="10" t="str">
        <f t="shared" si="343"/>
        <v xml:space="preserve"> </v>
      </c>
      <c r="EQ158" s="10" t="str">
        <f t="shared" si="343"/>
        <v xml:space="preserve"> </v>
      </c>
      <c r="ER158" s="10" t="str">
        <f t="shared" si="343"/>
        <v xml:space="preserve"> </v>
      </c>
      <c r="ES158" s="10" t="str">
        <f t="shared" si="343"/>
        <v xml:space="preserve"> </v>
      </c>
      <c r="ET158" s="10" t="str">
        <f t="shared" si="343"/>
        <v xml:space="preserve"> </v>
      </c>
      <c r="EW158" s="10" t="str">
        <f t="shared" si="344"/>
        <v xml:space="preserve"> </v>
      </c>
      <c r="EX158" s="10" t="str">
        <f t="shared" si="344"/>
        <v xml:space="preserve"> </v>
      </c>
      <c r="EY158" s="10" t="str">
        <f t="shared" si="344"/>
        <v xml:space="preserve"> </v>
      </c>
      <c r="EZ158" s="10" t="str">
        <f t="shared" si="344"/>
        <v xml:space="preserve"> </v>
      </c>
      <c r="FA158" s="10" t="str">
        <f t="shared" si="344"/>
        <v xml:space="preserve"> </v>
      </c>
      <c r="FD158" s="10" t="str">
        <f t="shared" si="345"/>
        <v xml:space="preserve"> </v>
      </c>
      <c r="FE158" s="10" t="str">
        <f t="shared" si="345"/>
        <v xml:space="preserve"> </v>
      </c>
      <c r="FF158" s="10" t="str">
        <f t="shared" si="345"/>
        <v xml:space="preserve"> </v>
      </c>
      <c r="FG158" s="10" t="str">
        <f t="shared" si="345"/>
        <v xml:space="preserve"> </v>
      </c>
      <c r="FH158" s="10" t="str">
        <f t="shared" si="345"/>
        <v xml:space="preserve"> </v>
      </c>
      <c r="FK158" s="10" t="str">
        <f t="shared" si="346"/>
        <v xml:space="preserve"> </v>
      </c>
      <c r="FL158" s="10" t="str">
        <f t="shared" si="346"/>
        <v xml:space="preserve"> </v>
      </c>
      <c r="FM158" s="10" t="str">
        <f t="shared" si="346"/>
        <v xml:space="preserve"> </v>
      </c>
      <c r="FN158" s="10" t="str">
        <f t="shared" si="346"/>
        <v xml:space="preserve"> </v>
      </c>
      <c r="FO158" s="10" t="str">
        <f t="shared" si="346"/>
        <v xml:space="preserve"> </v>
      </c>
      <c r="FR158" s="10" t="str">
        <f t="shared" si="347"/>
        <v xml:space="preserve"> </v>
      </c>
      <c r="FS158" s="10" t="str">
        <f t="shared" si="347"/>
        <v xml:space="preserve"> </v>
      </c>
      <c r="FT158" s="10" t="str">
        <f t="shared" si="347"/>
        <v xml:space="preserve"> </v>
      </c>
      <c r="FU158" s="10" t="str">
        <f t="shared" si="347"/>
        <v xml:space="preserve"> </v>
      </c>
      <c r="FV158" s="10" t="str">
        <f t="shared" si="347"/>
        <v xml:space="preserve"> </v>
      </c>
      <c r="FY158" s="10" t="str">
        <f t="shared" si="348"/>
        <v xml:space="preserve"> </v>
      </c>
      <c r="FZ158" s="10" t="str">
        <f t="shared" si="348"/>
        <v xml:space="preserve"> </v>
      </c>
      <c r="GA158" s="10" t="str">
        <f t="shared" si="348"/>
        <v xml:space="preserve"> </v>
      </c>
      <c r="GB158" s="10" t="str">
        <f t="shared" si="348"/>
        <v xml:space="preserve"> </v>
      </c>
      <c r="GC158" s="10" t="str">
        <f t="shared" si="348"/>
        <v xml:space="preserve"> </v>
      </c>
      <c r="GF158" s="10" t="str">
        <f t="shared" si="349"/>
        <v xml:space="preserve"> </v>
      </c>
      <c r="GG158" s="10" t="str">
        <f t="shared" si="349"/>
        <v xml:space="preserve"> </v>
      </c>
      <c r="GH158" s="10" t="str">
        <f t="shared" si="349"/>
        <v xml:space="preserve"> </v>
      </c>
      <c r="GI158" s="10" t="str">
        <f t="shared" si="349"/>
        <v xml:space="preserve"> </v>
      </c>
      <c r="GJ158" s="10" t="str">
        <f t="shared" si="349"/>
        <v xml:space="preserve"> </v>
      </c>
      <c r="GM158" s="10" t="str">
        <f t="shared" si="350"/>
        <v xml:space="preserve"> </v>
      </c>
      <c r="GN158" s="10" t="str">
        <f t="shared" si="350"/>
        <v xml:space="preserve"> </v>
      </c>
      <c r="GO158" s="10" t="str">
        <f t="shared" si="350"/>
        <v xml:space="preserve"> </v>
      </c>
      <c r="GP158" s="10" t="str">
        <f t="shared" si="350"/>
        <v xml:space="preserve"> </v>
      </c>
      <c r="GQ158" s="10" t="str">
        <f t="shared" si="350"/>
        <v xml:space="preserve"> </v>
      </c>
      <c r="GT158" s="10" t="str">
        <f t="shared" si="351"/>
        <v xml:space="preserve"> </v>
      </c>
      <c r="GU158" s="10" t="str">
        <f t="shared" si="351"/>
        <v xml:space="preserve"> </v>
      </c>
      <c r="GV158" s="10" t="str">
        <f t="shared" si="351"/>
        <v xml:space="preserve"> </v>
      </c>
      <c r="GW158" s="10" t="str">
        <f t="shared" si="351"/>
        <v xml:space="preserve"> </v>
      </c>
      <c r="GX158" s="10" t="str">
        <f t="shared" si="351"/>
        <v xml:space="preserve"> </v>
      </c>
      <c r="HA158" s="10" t="str">
        <f t="shared" si="352"/>
        <v xml:space="preserve"> </v>
      </c>
      <c r="HB158" s="10" t="str">
        <f t="shared" si="352"/>
        <v xml:space="preserve"> </v>
      </c>
      <c r="HC158" s="10" t="str">
        <f t="shared" si="352"/>
        <v xml:space="preserve"> </v>
      </c>
      <c r="HD158" s="10" t="str">
        <f t="shared" si="352"/>
        <v xml:space="preserve"> </v>
      </c>
      <c r="HE158" s="10" t="str">
        <f t="shared" si="352"/>
        <v xml:space="preserve"> </v>
      </c>
      <c r="HH158" s="10" t="str">
        <f t="shared" si="353"/>
        <v xml:space="preserve"> </v>
      </c>
      <c r="HI158" s="10" t="str">
        <f t="shared" si="353"/>
        <v xml:space="preserve"> </v>
      </c>
      <c r="HJ158" s="10" t="str">
        <f t="shared" si="353"/>
        <v xml:space="preserve"> </v>
      </c>
      <c r="HK158" s="10" t="str">
        <f t="shared" si="353"/>
        <v xml:space="preserve"> </v>
      </c>
      <c r="HL158" s="10" t="str">
        <f t="shared" si="353"/>
        <v xml:space="preserve"> </v>
      </c>
      <c r="HO158" s="10" t="str">
        <f t="shared" si="354"/>
        <v xml:space="preserve"> </v>
      </c>
      <c r="HP158" s="10" t="str">
        <f t="shared" si="354"/>
        <v xml:space="preserve"> </v>
      </c>
      <c r="HQ158" s="10" t="str">
        <f t="shared" si="354"/>
        <v xml:space="preserve"> </v>
      </c>
      <c r="HR158" s="10" t="str">
        <f t="shared" si="354"/>
        <v xml:space="preserve"> </v>
      </c>
      <c r="HS158" s="10" t="str">
        <f t="shared" si="354"/>
        <v xml:space="preserve"> </v>
      </c>
      <c r="HV158" s="10" t="str">
        <f t="shared" si="355"/>
        <v xml:space="preserve"> </v>
      </c>
      <c r="HW158" s="10" t="str">
        <f t="shared" si="355"/>
        <v xml:space="preserve"> </v>
      </c>
      <c r="HX158" s="10" t="str">
        <f t="shared" si="355"/>
        <v xml:space="preserve"> </v>
      </c>
      <c r="HY158" s="10" t="str">
        <f t="shared" si="355"/>
        <v xml:space="preserve"> </v>
      </c>
      <c r="HZ158" s="10" t="str">
        <f t="shared" si="355"/>
        <v xml:space="preserve"> </v>
      </c>
      <c r="IC158" s="10" t="str">
        <f t="shared" si="356"/>
        <v xml:space="preserve"> </v>
      </c>
      <c r="ID158" s="10" t="str">
        <f t="shared" si="356"/>
        <v xml:space="preserve"> </v>
      </c>
      <c r="IE158" s="10" t="str">
        <f t="shared" si="356"/>
        <v xml:space="preserve"> </v>
      </c>
      <c r="IF158" s="10" t="str">
        <f t="shared" si="356"/>
        <v xml:space="preserve"> </v>
      </c>
      <c r="IG158" s="10" t="str">
        <f t="shared" si="356"/>
        <v xml:space="preserve"> </v>
      </c>
      <c r="IJ158" s="10" t="str">
        <f t="shared" si="357"/>
        <v xml:space="preserve"> </v>
      </c>
      <c r="IK158" s="10" t="str">
        <f t="shared" si="357"/>
        <v xml:space="preserve"> </v>
      </c>
      <c r="IL158" s="10" t="str">
        <f t="shared" si="357"/>
        <v xml:space="preserve"> </v>
      </c>
      <c r="IM158" s="10" t="str">
        <f t="shared" si="357"/>
        <v xml:space="preserve"> </v>
      </c>
      <c r="IN158" s="10" t="str">
        <f t="shared" si="357"/>
        <v xml:space="preserve"> </v>
      </c>
      <c r="IQ158" s="10" t="str">
        <f t="shared" si="358"/>
        <v xml:space="preserve"> </v>
      </c>
      <c r="IR158" s="10" t="str">
        <f t="shared" si="358"/>
        <v xml:space="preserve"> </v>
      </c>
      <c r="IS158" s="10" t="str">
        <f t="shared" si="358"/>
        <v xml:space="preserve"> </v>
      </c>
      <c r="IT158" s="10" t="str">
        <f t="shared" si="358"/>
        <v xml:space="preserve"> </v>
      </c>
      <c r="IU158" s="10" t="str">
        <f t="shared" si="358"/>
        <v xml:space="preserve"> </v>
      </c>
      <c r="IX158" s="10" t="str">
        <f t="shared" si="359"/>
        <v xml:space="preserve"> </v>
      </c>
      <c r="IY158" s="10" t="str">
        <f t="shared" si="359"/>
        <v xml:space="preserve"> </v>
      </c>
      <c r="IZ158" s="10" t="str">
        <f t="shared" si="359"/>
        <v xml:space="preserve"> </v>
      </c>
      <c r="JA158" s="10" t="str">
        <f t="shared" si="359"/>
        <v xml:space="preserve"> </v>
      </c>
      <c r="JB158" s="10" t="str">
        <f t="shared" si="359"/>
        <v xml:space="preserve"> </v>
      </c>
      <c r="JE158" s="10" t="str">
        <f t="shared" si="360"/>
        <v xml:space="preserve"> </v>
      </c>
      <c r="JF158" s="10" t="str">
        <f t="shared" si="360"/>
        <v xml:space="preserve"> </v>
      </c>
      <c r="JG158" s="10" t="str">
        <f t="shared" si="360"/>
        <v xml:space="preserve"> </v>
      </c>
      <c r="JH158" s="10" t="str">
        <f t="shared" si="360"/>
        <v xml:space="preserve"> </v>
      </c>
      <c r="JI158" s="10" t="str">
        <f t="shared" si="360"/>
        <v xml:space="preserve"> </v>
      </c>
    </row>
    <row r="159" spans="13:269">
      <c r="M159" s="10" t="str">
        <f t="shared" si="361"/>
        <v xml:space="preserve"> </v>
      </c>
      <c r="N159" s="10" t="str">
        <f t="shared" si="361"/>
        <v xml:space="preserve"> </v>
      </c>
      <c r="O159" s="10" t="str">
        <f t="shared" si="361"/>
        <v xml:space="preserve"> </v>
      </c>
      <c r="P159" s="10" t="str">
        <f t="shared" si="361"/>
        <v xml:space="preserve"> </v>
      </c>
      <c r="Q159" s="10" t="str">
        <f t="shared" si="361"/>
        <v xml:space="preserve"> </v>
      </c>
      <c r="R159" s="14"/>
      <c r="S159" s="14"/>
      <c r="T159" s="10" t="str">
        <f t="shared" si="325"/>
        <v xml:space="preserve"> </v>
      </c>
      <c r="U159" s="10" t="str">
        <f t="shared" si="325"/>
        <v xml:space="preserve"> </v>
      </c>
      <c r="V159" s="10" t="str">
        <f t="shared" si="325"/>
        <v xml:space="preserve"> </v>
      </c>
      <c r="W159" s="10" t="str">
        <f t="shared" si="325"/>
        <v xml:space="preserve"> </v>
      </c>
      <c r="X159" s="10" t="str">
        <f t="shared" si="325"/>
        <v xml:space="preserve"> </v>
      </c>
      <c r="Y159" s="14"/>
      <c r="Z159" s="14"/>
      <c r="AA159" s="10" t="str">
        <f t="shared" si="326"/>
        <v xml:space="preserve"> </v>
      </c>
      <c r="AB159" s="10" t="str">
        <f t="shared" si="326"/>
        <v xml:space="preserve"> </v>
      </c>
      <c r="AC159" s="10" t="str">
        <f t="shared" si="326"/>
        <v xml:space="preserve"> </v>
      </c>
      <c r="AD159" s="10" t="str">
        <f t="shared" si="326"/>
        <v xml:space="preserve"> </v>
      </c>
      <c r="AE159" s="10" t="str">
        <f t="shared" si="326"/>
        <v xml:space="preserve"> </v>
      </c>
      <c r="AF159" s="14"/>
      <c r="AG159" s="14"/>
      <c r="AH159" s="10" t="str">
        <f t="shared" si="327"/>
        <v xml:space="preserve"> </v>
      </c>
      <c r="AI159" s="10" t="str">
        <f t="shared" si="327"/>
        <v xml:space="preserve"> </v>
      </c>
      <c r="AJ159" s="10" t="str">
        <f t="shared" si="327"/>
        <v xml:space="preserve"> </v>
      </c>
      <c r="AK159" s="10" t="str">
        <f t="shared" si="327"/>
        <v xml:space="preserve"> </v>
      </c>
      <c r="AL159" s="10" t="str">
        <f t="shared" si="327"/>
        <v xml:space="preserve"> </v>
      </c>
      <c r="AM159" s="14"/>
      <c r="AN159" s="14"/>
      <c r="AO159" s="10" t="str">
        <f t="shared" si="328"/>
        <v xml:space="preserve"> </v>
      </c>
      <c r="AP159" s="10" t="str">
        <f t="shared" si="328"/>
        <v xml:space="preserve"> </v>
      </c>
      <c r="AQ159" s="10" t="str">
        <f t="shared" si="328"/>
        <v xml:space="preserve"> </v>
      </c>
      <c r="AR159" s="10" t="str">
        <f t="shared" si="328"/>
        <v xml:space="preserve"> </v>
      </c>
      <c r="AS159" s="10" t="str">
        <f t="shared" si="328"/>
        <v xml:space="preserve"> </v>
      </c>
      <c r="AT159" s="14"/>
      <c r="AU159" s="14"/>
      <c r="AV159" s="10" t="str">
        <f t="shared" si="329"/>
        <v xml:space="preserve"> </v>
      </c>
      <c r="AW159" s="10" t="str">
        <f t="shared" si="329"/>
        <v xml:space="preserve"> </v>
      </c>
      <c r="AX159" s="10" t="str">
        <f t="shared" si="329"/>
        <v xml:space="preserve"> </v>
      </c>
      <c r="AY159" s="10" t="str">
        <f t="shared" si="329"/>
        <v xml:space="preserve"> </v>
      </c>
      <c r="AZ159" s="10" t="str">
        <f t="shared" si="329"/>
        <v xml:space="preserve"> </v>
      </c>
      <c r="BA159" s="14"/>
      <c r="BB159" s="14"/>
      <c r="BC159" s="10" t="str">
        <f t="shared" si="330"/>
        <v xml:space="preserve"> </v>
      </c>
      <c r="BD159" s="10" t="str">
        <f t="shared" si="330"/>
        <v xml:space="preserve"> </v>
      </c>
      <c r="BE159" s="10" t="str">
        <f t="shared" si="330"/>
        <v xml:space="preserve"> </v>
      </c>
      <c r="BF159" s="10" t="str">
        <f t="shared" si="330"/>
        <v xml:space="preserve"> </v>
      </c>
      <c r="BG159" s="10" t="str">
        <f t="shared" si="330"/>
        <v xml:space="preserve"> </v>
      </c>
      <c r="BH159" s="14"/>
      <c r="BI159" s="14"/>
      <c r="BJ159" s="10" t="str">
        <f t="shared" si="331"/>
        <v xml:space="preserve"> </v>
      </c>
      <c r="BK159" s="10" t="str">
        <f t="shared" si="331"/>
        <v xml:space="preserve"> </v>
      </c>
      <c r="BL159" s="10" t="str">
        <f t="shared" si="331"/>
        <v xml:space="preserve"> </v>
      </c>
      <c r="BM159" s="10" t="str">
        <f t="shared" si="331"/>
        <v xml:space="preserve"> </v>
      </c>
      <c r="BN159" s="10" t="str">
        <f t="shared" si="331"/>
        <v xml:space="preserve"> </v>
      </c>
      <c r="BO159" s="14"/>
      <c r="BP159" s="14"/>
      <c r="BQ159" s="10" t="str">
        <f t="shared" si="332"/>
        <v xml:space="preserve"> </v>
      </c>
      <c r="BR159" s="10" t="str">
        <f t="shared" si="332"/>
        <v xml:space="preserve"> </v>
      </c>
      <c r="BS159" s="10" t="str">
        <f t="shared" si="332"/>
        <v xml:space="preserve"> </v>
      </c>
      <c r="BT159" s="10" t="str">
        <f t="shared" si="332"/>
        <v xml:space="preserve"> </v>
      </c>
      <c r="BU159" s="10" t="str">
        <f t="shared" si="332"/>
        <v xml:space="preserve"> </v>
      </c>
      <c r="BV159" s="14"/>
      <c r="BW159" s="14"/>
      <c r="BX159" s="10" t="str">
        <f t="shared" si="333"/>
        <v xml:space="preserve"> </v>
      </c>
      <c r="BY159" s="10" t="str">
        <f t="shared" si="333"/>
        <v xml:space="preserve"> </v>
      </c>
      <c r="BZ159" s="10" t="str">
        <f t="shared" si="333"/>
        <v xml:space="preserve"> </v>
      </c>
      <c r="CA159" s="10" t="str">
        <f t="shared" si="333"/>
        <v xml:space="preserve"> </v>
      </c>
      <c r="CB159" s="10" t="str">
        <f t="shared" si="333"/>
        <v xml:space="preserve"> </v>
      </c>
      <c r="CC159" s="14"/>
      <c r="CD159" s="14"/>
      <c r="CE159" s="10" t="str">
        <f t="shared" si="334"/>
        <v xml:space="preserve"> </v>
      </c>
      <c r="CF159" s="10" t="str">
        <f t="shared" si="334"/>
        <v xml:space="preserve"> </v>
      </c>
      <c r="CG159" s="10" t="str">
        <f t="shared" si="334"/>
        <v xml:space="preserve"> </v>
      </c>
      <c r="CH159" s="10" t="str">
        <f t="shared" si="334"/>
        <v xml:space="preserve"> </v>
      </c>
      <c r="CI159" s="10" t="str">
        <f t="shared" si="334"/>
        <v xml:space="preserve"> </v>
      </c>
      <c r="CJ159" s="14"/>
      <c r="CK159" s="14"/>
      <c r="CL159" s="10" t="str">
        <f t="shared" si="335"/>
        <v xml:space="preserve"> </v>
      </c>
      <c r="CM159" s="10" t="str">
        <f t="shared" si="335"/>
        <v xml:space="preserve"> </v>
      </c>
      <c r="CN159" s="10" t="str">
        <f t="shared" si="335"/>
        <v xml:space="preserve"> </v>
      </c>
      <c r="CO159" s="10" t="str">
        <f t="shared" si="335"/>
        <v xml:space="preserve"> </v>
      </c>
      <c r="CP159" s="10" t="str">
        <f t="shared" si="335"/>
        <v xml:space="preserve"> </v>
      </c>
      <c r="CQ159" s="14"/>
      <c r="CR159" s="14"/>
      <c r="CS159" s="10" t="str">
        <f t="shared" si="336"/>
        <v xml:space="preserve"> </v>
      </c>
      <c r="CT159" s="10" t="str">
        <f t="shared" si="336"/>
        <v xml:space="preserve"> </v>
      </c>
      <c r="CU159" s="10" t="str">
        <f t="shared" si="336"/>
        <v xml:space="preserve"> </v>
      </c>
      <c r="CV159" s="10" t="str">
        <f t="shared" si="336"/>
        <v xml:space="preserve"> </v>
      </c>
      <c r="CW159" s="10" t="str">
        <f t="shared" si="336"/>
        <v xml:space="preserve"> </v>
      </c>
      <c r="CZ159" s="10" t="str">
        <f t="shared" si="337"/>
        <v xml:space="preserve"> </v>
      </c>
      <c r="DA159" s="10" t="str">
        <f t="shared" si="337"/>
        <v xml:space="preserve"> </v>
      </c>
      <c r="DB159" s="10" t="str">
        <f t="shared" si="337"/>
        <v xml:space="preserve"> </v>
      </c>
      <c r="DC159" s="10" t="str">
        <f t="shared" si="337"/>
        <v xml:space="preserve"> </v>
      </c>
      <c r="DD159" s="10" t="str">
        <f t="shared" si="337"/>
        <v xml:space="preserve"> </v>
      </c>
      <c r="DG159" s="10" t="str">
        <f t="shared" si="338"/>
        <v xml:space="preserve"> </v>
      </c>
      <c r="DH159" s="10" t="str">
        <f t="shared" si="338"/>
        <v xml:space="preserve"> </v>
      </c>
      <c r="DI159" s="10" t="str">
        <f t="shared" si="338"/>
        <v xml:space="preserve"> </v>
      </c>
      <c r="DJ159" s="10" t="str">
        <f t="shared" si="338"/>
        <v xml:space="preserve"> </v>
      </c>
      <c r="DK159" s="10" t="str">
        <f t="shared" si="338"/>
        <v xml:space="preserve"> </v>
      </c>
      <c r="DN159" s="10" t="str">
        <f t="shared" si="339"/>
        <v xml:space="preserve"> </v>
      </c>
      <c r="DO159" s="10" t="str">
        <f t="shared" si="339"/>
        <v xml:space="preserve"> </v>
      </c>
      <c r="DP159" s="10" t="str">
        <f t="shared" si="339"/>
        <v xml:space="preserve"> </v>
      </c>
      <c r="DQ159" s="10" t="str">
        <f t="shared" si="339"/>
        <v xml:space="preserve"> </v>
      </c>
      <c r="DR159" s="10" t="str">
        <f t="shared" si="339"/>
        <v xml:space="preserve"> </v>
      </c>
      <c r="DU159" s="10" t="str">
        <f t="shared" si="340"/>
        <v xml:space="preserve"> </v>
      </c>
      <c r="DV159" s="10" t="str">
        <f t="shared" si="340"/>
        <v xml:space="preserve"> </v>
      </c>
      <c r="DW159" s="10" t="str">
        <f t="shared" si="340"/>
        <v xml:space="preserve"> </v>
      </c>
      <c r="DX159" s="10" t="str">
        <f t="shared" si="340"/>
        <v xml:space="preserve"> </v>
      </c>
      <c r="DY159" s="10" t="str">
        <f t="shared" si="340"/>
        <v xml:space="preserve"> </v>
      </c>
      <c r="EB159" s="10" t="str">
        <f t="shared" si="341"/>
        <v xml:space="preserve"> </v>
      </c>
      <c r="EC159" s="10" t="str">
        <f t="shared" si="341"/>
        <v xml:space="preserve"> </v>
      </c>
      <c r="ED159" s="10" t="str">
        <f t="shared" si="341"/>
        <v xml:space="preserve"> </v>
      </c>
      <c r="EE159" s="10" t="str">
        <f t="shared" si="341"/>
        <v xml:space="preserve"> </v>
      </c>
      <c r="EF159" s="10" t="str">
        <f t="shared" si="341"/>
        <v xml:space="preserve"> </v>
      </c>
      <c r="EI159" s="10" t="str">
        <f t="shared" si="342"/>
        <v xml:space="preserve"> </v>
      </c>
      <c r="EJ159" s="10" t="str">
        <f t="shared" si="342"/>
        <v xml:space="preserve"> </v>
      </c>
      <c r="EK159" s="10" t="str">
        <f t="shared" si="342"/>
        <v xml:space="preserve"> </v>
      </c>
      <c r="EL159" s="10" t="str">
        <f t="shared" si="342"/>
        <v xml:space="preserve"> </v>
      </c>
      <c r="EM159" s="10" t="str">
        <f t="shared" si="342"/>
        <v xml:space="preserve"> </v>
      </c>
      <c r="EP159" s="10" t="str">
        <f t="shared" si="343"/>
        <v xml:space="preserve"> </v>
      </c>
      <c r="EQ159" s="10" t="str">
        <f t="shared" si="343"/>
        <v xml:space="preserve"> </v>
      </c>
      <c r="ER159" s="10" t="str">
        <f t="shared" si="343"/>
        <v xml:space="preserve"> </v>
      </c>
      <c r="ES159" s="10" t="str">
        <f t="shared" si="343"/>
        <v xml:space="preserve"> </v>
      </c>
      <c r="ET159" s="10" t="str">
        <f t="shared" si="343"/>
        <v xml:space="preserve"> </v>
      </c>
      <c r="EW159" s="10" t="str">
        <f t="shared" si="344"/>
        <v xml:space="preserve"> </v>
      </c>
      <c r="EX159" s="10" t="str">
        <f t="shared" si="344"/>
        <v xml:space="preserve"> </v>
      </c>
      <c r="EY159" s="10" t="str">
        <f t="shared" si="344"/>
        <v xml:space="preserve"> </v>
      </c>
      <c r="EZ159" s="10" t="str">
        <f t="shared" si="344"/>
        <v xml:space="preserve"> </v>
      </c>
      <c r="FA159" s="10" t="str">
        <f t="shared" si="344"/>
        <v xml:space="preserve"> </v>
      </c>
      <c r="FD159" s="10" t="str">
        <f t="shared" si="345"/>
        <v xml:space="preserve"> </v>
      </c>
      <c r="FE159" s="10" t="str">
        <f t="shared" si="345"/>
        <v xml:space="preserve"> </v>
      </c>
      <c r="FF159" s="10" t="str">
        <f t="shared" si="345"/>
        <v xml:space="preserve"> </v>
      </c>
      <c r="FG159" s="10" t="str">
        <f t="shared" si="345"/>
        <v xml:space="preserve"> </v>
      </c>
      <c r="FH159" s="10" t="str">
        <f t="shared" si="345"/>
        <v xml:space="preserve"> </v>
      </c>
      <c r="FK159" s="10" t="str">
        <f t="shared" si="346"/>
        <v xml:space="preserve"> </v>
      </c>
      <c r="FL159" s="10" t="str">
        <f t="shared" si="346"/>
        <v xml:space="preserve"> </v>
      </c>
      <c r="FM159" s="10" t="str">
        <f t="shared" si="346"/>
        <v xml:space="preserve"> </v>
      </c>
      <c r="FN159" s="10" t="str">
        <f t="shared" si="346"/>
        <v xml:space="preserve"> </v>
      </c>
      <c r="FO159" s="10" t="str">
        <f t="shared" si="346"/>
        <v xml:space="preserve"> </v>
      </c>
      <c r="FR159" s="10" t="str">
        <f t="shared" si="347"/>
        <v xml:space="preserve"> </v>
      </c>
      <c r="FS159" s="10" t="str">
        <f t="shared" si="347"/>
        <v xml:space="preserve"> </v>
      </c>
      <c r="FT159" s="10" t="str">
        <f t="shared" si="347"/>
        <v xml:space="preserve"> </v>
      </c>
      <c r="FU159" s="10" t="str">
        <f t="shared" si="347"/>
        <v xml:space="preserve"> </v>
      </c>
      <c r="FV159" s="10" t="str">
        <f t="shared" si="347"/>
        <v xml:space="preserve"> </v>
      </c>
      <c r="FY159" s="10" t="str">
        <f t="shared" si="348"/>
        <v xml:space="preserve"> </v>
      </c>
      <c r="FZ159" s="10" t="str">
        <f t="shared" si="348"/>
        <v xml:space="preserve"> </v>
      </c>
      <c r="GA159" s="10" t="str">
        <f t="shared" si="348"/>
        <v xml:space="preserve"> </v>
      </c>
      <c r="GB159" s="10" t="str">
        <f t="shared" si="348"/>
        <v xml:space="preserve"> </v>
      </c>
      <c r="GC159" s="10" t="str">
        <f t="shared" si="348"/>
        <v xml:space="preserve"> </v>
      </c>
      <c r="GF159" s="10" t="str">
        <f t="shared" si="349"/>
        <v xml:space="preserve"> </v>
      </c>
      <c r="GG159" s="10" t="str">
        <f t="shared" si="349"/>
        <v xml:space="preserve"> </v>
      </c>
      <c r="GH159" s="10" t="str">
        <f t="shared" si="349"/>
        <v xml:space="preserve"> </v>
      </c>
      <c r="GI159" s="10" t="str">
        <f t="shared" si="349"/>
        <v xml:space="preserve"> </v>
      </c>
      <c r="GJ159" s="10" t="str">
        <f t="shared" si="349"/>
        <v xml:space="preserve"> </v>
      </c>
      <c r="GM159" s="10" t="str">
        <f t="shared" si="350"/>
        <v xml:space="preserve"> </v>
      </c>
      <c r="GN159" s="10" t="str">
        <f t="shared" si="350"/>
        <v xml:space="preserve"> </v>
      </c>
      <c r="GO159" s="10" t="str">
        <f t="shared" si="350"/>
        <v xml:space="preserve"> </v>
      </c>
      <c r="GP159" s="10" t="str">
        <f t="shared" si="350"/>
        <v xml:space="preserve"> </v>
      </c>
      <c r="GQ159" s="10" t="str">
        <f t="shared" si="350"/>
        <v xml:space="preserve"> </v>
      </c>
      <c r="GT159" s="10" t="str">
        <f t="shared" si="351"/>
        <v xml:space="preserve"> </v>
      </c>
      <c r="GU159" s="10" t="str">
        <f t="shared" si="351"/>
        <v xml:space="preserve"> </v>
      </c>
      <c r="GV159" s="10" t="str">
        <f t="shared" si="351"/>
        <v xml:space="preserve"> </v>
      </c>
      <c r="GW159" s="10" t="str">
        <f t="shared" si="351"/>
        <v xml:space="preserve"> </v>
      </c>
      <c r="GX159" s="10" t="str">
        <f t="shared" si="351"/>
        <v xml:space="preserve"> </v>
      </c>
      <c r="HA159" s="10" t="str">
        <f t="shared" si="352"/>
        <v xml:space="preserve"> </v>
      </c>
      <c r="HB159" s="10" t="str">
        <f t="shared" si="352"/>
        <v xml:space="preserve"> </v>
      </c>
      <c r="HC159" s="10" t="str">
        <f t="shared" si="352"/>
        <v xml:space="preserve"> </v>
      </c>
      <c r="HD159" s="10" t="str">
        <f t="shared" si="352"/>
        <v xml:space="preserve"> </v>
      </c>
      <c r="HE159" s="10" t="str">
        <f t="shared" si="352"/>
        <v xml:space="preserve"> </v>
      </c>
      <c r="HH159" s="10" t="str">
        <f t="shared" si="353"/>
        <v xml:space="preserve"> </v>
      </c>
      <c r="HI159" s="10" t="str">
        <f t="shared" si="353"/>
        <v xml:space="preserve"> </v>
      </c>
      <c r="HJ159" s="10" t="str">
        <f t="shared" si="353"/>
        <v xml:space="preserve"> </v>
      </c>
      <c r="HK159" s="10" t="str">
        <f t="shared" si="353"/>
        <v xml:space="preserve"> </v>
      </c>
      <c r="HL159" s="10" t="str">
        <f t="shared" si="353"/>
        <v xml:space="preserve"> </v>
      </c>
      <c r="HO159" s="10" t="str">
        <f t="shared" si="354"/>
        <v xml:space="preserve"> </v>
      </c>
      <c r="HP159" s="10" t="str">
        <f t="shared" si="354"/>
        <v xml:space="preserve"> </v>
      </c>
      <c r="HQ159" s="10" t="str">
        <f t="shared" si="354"/>
        <v xml:space="preserve"> </v>
      </c>
      <c r="HR159" s="10" t="str">
        <f t="shared" si="354"/>
        <v xml:space="preserve"> </v>
      </c>
      <c r="HS159" s="10" t="str">
        <f t="shared" si="354"/>
        <v xml:space="preserve"> </v>
      </c>
      <c r="HV159" s="10" t="str">
        <f t="shared" si="355"/>
        <v xml:space="preserve"> </v>
      </c>
      <c r="HW159" s="10" t="str">
        <f t="shared" si="355"/>
        <v xml:space="preserve"> </v>
      </c>
      <c r="HX159" s="10" t="str">
        <f t="shared" si="355"/>
        <v xml:space="preserve"> </v>
      </c>
      <c r="HY159" s="10" t="str">
        <f t="shared" si="355"/>
        <v xml:space="preserve"> </v>
      </c>
      <c r="HZ159" s="10" t="str">
        <f t="shared" si="355"/>
        <v xml:space="preserve"> </v>
      </c>
      <c r="IC159" s="10" t="str">
        <f t="shared" si="356"/>
        <v xml:space="preserve"> </v>
      </c>
      <c r="ID159" s="10" t="str">
        <f t="shared" si="356"/>
        <v xml:space="preserve"> </v>
      </c>
      <c r="IE159" s="10" t="str">
        <f t="shared" si="356"/>
        <v xml:space="preserve"> </v>
      </c>
      <c r="IF159" s="10" t="str">
        <f t="shared" si="356"/>
        <v xml:space="preserve"> </v>
      </c>
      <c r="IG159" s="10" t="str">
        <f t="shared" si="356"/>
        <v xml:space="preserve"> </v>
      </c>
      <c r="IJ159" s="10" t="str">
        <f t="shared" si="357"/>
        <v xml:space="preserve"> </v>
      </c>
      <c r="IK159" s="10" t="str">
        <f t="shared" si="357"/>
        <v xml:space="preserve"> </v>
      </c>
      <c r="IL159" s="10" t="str">
        <f t="shared" si="357"/>
        <v xml:space="preserve"> </v>
      </c>
      <c r="IM159" s="10" t="str">
        <f t="shared" si="357"/>
        <v xml:space="preserve"> </v>
      </c>
      <c r="IN159" s="10" t="str">
        <f t="shared" si="357"/>
        <v xml:space="preserve"> </v>
      </c>
      <c r="IQ159" s="10" t="str">
        <f t="shared" si="358"/>
        <v xml:space="preserve"> </v>
      </c>
      <c r="IR159" s="10" t="str">
        <f t="shared" si="358"/>
        <v xml:space="preserve"> </v>
      </c>
      <c r="IS159" s="10" t="str">
        <f t="shared" si="358"/>
        <v xml:space="preserve"> </v>
      </c>
      <c r="IT159" s="10" t="str">
        <f t="shared" si="358"/>
        <v xml:space="preserve"> </v>
      </c>
      <c r="IU159" s="10" t="str">
        <f t="shared" si="358"/>
        <v xml:space="preserve"> </v>
      </c>
      <c r="IX159" s="10" t="str">
        <f t="shared" si="359"/>
        <v xml:space="preserve"> </v>
      </c>
      <c r="IY159" s="10" t="str">
        <f t="shared" si="359"/>
        <v xml:space="preserve"> </v>
      </c>
      <c r="IZ159" s="10" t="str">
        <f t="shared" si="359"/>
        <v xml:space="preserve"> </v>
      </c>
      <c r="JA159" s="10" t="str">
        <f t="shared" si="359"/>
        <v xml:space="preserve"> </v>
      </c>
      <c r="JB159" s="10" t="str">
        <f t="shared" si="359"/>
        <v xml:space="preserve"> </v>
      </c>
      <c r="JE159" s="10" t="str">
        <f t="shared" si="360"/>
        <v xml:space="preserve"> </v>
      </c>
      <c r="JF159" s="10" t="str">
        <f t="shared" si="360"/>
        <v xml:space="preserve"> </v>
      </c>
      <c r="JG159" s="10" t="str">
        <f t="shared" si="360"/>
        <v xml:space="preserve"> </v>
      </c>
      <c r="JH159" s="10" t="str">
        <f t="shared" si="360"/>
        <v xml:space="preserve"> </v>
      </c>
      <c r="JI159" s="10" t="str">
        <f t="shared" si="360"/>
        <v xml:space="preserve"> </v>
      </c>
    </row>
    <row r="160" spans="13:269">
      <c r="M160" s="10" t="str">
        <f t="shared" si="361"/>
        <v xml:space="preserve"> </v>
      </c>
      <c r="N160" s="10" t="str">
        <f t="shared" si="361"/>
        <v xml:space="preserve"> </v>
      </c>
      <c r="O160" s="10" t="str">
        <f t="shared" si="361"/>
        <v xml:space="preserve"> </v>
      </c>
      <c r="P160" s="10" t="str">
        <f t="shared" si="361"/>
        <v xml:space="preserve"> </v>
      </c>
      <c r="Q160" s="10" t="str">
        <f t="shared" si="361"/>
        <v xml:space="preserve"> </v>
      </c>
      <c r="R160" s="14"/>
      <c r="S160" s="14"/>
      <c r="T160" s="10" t="str">
        <f t="shared" si="325"/>
        <v xml:space="preserve"> </v>
      </c>
      <c r="U160" s="10" t="str">
        <f t="shared" si="325"/>
        <v xml:space="preserve"> </v>
      </c>
      <c r="V160" s="10" t="str">
        <f t="shared" si="325"/>
        <v xml:space="preserve"> </v>
      </c>
      <c r="W160" s="10" t="str">
        <f t="shared" si="325"/>
        <v xml:space="preserve"> </v>
      </c>
      <c r="X160" s="10" t="str">
        <f t="shared" si="325"/>
        <v xml:space="preserve"> </v>
      </c>
      <c r="Y160" s="14"/>
      <c r="Z160" s="14"/>
      <c r="AA160" s="10" t="str">
        <f t="shared" si="326"/>
        <v xml:space="preserve"> </v>
      </c>
      <c r="AB160" s="10" t="str">
        <f t="shared" si="326"/>
        <v xml:space="preserve"> </v>
      </c>
      <c r="AC160" s="10" t="str">
        <f t="shared" si="326"/>
        <v xml:space="preserve"> </v>
      </c>
      <c r="AD160" s="10" t="str">
        <f t="shared" si="326"/>
        <v xml:space="preserve"> </v>
      </c>
      <c r="AE160" s="10" t="str">
        <f t="shared" si="326"/>
        <v xml:space="preserve"> </v>
      </c>
      <c r="AF160" s="14"/>
      <c r="AG160" s="14"/>
      <c r="AH160" s="10" t="str">
        <f t="shared" si="327"/>
        <v xml:space="preserve"> </v>
      </c>
      <c r="AI160" s="10" t="str">
        <f t="shared" si="327"/>
        <v xml:space="preserve"> </v>
      </c>
      <c r="AJ160" s="10" t="str">
        <f t="shared" si="327"/>
        <v xml:space="preserve"> </v>
      </c>
      <c r="AK160" s="10" t="str">
        <f t="shared" si="327"/>
        <v xml:space="preserve"> </v>
      </c>
      <c r="AL160" s="10" t="str">
        <f t="shared" si="327"/>
        <v xml:space="preserve"> </v>
      </c>
      <c r="AM160" s="14"/>
      <c r="AN160" s="14"/>
      <c r="AO160" s="10" t="str">
        <f t="shared" si="328"/>
        <v xml:space="preserve"> </v>
      </c>
      <c r="AP160" s="10" t="str">
        <f t="shared" si="328"/>
        <v xml:space="preserve"> </v>
      </c>
      <c r="AQ160" s="10" t="str">
        <f t="shared" si="328"/>
        <v xml:space="preserve"> </v>
      </c>
      <c r="AR160" s="10" t="str">
        <f t="shared" si="328"/>
        <v xml:space="preserve"> </v>
      </c>
      <c r="AS160" s="10" t="str">
        <f t="shared" si="328"/>
        <v xml:space="preserve"> </v>
      </c>
      <c r="AT160" s="14"/>
      <c r="AU160" s="14"/>
      <c r="AV160" s="10" t="str">
        <f t="shared" si="329"/>
        <v xml:space="preserve"> </v>
      </c>
      <c r="AW160" s="10" t="str">
        <f t="shared" si="329"/>
        <v xml:space="preserve"> </v>
      </c>
      <c r="AX160" s="10" t="str">
        <f t="shared" si="329"/>
        <v xml:space="preserve"> </v>
      </c>
      <c r="AY160" s="10" t="str">
        <f t="shared" si="329"/>
        <v xml:space="preserve"> </v>
      </c>
      <c r="AZ160" s="10" t="str">
        <f t="shared" si="329"/>
        <v xml:space="preserve"> </v>
      </c>
      <c r="BA160" s="14"/>
      <c r="BB160" s="14"/>
      <c r="BC160" s="10" t="str">
        <f t="shared" si="330"/>
        <v xml:space="preserve"> </v>
      </c>
      <c r="BD160" s="10" t="str">
        <f t="shared" si="330"/>
        <v xml:space="preserve"> </v>
      </c>
      <c r="BE160" s="10" t="str">
        <f t="shared" si="330"/>
        <v xml:space="preserve"> </v>
      </c>
      <c r="BF160" s="10" t="str">
        <f t="shared" si="330"/>
        <v xml:space="preserve"> </v>
      </c>
      <c r="BG160" s="10" t="str">
        <f t="shared" si="330"/>
        <v xml:space="preserve"> </v>
      </c>
      <c r="BH160" s="14"/>
      <c r="BI160" s="14"/>
      <c r="BJ160" s="10" t="str">
        <f t="shared" si="331"/>
        <v xml:space="preserve"> </v>
      </c>
      <c r="BK160" s="10" t="str">
        <f t="shared" si="331"/>
        <v xml:space="preserve"> </v>
      </c>
      <c r="BL160" s="10" t="str">
        <f t="shared" si="331"/>
        <v xml:space="preserve"> </v>
      </c>
      <c r="BM160" s="10" t="str">
        <f t="shared" si="331"/>
        <v xml:space="preserve"> </v>
      </c>
      <c r="BN160" s="10" t="str">
        <f t="shared" si="331"/>
        <v xml:space="preserve"> </v>
      </c>
      <c r="BO160" s="14"/>
      <c r="BP160" s="14"/>
      <c r="BQ160" s="10" t="str">
        <f t="shared" si="332"/>
        <v xml:space="preserve"> </v>
      </c>
      <c r="BR160" s="10" t="str">
        <f t="shared" si="332"/>
        <v xml:space="preserve"> </v>
      </c>
      <c r="BS160" s="10" t="str">
        <f t="shared" si="332"/>
        <v xml:space="preserve"> </v>
      </c>
      <c r="BT160" s="10" t="str">
        <f t="shared" si="332"/>
        <v xml:space="preserve"> </v>
      </c>
      <c r="BU160" s="10" t="str">
        <f t="shared" si="332"/>
        <v xml:space="preserve"> </v>
      </c>
      <c r="BV160" s="14"/>
      <c r="BW160" s="14"/>
      <c r="BX160" s="10" t="str">
        <f t="shared" si="333"/>
        <v xml:space="preserve"> </v>
      </c>
      <c r="BY160" s="10" t="str">
        <f t="shared" si="333"/>
        <v xml:space="preserve"> </v>
      </c>
      <c r="BZ160" s="10" t="str">
        <f t="shared" si="333"/>
        <v xml:space="preserve"> </v>
      </c>
      <c r="CA160" s="10" t="str">
        <f t="shared" si="333"/>
        <v xml:space="preserve"> </v>
      </c>
      <c r="CB160" s="10" t="str">
        <f t="shared" si="333"/>
        <v xml:space="preserve"> </v>
      </c>
      <c r="CC160" s="14"/>
      <c r="CD160" s="14"/>
      <c r="CE160" s="10" t="str">
        <f t="shared" si="334"/>
        <v xml:space="preserve"> </v>
      </c>
      <c r="CF160" s="10" t="str">
        <f t="shared" si="334"/>
        <v xml:space="preserve"> </v>
      </c>
      <c r="CG160" s="10" t="str">
        <f t="shared" si="334"/>
        <v xml:space="preserve"> </v>
      </c>
      <c r="CH160" s="10" t="str">
        <f t="shared" si="334"/>
        <v xml:space="preserve"> </v>
      </c>
      <c r="CI160" s="10" t="str">
        <f t="shared" si="334"/>
        <v xml:space="preserve"> </v>
      </c>
      <c r="CJ160" s="14"/>
      <c r="CK160" s="14"/>
      <c r="CL160" s="10" t="str">
        <f t="shared" si="335"/>
        <v xml:space="preserve"> </v>
      </c>
      <c r="CM160" s="10" t="str">
        <f t="shared" si="335"/>
        <v xml:space="preserve"> </v>
      </c>
      <c r="CN160" s="10" t="str">
        <f t="shared" si="335"/>
        <v xml:space="preserve"> </v>
      </c>
      <c r="CO160" s="10" t="str">
        <f t="shared" si="335"/>
        <v xml:space="preserve"> </v>
      </c>
      <c r="CP160" s="10" t="str">
        <f t="shared" si="335"/>
        <v xml:space="preserve"> </v>
      </c>
      <c r="CQ160" s="14"/>
      <c r="CR160" s="14"/>
      <c r="CS160" s="10" t="str">
        <f t="shared" si="336"/>
        <v xml:space="preserve"> </v>
      </c>
      <c r="CT160" s="10" t="str">
        <f t="shared" si="336"/>
        <v xml:space="preserve"> </v>
      </c>
      <c r="CU160" s="10" t="str">
        <f t="shared" si="336"/>
        <v xml:space="preserve"> </v>
      </c>
      <c r="CV160" s="10" t="str">
        <f t="shared" si="336"/>
        <v xml:space="preserve"> </v>
      </c>
      <c r="CW160" s="10" t="str">
        <f t="shared" si="336"/>
        <v xml:space="preserve"> </v>
      </c>
      <c r="CZ160" s="10" t="str">
        <f t="shared" si="337"/>
        <v xml:space="preserve"> </v>
      </c>
      <c r="DA160" s="10" t="str">
        <f t="shared" si="337"/>
        <v xml:space="preserve"> </v>
      </c>
      <c r="DB160" s="10" t="str">
        <f t="shared" si="337"/>
        <v xml:space="preserve"> </v>
      </c>
      <c r="DC160" s="10" t="str">
        <f t="shared" si="337"/>
        <v xml:space="preserve"> </v>
      </c>
      <c r="DD160" s="10" t="str">
        <f t="shared" si="337"/>
        <v xml:space="preserve"> </v>
      </c>
      <c r="DG160" s="10" t="str">
        <f t="shared" si="338"/>
        <v xml:space="preserve"> </v>
      </c>
      <c r="DH160" s="10" t="str">
        <f t="shared" si="338"/>
        <v xml:space="preserve"> </v>
      </c>
      <c r="DI160" s="10" t="str">
        <f t="shared" si="338"/>
        <v xml:space="preserve"> </v>
      </c>
      <c r="DJ160" s="10" t="str">
        <f t="shared" si="338"/>
        <v xml:space="preserve"> </v>
      </c>
      <c r="DK160" s="10" t="str">
        <f t="shared" si="338"/>
        <v xml:space="preserve"> </v>
      </c>
      <c r="DN160" s="10" t="str">
        <f t="shared" si="339"/>
        <v xml:space="preserve"> </v>
      </c>
      <c r="DO160" s="10" t="str">
        <f t="shared" si="339"/>
        <v xml:space="preserve"> </v>
      </c>
      <c r="DP160" s="10" t="str">
        <f t="shared" si="339"/>
        <v xml:space="preserve"> </v>
      </c>
      <c r="DQ160" s="10" t="str">
        <f t="shared" si="339"/>
        <v xml:space="preserve"> </v>
      </c>
      <c r="DR160" s="10" t="str">
        <f t="shared" si="339"/>
        <v xml:space="preserve"> </v>
      </c>
      <c r="DU160" s="10" t="str">
        <f t="shared" si="340"/>
        <v xml:space="preserve"> </v>
      </c>
      <c r="DV160" s="10" t="str">
        <f t="shared" si="340"/>
        <v xml:space="preserve"> </v>
      </c>
      <c r="DW160" s="10" t="str">
        <f t="shared" si="340"/>
        <v xml:space="preserve"> </v>
      </c>
      <c r="DX160" s="10" t="str">
        <f t="shared" si="340"/>
        <v xml:space="preserve"> </v>
      </c>
      <c r="DY160" s="10" t="str">
        <f t="shared" si="340"/>
        <v xml:space="preserve"> </v>
      </c>
      <c r="EB160" s="10" t="str">
        <f t="shared" si="341"/>
        <v xml:space="preserve"> </v>
      </c>
      <c r="EC160" s="10" t="str">
        <f t="shared" si="341"/>
        <v xml:space="preserve"> </v>
      </c>
      <c r="ED160" s="10" t="str">
        <f t="shared" si="341"/>
        <v xml:space="preserve"> </v>
      </c>
      <c r="EE160" s="10" t="str">
        <f t="shared" si="341"/>
        <v xml:space="preserve"> </v>
      </c>
      <c r="EF160" s="10" t="str">
        <f t="shared" si="341"/>
        <v xml:space="preserve"> </v>
      </c>
      <c r="EI160" s="10" t="str">
        <f t="shared" si="342"/>
        <v xml:space="preserve"> </v>
      </c>
      <c r="EJ160" s="10" t="str">
        <f t="shared" si="342"/>
        <v xml:space="preserve"> </v>
      </c>
      <c r="EK160" s="10" t="str">
        <f t="shared" si="342"/>
        <v xml:space="preserve"> </v>
      </c>
      <c r="EL160" s="10" t="str">
        <f t="shared" si="342"/>
        <v xml:space="preserve"> </v>
      </c>
      <c r="EM160" s="10" t="str">
        <f t="shared" si="342"/>
        <v xml:space="preserve"> </v>
      </c>
      <c r="EP160" s="10" t="str">
        <f t="shared" si="343"/>
        <v xml:space="preserve"> </v>
      </c>
      <c r="EQ160" s="10" t="str">
        <f t="shared" si="343"/>
        <v xml:space="preserve"> </v>
      </c>
      <c r="ER160" s="10" t="str">
        <f t="shared" si="343"/>
        <v xml:space="preserve"> </v>
      </c>
      <c r="ES160" s="10" t="str">
        <f t="shared" si="343"/>
        <v xml:space="preserve"> </v>
      </c>
      <c r="ET160" s="10" t="str">
        <f t="shared" si="343"/>
        <v xml:space="preserve"> </v>
      </c>
      <c r="EW160" s="10" t="str">
        <f t="shared" si="344"/>
        <v xml:space="preserve"> </v>
      </c>
      <c r="EX160" s="10" t="str">
        <f t="shared" si="344"/>
        <v xml:space="preserve"> </v>
      </c>
      <c r="EY160" s="10" t="str">
        <f t="shared" si="344"/>
        <v xml:space="preserve"> </v>
      </c>
      <c r="EZ160" s="10" t="str">
        <f t="shared" si="344"/>
        <v xml:space="preserve"> </v>
      </c>
      <c r="FA160" s="10" t="str">
        <f t="shared" si="344"/>
        <v xml:space="preserve"> </v>
      </c>
      <c r="FD160" s="10" t="str">
        <f t="shared" si="345"/>
        <v xml:space="preserve"> </v>
      </c>
      <c r="FE160" s="10" t="str">
        <f t="shared" si="345"/>
        <v xml:space="preserve"> </v>
      </c>
      <c r="FF160" s="10" t="str">
        <f t="shared" si="345"/>
        <v xml:space="preserve"> </v>
      </c>
      <c r="FG160" s="10" t="str">
        <f t="shared" si="345"/>
        <v xml:space="preserve"> </v>
      </c>
      <c r="FH160" s="10" t="str">
        <f t="shared" si="345"/>
        <v xml:space="preserve"> </v>
      </c>
      <c r="FK160" s="10" t="str">
        <f t="shared" si="346"/>
        <v xml:space="preserve"> </v>
      </c>
      <c r="FL160" s="10" t="str">
        <f t="shared" si="346"/>
        <v xml:space="preserve"> </v>
      </c>
      <c r="FM160" s="10" t="str">
        <f t="shared" si="346"/>
        <v xml:space="preserve"> </v>
      </c>
      <c r="FN160" s="10" t="str">
        <f t="shared" si="346"/>
        <v xml:space="preserve"> </v>
      </c>
      <c r="FO160" s="10" t="str">
        <f t="shared" si="346"/>
        <v xml:space="preserve"> </v>
      </c>
      <c r="FR160" s="10" t="str">
        <f t="shared" si="347"/>
        <v xml:space="preserve"> </v>
      </c>
      <c r="FS160" s="10" t="str">
        <f t="shared" si="347"/>
        <v xml:space="preserve"> </v>
      </c>
      <c r="FT160" s="10" t="str">
        <f t="shared" si="347"/>
        <v xml:space="preserve"> </v>
      </c>
      <c r="FU160" s="10" t="str">
        <f t="shared" si="347"/>
        <v xml:space="preserve"> </v>
      </c>
      <c r="FV160" s="10" t="str">
        <f t="shared" si="347"/>
        <v xml:space="preserve"> </v>
      </c>
      <c r="FY160" s="10" t="str">
        <f t="shared" si="348"/>
        <v xml:space="preserve"> </v>
      </c>
      <c r="FZ160" s="10" t="str">
        <f t="shared" si="348"/>
        <v xml:space="preserve"> </v>
      </c>
      <c r="GA160" s="10" t="str">
        <f t="shared" si="348"/>
        <v xml:space="preserve"> </v>
      </c>
      <c r="GB160" s="10" t="str">
        <f t="shared" si="348"/>
        <v xml:space="preserve"> </v>
      </c>
      <c r="GC160" s="10" t="str">
        <f t="shared" si="348"/>
        <v xml:space="preserve"> </v>
      </c>
      <c r="GF160" s="10" t="str">
        <f t="shared" si="349"/>
        <v xml:space="preserve"> </v>
      </c>
      <c r="GG160" s="10" t="str">
        <f t="shared" si="349"/>
        <v xml:space="preserve"> </v>
      </c>
      <c r="GH160" s="10" t="str">
        <f t="shared" si="349"/>
        <v xml:space="preserve"> </v>
      </c>
      <c r="GI160" s="10" t="str">
        <f t="shared" si="349"/>
        <v xml:space="preserve"> </v>
      </c>
      <c r="GJ160" s="10" t="str">
        <f t="shared" si="349"/>
        <v xml:space="preserve"> </v>
      </c>
      <c r="GM160" s="10" t="str">
        <f t="shared" si="350"/>
        <v xml:space="preserve"> </v>
      </c>
      <c r="GN160" s="10" t="str">
        <f t="shared" si="350"/>
        <v xml:space="preserve"> </v>
      </c>
      <c r="GO160" s="10" t="str">
        <f t="shared" si="350"/>
        <v xml:space="preserve"> </v>
      </c>
      <c r="GP160" s="10" t="str">
        <f t="shared" si="350"/>
        <v xml:space="preserve"> </v>
      </c>
      <c r="GQ160" s="10" t="str">
        <f t="shared" si="350"/>
        <v xml:space="preserve"> </v>
      </c>
      <c r="GT160" s="10" t="str">
        <f t="shared" si="351"/>
        <v xml:space="preserve"> </v>
      </c>
      <c r="GU160" s="10" t="str">
        <f t="shared" si="351"/>
        <v xml:space="preserve"> </v>
      </c>
      <c r="GV160" s="10" t="str">
        <f t="shared" si="351"/>
        <v xml:space="preserve"> </v>
      </c>
      <c r="GW160" s="10" t="str">
        <f t="shared" si="351"/>
        <v xml:space="preserve"> </v>
      </c>
      <c r="GX160" s="10" t="str">
        <f t="shared" si="351"/>
        <v xml:space="preserve"> </v>
      </c>
      <c r="HA160" s="10" t="str">
        <f t="shared" si="352"/>
        <v xml:space="preserve"> </v>
      </c>
      <c r="HB160" s="10" t="str">
        <f t="shared" si="352"/>
        <v xml:space="preserve"> </v>
      </c>
      <c r="HC160" s="10" t="str">
        <f t="shared" si="352"/>
        <v xml:space="preserve"> </v>
      </c>
      <c r="HD160" s="10" t="str">
        <f t="shared" si="352"/>
        <v xml:space="preserve"> </v>
      </c>
      <c r="HE160" s="10" t="str">
        <f t="shared" si="352"/>
        <v xml:space="preserve"> </v>
      </c>
      <c r="HH160" s="10" t="str">
        <f t="shared" si="353"/>
        <v xml:space="preserve"> </v>
      </c>
      <c r="HI160" s="10" t="str">
        <f t="shared" si="353"/>
        <v xml:space="preserve"> </v>
      </c>
      <c r="HJ160" s="10" t="str">
        <f t="shared" si="353"/>
        <v xml:space="preserve"> </v>
      </c>
      <c r="HK160" s="10" t="str">
        <f t="shared" si="353"/>
        <v xml:space="preserve"> </v>
      </c>
      <c r="HL160" s="10" t="str">
        <f t="shared" si="353"/>
        <v xml:space="preserve"> </v>
      </c>
      <c r="HO160" s="10" t="str">
        <f t="shared" si="354"/>
        <v xml:space="preserve"> </v>
      </c>
      <c r="HP160" s="10" t="str">
        <f t="shared" si="354"/>
        <v xml:space="preserve"> </v>
      </c>
      <c r="HQ160" s="10" t="str">
        <f t="shared" si="354"/>
        <v xml:space="preserve"> </v>
      </c>
      <c r="HR160" s="10" t="str">
        <f t="shared" si="354"/>
        <v xml:space="preserve"> </v>
      </c>
      <c r="HS160" s="10" t="str">
        <f t="shared" si="354"/>
        <v xml:space="preserve"> </v>
      </c>
      <c r="HV160" s="10" t="str">
        <f t="shared" si="355"/>
        <v xml:space="preserve"> </v>
      </c>
      <c r="HW160" s="10" t="str">
        <f t="shared" si="355"/>
        <v xml:space="preserve"> </v>
      </c>
      <c r="HX160" s="10" t="str">
        <f t="shared" si="355"/>
        <v xml:space="preserve"> </v>
      </c>
      <c r="HY160" s="10" t="str">
        <f t="shared" si="355"/>
        <v xml:space="preserve"> </v>
      </c>
      <c r="HZ160" s="10" t="str">
        <f t="shared" si="355"/>
        <v xml:space="preserve"> </v>
      </c>
      <c r="IC160" s="10" t="str">
        <f t="shared" si="356"/>
        <v xml:space="preserve"> </v>
      </c>
      <c r="ID160" s="10" t="str">
        <f t="shared" si="356"/>
        <v xml:space="preserve"> </v>
      </c>
      <c r="IE160" s="10" t="str">
        <f t="shared" si="356"/>
        <v xml:space="preserve"> </v>
      </c>
      <c r="IF160" s="10" t="str">
        <f t="shared" si="356"/>
        <v xml:space="preserve"> </v>
      </c>
      <c r="IG160" s="10" t="str">
        <f t="shared" si="356"/>
        <v xml:space="preserve"> </v>
      </c>
      <c r="IJ160" s="10" t="str">
        <f t="shared" si="357"/>
        <v xml:space="preserve"> </v>
      </c>
      <c r="IK160" s="10" t="str">
        <f t="shared" si="357"/>
        <v xml:space="preserve"> </v>
      </c>
      <c r="IL160" s="10" t="str">
        <f t="shared" si="357"/>
        <v xml:space="preserve"> </v>
      </c>
      <c r="IM160" s="10" t="str">
        <f t="shared" si="357"/>
        <v xml:space="preserve"> </v>
      </c>
      <c r="IN160" s="10" t="str">
        <f t="shared" si="357"/>
        <v xml:space="preserve"> </v>
      </c>
      <c r="IQ160" s="10" t="str">
        <f t="shared" si="358"/>
        <v xml:space="preserve"> </v>
      </c>
      <c r="IR160" s="10" t="str">
        <f t="shared" si="358"/>
        <v xml:space="preserve"> </v>
      </c>
      <c r="IS160" s="10" t="str">
        <f t="shared" si="358"/>
        <v xml:space="preserve"> </v>
      </c>
      <c r="IT160" s="10" t="str">
        <f t="shared" si="358"/>
        <v xml:space="preserve"> </v>
      </c>
      <c r="IU160" s="10" t="str">
        <f t="shared" si="358"/>
        <v xml:space="preserve"> </v>
      </c>
      <c r="IX160" s="10" t="str">
        <f t="shared" si="359"/>
        <v xml:space="preserve"> </v>
      </c>
      <c r="IY160" s="10" t="str">
        <f t="shared" si="359"/>
        <v xml:space="preserve"> </v>
      </c>
      <c r="IZ160" s="10" t="str">
        <f t="shared" si="359"/>
        <v xml:space="preserve"> </v>
      </c>
      <c r="JA160" s="10" t="str">
        <f t="shared" si="359"/>
        <v xml:space="preserve"> </v>
      </c>
      <c r="JB160" s="10" t="str">
        <f t="shared" si="359"/>
        <v xml:space="preserve"> </v>
      </c>
      <c r="JE160" s="10" t="str">
        <f t="shared" si="360"/>
        <v xml:space="preserve"> </v>
      </c>
      <c r="JF160" s="10" t="str">
        <f t="shared" si="360"/>
        <v xml:space="preserve"> </v>
      </c>
      <c r="JG160" s="10" t="str">
        <f t="shared" si="360"/>
        <v xml:space="preserve"> </v>
      </c>
      <c r="JH160" s="10" t="str">
        <f t="shared" si="360"/>
        <v xml:space="preserve"> </v>
      </c>
      <c r="JI160" s="10" t="str">
        <f t="shared" si="360"/>
        <v xml:space="preserve"> </v>
      </c>
    </row>
    <row r="161" spans="13:269">
      <c r="M161" s="10" t="str">
        <f t="shared" si="361"/>
        <v xml:space="preserve"> </v>
      </c>
      <c r="N161" s="10" t="str">
        <f t="shared" si="361"/>
        <v xml:space="preserve"> </v>
      </c>
      <c r="O161" s="10" t="str">
        <f t="shared" si="361"/>
        <v xml:space="preserve"> </v>
      </c>
      <c r="P161" s="10" t="str">
        <f t="shared" si="361"/>
        <v xml:space="preserve"> </v>
      </c>
      <c r="Q161" s="10" t="str">
        <f t="shared" si="361"/>
        <v xml:space="preserve"> </v>
      </c>
      <c r="R161" s="14"/>
      <c r="S161" s="14"/>
      <c r="T161" s="10" t="str">
        <f t="shared" si="325"/>
        <v xml:space="preserve"> </v>
      </c>
      <c r="U161" s="10" t="str">
        <f t="shared" si="325"/>
        <v xml:space="preserve"> </v>
      </c>
      <c r="V161" s="10" t="str">
        <f t="shared" si="325"/>
        <v xml:space="preserve"> </v>
      </c>
      <c r="W161" s="10" t="str">
        <f t="shared" si="325"/>
        <v xml:space="preserve"> </v>
      </c>
      <c r="X161" s="10" t="str">
        <f t="shared" si="325"/>
        <v xml:space="preserve"> </v>
      </c>
      <c r="Y161" s="14"/>
      <c r="Z161" s="14"/>
      <c r="AA161" s="10" t="str">
        <f t="shared" si="326"/>
        <v xml:space="preserve"> </v>
      </c>
      <c r="AB161" s="10" t="str">
        <f t="shared" si="326"/>
        <v xml:space="preserve"> </v>
      </c>
      <c r="AC161" s="10" t="str">
        <f t="shared" si="326"/>
        <v xml:space="preserve"> </v>
      </c>
      <c r="AD161" s="10" t="str">
        <f t="shared" si="326"/>
        <v xml:space="preserve"> </v>
      </c>
      <c r="AE161" s="10" t="str">
        <f t="shared" si="326"/>
        <v xml:space="preserve"> </v>
      </c>
      <c r="AF161" s="14"/>
      <c r="AG161" s="14"/>
      <c r="AH161" s="10" t="str">
        <f t="shared" si="327"/>
        <v xml:space="preserve"> </v>
      </c>
      <c r="AI161" s="10" t="str">
        <f t="shared" si="327"/>
        <v xml:space="preserve"> </v>
      </c>
      <c r="AJ161" s="10" t="str">
        <f t="shared" si="327"/>
        <v xml:space="preserve"> </v>
      </c>
      <c r="AK161" s="10" t="str">
        <f t="shared" si="327"/>
        <v xml:space="preserve"> </v>
      </c>
      <c r="AL161" s="10" t="str">
        <f t="shared" si="327"/>
        <v xml:space="preserve"> </v>
      </c>
      <c r="AM161" s="14"/>
      <c r="AN161" s="14"/>
      <c r="AO161" s="10" t="str">
        <f t="shared" si="328"/>
        <v xml:space="preserve"> </v>
      </c>
      <c r="AP161" s="10" t="str">
        <f t="shared" si="328"/>
        <v xml:space="preserve"> </v>
      </c>
      <c r="AQ161" s="10" t="str">
        <f t="shared" si="328"/>
        <v xml:space="preserve"> </v>
      </c>
      <c r="AR161" s="10" t="str">
        <f t="shared" si="328"/>
        <v xml:space="preserve"> </v>
      </c>
      <c r="AS161" s="10" t="str">
        <f t="shared" si="328"/>
        <v xml:space="preserve"> </v>
      </c>
      <c r="AT161" s="14"/>
      <c r="AU161" s="14"/>
      <c r="AV161" s="10" t="str">
        <f t="shared" si="329"/>
        <v xml:space="preserve"> </v>
      </c>
      <c r="AW161" s="10" t="str">
        <f t="shared" si="329"/>
        <v xml:space="preserve"> </v>
      </c>
      <c r="AX161" s="10" t="str">
        <f t="shared" si="329"/>
        <v xml:space="preserve"> </v>
      </c>
      <c r="AY161" s="10" t="str">
        <f t="shared" si="329"/>
        <v xml:space="preserve"> </v>
      </c>
      <c r="AZ161" s="10" t="str">
        <f t="shared" si="329"/>
        <v xml:space="preserve"> </v>
      </c>
      <c r="BA161" s="14"/>
      <c r="BB161" s="14"/>
      <c r="BC161" s="10" t="str">
        <f t="shared" si="330"/>
        <v xml:space="preserve"> </v>
      </c>
      <c r="BD161" s="10" t="str">
        <f t="shared" si="330"/>
        <v xml:space="preserve"> </v>
      </c>
      <c r="BE161" s="10" t="str">
        <f t="shared" si="330"/>
        <v xml:space="preserve"> </v>
      </c>
      <c r="BF161" s="10" t="str">
        <f t="shared" si="330"/>
        <v xml:space="preserve"> </v>
      </c>
      <c r="BG161" s="10" t="str">
        <f t="shared" si="330"/>
        <v xml:space="preserve"> </v>
      </c>
      <c r="BH161" s="14"/>
      <c r="BI161" s="14"/>
      <c r="BJ161" s="10" t="str">
        <f t="shared" si="331"/>
        <v xml:space="preserve"> </v>
      </c>
      <c r="BK161" s="10" t="str">
        <f t="shared" si="331"/>
        <v xml:space="preserve"> </v>
      </c>
      <c r="BL161" s="10" t="str">
        <f t="shared" si="331"/>
        <v xml:space="preserve"> </v>
      </c>
      <c r="BM161" s="10" t="str">
        <f t="shared" si="331"/>
        <v xml:space="preserve"> </v>
      </c>
      <c r="BN161" s="10" t="str">
        <f t="shared" si="331"/>
        <v xml:space="preserve"> </v>
      </c>
      <c r="BO161" s="14"/>
      <c r="BP161" s="14"/>
      <c r="BQ161" s="10" t="str">
        <f t="shared" si="332"/>
        <v xml:space="preserve"> </v>
      </c>
      <c r="BR161" s="10" t="str">
        <f t="shared" si="332"/>
        <v xml:space="preserve"> </v>
      </c>
      <c r="BS161" s="10" t="str">
        <f t="shared" si="332"/>
        <v xml:space="preserve"> </v>
      </c>
      <c r="BT161" s="10" t="str">
        <f t="shared" si="332"/>
        <v xml:space="preserve"> </v>
      </c>
      <c r="BU161" s="10" t="str">
        <f t="shared" si="332"/>
        <v xml:space="preserve"> </v>
      </c>
      <c r="BV161" s="14"/>
      <c r="BW161" s="14"/>
      <c r="BX161" s="10" t="str">
        <f t="shared" si="333"/>
        <v xml:space="preserve"> </v>
      </c>
      <c r="BY161" s="10" t="str">
        <f t="shared" si="333"/>
        <v xml:space="preserve"> </v>
      </c>
      <c r="BZ161" s="10" t="str">
        <f t="shared" si="333"/>
        <v xml:space="preserve"> </v>
      </c>
      <c r="CA161" s="10" t="str">
        <f t="shared" si="333"/>
        <v xml:space="preserve"> </v>
      </c>
      <c r="CB161" s="10" t="str">
        <f t="shared" si="333"/>
        <v xml:space="preserve"> </v>
      </c>
      <c r="CC161" s="14"/>
      <c r="CD161" s="14"/>
      <c r="CE161" s="10" t="str">
        <f t="shared" si="334"/>
        <v xml:space="preserve"> </v>
      </c>
      <c r="CF161" s="10" t="str">
        <f t="shared" si="334"/>
        <v xml:space="preserve"> </v>
      </c>
      <c r="CG161" s="10" t="str">
        <f t="shared" si="334"/>
        <v xml:space="preserve"> </v>
      </c>
      <c r="CH161" s="10" t="str">
        <f t="shared" si="334"/>
        <v xml:space="preserve"> </v>
      </c>
      <c r="CI161" s="10" t="str">
        <f t="shared" si="334"/>
        <v xml:space="preserve"> </v>
      </c>
      <c r="CJ161" s="14"/>
      <c r="CK161" s="14"/>
      <c r="CL161" s="10" t="str">
        <f t="shared" si="335"/>
        <v xml:space="preserve"> </v>
      </c>
      <c r="CM161" s="10" t="str">
        <f t="shared" si="335"/>
        <v xml:space="preserve"> </v>
      </c>
      <c r="CN161" s="10" t="str">
        <f t="shared" si="335"/>
        <v xml:space="preserve"> </v>
      </c>
      <c r="CO161" s="10" t="str">
        <f t="shared" si="335"/>
        <v xml:space="preserve"> </v>
      </c>
      <c r="CP161" s="10" t="str">
        <f t="shared" si="335"/>
        <v xml:space="preserve"> </v>
      </c>
      <c r="CQ161" s="14"/>
      <c r="CR161" s="14"/>
      <c r="CS161" s="10" t="str">
        <f t="shared" si="336"/>
        <v xml:space="preserve"> </v>
      </c>
      <c r="CT161" s="10" t="str">
        <f t="shared" si="336"/>
        <v xml:space="preserve"> </v>
      </c>
      <c r="CU161" s="10" t="str">
        <f t="shared" si="336"/>
        <v xml:space="preserve"> </v>
      </c>
      <c r="CV161" s="10" t="str">
        <f t="shared" si="336"/>
        <v xml:space="preserve"> </v>
      </c>
      <c r="CW161" s="10" t="str">
        <f t="shared" si="336"/>
        <v xml:space="preserve"> </v>
      </c>
      <c r="CZ161" s="10" t="str">
        <f t="shared" si="337"/>
        <v xml:space="preserve"> </v>
      </c>
      <c r="DA161" s="10" t="str">
        <f t="shared" si="337"/>
        <v xml:space="preserve"> </v>
      </c>
      <c r="DB161" s="10" t="str">
        <f t="shared" si="337"/>
        <v xml:space="preserve"> </v>
      </c>
      <c r="DC161" s="10" t="str">
        <f t="shared" si="337"/>
        <v xml:space="preserve"> </v>
      </c>
      <c r="DD161" s="10" t="str">
        <f t="shared" si="337"/>
        <v xml:space="preserve"> </v>
      </c>
      <c r="DG161" s="10" t="str">
        <f t="shared" si="338"/>
        <v xml:space="preserve"> </v>
      </c>
      <c r="DH161" s="10" t="str">
        <f t="shared" si="338"/>
        <v xml:space="preserve"> </v>
      </c>
      <c r="DI161" s="10" t="str">
        <f t="shared" si="338"/>
        <v xml:space="preserve"> </v>
      </c>
      <c r="DJ161" s="10" t="str">
        <f t="shared" si="338"/>
        <v xml:space="preserve"> </v>
      </c>
      <c r="DK161" s="10" t="str">
        <f t="shared" si="338"/>
        <v xml:space="preserve"> </v>
      </c>
      <c r="DN161" s="10" t="str">
        <f t="shared" si="339"/>
        <v xml:space="preserve"> </v>
      </c>
      <c r="DO161" s="10" t="str">
        <f t="shared" si="339"/>
        <v xml:space="preserve"> </v>
      </c>
      <c r="DP161" s="10" t="str">
        <f t="shared" si="339"/>
        <v xml:space="preserve"> </v>
      </c>
      <c r="DQ161" s="10" t="str">
        <f t="shared" si="339"/>
        <v xml:space="preserve"> </v>
      </c>
      <c r="DR161" s="10" t="str">
        <f t="shared" si="339"/>
        <v xml:space="preserve"> </v>
      </c>
      <c r="DU161" s="10" t="str">
        <f t="shared" si="340"/>
        <v xml:space="preserve"> </v>
      </c>
      <c r="DV161" s="10" t="str">
        <f t="shared" si="340"/>
        <v xml:space="preserve"> </v>
      </c>
      <c r="DW161" s="10" t="str">
        <f t="shared" si="340"/>
        <v xml:space="preserve"> </v>
      </c>
      <c r="DX161" s="10" t="str">
        <f t="shared" si="340"/>
        <v xml:space="preserve"> </v>
      </c>
      <c r="DY161" s="10" t="str">
        <f t="shared" si="340"/>
        <v xml:space="preserve"> </v>
      </c>
      <c r="EB161" s="10" t="str">
        <f t="shared" si="341"/>
        <v xml:space="preserve"> </v>
      </c>
      <c r="EC161" s="10" t="str">
        <f t="shared" si="341"/>
        <v xml:space="preserve"> </v>
      </c>
      <c r="ED161" s="10" t="str">
        <f t="shared" si="341"/>
        <v xml:space="preserve"> </v>
      </c>
      <c r="EE161" s="10" t="str">
        <f t="shared" si="341"/>
        <v xml:space="preserve"> </v>
      </c>
      <c r="EF161" s="10" t="str">
        <f t="shared" si="341"/>
        <v xml:space="preserve"> </v>
      </c>
      <c r="EI161" s="10" t="str">
        <f t="shared" si="342"/>
        <v xml:space="preserve"> </v>
      </c>
      <c r="EJ161" s="10" t="str">
        <f t="shared" si="342"/>
        <v xml:space="preserve"> </v>
      </c>
      <c r="EK161" s="10" t="str">
        <f t="shared" si="342"/>
        <v xml:space="preserve"> </v>
      </c>
      <c r="EL161" s="10" t="str">
        <f t="shared" si="342"/>
        <v xml:space="preserve"> </v>
      </c>
      <c r="EM161" s="10" t="str">
        <f t="shared" si="342"/>
        <v xml:space="preserve"> </v>
      </c>
      <c r="EP161" s="10" t="str">
        <f t="shared" si="343"/>
        <v xml:space="preserve"> </v>
      </c>
      <c r="EQ161" s="10" t="str">
        <f t="shared" si="343"/>
        <v xml:space="preserve"> </v>
      </c>
      <c r="ER161" s="10" t="str">
        <f t="shared" si="343"/>
        <v xml:space="preserve"> </v>
      </c>
      <c r="ES161" s="10" t="str">
        <f t="shared" si="343"/>
        <v xml:space="preserve"> </v>
      </c>
      <c r="ET161" s="10" t="str">
        <f t="shared" si="343"/>
        <v xml:space="preserve"> </v>
      </c>
      <c r="EW161" s="10" t="str">
        <f t="shared" si="344"/>
        <v xml:space="preserve"> </v>
      </c>
      <c r="EX161" s="10" t="str">
        <f t="shared" si="344"/>
        <v xml:space="preserve"> </v>
      </c>
      <c r="EY161" s="10" t="str">
        <f t="shared" si="344"/>
        <v xml:space="preserve"> </v>
      </c>
      <c r="EZ161" s="10" t="str">
        <f t="shared" si="344"/>
        <v xml:space="preserve"> </v>
      </c>
      <c r="FA161" s="10" t="str">
        <f t="shared" si="344"/>
        <v xml:space="preserve"> </v>
      </c>
      <c r="FD161" s="10" t="str">
        <f t="shared" si="345"/>
        <v xml:space="preserve"> </v>
      </c>
      <c r="FE161" s="10" t="str">
        <f t="shared" si="345"/>
        <v xml:space="preserve"> </v>
      </c>
      <c r="FF161" s="10" t="str">
        <f t="shared" si="345"/>
        <v xml:space="preserve"> </v>
      </c>
      <c r="FG161" s="10" t="str">
        <f t="shared" si="345"/>
        <v xml:space="preserve"> </v>
      </c>
      <c r="FH161" s="10" t="str">
        <f t="shared" si="345"/>
        <v xml:space="preserve"> </v>
      </c>
      <c r="FK161" s="10" t="str">
        <f t="shared" si="346"/>
        <v xml:space="preserve"> </v>
      </c>
      <c r="FL161" s="10" t="str">
        <f t="shared" si="346"/>
        <v xml:space="preserve"> </v>
      </c>
      <c r="FM161" s="10" t="str">
        <f t="shared" si="346"/>
        <v xml:space="preserve"> </v>
      </c>
      <c r="FN161" s="10" t="str">
        <f t="shared" si="346"/>
        <v xml:space="preserve"> </v>
      </c>
      <c r="FO161" s="10" t="str">
        <f t="shared" si="346"/>
        <v xml:space="preserve"> </v>
      </c>
      <c r="FR161" s="10" t="str">
        <f t="shared" si="347"/>
        <v xml:space="preserve"> </v>
      </c>
      <c r="FS161" s="10" t="str">
        <f t="shared" si="347"/>
        <v xml:space="preserve"> </v>
      </c>
      <c r="FT161" s="10" t="str">
        <f t="shared" si="347"/>
        <v xml:space="preserve"> </v>
      </c>
      <c r="FU161" s="10" t="str">
        <f t="shared" si="347"/>
        <v xml:space="preserve"> </v>
      </c>
      <c r="FV161" s="10" t="str">
        <f t="shared" si="347"/>
        <v xml:space="preserve"> </v>
      </c>
      <c r="FY161" s="10" t="str">
        <f t="shared" si="348"/>
        <v xml:space="preserve"> </v>
      </c>
      <c r="FZ161" s="10" t="str">
        <f t="shared" si="348"/>
        <v xml:space="preserve"> </v>
      </c>
      <c r="GA161" s="10" t="str">
        <f t="shared" si="348"/>
        <v xml:space="preserve"> </v>
      </c>
      <c r="GB161" s="10" t="str">
        <f t="shared" si="348"/>
        <v xml:space="preserve"> </v>
      </c>
      <c r="GC161" s="10" t="str">
        <f t="shared" si="348"/>
        <v xml:space="preserve"> </v>
      </c>
      <c r="GF161" s="10" t="str">
        <f t="shared" si="349"/>
        <v xml:space="preserve"> </v>
      </c>
      <c r="GG161" s="10" t="str">
        <f t="shared" si="349"/>
        <v xml:space="preserve"> </v>
      </c>
      <c r="GH161" s="10" t="str">
        <f t="shared" si="349"/>
        <v xml:space="preserve"> </v>
      </c>
      <c r="GI161" s="10" t="str">
        <f t="shared" si="349"/>
        <v xml:space="preserve"> </v>
      </c>
      <c r="GJ161" s="10" t="str">
        <f t="shared" si="349"/>
        <v xml:space="preserve"> </v>
      </c>
      <c r="GM161" s="10" t="str">
        <f t="shared" si="350"/>
        <v xml:space="preserve"> </v>
      </c>
      <c r="GN161" s="10" t="str">
        <f t="shared" si="350"/>
        <v xml:space="preserve"> </v>
      </c>
      <c r="GO161" s="10" t="str">
        <f t="shared" si="350"/>
        <v xml:space="preserve"> </v>
      </c>
      <c r="GP161" s="10" t="str">
        <f t="shared" si="350"/>
        <v xml:space="preserve"> </v>
      </c>
      <c r="GQ161" s="10" t="str">
        <f t="shared" si="350"/>
        <v xml:space="preserve"> </v>
      </c>
      <c r="GT161" s="10" t="str">
        <f t="shared" si="351"/>
        <v xml:space="preserve"> </v>
      </c>
      <c r="GU161" s="10" t="str">
        <f t="shared" si="351"/>
        <v xml:space="preserve"> </v>
      </c>
      <c r="GV161" s="10" t="str">
        <f t="shared" si="351"/>
        <v xml:space="preserve"> </v>
      </c>
      <c r="GW161" s="10" t="str">
        <f t="shared" si="351"/>
        <v xml:space="preserve"> </v>
      </c>
      <c r="GX161" s="10" t="str">
        <f t="shared" si="351"/>
        <v xml:space="preserve"> </v>
      </c>
      <c r="HA161" s="10" t="str">
        <f t="shared" si="352"/>
        <v xml:space="preserve"> </v>
      </c>
      <c r="HB161" s="10" t="str">
        <f t="shared" si="352"/>
        <v xml:space="preserve"> </v>
      </c>
      <c r="HC161" s="10" t="str">
        <f t="shared" si="352"/>
        <v xml:space="preserve"> </v>
      </c>
      <c r="HD161" s="10" t="str">
        <f t="shared" si="352"/>
        <v xml:space="preserve"> </v>
      </c>
      <c r="HE161" s="10" t="str">
        <f t="shared" si="352"/>
        <v xml:space="preserve"> </v>
      </c>
      <c r="HH161" s="10" t="str">
        <f t="shared" si="353"/>
        <v xml:space="preserve"> </v>
      </c>
      <c r="HI161" s="10" t="str">
        <f t="shared" si="353"/>
        <v xml:space="preserve"> </v>
      </c>
      <c r="HJ161" s="10" t="str">
        <f t="shared" si="353"/>
        <v xml:space="preserve"> </v>
      </c>
      <c r="HK161" s="10" t="str">
        <f t="shared" si="353"/>
        <v xml:space="preserve"> </v>
      </c>
      <c r="HL161" s="10" t="str">
        <f t="shared" si="353"/>
        <v xml:space="preserve"> </v>
      </c>
      <c r="HO161" s="10" t="str">
        <f t="shared" si="354"/>
        <v xml:space="preserve"> </v>
      </c>
      <c r="HP161" s="10" t="str">
        <f t="shared" si="354"/>
        <v xml:space="preserve"> </v>
      </c>
      <c r="HQ161" s="10" t="str">
        <f t="shared" si="354"/>
        <v xml:space="preserve"> </v>
      </c>
      <c r="HR161" s="10" t="str">
        <f t="shared" si="354"/>
        <v xml:space="preserve"> </v>
      </c>
      <c r="HS161" s="10" t="str">
        <f t="shared" si="354"/>
        <v xml:space="preserve"> </v>
      </c>
      <c r="HV161" s="10" t="str">
        <f t="shared" si="355"/>
        <v xml:space="preserve"> </v>
      </c>
      <c r="HW161" s="10" t="str">
        <f t="shared" si="355"/>
        <v xml:space="preserve"> </v>
      </c>
      <c r="HX161" s="10" t="str">
        <f t="shared" si="355"/>
        <v xml:space="preserve"> </v>
      </c>
      <c r="HY161" s="10" t="str">
        <f t="shared" si="355"/>
        <v xml:space="preserve"> </v>
      </c>
      <c r="HZ161" s="10" t="str">
        <f t="shared" si="355"/>
        <v xml:space="preserve"> </v>
      </c>
      <c r="IC161" s="10" t="str">
        <f t="shared" si="356"/>
        <v xml:space="preserve"> </v>
      </c>
      <c r="ID161" s="10" t="str">
        <f t="shared" si="356"/>
        <v xml:space="preserve"> </v>
      </c>
      <c r="IE161" s="10" t="str">
        <f t="shared" si="356"/>
        <v xml:space="preserve"> </v>
      </c>
      <c r="IF161" s="10" t="str">
        <f t="shared" si="356"/>
        <v xml:space="preserve"> </v>
      </c>
      <c r="IG161" s="10" t="str">
        <f t="shared" si="356"/>
        <v xml:space="preserve"> </v>
      </c>
      <c r="IJ161" s="10" t="str">
        <f t="shared" si="357"/>
        <v xml:space="preserve"> </v>
      </c>
      <c r="IK161" s="10" t="str">
        <f t="shared" si="357"/>
        <v xml:space="preserve"> </v>
      </c>
      <c r="IL161" s="10" t="str">
        <f t="shared" si="357"/>
        <v xml:space="preserve"> </v>
      </c>
      <c r="IM161" s="10" t="str">
        <f t="shared" si="357"/>
        <v xml:space="preserve"> </v>
      </c>
      <c r="IN161" s="10" t="str">
        <f t="shared" si="357"/>
        <v xml:space="preserve"> </v>
      </c>
      <c r="IQ161" s="10" t="str">
        <f t="shared" si="358"/>
        <v xml:space="preserve"> </v>
      </c>
      <c r="IR161" s="10" t="str">
        <f t="shared" si="358"/>
        <v xml:space="preserve"> </v>
      </c>
      <c r="IS161" s="10" t="str">
        <f t="shared" si="358"/>
        <v xml:space="preserve"> </v>
      </c>
      <c r="IT161" s="10" t="str">
        <f t="shared" si="358"/>
        <v xml:space="preserve"> </v>
      </c>
      <c r="IU161" s="10" t="str">
        <f t="shared" si="358"/>
        <v xml:space="preserve"> </v>
      </c>
      <c r="IX161" s="10" t="str">
        <f t="shared" si="359"/>
        <v xml:space="preserve"> </v>
      </c>
      <c r="IY161" s="10" t="str">
        <f t="shared" si="359"/>
        <v xml:space="preserve"> </v>
      </c>
      <c r="IZ161" s="10" t="str">
        <f t="shared" si="359"/>
        <v xml:space="preserve"> </v>
      </c>
      <c r="JA161" s="10" t="str">
        <f t="shared" si="359"/>
        <v xml:space="preserve"> </v>
      </c>
      <c r="JB161" s="10" t="str">
        <f t="shared" si="359"/>
        <v xml:space="preserve"> </v>
      </c>
      <c r="JE161" s="10" t="str">
        <f t="shared" si="360"/>
        <v xml:space="preserve"> </v>
      </c>
      <c r="JF161" s="10" t="str">
        <f t="shared" si="360"/>
        <v xml:space="preserve"> </v>
      </c>
      <c r="JG161" s="10" t="str">
        <f t="shared" si="360"/>
        <v xml:space="preserve"> </v>
      </c>
      <c r="JH161" s="10" t="str">
        <f t="shared" si="360"/>
        <v xml:space="preserve"> </v>
      </c>
      <c r="JI161" s="10" t="str">
        <f t="shared" si="360"/>
        <v xml:space="preserve"> </v>
      </c>
    </row>
    <row r="162" spans="13:269">
      <c r="M162" s="10" t="str">
        <f t="shared" si="361"/>
        <v xml:space="preserve"> </v>
      </c>
      <c r="N162" s="10" t="str">
        <f t="shared" si="361"/>
        <v xml:space="preserve"> </v>
      </c>
      <c r="O162" s="10" t="str">
        <f t="shared" si="361"/>
        <v xml:space="preserve"> </v>
      </c>
      <c r="P162" s="10" t="str">
        <f t="shared" si="361"/>
        <v xml:space="preserve"> </v>
      </c>
      <c r="Q162" s="10" t="str">
        <f t="shared" si="361"/>
        <v xml:space="preserve"> </v>
      </c>
      <c r="R162" s="14"/>
      <c r="S162" s="14"/>
      <c r="T162" s="10" t="str">
        <f t="shared" si="325"/>
        <v xml:space="preserve"> </v>
      </c>
      <c r="U162" s="10" t="str">
        <f t="shared" si="325"/>
        <v xml:space="preserve"> </v>
      </c>
      <c r="V162" s="10" t="str">
        <f t="shared" si="325"/>
        <v xml:space="preserve"> </v>
      </c>
      <c r="W162" s="10" t="str">
        <f t="shared" si="325"/>
        <v xml:space="preserve"> </v>
      </c>
      <c r="X162" s="10" t="str">
        <f t="shared" si="325"/>
        <v xml:space="preserve"> </v>
      </c>
      <c r="Y162" s="14"/>
      <c r="Z162" s="14"/>
      <c r="AA162" s="10" t="str">
        <f t="shared" si="326"/>
        <v xml:space="preserve"> </v>
      </c>
      <c r="AB162" s="10" t="str">
        <f t="shared" si="326"/>
        <v xml:space="preserve"> </v>
      </c>
      <c r="AC162" s="10" t="str">
        <f t="shared" si="326"/>
        <v xml:space="preserve"> </v>
      </c>
      <c r="AD162" s="10" t="str">
        <f t="shared" si="326"/>
        <v xml:space="preserve"> </v>
      </c>
      <c r="AE162" s="10" t="str">
        <f t="shared" si="326"/>
        <v xml:space="preserve"> </v>
      </c>
      <c r="AF162" s="14"/>
      <c r="AG162" s="14"/>
      <c r="AH162" s="10" t="str">
        <f t="shared" si="327"/>
        <v xml:space="preserve"> </v>
      </c>
      <c r="AI162" s="10" t="str">
        <f t="shared" si="327"/>
        <v xml:space="preserve"> </v>
      </c>
      <c r="AJ162" s="10" t="str">
        <f t="shared" si="327"/>
        <v xml:space="preserve"> </v>
      </c>
      <c r="AK162" s="10" t="str">
        <f t="shared" si="327"/>
        <v xml:space="preserve"> </v>
      </c>
      <c r="AL162" s="10" t="str">
        <f t="shared" si="327"/>
        <v xml:space="preserve"> </v>
      </c>
      <c r="AM162" s="14"/>
      <c r="AN162" s="14"/>
      <c r="AO162" s="10" t="str">
        <f t="shared" si="328"/>
        <v xml:space="preserve"> </v>
      </c>
      <c r="AP162" s="10" t="str">
        <f t="shared" si="328"/>
        <v xml:space="preserve"> </v>
      </c>
      <c r="AQ162" s="10" t="str">
        <f t="shared" si="328"/>
        <v xml:space="preserve"> </v>
      </c>
      <c r="AR162" s="10" t="str">
        <f t="shared" si="328"/>
        <v xml:space="preserve"> </v>
      </c>
      <c r="AS162" s="10" t="str">
        <f t="shared" si="328"/>
        <v xml:space="preserve"> </v>
      </c>
      <c r="AT162" s="14"/>
      <c r="AU162" s="14"/>
      <c r="AV162" s="10" t="str">
        <f t="shared" si="329"/>
        <v xml:space="preserve"> </v>
      </c>
      <c r="AW162" s="10" t="str">
        <f t="shared" si="329"/>
        <v xml:space="preserve"> </v>
      </c>
      <c r="AX162" s="10" t="str">
        <f t="shared" si="329"/>
        <v xml:space="preserve"> </v>
      </c>
      <c r="AY162" s="10" t="str">
        <f t="shared" si="329"/>
        <v xml:space="preserve"> </v>
      </c>
      <c r="AZ162" s="10" t="str">
        <f t="shared" si="329"/>
        <v xml:space="preserve"> </v>
      </c>
      <c r="BA162" s="14"/>
      <c r="BB162" s="14"/>
      <c r="BC162" s="10" t="str">
        <f t="shared" si="330"/>
        <v xml:space="preserve"> </v>
      </c>
      <c r="BD162" s="10" t="str">
        <f t="shared" si="330"/>
        <v xml:space="preserve"> </v>
      </c>
      <c r="BE162" s="10" t="str">
        <f t="shared" si="330"/>
        <v xml:space="preserve"> </v>
      </c>
      <c r="BF162" s="10" t="str">
        <f t="shared" si="330"/>
        <v xml:space="preserve"> </v>
      </c>
      <c r="BG162" s="10" t="str">
        <f t="shared" si="330"/>
        <v xml:space="preserve"> </v>
      </c>
      <c r="BH162" s="14"/>
      <c r="BI162" s="14"/>
      <c r="BJ162" s="10" t="str">
        <f t="shared" si="331"/>
        <v xml:space="preserve"> </v>
      </c>
      <c r="BK162" s="10" t="str">
        <f t="shared" si="331"/>
        <v xml:space="preserve"> </v>
      </c>
      <c r="BL162" s="10" t="str">
        <f t="shared" si="331"/>
        <v xml:space="preserve"> </v>
      </c>
      <c r="BM162" s="10" t="str">
        <f t="shared" si="331"/>
        <v xml:space="preserve"> </v>
      </c>
      <c r="BN162" s="10" t="str">
        <f t="shared" si="331"/>
        <v xml:space="preserve"> </v>
      </c>
      <c r="BO162" s="14"/>
      <c r="BP162" s="14"/>
      <c r="BQ162" s="10" t="str">
        <f t="shared" si="332"/>
        <v xml:space="preserve"> </v>
      </c>
      <c r="BR162" s="10" t="str">
        <f t="shared" si="332"/>
        <v xml:space="preserve"> </v>
      </c>
      <c r="BS162" s="10" t="str">
        <f t="shared" si="332"/>
        <v xml:space="preserve"> </v>
      </c>
      <c r="BT162" s="10" t="str">
        <f t="shared" si="332"/>
        <v xml:space="preserve"> </v>
      </c>
      <c r="BU162" s="10" t="str">
        <f t="shared" si="332"/>
        <v xml:space="preserve"> </v>
      </c>
      <c r="BV162" s="14"/>
      <c r="BW162" s="14"/>
      <c r="BX162" s="10" t="str">
        <f t="shared" si="333"/>
        <v xml:space="preserve"> </v>
      </c>
      <c r="BY162" s="10" t="str">
        <f t="shared" si="333"/>
        <v xml:space="preserve"> </v>
      </c>
      <c r="BZ162" s="10" t="str">
        <f t="shared" si="333"/>
        <v xml:space="preserve"> </v>
      </c>
      <c r="CA162" s="10" t="str">
        <f t="shared" si="333"/>
        <v xml:space="preserve"> </v>
      </c>
      <c r="CB162" s="10" t="str">
        <f t="shared" si="333"/>
        <v xml:space="preserve"> </v>
      </c>
      <c r="CC162" s="14"/>
      <c r="CD162" s="14"/>
      <c r="CE162" s="10" t="str">
        <f t="shared" si="334"/>
        <v xml:space="preserve"> </v>
      </c>
      <c r="CF162" s="10" t="str">
        <f t="shared" si="334"/>
        <v xml:space="preserve"> </v>
      </c>
      <c r="CG162" s="10" t="str">
        <f t="shared" si="334"/>
        <v xml:space="preserve"> </v>
      </c>
      <c r="CH162" s="10" t="str">
        <f t="shared" si="334"/>
        <v xml:space="preserve"> </v>
      </c>
      <c r="CI162" s="10" t="str">
        <f t="shared" si="334"/>
        <v xml:space="preserve"> </v>
      </c>
      <c r="CJ162" s="14"/>
      <c r="CK162" s="14"/>
      <c r="CL162" s="10" t="str">
        <f t="shared" si="335"/>
        <v xml:space="preserve"> </v>
      </c>
      <c r="CM162" s="10" t="str">
        <f t="shared" si="335"/>
        <v xml:space="preserve"> </v>
      </c>
      <c r="CN162" s="10" t="str">
        <f t="shared" si="335"/>
        <v xml:space="preserve"> </v>
      </c>
      <c r="CO162" s="10" t="str">
        <f t="shared" si="335"/>
        <v xml:space="preserve"> </v>
      </c>
      <c r="CP162" s="10" t="str">
        <f t="shared" si="335"/>
        <v xml:space="preserve"> </v>
      </c>
      <c r="CQ162" s="14"/>
      <c r="CR162" s="14"/>
      <c r="CS162" s="10" t="str">
        <f t="shared" si="336"/>
        <v xml:space="preserve"> </v>
      </c>
      <c r="CT162" s="10" t="str">
        <f t="shared" si="336"/>
        <v xml:space="preserve"> </v>
      </c>
      <c r="CU162" s="10" t="str">
        <f t="shared" si="336"/>
        <v xml:space="preserve"> </v>
      </c>
      <c r="CV162" s="10" t="str">
        <f t="shared" si="336"/>
        <v xml:space="preserve"> </v>
      </c>
      <c r="CW162" s="10" t="str">
        <f t="shared" si="336"/>
        <v xml:space="preserve"> </v>
      </c>
      <c r="CZ162" s="10" t="str">
        <f t="shared" si="337"/>
        <v xml:space="preserve"> </v>
      </c>
      <c r="DA162" s="10" t="str">
        <f t="shared" si="337"/>
        <v xml:space="preserve"> </v>
      </c>
      <c r="DB162" s="10" t="str">
        <f t="shared" si="337"/>
        <v xml:space="preserve"> </v>
      </c>
      <c r="DC162" s="10" t="str">
        <f t="shared" si="337"/>
        <v xml:space="preserve"> </v>
      </c>
      <c r="DD162" s="10" t="str">
        <f t="shared" si="337"/>
        <v xml:space="preserve"> </v>
      </c>
      <c r="DG162" s="10" t="str">
        <f t="shared" si="338"/>
        <v xml:space="preserve"> </v>
      </c>
      <c r="DH162" s="10" t="str">
        <f t="shared" si="338"/>
        <v xml:space="preserve"> </v>
      </c>
      <c r="DI162" s="10" t="str">
        <f t="shared" si="338"/>
        <v xml:space="preserve"> </v>
      </c>
      <c r="DJ162" s="10" t="str">
        <f t="shared" si="338"/>
        <v xml:space="preserve"> </v>
      </c>
      <c r="DK162" s="10" t="str">
        <f t="shared" si="338"/>
        <v xml:space="preserve"> </v>
      </c>
      <c r="DN162" s="10" t="str">
        <f t="shared" si="339"/>
        <v xml:space="preserve"> </v>
      </c>
      <c r="DO162" s="10" t="str">
        <f t="shared" si="339"/>
        <v xml:space="preserve"> </v>
      </c>
      <c r="DP162" s="10" t="str">
        <f t="shared" si="339"/>
        <v xml:space="preserve"> </v>
      </c>
      <c r="DQ162" s="10" t="str">
        <f t="shared" si="339"/>
        <v xml:space="preserve"> </v>
      </c>
      <c r="DR162" s="10" t="str">
        <f t="shared" si="339"/>
        <v xml:space="preserve"> </v>
      </c>
      <c r="DU162" s="10" t="str">
        <f t="shared" si="340"/>
        <v xml:space="preserve"> </v>
      </c>
      <c r="DV162" s="10" t="str">
        <f t="shared" si="340"/>
        <v xml:space="preserve"> </v>
      </c>
      <c r="DW162" s="10" t="str">
        <f t="shared" si="340"/>
        <v xml:space="preserve"> </v>
      </c>
      <c r="DX162" s="10" t="str">
        <f t="shared" si="340"/>
        <v xml:space="preserve"> </v>
      </c>
      <c r="DY162" s="10" t="str">
        <f t="shared" si="340"/>
        <v xml:space="preserve"> </v>
      </c>
      <c r="EB162" s="10" t="str">
        <f t="shared" si="341"/>
        <v xml:space="preserve"> </v>
      </c>
      <c r="EC162" s="10" t="str">
        <f t="shared" si="341"/>
        <v xml:space="preserve"> </v>
      </c>
      <c r="ED162" s="10" t="str">
        <f t="shared" si="341"/>
        <v xml:space="preserve"> </v>
      </c>
      <c r="EE162" s="10" t="str">
        <f t="shared" si="341"/>
        <v xml:space="preserve"> </v>
      </c>
      <c r="EF162" s="10" t="str">
        <f t="shared" si="341"/>
        <v xml:space="preserve"> </v>
      </c>
      <c r="EI162" s="10" t="str">
        <f t="shared" si="342"/>
        <v xml:space="preserve"> </v>
      </c>
      <c r="EJ162" s="10" t="str">
        <f t="shared" si="342"/>
        <v xml:space="preserve"> </v>
      </c>
      <c r="EK162" s="10" t="str">
        <f t="shared" si="342"/>
        <v xml:space="preserve"> </v>
      </c>
      <c r="EL162" s="10" t="str">
        <f t="shared" si="342"/>
        <v xml:space="preserve"> </v>
      </c>
      <c r="EM162" s="10" t="str">
        <f t="shared" si="342"/>
        <v xml:space="preserve"> </v>
      </c>
      <c r="EP162" s="10" t="str">
        <f t="shared" si="343"/>
        <v xml:space="preserve"> </v>
      </c>
      <c r="EQ162" s="10" t="str">
        <f t="shared" si="343"/>
        <v xml:space="preserve"> </v>
      </c>
      <c r="ER162" s="10" t="str">
        <f t="shared" si="343"/>
        <v xml:space="preserve"> </v>
      </c>
      <c r="ES162" s="10" t="str">
        <f t="shared" si="343"/>
        <v xml:space="preserve"> </v>
      </c>
      <c r="ET162" s="10" t="str">
        <f t="shared" si="343"/>
        <v xml:space="preserve"> </v>
      </c>
      <c r="EW162" s="10" t="str">
        <f t="shared" si="344"/>
        <v xml:space="preserve"> </v>
      </c>
      <c r="EX162" s="10" t="str">
        <f t="shared" si="344"/>
        <v xml:space="preserve"> </v>
      </c>
      <c r="EY162" s="10" t="str">
        <f t="shared" si="344"/>
        <v xml:space="preserve"> </v>
      </c>
      <c r="EZ162" s="10" t="str">
        <f t="shared" si="344"/>
        <v xml:space="preserve"> </v>
      </c>
      <c r="FA162" s="10" t="str">
        <f t="shared" si="344"/>
        <v xml:space="preserve"> </v>
      </c>
      <c r="FD162" s="10" t="str">
        <f t="shared" si="345"/>
        <v xml:space="preserve"> </v>
      </c>
      <c r="FE162" s="10" t="str">
        <f t="shared" si="345"/>
        <v xml:space="preserve"> </v>
      </c>
      <c r="FF162" s="10" t="str">
        <f t="shared" si="345"/>
        <v xml:space="preserve"> </v>
      </c>
      <c r="FG162" s="10" t="str">
        <f t="shared" si="345"/>
        <v xml:space="preserve"> </v>
      </c>
      <c r="FH162" s="10" t="str">
        <f t="shared" si="345"/>
        <v xml:space="preserve"> </v>
      </c>
      <c r="FK162" s="10" t="str">
        <f t="shared" si="346"/>
        <v xml:space="preserve"> </v>
      </c>
      <c r="FL162" s="10" t="str">
        <f t="shared" si="346"/>
        <v xml:space="preserve"> </v>
      </c>
      <c r="FM162" s="10" t="str">
        <f t="shared" si="346"/>
        <v xml:space="preserve"> </v>
      </c>
      <c r="FN162" s="10" t="str">
        <f t="shared" si="346"/>
        <v xml:space="preserve"> </v>
      </c>
      <c r="FO162" s="10" t="str">
        <f t="shared" si="346"/>
        <v xml:space="preserve"> </v>
      </c>
      <c r="FR162" s="10" t="str">
        <f t="shared" si="347"/>
        <v xml:space="preserve"> </v>
      </c>
      <c r="FS162" s="10" t="str">
        <f t="shared" si="347"/>
        <v xml:space="preserve"> </v>
      </c>
      <c r="FT162" s="10" t="str">
        <f t="shared" si="347"/>
        <v xml:space="preserve"> </v>
      </c>
      <c r="FU162" s="10" t="str">
        <f t="shared" si="347"/>
        <v xml:space="preserve"> </v>
      </c>
      <c r="FV162" s="10" t="str">
        <f t="shared" si="347"/>
        <v xml:space="preserve"> </v>
      </c>
      <c r="FY162" s="10" t="str">
        <f t="shared" si="348"/>
        <v xml:space="preserve"> </v>
      </c>
      <c r="FZ162" s="10" t="str">
        <f t="shared" si="348"/>
        <v xml:space="preserve"> </v>
      </c>
      <c r="GA162" s="10" t="str">
        <f t="shared" si="348"/>
        <v xml:space="preserve"> </v>
      </c>
      <c r="GB162" s="10" t="str">
        <f t="shared" si="348"/>
        <v xml:space="preserve"> </v>
      </c>
      <c r="GC162" s="10" t="str">
        <f t="shared" si="348"/>
        <v xml:space="preserve"> </v>
      </c>
      <c r="GF162" s="10" t="str">
        <f t="shared" si="349"/>
        <v xml:space="preserve"> </v>
      </c>
      <c r="GG162" s="10" t="str">
        <f t="shared" si="349"/>
        <v xml:space="preserve"> </v>
      </c>
      <c r="GH162" s="10" t="str">
        <f t="shared" si="349"/>
        <v xml:space="preserve"> </v>
      </c>
      <c r="GI162" s="10" t="str">
        <f t="shared" si="349"/>
        <v xml:space="preserve"> </v>
      </c>
      <c r="GJ162" s="10" t="str">
        <f t="shared" si="349"/>
        <v xml:space="preserve"> </v>
      </c>
      <c r="GM162" s="10" t="str">
        <f t="shared" si="350"/>
        <v xml:space="preserve"> </v>
      </c>
      <c r="GN162" s="10" t="str">
        <f t="shared" si="350"/>
        <v xml:space="preserve"> </v>
      </c>
      <c r="GO162" s="10" t="str">
        <f t="shared" si="350"/>
        <v xml:space="preserve"> </v>
      </c>
      <c r="GP162" s="10" t="str">
        <f t="shared" si="350"/>
        <v xml:space="preserve"> </v>
      </c>
      <c r="GQ162" s="10" t="str">
        <f t="shared" si="350"/>
        <v xml:space="preserve"> </v>
      </c>
      <c r="GT162" s="10" t="str">
        <f t="shared" si="351"/>
        <v xml:space="preserve"> </v>
      </c>
      <c r="GU162" s="10" t="str">
        <f t="shared" si="351"/>
        <v xml:space="preserve"> </v>
      </c>
      <c r="GV162" s="10" t="str">
        <f t="shared" si="351"/>
        <v xml:space="preserve"> </v>
      </c>
      <c r="GW162" s="10" t="str">
        <f t="shared" si="351"/>
        <v xml:space="preserve"> </v>
      </c>
      <c r="GX162" s="10" t="str">
        <f t="shared" si="351"/>
        <v xml:space="preserve"> </v>
      </c>
      <c r="HA162" s="10" t="str">
        <f t="shared" si="352"/>
        <v xml:space="preserve"> </v>
      </c>
      <c r="HB162" s="10" t="str">
        <f t="shared" si="352"/>
        <v xml:space="preserve"> </v>
      </c>
      <c r="HC162" s="10" t="str">
        <f t="shared" si="352"/>
        <v xml:space="preserve"> </v>
      </c>
      <c r="HD162" s="10" t="str">
        <f t="shared" si="352"/>
        <v xml:space="preserve"> </v>
      </c>
      <c r="HE162" s="10" t="str">
        <f t="shared" si="352"/>
        <v xml:space="preserve"> </v>
      </c>
      <c r="HH162" s="10" t="str">
        <f t="shared" si="353"/>
        <v xml:space="preserve"> </v>
      </c>
      <c r="HI162" s="10" t="str">
        <f t="shared" si="353"/>
        <v xml:space="preserve"> </v>
      </c>
      <c r="HJ162" s="10" t="str">
        <f t="shared" si="353"/>
        <v xml:space="preserve"> </v>
      </c>
      <c r="HK162" s="10" t="str">
        <f t="shared" si="353"/>
        <v xml:space="preserve"> </v>
      </c>
      <c r="HL162" s="10" t="str">
        <f t="shared" si="353"/>
        <v xml:space="preserve"> </v>
      </c>
      <c r="HO162" s="10" t="str">
        <f t="shared" si="354"/>
        <v xml:space="preserve"> </v>
      </c>
      <c r="HP162" s="10" t="str">
        <f t="shared" si="354"/>
        <v xml:space="preserve"> </v>
      </c>
      <c r="HQ162" s="10" t="str">
        <f t="shared" si="354"/>
        <v xml:space="preserve"> </v>
      </c>
      <c r="HR162" s="10" t="str">
        <f t="shared" si="354"/>
        <v xml:space="preserve"> </v>
      </c>
      <c r="HS162" s="10" t="str">
        <f t="shared" si="354"/>
        <v xml:space="preserve"> </v>
      </c>
      <c r="HV162" s="10" t="str">
        <f t="shared" si="355"/>
        <v xml:space="preserve"> </v>
      </c>
      <c r="HW162" s="10" t="str">
        <f t="shared" si="355"/>
        <v xml:space="preserve"> </v>
      </c>
      <c r="HX162" s="10" t="str">
        <f t="shared" si="355"/>
        <v xml:space="preserve"> </v>
      </c>
      <c r="HY162" s="10" t="str">
        <f t="shared" si="355"/>
        <v xml:space="preserve"> </v>
      </c>
      <c r="HZ162" s="10" t="str">
        <f t="shared" si="355"/>
        <v xml:space="preserve"> </v>
      </c>
      <c r="IC162" s="10" t="str">
        <f t="shared" si="356"/>
        <v xml:space="preserve"> </v>
      </c>
      <c r="ID162" s="10" t="str">
        <f t="shared" si="356"/>
        <v xml:space="preserve"> </v>
      </c>
      <c r="IE162" s="10" t="str">
        <f t="shared" si="356"/>
        <v xml:space="preserve"> </v>
      </c>
      <c r="IF162" s="10" t="str">
        <f t="shared" si="356"/>
        <v xml:space="preserve"> </v>
      </c>
      <c r="IG162" s="10" t="str">
        <f t="shared" si="356"/>
        <v xml:space="preserve"> </v>
      </c>
      <c r="IJ162" s="10" t="str">
        <f t="shared" si="357"/>
        <v xml:space="preserve"> </v>
      </c>
      <c r="IK162" s="10" t="str">
        <f t="shared" si="357"/>
        <v xml:space="preserve"> </v>
      </c>
      <c r="IL162" s="10" t="str">
        <f t="shared" si="357"/>
        <v xml:space="preserve"> </v>
      </c>
      <c r="IM162" s="10" t="str">
        <f t="shared" si="357"/>
        <v xml:space="preserve"> </v>
      </c>
      <c r="IN162" s="10" t="str">
        <f t="shared" si="357"/>
        <v xml:space="preserve"> </v>
      </c>
      <c r="IQ162" s="10" t="str">
        <f t="shared" si="358"/>
        <v xml:space="preserve"> </v>
      </c>
      <c r="IR162" s="10" t="str">
        <f t="shared" si="358"/>
        <v xml:space="preserve"> </v>
      </c>
      <c r="IS162" s="10" t="str">
        <f t="shared" si="358"/>
        <v xml:space="preserve"> </v>
      </c>
      <c r="IT162" s="10" t="str">
        <f t="shared" si="358"/>
        <v xml:space="preserve"> </v>
      </c>
      <c r="IU162" s="10" t="str">
        <f t="shared" si="358"/>
        <v xml:space="preserve"> </v>
      </c>
      <c r="IX162" s="10" t="str">
        <f t="shared" si="359"/>
        <v xml:space="preserve"> </v>
      </c>
      <c r="IY162" s="10" t="str">
        <f t="shared" si="359"/>
        <v xml:space="preserve"> </v>
      </c>
      <c r="IZ162" s="10" t="str">
        <f t="shared" si="359"/>
        <v xml:space="preserve"> </v>
      </c>
      <c r="JA162" s="10" t="str">
        <f t="shared" si="359"/>
        <v xml:space="preserve"> </v>
      </c>
      <c r="JB162" s="10" t="str">
        <f t="shared" si="359"/>
        <v xml:space="preserve"> </v>
      </c>
      <c r="JE162" s="10" t="str">
        <f t="shared" si="360"/>
        <v xml:space="preserve"> </v>
      </c>
      <c r="JF162" s="10" t="str">
        <f t="shared" si="360"/>
        <v xml:space="preserve"> </v>
      </c>
      <c r="JG162" s="10" t="str">
        <f t="shared" si="360"/>
        <v xml:space="preserve"> </v>
      </c>
      <c r="JH162" s="10" t="str">
        <f t="shared" si="360"/>
        <v xml:space="preserve"> </v>
      </c>
      <c r="JI162" s="10" t="str">
        <f t="shared" si="360"/>
        <v xml:space="preserve"> </v>
      </c>
    </row>
    <row r="163" spans="13:269">
      <c r="M163" s="10" t="str">
        <f t="shared" si="361"/>
        <v xml:space="preserve"> </v>
      </c>
      <c r="N163" s="10" t="str">
        <f t="shared" si="361"/>
        <v xml:space="preserve"> </v>
      </c>
      <c r="O163" s="10" t="str">
        <f t="shared" si="361"/>
        <v xml:space="preserve"> </v>
      </c>
      <c r="P163" s="10" t="str">
        <f t="shared" si="361"/>
        <v xml:space="preserve"> </v>
      </c>
      <c r="Q163" s="10" t="str">
        <f t="shared" si="361"/>
        <v xml:space="preserve"> </v>
      </c>
      <c r="R163" s="14"/>
      <c r="S163" s="14"/>
      <c r="T163" s="10" t="str">
        <f t="shared" si="325"/>
        <v xml:space="preserve"> </v>
      </c>
      <c r="U163" s="10" t="str">
        <f t="shared" si="325"/>
        <v xml:space="preserve"> </v>
      </c>
      <c r="V163" s="10" t="str">
        <f t="shared" si="325"/>
        <v xml:space="preserve"> </v>
      </c>
      <c r="W163" s="10" t="str">
        <f t="shared" si="325"/>
        <v xml:space="preserve"> </v>
      </c>
      <c r="X163" s="10" t="str">
        <f t="shared" si="325"/>
        <v xml:space="preserve"> </v>
      </c>
      <c r="Y163" s="14"/>
      <c r="Z163" s="14"/>
      <c r="AA163" s="10" t="str">
        <f t="shared" si="326"/>
        <v xml:space="preserve"> </v>
      </c>
      <c r="AB163" s="10" t="str">
        <f t="shared" si="326"/>
        <v xml:space="preserve"> </v>
      </c>
      <c r="AC163" s="10" t="str">
        <f t="shared" si="326"/>
        <v xml:space="preserve"> </v>
      </c>
      <c r="AD163" s="10" t="str">
        <f t="shared" si="326"/>
        <v xml:space="preserve"> </v>
      </c>
      <c r="AE163" s="10" t="str">
        <f t="shared" si="326"/>
        <v xml:space="preserve"> </v>
      </c>
      <c r="AF163" s="14"/>
      <c r="AG163" s="14"/>
      <c r="AH163" s="10" t="str">
        <f t="shared" si="327"/>
        <v xml:space="preserve"> </v>
      </c>
      <c r="AI163" s="10" t="str">
        <f t="shared" si="327"/>
        <v xml:space="preserve"> </v>
      </c>
      <c r="AJ163" s="10" t="str">
        <f t="shared" si="327"/>
        <v xml:space="preserve"> </v>
      </c>
      <c r="AK163" s="10" t="str">
        <f t="shared" si="327"/>
        <v xml:space="preserve"> </v>
      </c>
      <c r="AL163" s="10" t="str">
        <f t="shared" si="327"/>
        <v xml:space="preserve"> </v>
      </c>
      <c r="AM163" s="14"/>
      <c r="AN163" s="14"/>
      <c r="AO163" s="10" t="str">
        <f t="shared" si="328"/>
        <v xml:space="preserve"> </v>
      </c>
      <c r="AP163" s="10" t="str">
        <f t="shared" si="328"/>
        <v xml:space="preserve"> </v>
      </c>
      <c r="AQ163" s="10" t="str">
        <f t="shared" si="328"/>
        <v xml:space="preserve"> </v>
      </c>
      <c r="AR163" s="10" t="str">
        <f t="shared" si="328"/>
        <v xml:space="preserve"> </v>
      </c>
      <c r="AS163" s="10" t="str">
        <f t="shared" si="328"/>
        <v xml:space="preserve"> </v>
      </c>
      <c r="AT163" s="14"/>
      <c r="AU163" s="14"/>
      <c r="AV163" s="10" t="str">
        <f t="shared" si="329"/>
        <v xml:space="preserve"> </v>
      </c>
      <c r="AW163" s="10" t="str">
        <f t="shared" si="329"/>
        <v xml:space="preserve"> </v>
      </c>
      <c r="AX163" s="10" t="str">
        <f t="shared" si="329"/>
        <v xml:space="preserve"> </v>
      </c>
      <c r="AY163" s="10" t="str">
        <f t="shared" si="329"/>
        <v xml:space="preserve"> </v>
      </c>
      <c r="AZ163" s="10" t="str">
        <f t="shared" si="329"/>
        <v xml:space="preserve"> </v>
      </c>
      <c r="BA163" s="14"/>
      <c r="BB163" s="14"/>
      <c r="BC163" s="10" t="str">
        <f t="shared" si="330"/>
        <v xml:space="preserve"> </v>
      </c>
      <c r="BD163" s="10" t="str">
        <f t="shared" si="330"/>
        <v xml:space="preserve"> </v>
      </c>
      <c r="BE163" s="10" t="str">
        <f t="shared" si="330"/>
        <v xml:space="preserve"> </v>
      </c>
      <c r="BF163" s="10" t="str">
        <f t="shared" si="330"/>
        <v xml:space="preserve"> </v>
      </c>
      <c r="BG163" s="10" t="str">
        <f t="shared" si="330"/>
        <v xml:space="preserve"> </v>
      </c>
      <c r="BH163" s="14"/>
      <c r="BI163" s="14"/>
      <c r="BJ163" s="10" t="str">
        <f t="shared" si="331"/>
        <v xml:space="preserve"> </v>
      </c>
      <c r="BK163" s="10" t="str">
        <f t="shared" si="331"/>
        <v xml:space="preserve"> </v>
      </c>
      <c r="BL163" s="10" t="str">
        <f t="shared" si="331"/>
        <v xml:space="preserve"> </v>
      </c>
      <c r="BM163" s="10" t="str">
        <f t="shared" si="331"/>
        <v xml:space="preserve"> </v>
      </c>
      <c r="BN163" s="10" t="str">
        <f t="shared" si="331"/>
        <v xml:space="preserve"> </v>
      </c>
      <c r="BO163" s="14"/>
      <c r="BP163" s="14"/>
      <c r="BQ163" s="10" t="str">
        <f t="shared" si="332"/>
        <v xml:space="preserve"> </v>
      </c>
      <c r="BR163" s="10" t="str">
        <f t="shared" si="332"/>
        <v xml:space="preserve"> </v>
      </c>
      <c r="BS163" s="10" t="str">
        <f t="shared" si="332"/>
        <v xml:space="preserve"> </v>
      </c>
      <c r="BT163" s="10" t="str">
        <f t="shared" si="332"/>
        <v xml:space="preserve"> </v>
      </c>
      <c r="BU163" s="10" t="str">
        <f t="shared" si="332"/>
        <v xml:space="preserve"> </v>
      </c>
      <c r="BV163" s="14"/>
      <c r="BW163" s="14"/>
      <c r="BX163" s="10" t="str">
        <f t="shared" si="333"/>
        <v xml:space="preserve"> </v>
      </c>
      <c r="BY163" s="10" t="str">
        <f t="shared" si="333"/>
        <v xml:space="preserve"> </v>
      </c>
      <c r="BZ163" s="10" t="str">
        <f t="shared" si="333"/>
        <v xml:space="preserve"> </v>
      </c>
      <c r="CA163" s="10" t="str">
        <f t="shared" si="333"/>
        <v xml:space="preserve"> </v>
      </c>
      <c r="CB163" s="10" t="str">
        <f t="shared" si="333"/>
        <v xml:space="preserve"> </v>
      </c>
      <c r="CC163" s="14"/>
      <c r="CD163" s="14"/>
      <c r="CE163" s="10" t="str">
        <f t="shared" si="334"/>
        <v xml:space="preserve"> </v>
      </c>
      <c r="CF163" s="10" t="str">
        <f t="shared" si="334"/>
        <v xml:space="preserve"> </v>
      </c>
      <c r="CG163" s="10" t="str">
        <f t="shared" si="334"/>
        <v xml:space="preserve"> </v>
      </c>
      <c r="CH163" s="10" t="str">
        <f t="shared" si="334"/>
        <v xml:space="preserve"> </v>
      </c>
      <c r="CI163" s="10" t="str">
        <f t="shared" si="334"/>
        <v xml:space="preserve"> </v>
      </c>
      <c r="CJ163" s="14"/>
      <c r="CK163" s="14"/>
      <c r="CL163" s="10" t="str">
        <f t="shared" si="335"/>
        <v xml:space="preserve"> </v>
      </c>
      <c r="CM163" s="10" t="str">
        <f t="shared" si="335"/>
        <v xml:space="preserve"> </v>
      </c>
      <c r="CN163" s="10" t="str">
        <f t="shared" si="335"/>
        <v xml:space="preserve"> </v>
      </c>
      <c r="CO163" s="10" t="str">
        <f t="shared" si="335"/>
        <v xml:space="preserve"> </v>
      </c>
      <c r="CP163" s="10" t="str">
        <f t="shared" si="335"/>
        <v xml:space="preserve"> </v>
      </c>
      <c r="CQ163" s="14"/>
      <c r="CR163" s="14"/>
      <c r="CS163" s="10" t="str">
        <f t="shared" si="336"/>
        <v xml:space="preserve"> </v>
      </c>
      <c r="CT163" s="10" t="str">
        <f t="shared" si="336"/>
        <v xml:space="preserve"> </v>
      </c>
      <c r="CU163" s="10" t="str">
        <f t="shared" si="336"/>
        <v xml:space="preserve"> </v>
      </c>
      <c r="CV163" s="10" t="str">
        <f t="shared" si="336"/>
        <v xml:space="preserve"> </v>
      </c>
      <c r="CW163" s="10" t="str">
        <f t="shared" si="336"/>
        <v xml:space="preserve"> </v>
      </c>
      <c r="CZ163" s="10" t="str">
        <f t="shared" si="337"/>
        <v xml:space="preserve"> </v>
      </c>
      <c r="DA163" s="10" t="str">
        <f t="shared" si="337"/>
        <v xml:space="preserve"> </v>
      </c>
      <c r="DB163" s="10" t="str">
        <f t="shared" si="337"/>
        <v xml:space="preserve"> </v>
      </c>
      <c r="DC163" s="10" t="str">
        <f t="shared" si="337"/>
        <v xml:space="preserve"> </v>
      </c>
      <c r="DD163" s="10" t="str">
        <f t="shared" si="337"/>
        <v xml:space="preserve"> </v>
      </c>
      <c r="DG163" s="10" t="str">
        <f t="shared" si="338"/>
        <v xml:space="preserve"> </v>
      </c>
      <c r="DH163" s="10" t="str">
        <f t="shared" si="338"/>
        <v xml:space="preserve"> </v>
      </c>
      <c r="DI163" s="10" t="str">
        <f t="shared" si="338"/>
        <v xml:space="preserve"> </v>
      </c>
      <c r="DJ163" s="10" t="str">
        <f t="shared" si="338"/>
        <v xml:space="preserve"> </v>
      </c>
      <c r="DK163" s="10" t="str">
        <f t="shared" si="338"/>
        <v xml:space="preserve"> </v>
      </c>
      <c r="DN163" s="10" t="str">
        <f t="shared" si="339"/>
        <v xml:space="preserve"> </v>
      </c>
      <c r="DO163" s="10" t="str">
        <f t="shared" si="339"/>
        <v xml:space="preserve"> </v>
      </c>
      <c r="DP163" s="10" t="str">
        <f t="shared" si="339"/>
        <v xml:space="preserve"> </v>
      </c>
      <c r="DQ163" s="10" t="str">
        <f t="shared" si="339"/>
        <v xml:space="preserve"> </v>
      </c>
      <c r="DR163" s="10" t="str">
        <f t="shared" si="339"/>
        <v xml:space="preserve"> </v>
      </c>
      <c r="DU163" s="10" t="str">
        <f t="shared" si="340"/>
        <v xml:space="preserve"> </v>
      </c>
      <c r="DV163" s="10" t="str">
        <f t="shared" si="340"/>
        <v xml:space="preserve"> </v>
      </c>
      <c r="DW163" s="10" t="str">
        <f t="shared" si="340"/>
        <v xml:space="preserve"> </v>
      </c>
      <c r="DX163" s="10" t="str">
        <f t="shared" si="340"/>
        <v xml:space="preserve"> </v>
      </c>
      <c r="DY163" s="10" t="str">
        <f t="shared" si="340"/>
        <v xml:space="preserve"> </v>
      </c>
      <c r="EB163" s="10" t="str">
        <f t="shared" si="341"/>
        <v xml:space="preserve"> </v>
      </c>
      <c r="EC163" s="10" t="str">
        <f t="shared" si="341"/>
        <v xml:space="preserve"> </v>
      </c>
      <c r="ED163" s="10" t="str">
        <f t="shared" si="341"/>
        <v xml:space="preserve"> </v>
      </c>
      <c r="EE163" s="10" t="str">
        <f t="shared" si="341"/>
        <v xml:space="preserve"> </v>
      </c>
      <c r="EF163" s="10" t="str">
        <f t="shared" si="341"/>
        <v xml:space="preserve"> </v>
      </c>
      <c r="EI163" s="10" t="str">
        <f t="shared" si="342"/>
        <v xml:space="preserve"> </v>
      </c>
      <c r="EJ163" s="10" t="str">
        <f t="shared" si="342"/>
        <v xml:space="preserve"> </v>
      </c>
      <c r="EK163" s="10" t="str">
        <f t="shared" si="342"/>
        <v xml:space="preserve"> </v>
      </c>
      <c r="EL163" s="10" t="str">
        <f t="shared" si="342"/>
        <v xml:space="preserve"> </v>
      </c>
      <c r="EM163" s="10" t="str">
        <f t="shared" si="342"/>
        <v xml:space="preserve"> </v>
      </c>
      <c r="EP163" s="10" t="str">
        <f t="shared" si="343"/>
        <v xml:space="preserve"> </v>
      </c>
      <c r="EQ163" s="10" t="str">
        <f t="shared" si="343"/>
        <v xml:space="preserve"> </v>
      </c>
      <c r="ER163" s="10" t="str">
        <f t="shared" si="343"/>
        <v xml:space="preserve"> </v>
      </c>
      <c r="ES163" s="10" t="str">
        <f t="shared" si="343"/>
        <v xml:space="preserve"> </v>
      </c>
      <c r="ET163" s="10" t="str">
        <f t="shared" si="343"/>
        <v xml:space="preserve"> </v>
      </c>
      <c r="EW163" s="10" t="str">
        <f t="shared" si="344"/>
        <v xml:space="preserve"> </v>
      </c>
      <c r="EX163" s="10" t="str">
        <f t="shared" si="344"/>
        <v xml:space="preserve"> </v>
      </c>
      <c r="EY163" s="10" t="str">
        <f t="shared" si="344"/>
        <v xml:space="preserve"> </v>
      </c>
      <c r="EZ163" s="10" t="str">
        <f t="shared" si="344"/>
        <v xml:space="preserve"> </v>
      </c>
      <c r="FA163" s="10" t="str">
        <f t="shared" si="344"/>
        <v xml:space="preserve"> </v>
      </c>
      <c r="FD163" s="10" t="str">
        <f t="shared" si="345"/>
        <v xml:space="preserve"> </v>
      </c>
      <c r="FE163" s="10" t="str">
        <f t="shared" si="345"/>
        <v xml:space="preserve"> </v>
      </c>
      <c r="FF163" s="10" t="str">
        <f t="shared" si="345"/>
        <v xml:space="preserve"> </v>
      </c>
      <c r="FG163" s="10" t="str">
        <f t="shared" si="345"/>
        <v xml:space="preserve"> </v>
      </c>
      <c r="FH163" s="10" t="str">
        <f t="shared" si="345"/>
        <v xml:space="preserve"> </v>
      </c>
      <c r="FK163" s="10" t="str">
        <f t="shared" si="346"/>
        <v xml:space="preserve"> </v>
      </c>
      <c r="FL163" s="10" t="str">
        <f t="shared" si="346"/>
        <v xml:space="preserve"> </v>
      </c>
      <c r="FM163" s="10" t="str">
        <f t="shared" si="346"/>
        <v xml:space="preserve"> </v>
      </c>
      <c r="FN163" s="10" t="str">
        <f t="shared" si="346"/>
        <v xml:space="preserve"> </v>
      </c>
      <c r="FO163" s="10" t="str">
        <f t="shared" si="346"/>
        <v xml:space="preserve"> </v>
      </c>
      <c r="FR163" s="10" t="str">
        <f t="shared" si="347"/>
        <v xml:space="preserve"> </v>
      </c>
      <c r="FS163" s="10" t="str">
        <f t="shared" si="347"/>
        <v xml:space="preserve"> </v>
      </c>
      <c r="FT163" s="10" t="str">
        <f t="shared" si="347"/>
        <v xml:space="preserve"> </v>
      </c>
      <c r="FU163" s="10" t="str">
        <f t="shared" si="347"/>
        <v xml:space="preserve"> </v>
      </c>
      <c r="FV163" s="10" t="str">
        <f t="shared" si="347"/>
        <v xml:space="preserve"> </v>
      </c>
      <c r="FY163" s="10" t="str">
        <f t="shared" si="348"/>
        <v xml:space="preserve"> </v>
      </c>
      <c r="FZ163" s="10" t="str">
        <f t="shared" si="348"/>
        <v xml:space="preserve"> </v>
      </c>
      <c r="GA163" s="10" t="str">
        <f t="shared" si="348"/>
        <v xml:space="preserve"> </v>
      </c>
      <c r="GB163" s="10" t="str">
        <f t="shared" si="348"/>
        <v xml:space="preserve"> </v>
      </c>
      <c r="GC163" s="10" t="str">
        <f t="shared" si="348"/>
        <v xml:space="preserve"> </v>
      </c>
      <c r="GF163" s="10" t="str">
        <f t="shared" si="349"/>
        <v xml:space="preserve"> </v>
      </c>
      <c r="GG163" s="10" t="str">
        <f t="shared" si="349"/>
        <v xml:space="preserve"> </v>
      </c>
      <c r="GH163" s="10" t="str">
        <f t="shared" si="349"/>
        <v xml:space="preserve"> </v>
      </c>
      <c r="GI163" s="10" t="str">
        <f t="shared" si="349"/>
        <v xml:space="preserve"> </v>
      </c>
      <c r="GJ163" s="10" t="str">
        <f t="shared" si="349"/>
        <v xml:space="preserve"> </v>
      </c>
      <c r="GM163" s="10" t="str">
        <f t="shared" si="350"/>
        <v xml:space="preserve"> </v>
      </c>
      <c r="GN163" s="10" t="str">
        <f t="shared" si="350"/>
        <v xml:space="preserve"> </v>
      </c>
      <c r="GO163" s="10" t="str">
        <f t="shared" si="350"/>
        <v xml:space="preserve"> </v>
      </c>
      <c r="GP163" s="10" t="str">
        <f t="shared" si="350"/>
        <v xml:space="preserve"> </v>
      </c>
      <c r="GQ163" s="10" t="str">
        <f t="shared" si="350"/>
        <v xml:space="preserve"> </v>
      </c>
      <c r="GT163" s="10" t="str">
        <f t="shared" si="351"/>
        <v xml:space="preserve"> </v>
      </c>
      <c r="GU163" s="10" t="str">
        <f t="shared" si="351"/>
        <v xml:space="preserve"> </v>
      </c>
      <c r="GV163" s="10" t="str">
        <f t="shared" si="351"/>
        <v xml:space="preserve"> </v>
      </c>
      <c r="GW163" s="10" t="str">
        <f t="shared" si="351"/>
        <v xml:space="preserve"> </v>
      </c>
      <c r="GX163" s="10" t="str">
        <f t="shared" si="351"/>
        <v xml:space="preserve"> </v>
      </c>
      <c r="HA163" s="10" t="str">
        <f t="shared" si="352"/>
        <v xml:space="preserve"> </v>
      </c>
      <c r="HB163" s="10" t="str">
        <f t="shared" si="352"/>
        <v xml:space="preserve"> </v>
      </c>
      <c r="HC163" s="10" t="str">
        <f t="shared" si="352"/>
        <v xml:space="preserve"> </v>
      </c>
      <c r="HD163" s="10" t="str">
        <f t="shared" si="352"/>
        <v xml:space="preserve"> </v>
      </c>
      <c r="HE163" s="10" t="str">
        <f t="shared" si="352"/>
        <v xml:space="preserve"> </v>
      </c>
      <c r="HH163" s="10" t="str">
        <f t="shared" si="353"/>
        <v xml:space="preserve"> </v>
      </c>
      <c r="HI163" s="10" t="str">
        <f t="shared" si="353"/>
        <v xml:space="preserve"> </v>
      </c>
      <c r="HJ163" s="10" t="str">
        <f t="shared" si="353"/>
        <v xml:space="preserve"> </v>
      </c>
      <c r="HK163" s="10" t="str">
        <f t="shared" si="353"/>
        <v xml:space="preserve"> </v>
      </c>
      <c r="HL163" s="10" t="str">
        <f t="shared" si="353"/>
        <v xml:space="preserve"> </v>
      </c>
      <c r="HO163" s="10" t="str">
        <f t="shared" si="354"/>
        <v xml:space="preserve"> </v>
      </c>
      <c r="HP163" s="10" t="str">
        <f t="shared" si="354"/>
        <v xml:space="preserve"> </v>
      </c>
      <c r="HQ163" s="10" t="str">
        <f t="shared" si="354"/>
        <v xml:space="preserve"> </v>
      </c>
      <c r="HR163" s="10" t="str">
        <f t="shared" si="354"/>
        <v xml:space="preserve"> </v>
      </c>
      <c r="HS163" s="10" t="str">
        <f t="shared" si="354"/>
        <v xml:space="preserve"> </v>
      </c>
      <c r="HV163" s="10" t="str">
        <f t="shared" si="355"/>
        <v xml:space="preserve"> </v>
      </c>
      <c r="HW163" s="10" t="str">
        <f t="shared" si="355"/>
        <v xml:space="preserve"> </v>
      </c>
      <c r="HX163" s="10" t="str">
        <f t="shared" si="355"/>
        <v xml:space="preserve"> </v>
      </c>
      <c r="HY163" s="10" t="str">
        <f t="shared" si="355"/>
        <v xml:space="preserve"> </v>
      </c>
      <c r="HZ163" s="10" t="str">
        <f t="shared" si="355"/>
        <v xml:space="preserve"> </v>
      </c>
      <c r="IC163" s="10" t="str">
        <f t="shared" si="356"/>
        <v xml:space="preserve"> </v>
      </c>
      <c r="ID163" s="10" t="str">
        <f t="shared" si="356"/>
        <v xml:space="preserve"> </v>
      </c>
      <c r="IE163" s="10" t="str">
        <f t="shared" si="356"/>
        <v xml:space="preserve"> </v>
      </c>
      <c r="IF163" s="10" t="str">
        <f t="shared" si="356"/>
        <v xml:space="preserve"> </v>
      </c>
      <c r="IG163" s="10" t="str">
        <f t="shared" si="356"/>
        <v xml:space="preserve"> </v>
      </c>
      <c r="IJ163" s="10" t="str">
        <f t="shared" si="357"/>
        <v xml:space="preserve"> </v>
      </c>
      <c r="IK163" s="10" t="str">
        <f t="shared" si="357"/>
        <v xml:space="preserve"> </v>
      </c>
      <c r="IL163" s="10" t="str">
        <f t="shared" si="357"/>
        <v xml:space="preserve"> </v>
      </c>
      <c r="IM163" s="10" t="str">
        <f t="shared" si="357"/>
        <v xml:space="preserve"> </v>
      </c>
      <c r="IN163" s="10" t="str">
        <f t="shared" si="357"/>
        <v xml:space="preserve"> </v>
      </c>
      <c r="IQ163" s="10" t="str">
        <f t="shared" si="358"/>
        <v xml:space="preserve"> </v>
      </c>
      <c r="IR163" s="10" t="str">
        <f t="shared" si="358"/>
        <v xml:space="preserve"> </v>
      </c>
      <c r="IS163" s="10" t="str">
        <f t="shared" si="358"/>
        <v xml:space="preserve"> </v>
      </c>
      <c r="IT163" s="10" t="str">
        <f t="shared" si="358"/>
        <v xml:space="preserve"> </v>
      </c>
      <c r="IU163" s="10" t="str">
        <f t="shared" si="358"/>
        <v xml:space="preserve"> </v>
      </c>
      <c r="IX163" s="10" t="str">
        <f t="shared" si="359"/>
        <v xml:space="preserve"> </v>
      </c>
      <c r="IY163" s="10" t="str">
        <f t="shared" si="359"/>
        <v xml:space="preserve"> </v>
      </c>
      <c r="IZ163" s="10" t="str">
        <f t="shared" si="359"/>
        <v xml:space="preserve"> </v>
      </c>
      <c r="JA163" s="10" t="str">
        <f t="shared" si="359"/>
        <v xml:space="preserve"> </v>
      </c>
      <c r="JB163" s="10" t="str">
        <f t="shared" si="359"/>
        <v xml:space="preserve"> </v>
      </c>
      <c r="JE163" s="10" t="str">
        <f t="shared" si="360"/>
        <v xml:space="preserve"> </v>
      </c>
      <c r="JF163" s="10" t="str">
        <f t="shared" si="360"/>
        <v xml:space="preserve"> </v>
      </c>
      <c r="JG163" s="10" t="str">
        <f t="shared" si="360"/>
        <v xml:space="preserve"> </v>
      </c>
      <c r="JH163" s="10" t="str">
        <f t="shared" si="360"/>
        <v xml:space="preserve"> </v>
      </c>
      <c r="JI163" s="10" t="str">
        <f t="shared" si="360"/>
        <v xml:space="preserve"> </v>
      </c>
    </row>
    <row r="164" spans="13:269">
      <c r="M164" s="10" t="str">
        <f t="shared" si="361"/>
        <v xml:space="preserve"> </v>
      </c>
      <c r="N164" s="10" t="str">
        <f t="shared" si="361"/>
        <v xml:space="preserve"> </v>
      </c>
      <c r="O164" s="10" t="str">
        <f t="shared" si="361"/>
        <v xml:space="preserve"> </v>
      </c>
      <c r="P164" s="10" t="str">
        <f t="shared" si="361"/>
        <v xml:space="preserve"> </v>
      </c>
      <c r="Q164" s="10" t="str">
        <f t="shared" si="361"/>
        <v xml:space="preserve"> </v>
      </c>
      <c r="R164" s="14"/>
      <c r="S164" s="14"/>
      <c r="T164" s="10" t="str">
        <f t="shared" si="325"/>
        <v xml:space="preserve"> </v>
      </c>
      <c r="U164" s="10" t="str">
        <f t="shared" si="325"/>
        <v xml:space="preserve"> </v>
      </c>
      <c r="V164" s="10" t="str">
        <f t="shared" si="325"/>
        <v xml:space="preserve"> </v>
      </c>
      <c r="W164" s="10" t="str">
        <f t="shared" si="325"/>
        <v xml:space="preserve"> </v>
      </c>
      <c r="X164" s="10" t="str">
        <f t="shared" si="325"/>
        <v xml:space="preserve"> </v>
      </c>
      <c r="Y164" s="14"/>
      <c r="Z164" s="14"/>
      <c r="AA164" s="10" t="str">
        <f t="shared" si="326"/>
        <v xml:space="preserve"> </v>
      </c>
      <c r="AB164" s="10" t="str">
        <f t="shared" si="326"/>
        <v xml:space="preserve"> </v>
      </c>
      <c r="AC164" s="10" t="str">
        <f t="shared" si="326"/>
        <v xml:space="preserve"> </v>
      </c>
      <c r="AD164" s="10" t="str">
        <f t="shared" si="326"/>
        <v xml:space="preserve"> </v>
      </c>
      <c r="AE164" s="10" t="str">
        <f t="shared" si="326"/>
        <v xml:space="preserve"> </v>
      </c>
      <c r="AF164" s="14"/>
      <c r="AG164" s="14"/>
      <c r="AH164" s="10" t="str">
        <f t="shared" si="327"/>
        <v xml:space="preserve"> </v>
      </c>
      <c r="AI164" s="10" t="str">
        <f t="shared" si="327"/>
        <v xml:space="preserve"> </v>
      </c>
      <c r="AJ164" s="10" t="str">
        <f t="shared" si="327"/>
        <v xml:space="preserve"> </v>
      </c>
      <c r="AK164" s="10" t="str">
        <f t="shared" si="327"/>
        <v xml:space="preserve"> </v>
      </c>
      <c r="AL164" s="10" t="str">
        <f t="shared" si="327"/>
        <v xml:space="preserve"> </v>
      </c>
      <c r="AM164" s="14"/>
      <c r="AN164" s="14"/>
      <c r="AO164" s="10" t="str">
        <f t="shared" si="328"/>
        <v xml:space="preserve"> </v>
      </c>
      <c r="AP164" s="10" t="str">
        <f t="shared" si="328"/>
        <v xml:space="preserve"> </v>
      </c>
      <c r="AQ164" s="10" t="str">
        <f t="shared" si="328"/>
        <v xml:space="preserve"> </v>
      </c>
      <c r="AR164" s="10" t="str">
        <f t="shared" si="328"/>
        <v xml:space="preserve"> </v>
      </c>
      <c r="AS164" s="10" t="str">
        <f t="shared" si="328"/>
        <v xml:space="preserve"> </v>
      </c>
      <c r="AT164" s="14"/>
      <c r="AU164" s="14"/>
      <c r="AV164" s="10" t="str">
        <f t="shared" si="329"/>
        <v xml:space="preserve"> </v>
      </c>
      <c r="AW164" s="10" t="str">
        <f t="shared" si="329"/>
        <v xml:space="preserve"> </v>
      </c>
      <c r="AX164" s="10" t="str">
        <f t="shared" si="329"/>
        <v xml:space="preserve"> </v>
      </c>
      <c r="AY164" s="10" t="str">
        <f t="shared" si="329"/>
        <v xml:space="preserve"> </v>
      </c>
      <c r="AZ164" s="10" t="str">
        <f t="shared" si="329"/>
        <v xml:space="preserve"> </v>
      </c>
      <c r="BA164" s="14"/>
      <c r="BB164" s="14"/>
      <c r="BC164" s="10" t="str">
        <f t="shared" si="330"/>
        <v xml:space="preserve"> </v>
      </c>
      <c r="BD164" s="10" t="str">
        <f t="shared" si="330"/>
        <v xml:space="preserve"> </v>
      </c>
      <c r="BE164" s="10" t="str">
        <f t="shared" si="330"/>
        <v xml:space="preserve"> </v>
      </c>
      <c r="BF164" s="10" t="str">
        <f t="shared" si="330"/>
        <v xml:space="preserve"> </v>
      </c>
      <c r="BG164" s="10" t="str">
        <f t="shared" si="330"/>
        <v xml:space="preserve"> </v>
      </c>
      <c r="BH164" s="14"/>
      <c r="BI164" s="14"/>
      <c r="BJ164" s="10" t="str">
        <f t="shared" si="331"/>
        <v xml:space="preserve"> </v>
      </c>
      <c r="BK164" s="10" t="str">
        <f t="shared" si="331"/>
        <v xml:space="preserve"> </v>
      </c>
      <c r="BL164" s="10" t="str">
        <f t="shared" si="331"/>
        <v xml:space="preserve"> </v>
      </c>
      <c r="BM164" s="10" t="str">
        <f t="shared" si="331"/>
        <v xml:space="preserve"> </v>
      </c>
      <c r="BN164" s="10" t="str">
        <f t="shared" si="331"/>
        <v xml:space="preserve"> </v>
      </c>
      <c r="BO164" s="14"/>
      <c r="BP164" s="14"/>
      <c r="BQ164" s="10" t="str">
        <f t="shared" si="332"/>
        <v xml:space="preserve"> </v>
      </c>
      <c r="BR164" s="10" t="str">
        <f t="shared" si="332"/>
        <v xml:space="preserve"> </v>
      </c>
      <c r="BS164" s="10" t="str">
        <f t="shared" si="332"/>
        <v xml:space="preserve"> </v>
      </c>
      <c r="BT164" s="10" t="str">
        <f t="shared" si="332"/>
        <v xml:space="preserve"> </v>
      </c>
      <c r="BU164" s="10" t="str">
        <f t="shared" si="332"/>
        <v xml:space="preserve"> </v>
      </c>
      <c r="BV164" s="14"/>
      <c r="BW164" s="14"/>
      <c r="BX164" s="10" t="str">
        <f t="shared" si="333"/>
        <v xml:space="preserve"> </v>
      </c>
      <c r="BY164" s="10" t="str">
        <f t="shared" si="333"/>
        <v xml:space="preserve"> </v>
      </c>
      <c r="BZ164" s="10" t="str">
        <f t="shared" si="333"/>
        <v xml:space="preserve"> </v>
      </c>
      <c r="CA164" s="10" t="str">
        <f t="shared" si="333"/>
        <v xml:space="preserve"> </v>
      </c>
      <c r="CB164" s="10" t="str">
        <f t="shared" si="333"/>
        <v xml:space="preserve"> </v>
      </c>
      <c r="CC164" s="14"/>
      <c r="CD164" s="14"/>
      <c r="CE164" s="10" t="str">
        <f t="shared" si="334"/>
        <v xml:space="preserve"> </v>
      </c>
      <c r="CF164" s="10" t="str">
        <f t="shared" si="334"/>
        <v xml:space="preserve"> </v>
      </c>
      <c r="CG164" s="10" t="str">
        <f t="shared" si="334"/>
        <v xml:space="preserve"> </v>
      </c>
      <c r="CH164" s="10" t="str">
        <f t="shared" si="334"/>
        <v xml:space="preserve"> </v>
      </c>
      <c r="CI164" s="10" t="str">
        <f t="shared" si="334"/>
        <v xml:space="preserve"> </v>
      </c>
      <c r="CJ164" s="14"/>
      <c r="CK164" s="14"/>
      <c r="CL164" s="10" t="str">
        <f t="shared" si="335"/>
        <v xml:space="preserve"> </v>
      </c>
      <c r="CM164" s="10" t="str">
        <f t="shared" si="335"/>
        <v xml:space="preserve"> </v>
      </c>
      <c r="CN164" s="10" t="str">
        <f t="shared" si="335"/>
        <v xml:space="preserve"> </v>
      </c>
      <c r="CO164" s="10" t="str">
        <f t="shared" si="335"/>
        <v xml:space="preserve"> </v>
      </c>
      <c r="CP164" s="10" t="str">
        <f t="shared" si="335"/>
        <v xml:space="preserve"> </v>
      </c>
      <c r="CQ164" s="14"/>
      <c r="CR164" s="14"/>
      <c r="CS164" s="10" t="str">
        <f t="shared" si="336"/>
        <v xml:space="preserve"> </v>
      </c>
      <c r="CT164" s="10" t="str">
        <f t="shared" si="336"/>
        <v xml:space="preserve"> </v>
      </c>
      <c r="CU164" s="10" t="str">
        <f t="shared" si="336"/>
        <v xml:space="preserve"> </v>
      </c>
      <c r="CV164" s="10" t="str">
        <f t="shared" si="336"/>
        <v xml:space="preserve"> </v>
      </c>
      <c r="CW164" s="10" t="str">
        <f t="shared" si="336"/>
        <v xml:space="preserve"> </v>
      </c>
      <c r="CZ164" s="10" t="str">
        <f t="shared" si="337"/>
        <v xml:space="preserve"> </v>
      </c>
      <c r="DA164" s="10" t="str">
        <f t="shared" si="337"/>
        <v xml:space="preserve"> </v>
      </c>
      <c r="DB164" s="10" t="str">
        <f t="shared" si="337"/>
        <v xml:space="preserve"> </v>
      </c>
      <c r="DC164" s="10" t="str">
        <f t="shared" si="337"/>
        <v xml:space="preserve"> </v>
      </c>
      <c r="DD164" s="10" t="str">
        <f t="shared" si="337"/>
        <v xml:space="preserve"> </v>
      </c>
      <c r="DG164" s="10" t="str">
        <f t="shared" si="338"/>
        <v xml:space="preserve"> </v>
      </c>
      <c r="DH164" s="10" t="str">
        <f t="shared" si="338"/>
        <v xml:space="preserve"> </v>
      </c>
      <c r="DI164" s="10" t="str">
        <f t="shared" si="338"/>
        <v xml:space="preserve"> </v>
      </c>
      <c r="DJ164" s="10" t="str">
        <f t="shared" si="338"/>
        <v xml:space="preserve"> </v>
      </c>
      <c r="DK164" s="10" t="str">
        <f t="shared" si="338"/>
        <v xml:space="preserve"> </v>
      </c>
      <c r="DN164" s="10" t="str">
        <f t="shared" si="339"/>
        <v xml:space="preserve"> </v>
      </c>
      <c r="DO164" s="10" t="str">
        <f t="shared" si="339"/>
        <v xml:space="preserve"> </v>
      </c>
      <c r="DP164" s="10" t="str">
        <f t="shared" si="339"/>
        <v xml:space="preserve"> </v>
      </c>
      <c r="DQ164" s="10" t="str">
        <f t="shared" si="339"/>
        <v xml:space="preserve"> </v>
      </c>
      <c r="DR164" s="10" t="str">
        <f t="shared" si="339"/>
        <v xml:space="preserve"> </v>
      </c>
      <c r="DU164" s="10" t="str">
        <f t="shared" si="340"/>
        <v xml:space="preserve"> </v>
      </c>
      <c r="DV164" s="10" t="str">
        <f t="shared" si="340"/>
        <v xml:space="preserve"> </v>
      </c>
      <c r="DW164" s="10" t="str">
        <f t="shared" si="340"/>
        <v xml:space="preserve"> </v>
      </c>
      <c r="DX164" s="10" t="str">
        <f t="shared" si="340"/>
        <v xml:space="preserve"> </v>
      </c>
      <c r="DY164" s="10" t="str">
        <f t="shared" si="340"/>
        <v xml:space="preserve"> </v>
      </c>
      <c r="EB164" s="10" t="str">
        <f t="shared" si="341"/>
        <v xml:space="preserve"> </v>
      </c>
      <c r="EC164" s="10" t="str">
        <f t="shared" si="341"/>
        <v xml:space="preserve"> </v>
      </c>
      <c r="ED164" s="10" t="str">
        <f t="shared" si="341"/>
        <v xml:space="preserve"> </v>
      </c>
      <c r="EE164" s="10" t="str">
        <f t="shared" si="341"/>
        <v xml:space="preserve"> </v>
      </c>
      <c r="EF164" s="10" t="str">
        <f t="shared" si="341"/>
        <v xml:space="preserve"> </v>
      </c>
      <c r="EI164" s="10" t="str">
        <f t="shared" si="342"/>
        <v xml:space="preserve"> </v>
      </c>
      <c r="EJ164" s="10" t="str">
        <f t="shared" si="342"/>
        <v xml:space="preserve"> </v>
      </c>
      <c r="EK164" s="10" t="str">
        <f t="shared" si="342"/>
        <v xml:space="preserve"> </v>
      </c>
      <c r="EL164" s="10" t="str">
        <f t="shared" si="342"/>
        <v xml:space="preserve"> </v>
      </c>
      <c r="EM164" s="10" t="str">
        <f t="shared" si="342"/>
        <v xml:space="preserve"> </v>
      </c>
      <c r="EP164" s="10" t="str">
        <f t="shared" si="343"/>
        <v xml:space="preserve"> </v>
      </c>
      <c r="EQ164" s="10" t="str">
        <f t="shared" si="343"/>
        <v xml:space="preserve"> </v>
      </c>
      <c r="ER164" s="10" t="str">
        <f t="shared" si="343"/>
        <v xml:space="preserve"> </v>
      </c>
      <c r="ES164" s="10" t="str">
        <f t="shared" si="343"/>
        <v xml:space="preserve"> </v>
      </c>
      <c r="ET164" s="10" t="str">
        <f t="shared" si="343"/>
        <v xml:space="preserve"> </v>
      </c>
      <c r="EW164" s="10" t="str">
        <f t="shared" si="344"/>
        <v xml:space="preserve"> </v>
      </c>
      <c r="EX164" s="10" t="str">
        <f t="shared" si="344"/>
        <v xml:space="preserve"> </v>
      </c>
      <c r="EY164" s="10" t="str">
        <f t="shared" si="344"/>
        <v xml:space="preserve"> </v>
      </c>
      <c r="EZ164" s="10" t="str">
        <f t="shared" si="344"/>
        <v xml:space="preserve"> </v>
      </c>
      <c r="FA164" s="10" t="str">
        <f t="shared" si="344"/>
        <v xml:space="preserve"> </v>
      </c>
      <c r="FD164" s="10" t="str">
        <f t="shared" si="345"/>
        <v xml:space="preserve"> </v>
      </c>
      <c r="FE164" s="10" t="str">
        <f t="shared" si="345"/>
        <v xml:space="preserve"> </v>
      </c>
      <c r="FF164" s="10" t="str">
        <f t="shared" si="345"/>
        <v xml:space="preserve"> </v>
      </c>
      <c r="FG164" s="10" t="str">
        <f t="shared" si="345"/>
        <v xml:space="preserve"> </v>
      </c>
      <c r="FH164" s="10" t="str">
        <f t="shared" si="345"/>
        <v xml:space="preserve"> </v>
      </c>
      <c r="FK164" s="10" t="str">
        <f t="shared" si="346"/>
        <v xml:space="preserve"> </v>
      </c>
      <c r="FL164" s="10" t="str">
        <f t="shared" si="346"/>
        <v xml:space="preserve"> </v>
      </c>
      <c r="FM164" s="10" t="str">
        <f t="shared" si="346"/>
        <v xml:space="preserve"> </v>
      </c>
      <c r="FN164" s="10" t="str">
        <f t="shared" si="346"/>
        <v xml:space="preserve"> </v>
      </c>
      <c r="FO164" s="10" t="str">
        <f t="shared" si="346"/>
        <v xml:space="preserve"> </v>
      </c>
      <c r="FR164" s="10" t="str">
        <f t="shared" si="347"/>
        <v xml:space="preserve"> </v>
      </c>
      <c r="FS164" s="10" t="str">
        <f t="shared" si="347"/>
        <v xml:space="preserve"> </v>
      </c>
      <c r="FT164" s="10" t="str">
        <f t="shared" si="347"/>
        <v xml:space="preserve"> </v>
      </c>
      <c r="FU164" s="10" t="str">
        <f t="shared" si="347"/>
        <v xml:space="preserve"> </v>
      </c>
      <c r="FV164" s="10" t="str">
        <f t="shared" si="347"/>
        <v xml:space="preserve"> </v>
      </c>
      <c r="FY164" s="10" t="str">
        <f t="shared" si="348"/>
        <v xml:space="preserve"> </v>
      </c>
      <c r="FZ164" s="10" t="str">
        <f t="shared" si="348"/>
        <v xml:space="preserve"> </v>
      </c>
      <c r="GA164" s="10" t="str">
        <f t="shared" si="348"/>
        <v xml:space="preserve"> </v>
      </c>
      <c r="GB164" s="10" t="str">
        <f t="shared" si="348"/>
        <v xml:space="preserve"> </v>
      </c>
      <c r="GC164" s="10" t="str">
        <f t="shared" si="348"/>
        <v xml:space="preserve"> </v>
      </c>
      <c r="GF164" s="10" t="str">
        <f t="shared" si="349"/>
        <v xml:space="preserve"> </v>
      </c>
      <c r="GG164" s="10" t="str">
        <f t="shared" si="349"/>
        <v xml:space="preserve"> </v>
      </c>
      <c r="GH164" s="10" t="str">
        <f t="shared" si="349"/>
        <v xml:space="preserve"> </v>
      </c>
      <c r="GI164" s="10" t="str">
        <f t="shared" si="349"/>
        <v xml:space="preserve"> </v>
      </c>
      <c r="GJ164" s="10" t="str">
        <f t="shared" si="349"/>
        <v xml:space="preserve"> </v>
      </c>
      <c r="GM164" s="10" t="str">
        <f t="shared" si="350"/>
        <v xml:space="preserve"> </v>
      </c>
      <c r="GN164" s="10" t="str">
        <f t="shared" si="350"/>
        <v xml:space="preserve"> </v>
      </c>
      <c r="GO164" s="10" t="str">
        <f t="shared" si="350"/>
        <v xml:space="preserve"> </v>
      </c>
      <c r="GP164" s="10" t="str">
        <f t="shared" si="350"/>
        <v xml:space="preserve"> </v>
      </c>
      <c r="GQ164" s="10" t="str">
        <f t="shared" si="350"/>
        <v xml:space="preserve"> </v>
      </c>
      <c r="GT164" s="10" t="str">
        <f t="shared" si="351"/>
        <v xml:space="preserve"> </v>
      </c>
      <c r="GU164" s="10" t="str">
        <f t="shared" si="351"/>
        <v xml:space="preserve"> </v>
      </c>
      <c r="GV164" s="10" t="str">
        <f t="shared" si="351"/>
        <v xml:space="preserve"> </v>
      </c>
      <c r="GW164" s="10" t="str">
        <f t="shared" si="351"/>
        <v xml:space="preserve"> </v>
      </c>
      <c r="GX164" s="10" t="str">
        <f t="shared" si="351"/>
        <v xml:space="preserve"> </v>
      </c>
      <c r="HA164" s="10" t="str">
        <f t="shared" si="352"/>
        <v xml:space="preserve"> </v>
      </c>
      <c r="HB164" s="10" t="str">
        <f t="shared" si="352"/>
        <v xml:space="preserve"> </v>
      </c>
      <c r="HC164" s="10" t="str">
        <f t="shared" si="352"/>
        <v xml:space="preserve"> </v>
      </c>
      <c r="HD164" s="10" t="str">
        <f t="shared" si="352"/>
        <v xml:space="preserve"> </v>
      </c>
      <c r="HE164" s="10" t="str">
        <f t="shared" si="352"/>
        <v xml:space="preserve"> </v>
      </c>
      <c r="HH164" s="10" t="str">
        <f t="shared" si="353"/>
        <v xml:space="preserve"> </v>
      </c>
      <c r="HI164" s="10" t="str">
        <f t="shared" si="353"/>
        <v xml:space="preserve"> </v>
      </c>
      <c r="HJ164" s="10" t="str">
        <f t="shared" si="353"/>
        <v xml:space="preserve"> </v>
      </c>
      <c r="HK164" s="10" t="str">
        <f t="shared" si="353"/>
        <v xml:space="preserve"> </v>
      </c>
      <c r="HL164" s="10" t="str">
        <f t="shared" si="353"/>
        <v xml:space="preserve"> </v>
      </c>
      <c r="HO164" s="10" t="str">
        <f t="shared" si="354"/>
        <v xml:space="preserve"> </v>
      </c>
      <c r="HP164" s="10" t="str">
        <f t="shared" si="354"/>
        <v xml:space="preserve"> </v>
      </c>
      <c r="HQ164" s="10" t="str">
        <f t="shared" si="354"/>
        <v xml:space="preserve"> </v>
      </c>
      <c r="HR164" s="10" t="str">
        <f t="shared" si="354"/>
        <v xml:space="preserve"> </v>
      </c>
      <c r="HS164" s="10" t="str">
        <f t="shared" si="354"/>
        <v xml:space="preserve"> </v>
      </c>
      <c r="HV164" s="10" t="str">
        <f t="shared" si="355"/>
        <v xml:space="preserve"> </v>
      </c>
      <c r="HW164" s="10" t="str">
        <f t="shared" si="355"/>
        <v xml:space="preserve"> </v>
      </c>
      <c r="HX164" s="10" t="str">
        <f t="shared" si="355"/>
        <v xml:space="preserve"> </v>
      </c>
      <c r="HY164" s="10" t="str">
        <f t="shared" si="355"/>
        <v xml:space="preserve"> </v>
      </c>
      <c r="HZ164" s="10" t="str">
        <f t="shared" si="355"/>
        <v xml:space="preserve"> </v>
      </c>
      <c r="IC164" s="10" t="str">
        <f t="shared" si="356"/>
        <v xml:space="preserve"> </v>
      </c>
      <c r="ID164" s="10" t="str">
        <f t="shared" si="356"/>
        <v xml:space="preserve"> </v>
      </c>
      <c r="IE164" s="10" t="str">
        <f t="shared" si="356"/>
        <v xml:space="preserve"> </v>
      </c>
      <c r="IF164" s="10" t="str">
        <f t="shared" si="356"/>
        <v xml:space="preserve"> </v>
      </c>
      <c r="IG164" s="10" t="str">
        <f t="shared" si="356"/>
        <v xml:space="preserve"> </v>
      </c>
      <c r="IJ164" s="10" t="str">
        <f t="shared" si="357"/>
        <v xml:space="preserve"> </v>
      </c>
      <c r="IK164" s="10" t="str">
        <f t="shared" si="357"/>
        <v xml:space="preserve"> </v>
      </c>
      <c r="IL164" s="10" t="str">
        <f t="shared" si="357"/>
        <v xml:space="preserve"> </v>
      </c>
      <c r="IM164" s="10" t="str">
        <f t="shared" si="357"/>
        <v xml:space="preserve"> </v>
      </c>
      <c r="IN164" s="10" t="str">
        <f t="shared" si="357"/>
        <v xml:space="preserve"> </v>
      </c>
      <c r="IQ164" s="10" t="str">
        <f t="shared" si="358"/>
        <v xml:space="preserve"> </v>
      </c>
      <c r="IR164" s="10" t="str">
        <f t="shared" si="358"/>
        <v xml:space="preserve"> </v>
      </c>
      <c r="IS164" s="10" t="str">
        <f t="shared" si="358"/>
        <v xml:space="preserve"> </v>
      </c>
      <c r="IT164" s="10" t="str">
        <f t="shared" si="358"/>
        <v xml:space="preserve"> </v>
      </c>
      <c r="IU164" s="10" t="str">
        <f t="shared" si="358"/>
        <v xml:space="preserve"> </v>
      </c>
      <c r="IX164" s="10" t="str">
        <f t="shared" si="359"/>
        <v xml:space="preserve"> </v>
      </c>
      <c r="IY164" s="10" t="str">
        <f t="shared" si="359"/>
        <v xml:space="preserve"> </v>
      </c>
      <c r="IZ164" s="10" t="str">
        <f t="shared" si="359"/>
        <v xml:space="preserve"> </v>
      </c>
      <c r="JA164" s="10" t="str">
        <f t="shared" si="359"/>
        <v xml:space="preserve"> </v>
      </c>
      <c r="JB164" s="10" t="str">
        <f t="shared" si="359"/>
        <v xml:space="preserve"> </v>
      </c>
      <c r="JE164" s="10" t="str">
        <f t="shared" si="360"/>
        <v xml:space="preserve"> </v>
      </c>
      <c r="JF164" s="10" t="str">
        <f t="shared" si="360"/>
        <v xml:space="preserve"> </v>
      </c>
      <c r="JG164" s="10" t="str">
        <f t="shared" si="360"/>
        <v xml:space="preserve"> </v>
      </c>
      <c r="JH164" s="10" t="str">
        <f t="shared" si="360"/>
        <v xml:space="preserve"> </v>
      </c>
      <c r="JI164" s="10" t="str">
        <f t="shared" si="360"/>
        <v xml:space="preserve"> </v>
      </c>
    </row>
    <row r="165" spans="13:269">
      <c r="M165" s="10" t="str">
        <f t="shared" si="361"/>
        <v xml:space="preserve"> </v>
      </c>
      <c r="N165" s="10" t="str">
        <f t="shared" si="361"/>
        <v xml:space="preserve"> </v>
      </c>
      <c r="O165" s="10" t="str">
        <f t="shared" si="361"/>
        <v xml:space="preserve"> </v>
      </c>
      <c r="P165" s="10" t="str">
        <f t="shared" si="361"/>
        <v xml:space="preserve"> </v>
      </c>
      <c r="Q165" s="10" t="str">
        <f t="shared" si="361"/>
        <v xml:space="preserve"> </v>
      </c>
      <c r="R165" s="14"/>
      <c r="S165" s="14"/>
      <c r="T165" s="10" t="str">
        <f t="shared" si="325"/>
        <v xml:space="preserve"> </v>
      </c>
      <c r="U165" s="10" t="str">
        <f t="shared" si="325"/>
        <v xml:space="preserve"> </v>
      </c>
      <c r="V165" s="10" t="str">
        <f t="shared" si="325"/>
        <v xml:space="preserve"> </v>
      </c>
      <c r="W165" s="10" t="str">
        <f t="shared" si="325"/>
        <v xml:space="preserve"> </v>
      </c>
      <c r="X165" s="10" t="str">
        <f t="shared" si="325"/>
        <v xml:space="preserve"> </v>
      </c>
      <c r="Y165" s="14"/>
      <c r="Z165" s="14"/>
      <c r="AA165" s="10" t="str">
        <f t="shared" si="326"/>
        <v xml:space="preserve"> </v>
      </c>
      <c r="AB165" s="10" t="str">
        <f t="shared" si="326"/>
        <v xml:space="preserve"> </v>
      </c>
      <c r="AC165" s="10" t="str">
        <f t="shared" si="326"/>
        <v xml:space="preserve"> </v>
      </c>
      <c r="AD165" s="10" t="str">
        <f t="shared" si="326"/>
        <v xml:space="preserve"> </v>
      </c>
      <c r="AE165" s="10" t="str">
        <f t="shared" si="326"/>
        <v xml:space="preserve"> </v>
      </c>
      <c r="AF165" s="14"/>
      <c r="AG165" s="14"/>
      <c r="AH165" s="10" t="str">
        <f t="shared" si="327"/>
        <v xml:space="preserve"> </v>
      </c>
      <c r="AI165" s="10" t="str">
        <f t="shared" si="327"/>
        <v xml:space="preserve"> </v>
      </c>
      <c r="AJ165" s="10" t="str">
        <f t="shared" si="327"/>
        <v xml:space="preserve"> </v>
      </c>
      <c r="AK165" s="10" t="str">
        <f t="shared" si="327"/>
        <v xml:space="preserve"> </v>
      </c>
      <c r="AL165" s="10" t="str">
        <f t="shared" si="327"/>
        <v xml:space="preserve"> </v>
      </c>
      <c r="AM165" s="14"/>
      <c r="AN165" s="14"/>
      <c r="AO165" s="10" t="str">
        <f t="shared" si="328"/>
        <v xml:space="preserve"> </v>
      </c>
      <c r="AP165" s="10" t="str">
        <f t="shared" si="328"/>
        <v xml:space="preserve"> </v>
      </c>
      <c r="AQ165" s="10" t="str">
        <f t="shared" si="328"/>
        <v xml:space="preserve"> </v>
      </c>
      <c r="AR165" s="10" t="str">
        <f t="shared" si="328"/>
        <v xml:space="preserve"> </v>
      </c>
      <c r="AS165" s="10" t="str">
        <f t="shared" si="328"/>
        <v xml:space="preserve"> </v>
      </c>
      <c r="AT165" s="14"/>
      <c r="AU165" s="14"/>
      <c r="AV165" s="10" t="str">
        <f t="shared" si="329"/>
        <v xml:space="preserve"> </v>
      </c>
      <c r="AW165" s="10" t="str">
        <f t="shared" si="329"/>
        <v xml:space="preserve"> </v>
      </c>
      <c r="AX165" s="10" t="str">
        <f t="shared" si="329"/>
        <v xml:space="preserve"> </v>
      </c>
      <c r="AY165" s="10" t="str">
        <f t="shared" si="329"/>
        <v xml:space="preserve"> </v>
      </c>
      <c r="AZ165" s="10" t="str">
        <f t="shared" si="329"/>
        <v xml:space="preserve"> </v>
      </c>
      <c r="BA165" s="14"/>
      <c r="BB165" s="14"/>
      <c r="BC165" s="10" t="str">
        <f t="shared" si="330"/>
        <v xml:space="preserve"> </v>
      </c>
      <c r="BD165" s="10" t="str">
        <f t="shared" si="330"/>
        <v xml:space="preserve"> </v>
      </c>
      <c r="BE165" s="10" t="str">
        <f t="shared" si="330"/>
        <v xml:space="preserve"> </v>
      </c>
      <c r="BF165" s="10" t="str">
        <f t="shared" si="330"/>
        <v xml:space="preserve"> </v>
      </c>
      <c r="BG165" s="10" t="str">
        <f t="shared" si="330"/>
        <v xml:space="preserve"> </v>
      </c>
      <c r="BH165" s="14"/>
      <c r="BI165" s="14"/>
      <c r="BJ165" s="10" t="str">
        <f t="shared" si="331"/>
        <v xml:space="preserve"> </v>
      </c>
      <c r="BK165" s="10" t="str">
        <f t="shared" si="331"/>
        <v xml:space="preserve"> </v>
      </c>
      <c r="BL165" s="10" t="str">
        <f t="shared" si="331"/>
        <v xml:space="preserve"> </v>
      </c>
      <c r="BM165" s="10" t="str">
        <f t="shared" si="331"/>
        <v xml:space="preserve"> </v>
      </c>
      <c r="BN165" s="10" t="str">
        <f t="shared" si="331"/>
        <v xml:space="preserve"> </v>
      </c>
      <c r="BO165" s="14"/>
      <c r="BP165" s="14"/>
      <c r="BQ165" s="10" t="str">
        <f t="shared" si="332"/>
        <v xml:space="preserve"> </v>
      </c>
      <c r="BR165" s="10" t="str">
        <f t="shared" si="332"/>
        <v xml:space="preserve"> </v>
      </c>
      <c r="BS165" s="10" t="str">
        <f t="shared" si="332"/>
        <v xml:space="preserve"> </v>
      </c>
      <c r="BT165" s="10" t="str">
        <f t="shared" si="332"/>
        <v xml:space="preserve"> </v>
      </c>
      <c r="BU165" s="10" t="str">
        <f t="shared" si="332"/>
        <v xml:space="preserve"> </v>
      </c>
      <c r="BV165" s="14"/>
      <c r="BW165" s="14"/>
      <c r="BX165" s="10" t="str">
        <f t="shared" si="333"/>
        <v xml:space="preserve"> </v>
      </c>
      <c r="BY165" s="10" t="str">
        <f t="shared" si="333"/>
        <v xml:space="preserve"> </v>
      </c>
      <c r="BZ165" s="10" t="str">
        <f t="shared" si="333"/>
        <v xml:space="preserve"> </v>
      </c>
      <c r="CA165" s="10" t="str">
        <f t="shared" si="333"/>
        <v xml:space="preserve"> </v>
      </c>
      <c r="CB165" s="10" t="str">
        <f t="shared" si="333"/>
        <v xml:space="preserve"> </v>
      </c>
      <c r="CC165" s="14"/>
      <c r="CD165" s="14"/>
      <c r="CE165" s="10" t="str">
        <f t="shared" si="334"/>
        <v xml:space="preserve"> </v>
      </c>
      <c r="CF165" s="10" t="str">
        <f t="shared" si="334"/>
        <v xml:space="preserve"> </v>
      </c>
      <c r="CG165" s="10" t="str">
        <f t="shared" si="334"/>
        <v xml:space="preserve"> </v>
      </c>
      <c r="CH165" s="10" t="str">
        <f t="shared" si="334"/>
        <v xml:space="preserve"> </v>
      </c>
      <c r="CI165" s="10" t="str">
        <f t="shared" si="334"/>
        <v xml:space="preserve"> </v>
      </c>
      <c r="CJ165" s="14"/>
      <c r="CK165" s="14"/>
      <c r="CL165" s="10" t="str">
        <f t="shared" si="335"/>
        <v xml:space="preserve"> </v>
      </c>
      <c r="CM165" s="10" t="str">
        <f t="shared" si="335"/>
        <v xml:space="preserve"> </v>
      </c>
      <c r="CN165" s="10" t="str">
        <f t="shared" si="335"/>
        <v xml:space="preserve"> </v>
      </c>
      <c r="CO165" s="10" t="str">
        <f t="shared" si="335"/>
        <v xml:space="preserve"> </v>
      </c>
      <c r="CP165" s="10" t="str">
        <f t="shared" si="335"/>
        <v xml:space="preserve"> </v>
      </c>
      <c r="CQ165" s="14"/>
      <c r="CR165" s="14"/>
      <c r="CS165" s="10" t="str">
        <f t="shared" si="336"/>
        <v xml:space="preserve"> </v>
      </c>
      <c r="CT165" s="10" t="str">
        <f t="shared" si="336"/>
        <v xml:space="preserve"> </v>
      </c>
      <c r="CU165" s="10" t="str">
        <f t="shared" si="336"/>
        <v xml:space="preserve"> </v>
      </c>
      <c r="CV165" s="10" t="str">
        <f t="shared" si="336"/>
        <v xml:space="preserve"> </v>
      </c>
      <c r="CW165" s="10" t="str">
        <f t="shared" si="336"/>
        <v xml:space="preserve"> </v>
      </c>
      <c r="CZ165" s="10" t="str">
        <f t="shared" si="337"/>
        <v xml:space="preserve"> </v>
      </c>
      <c r="DA165" s="10" t="str">
        <f t="shared" si="337"/>
        <v xml:space="preserve"> </v>
      </c>
      <c r="DB165" s="10" t="str">
        <f t="shared" si="337"/>
        <v xml:space="preserve"> </v>
      </c>
      <c r="DC165" s="10" t="str">
        <f t="shared" si="337"/>
        <v xml:space="preserve"> </v>
      </c>
      <c r="DD165" s="10" t="str">
        <f t="shared" si="337"/>
        <v xml:space="preserve"> </v>
      </c>
      <c r="DG165" s="10" t="str">
        <f t="shared" si="338"/>
        <v xml:space="preserve"> </v>
      </c>
      <c r="DH165" s="10" t="str">
        <f t="shared" si="338"/>
        <v xml:space="preserve"> </v>
      </c>
      <c r="DI165" s="10" t="str">
        <f t="shared" si="338"/>
        <v xml:space="preserve"> </v>
      </c>
      <c r="DJ165" s="10" t="str">
        <f t="shared" si="338"/>
        <v xml:space="preserve"> </v>
      </c>
      <c r="DK165" s="10" t="str">
        <f t="shared" si="338"/>
        <v xml:space="preserve"> </v>
      </c>
      <c r="DN165" s="10" t="str">
        <f t="shared" si="339"/>
        <v xml:space="preserve"> </v>
      </c>
      <c r="DO165" s="10" t="str">
        <f t="shared" si="339"/>
        <v xml:space="preserve"> </v>
      </c>
      <c r="DP165" s="10" t="str">
        <f t="shared" si="339"/>
        <v xml:space="preserve"> </v>
      </c>
      <c r="DQ165" s="10" t="str">
        <f t="shared" si="339"/>
        <v xml:space="preserve"> </v>
      </c>
      <c r="DR165" s="10" t="str">
        <f t="shared" si="339"/>
        <v xml:space="preserve"> </v>
      </c>
      <c r="DU165" s="10" t="str">
        <f t="shared" si="340"/>
        <v xml:space="preserve"> </v>
      </c>
      <c r="DV165" s="10" t="str">
        <f t="shared" si="340"/>
        <v xml:space="preserve"> </v>
      </c>
      <c r="DW165" s="10" t="str">
        <f t="shared" si="340"/>
        <v xml:space="preserve"> </v>
      </c>
      <c r="DX165" s="10" t="str">
        <f t="shared" si="340"/>
        <v xml:space="preserve"> </v>
      </c>
      <c r="DY165" s="10" t="str">
        <f t="shared" si="340"/>
        <v xml:space="preserve"> </v>
      </c>
      <c r="EB165" s="10" t="str">
        <f t="shared" si="341"/>
        <v xml:space="preserve"> </v>
      </c>
      <c r="EC165" s="10" t="str">
        <f t="shared" si="341"/>
        <v xml:space="preserve"> </v>
      </c>
      <c r="ED165" s="10" t="str">
        <f t="shared" si="341"/>
        <v xml:space="preserve"> </v>
      </c>
      <c r="EE165" s="10" t="str">
        <f t="shared" si="341"/>
        <v xml:space="preserve"> </v>
      </c>
      <c r="EF165" s="10" t="str">
        <f t="shared" si="341"/>
        <v xml:space="preserve"> </v>
      </c>
      <c r="EI165" s="10" t="str">
        <f t="shared" si="342"/>
        <v xml:space="preserve"> </v>
      </c>
      <c r="EJ165" s="10" t="str">
        <f t="shared" si="342"/>
        <v xml:space="preserve"> </v>
      </c>
      <c r="EK165" s="10" t="str">
        <f t="shared" si="342"/>
        <v xml:space="preserve"> </v>
      </c>
      <c r="EL165" s="10" t="str">
        <f t="shared" si="342"/>
        <v xml:space="preserve"> </v>
      </c>
      <c r="EM165" s="10" t="str">
        <f t="shared" si="342"/>
        <v xml:space="preserve"> </v>
      </c>
      <c r="EP165" s="10" t="str">
        <f t="shared" si="343"/>
        <v xml:space="preserve"> </v>
      </c>
      <c r="EQ165" s="10" t="str">
        <f t="shared" si="343"/>
        <v xml:space="preserve"> </v>
      </c>
      <c r="ER165" s="10" t="str">
        <f t="shared" si="343"/>
        <v xml:space="preserve"> </v>
      </c>
      <c r="ES165" s="10" t="str">
        <f t="shared" si="343"/>
        <v xml:space="preserve"> </v>
      </c>
      <c r="ET165" s="10" t="str">
        <f t="shared" si="343"/>
        <v xml:space="preserve"> </v>
      </c>
      <c r="EW165" s="10" t="str">
        <f t="shared" si="344"/>
        <v xml:space="preserve"> </v>
      </c>
      <c r="EX165" s="10" t="str">
        <f t="shared" si="344"/>
        <v xml:space="preserve"> </v>
      </c>
      <c r="EY165" s="10" t="str">
        <f t="shared" si="344"/>
        <v xml:space="preserve"> </v>
      </c>
      <c r="EZ165" s="10" t="str">
        <f t="shared" si="344"/>
        <v xml:space="preserve"> </v>
      </c>
      <c r="FA165" s="10" t="str">
        <f t="shared" si="344"/>
        <v xml:space="preserve"> </v>
      </c>
      <c r="FD165" s="10" t="str">
        <f t="shared" si="345"/>
        <v xml:space="preserve"> </v>
      </c>
      <c r="FE165" s="10" t="str">
        <f t="shared" si="345"/>
        <v xml:space="preserve"> </v>
      </c>
      <c r="FF165" s="10" t="str">
        <f t="shared" si="345"/>
        <v xml:space="preserve"> </v>
      </c>
      <c r="FG165" s="10" t="str">
        <f t="shared" si="345"/>
        <v xml:space="preserve"> </v>
      </c>
      <c r="FH165" s="10" t="str">
        <f t="shared" si="345"/>
        <v xml:space="preserve"> </v>
      </c>
      <c r="FK165" s="10" t="str">
        <f t="shared" si="346"/>
        <v xml:space="preserve"> </v>
      </c>
      <c r="FL165" s="10" t="str">
        <f t="shared" si="346"/>
        <v xml:space="preserve"> </v>
      </c>
      <c r="FM165" s="10" t="str">
        <f t="shared" si="346"/>
        <v xml:space="preserve"> </v>
      </c>
      <c r="FN165" s="10" t="str">
        <f t="shared" si="346"/>
        <v xml:space="preserve"> </v>
      </c>
      <c r="FO165" s="10" t="str">
        <f t="shared" si="346"/>
        <v xml:space="preserve"> </v>
      </c>
      <c r="FR165" s="10" t="str">
        <f t="shared" si="347"/>
        <v xml:space="preserve"> </v>
      </c>
      <c r="FS165" s="10" t="str">
        <f t="shared" si="347"/>
        <v xml:space="preserve"> </v>
      </c>
      <c r="FT165" s="10" t="str">
        <f t="shared" si="347"/>
        <v xml:space="preserve"> </v>
      </c>
      <c r="FU165" s="10" t="str">
        <f t="shared" si="347"/>
        <v xml:space="preserve"> </v>
      </c>
      <c r="FV165" s="10" t="str">
        <f t="shared" si="347"/>
        <v xml:space="preserve"> </v>
      </c>
      <c r="FY165" s="10" t="str">
        <f t="shared" si="348"/>
        <v xml:space="preserve"> </v>
      </c>
      <c r="FZ165" s="10" t="str">
        <f t="shared" si="348"/>
        <v xml:space="preserve"> </v>
      </c>
      <c r="GA165" s="10" t="str">
        <f t="shared" si="348"/>
        <v xml:space="preserve"> </v>
      </c>
      <c r="GB165" s="10" t="str">
        <f t="shared" si="348"/>
        <v xml:space="preserve"> </v>
      </c>
      <c r="GC165" s="10" t="str">
        <f t="shared" si="348"/>
        <v xml:space="preserve"> </v>
      </c>
      <c r="GF165" s="10" t="str">
        <f t="shared" si="349"/>
        <v xml:space="preserve"> </v>
      </c>
      <c r="GG165" s="10" t="str">
        <f t="shared" si="349"/>
        <v xml:space="preserve"> </v>
      </c>
      <c r="GH165" s="10" t="str">
        <f t="shared" si="349"/>
        <v xml:space="preserve"> </v>
      </c>
      <c r="GI165" s="10" t="str">
        <f t="shared" si="349"/>
        <v xml:space="preserve"> </v>
      </c>
      <c r="GJ165" s="10" t="str">
        <f t="shared" si="349"/>
        <v xml:space="preserve"> </v>
      </c>
      <c r="GM165" s="10" t="str">
        <f t="shared" si="350"/>
        <v xml:space="preserve"> </v>
      </c>
      <c r="GN165" s="10" t="str">
        <f t="shared" si="350"/>
        <v xml:space="preserve"> </v>
      </c>
      <c r="GO165" s="10" t="str">
        <f t="shared" si="350"/>
        <v xml:space="preserve"> </v>
      </c>
      <c r="GP165" s="10" t="str">
        <f t="shared" si="350"/>
        <v xml:space="preserve"> </v>
      </c>
      <c r="GQ165" s="10" t="str">
        <f t="shared" si="350"/>
        <v xml:space="preserve"> </v>
      </c>
      <c r="GT165" s="10" t="str">
        <f t="shared" si="351"/>
        <v xml:space="preserve"> </v>
      </c>
      <c r="GU165" s="10" t="str">
        <f t="shared" si="351"/>
        <v xml:space="preserve"> </v>
      </c>
      <c r="GV165" s="10" t="str">
        <f t="shared" si="351"/>
        <v xml:space="preserve"> </v>
      </c>
      <c r="GW165" s="10" t="str">
        <f t="shared" si="351"/>
        <v xml:space="preserve"> </v>
      </c>
      <c r="GX165" s="10" t="str">
        <f t="shared" si="351"/>
        <v xml:space="preserve"> </v>
      </c>
      <c r="HA165" s="10" t="str">
        <f t="shared" si="352"/>
        <v xml:space="preserve"> </v>
      </c>
      <c r="HB165" s="10" t="str">
        <f t="shared" si="352"/>
        <v xml:space="preserve"> </v>
      </c>
      <c r="HC165" s="10" t="str">
        <f t="shared" si="352"/>
        <v xml:space="preserve"> </v>
      </c>
      <c r="HD165" s="10" t="str">
        <f t="shared" si="352"/>
        <v xml:space="preserve"> </v>
      </c>
      <c r="HE165" s="10" t="str">
        <f t="shared" si="352"/>
        <v xml:space="preserve"> </v>
      </c>
      <c r="HH165" s="10" t="str">
        <f t="shared" si="353"/>
        <v xml:space="preserve"> </v>
      </c>
      <c r="HI165" s="10" t="str">
        <f t="shared" si="353"/>
        <v xml:space="preserve"> </v>
      </c>
      <c r="HJ165" s="10" t="str">
        <f t="shared" si="353"/>
        <v xml:space="preserve"> </v>
      </c>
      <c r="HK165" s="10" t="str">
        <f t="shared" si="353"/>
        <v xml:space="preserve"> </v>
      </c>
      <c r="HL165" s="10" t="str">
        <f t="shared" si="353"/>
        <v xml:space="preserve"> </v>
      </c>
      <c r="HO165" s="10" t="str">
        <f t="shared" si="354"/>
        <v xml:space="preserve"> </v>
      </c>
      <c r="HP165" s="10" t="str">
        <f t="shared" si="354"/>
        <v xml:space="preserve"> </v>
      </c>
      <c r="HQ165" s="10" t="str">
        <f t="shared" si="354"/>
        <v xml:space="preserve"> </v>
      </c>
      <c r="HR165" s="10" t="str">
        <f t="shared" si="354"/>
        <v xml:space="preserve"> </v>
      </c>
      <c r="HS165" s="10" t="str">
        <f t="shared" si="354"/>
        <v xml:space="preserve"> </v>
      </c>
      <c r="HV165" s="10" t="str">
        <f t="shared" si="355"/>
        <v xml:space="preserve"> </v>
      </c>
      <c r="HW165" s="10" t="str">
        <f t="shared" si="355"/>
        <v xml:space="preserve"> </v>
      </c>
      <c r="HX165" s="10" t="str">
        <f t="shared" si="355"/>
        <v xml:space="preserve"> </v>
      </c>
      <c r="HY165" s="10" t="str">
        <f t="shared" si="355"/>
        <v xml:space="preserve"> </v>
      </c>
      <c r="HZ165" s="10" t="str">
        <f t="shared" si="355"/>
        <v xml:space="preserve"> </v>
      </c>
      <c r="IC165" s="10" t="str">
        <f t="shared" si="356"/>
        <v xml:space="preserve"> </v>
      </c>
      <c r="ID165" s="10" t="str">
        <f t="shared" si="356"/>
        <v xml:space="preserve"> </v>
      </c>
      <c r="IE165" s="10" t="str">
        <f t="shared" si="356"/>
        <v xml:space="preserve"> </v>
      </c>
      <c r="IF165" s="10" t="str">
        <f t="shared" si="356"/>
        <v xml:space="preserve"> </v>
      </c>
      <c r="IG165" s="10" t="str">
        <f t="shared" si="356"/>
        <v xml:space="preserve"> </v>
      </c>
      <c r="IJ165" s="10" t="str">
        <f t="shared" si="357"/>
        <v xml:space="preserve"> </v>
      </c>
      <c r="IK165" s="10" t="str">
        <f t="shared" si="357"/>
        <v xml:space="preserve"> </v>
      </c>
      <c r="IL165" s="10" t="str">
        <f t="shared" si="357"/>
        <v xml:space="preserve"> </v>
      </c>
      <c r="IM165" s="10" t="str">
        <f t="shared" si="357"/>
        <v xml:space="preserve"> </v>
      </c>
      <c r="IN165" s="10" t="str">
        <f t="shared" si="357"/>
        <v xml:space="preserve"> </v>
      </c>
      <c r="IQ165" s="10" t="str">
        <f t="shared" si="358"/>
        <v xml:space="preserve"> </v>
      </c>
      <c r="IR165" s="10" t="str">
        <f t="shared" si="358"/>
        <v xml:space="preserve"> </v>
      </c>
      <c r="IS165" s="10" t="str">
        <f t="shared" si="358"/>
        <v xml:space="preserve"> </v>
      </c>
      <c r="IT165" s="10" t="str">
        <f t="shared" si="358"/>
        <v xml:space="preserve"> </v>
      </c>
      <c r="IU165" s="10" t="str">
        <f t="shared" si="358"/>
        <v xml:space="preserve"> </v>
      </c>
      <c r="IX165" s="10" t="str">
        <f t="shared" si="359"/>
        <v xml:space="preserve"> </v>
      </c>
      <c r="IY165" s="10" t="str">
        <f t="shared" si="359"/>
        <v xml:space="preserve"> </v>
      </c>
      <c r="IZ165" s="10" t="str">
        <f t="shared" si="359"/>
        <v xml:space="preserve"> </v>
      </c>
      <c r="JA165" s="10" t="str">
        <f t="shared" si="359"/>
        <v xml:space="preserve"> </v>
      </c>
      <c r="JB165" s="10" t="str">
        <f t="shared" si="359"/>
        <v xml:space="preserve"> </v>
      </c>
      <c r="JE165" s="10" t="str">
        <f t="shared" si="360"/>
        <v xml:space="preserve"> </v>
      </c>
      <c r="JF165" s="10" t="str">
        <f t="shared" si="360"/>
        <v xml:space="preserve"> </v>
      </c>
      <c r="JG165" s="10" t="str">
        <f t="shared" si="360"/>
        <v xml:space="preserve"> </v>
      </c>
      <c r="JH165" s="10" t="str">
        <f t="shared" si="360"/>
        <v xml:space="preserve"> </v>
      </c>
      <c r="JI165" s="10" t="str">
        <f t="shared" si="360"/>
        <v xml:space="preserve"> </v>
      </c>
    </row>
    <row r="166" spans="13:269">
      <c r="M166" s="10" t="str">
        <f t="shared" si="361"/>
        <v xml:space="preserve"> </v>
      </c>
      <c r="N166" s="10" t="str">
        <f t="shared" si="361"/>
        <v xml:space="preserve"> </v>
      </c>
      <c r="O166" s="10" t="str">
        <f t="shared" si="361"/>
        <v xml:space="preserve"> </v>
      </c>
      <c r="P166" s="10" t="str">
        <f t="shared" si="361"/>
        <v xml:space="preserve"> </v>
      </c>
      <c r="Q166" s="10" t="str">
        <f t="shared" si="361"/>
        <v xml:space="preserve"> </v>
      </c>
      <c r="R166" s="14"/>
      <c r="S166" s="14"/>
      <c r="T166" s="10" t="str">
        <f t="shared" si="325"/>
        <v xml:space="preserve"> </v>
      </c>
      <c r="U166" s="10" t="str">
        <f t="shared" si="325"/>
        <v xml:space="preserve"> </v>
      </c>
      <c r="V166" s="10" t="str">
        <f t="shared" si="325"/>
        <v xml:space="preserve"> </v>
      </c>
      <c r="W166" s="10" t="str">
        <f t="shared" si="325"/>
        <v xml:space="preserve"> </v>
      </c>
      <c r="X166" s="10" t="str">
        <f t="shared" si="325"/>
        <v xml:space="preserve"> </v>
      </c>
      <c r="Y166" s="14"/>
      <c r="Z166" s="14"/>
      <c r="AA166" s="10" t="str">
        <f t="shared" si="326"/>
        <v xml:space="preserve"> </v>
      </c>
      <c r="AB166" s="10" t="str">
        <f t="shared" si="326"/>
        <v xml:space="preserve"> </v>
      </c>
      <c r="AC166" s="10" t="str">
        <f t="shared" si="326"/>
        <v xml:space="preserve"> </v>
      </c>
      <c r="AD166" s="10" t="str">
        <f t="shared" si="326"/>
        <v xml:space="preserve"> </v>
      </c>
      <c r="AE166" s="10" t="str">
        <f t="shared" si="326"/>
        <v xml:space="preserve"> </v>
      </c>
      <c r="AF166" s="14"/>
      <c r="AG166" s="14"/>
      <c r="AH166" s="10" t="str">
        <f t="shared" si="327"/>
        <v xml:space="preserve"> </v>
      </c>
      <c r="AI166" s="10" t="str">
        <f t="shared" si="327"/>
        <v xml:space="preserve"> </v>
      </c>
      <c r="AJ166" s="10" t="str">
        <f t="shared" si="327"/>
        <v xml:space="preserve"> </v>
      </c>
      <c r="AK166" s="10" t="str">
        <f t="shared" si="327"/>
        <v xml:space="preserve"> </v>
      </c>
      <c r="AL166" s="10" t="str">
        <f t="shared" si="327"/>
        <v xml:space="preserve"> </v>
      </c>
      <c r="AM166" s="14"/>
      <c r="AN166" s="14"/>
      <c r="AO166" s="10" t="str">
        <f t="shared" si="328"/>
        <v xml:space="preserve"> </v>
      </c>
      <c r="AP166" s="10" t="str">
        <f t="shared" si="328"/>
        <v xml:space="preserve"> </v>
      </c>
      <c r="AQ166" s="10" t="str">
        <f t="shared" si="328"/>
        <v xml:space="preserve"> </v>
      </c>
      <c r="AR166" s="10" t="str">
        <f t="shared" si="328"/>
        <v xml:space="preserve"> </v>
      </c>
      <c r="AS166" s="10" t="str">
        <f t="shared" si="328"/>
        <v xml:space="preserve"> </v>
      </c>
      <c r="AT166" s="14"/>
      <c r="AU166" s="14"/>
      <c r="AV166" s="10" t="str">
        <f t="shared" si="329"/>
        <v xml:space="preserve"> </v>
      </c>
      <c r="AW166" s="10" t="str">
        <f t="shared" si="329"/>
        <v xml:space="preserve"> </v>
      </c>
      <c r="AX166" s="10" t="str">
        <f t="shared" si="329"/>
        <v xml:space="preserve"> </v>
      </c>
      <c r="AY166" s="10" t="str">
        <f t="shared" si="329"/>
        <v xml:space="preserve"> </v>
      </c>
      <c r="AZ166" s="10" t="str">
        <f t="shared" si="329"/>
        <v xml:space="preserve"> </v>
      </c>
      <c r="BA166" s="14"/>
      <c r="BB166" s="14"/>
      <c r="BC166" s="10" t="str">
        <f t="shared" si="330"/>
        <v xml:space="preserve"> </v>
      </c>
      <c r="BD166" s="10" t="str">
        <f t="shared" si="330"/>
        <v xml:space="preserve"> </v>
      </c>
      <c r="BE166" s="10" t="str">
        <f t="shared" si="330"/>
        <v xml:space="preserve"> </v>
      </c>
      <c r="BF166" s="10" t="str">
        <f t="shared" si="330"/>
        <v xml:space="preserve"> </v>
      </c>
      <c r="BG166" s="10" t="str">
        <f t="shared" si="330"/>
        <v xml:space="preserve"> </v>
      </c>
      <c r="BH166" s="14"/>
      <c r="BI166" s="14"/>
      <c r="BJ166" s="10" t="str">
        <f t="shared" si="331"/>
        <v xml:space="preserve"> </v>
      </c>
      <c r="BK166" s="10" t="str">
        <f t="shared" si="331"/>
        <v xml:space="preserve"> </v>
      </c>
      <c r="BL166" s="10" t="str">
        <f t="shared" si="331"/>
        <v xml:space="preserve"> </v>
      </c>
      <c r="BM166" s="10" t="str">
        <f t="shared" si="331"/>
        <v xml:space="preserve"> </v>
      </c>
      <c r="BN166" s="10" t="str">
        <f t="shared" si="331"/>
        <v xml:space="preserve"> </v>
      </c>
      <c r="BO166" s="14"/>
      <c r="BP166" s="14"/>
      <c r="BQ166" s="10" t="str">
        <f t="shared" si="332"/>
        <v xml:space="preserve"> </v>
      </c>
      <c r="BR166" s="10" t="str">
        <f t="shared" si="332"/>
        <v xml:space="preserve"> </v>
      </c>
      <c r="BS166" s="10" t="str">
        <f t="shared" si="332"/>
        <v xml:space="preserve"> </v>
      </c>
      <c r="BT166" s="10" t="str">
        <f t="shared" si="332"/>
        <v xml:space="preserve"> </v>
      </c>
      <c r="BU166" s="10" t="str">
        <f t="shared" si="332"/>
        <v xml:space="preserve"> </v>
      </c>
      <c r="BV166" s="14"/>
      <c r="BW166" s="14"/>
      <c r="BX166" s="10" t="str">
        <f t="shared" si="333"/>
        <v xml:space="preserve"> </v>
      </c>
      <c r="BY166" s="10" t="str">
        <f t="shared" si="333"/>
        <v xml:space="preserve"> </v>
      </c>
      <c r="BZ166" s="10" t="str">
        <f t="shared" si="333"/>
        <v xml:space="preserve"> </v>
      </c>
      <c r="CA166" s="10" t="str">
        <f t="shared" si="333"/>
        <v xml:space="preserve"> </v>
      </c>
      <c r="CB166" s="10" t="str">
        <f t="shared" si="333"/>
        <v xml:space="preserve"> </v>
      </c>
      <c r="CC166" s="14"/>
      <c r="CD166" s="14"/>
      <c r="CE166" s="10" t="str">
        <f t="shared" si="334"/>
        <v xml:space="preserve"> </v>
      </c>
      <c r="CF166" s="10" t="str">
        <f t="shared" si="334"/>
        <v xml:space="preserve"> </v>
      </c>
      <c r="CG166" s="10" t="str">
        <f t="shared" si="334"/>
        <v xml:space="preserve"> </v>
      </c>
      <c r="CH166" s="10" t="str">
        <f t="shared" si="334"/>
        <v xml:space="preserve"> </v>
      </c>
      <c r="CI166" s="10" t="str">
        <f t="shared" si="334"/>
        <v xml:space="preserve"> </v>
      </c>
      <c r="CJ166" s="14"/>
      <c r="CK166" s="14"/>
      <c r="CL166" s="10" t="str">
        <f t="shared" si="335"/>
        <v xml:space="preserve"> </v>
      </c>
      <c r="CM166" s="10" t="str">
        <f t="shared" si="335"/>
        <v xml:space="preserve"> </v>
      </c>
      <c r="CN166" s="10" t="str">
        <f t="shared" si="335"/>
        <v xml:space="preserve"> </v>
      </c>
      <c r="CO166" s="10" t="str">
        <f t="shared" si="335"/>
        <v xml:space="preserve"> </v>
      </c>
      <c r="CP166" s="10" t="str">
        <f t="shared" si="335"/>
        <v xml:space="preserve"> </v>
      </c>
      <c r="CQ166" s="14"/>
      <c r="CR166" s="14"/>
      <c r="CS166" s="10" t="str">
        <f t="shared" si="336"/>
        <v xml:space="preserve"> </v>
      </c>
      <c r="CT166" s="10" t="str">
        <f t="shared" si="336"/>
        <v xml:space="preserve"> </v>
      </c>
      <c r="CU166" s="10" t="str">
        <f t="shared" si="336"/>
        <v xml:space="preserve"> </v>
      </c>
      <c r="CV166" s="10" t="str">
        <f t="shared" si="336"/>
        <v xml:space="preserve"> </v>
      </c>
      <c r="CW166" s="10" t="str">
        <f t="shared" si="336"/>
        <v xml:space="preserve"> </v>
      </c>
      <c r="CZ166" s="10" t="str">
        <f t="shared" si="337"/>
        <v xml:space="preserve"> </v>
      </c>
      <c r="DA166" s="10" t="str">
        <f t="shared" si="337"/>
        <v xml:space="preserve"> </v>
      </c>
      <c r="DB166" s="10" t="str">
        <f t="shared" si="337"/>
        <v xml:space="preserve"> </v>
      </c>
      <c r="DC166" s="10" t="str">
        <f t="shared" si="337"/>
        <v xml:space="preserve"> </v>
      </c>
      <c r="DD166" s="10" t="str">
        <f t="shared" si="337"/>
        <v xml:space="preserve"> </v>
      </c>
      <c r="DG166" s="10" t="str">
        <f t="shared" si="338"/>
        <v xml:space="preserve"> </v>
      </c>
      <c r="DH166" s="10" t="str">
        <f t="shared" si="338"/>
        <v xml:space="preserve"> </v>
      </c>
      <c r="DI166" s="10" t="str">
        <f t="shared" si="338"/>
        <v xml:space="preserve"> </v>
      </c>
      <c r="DJ166" s="10" t="str">
        <f t="shared" si="338"/>
        <v xml:space="preserve"> </v>
      </c>
      <c r="DK166" s="10" t="str">
        <f t="shared" si="338"/>
        <v xml:space="preserve"> </v>
      </c>
      <c r="DN166" s="10" t="str">
        <f t="shared" si="339"/>
        <v xml:space="preserve"> </v>
      </c>
      <c r="DO166" s="10" t="str">
        <f t="shared" si="339"/>
        <v xml:space="preserve"> </v>
      </c>
      <c r="DP166" s="10" t="str">
        <f t="shared" si="339"/>
        <v xml:space="preserve"> </v>
      </c>
      <c r="DQ166" s="10" t="str">
        <f t="shared" si="339"/>
        <v xml:space="preserve"> </v>
      </c>
      <c r="DR166" s="10" t="str">
        <f t="shared" si="339"/>
        <v xml:space="preserve"> </v>
      </c>
      <c r="DU166" s="10" t="str">
        <f t="shared" si="340"/>
        <v xml:space="preserve"> </v>
      </c>
      <c r="DV166" s="10" t="str">
        <f t="shared" si="340"/>
        <v xml:space="preserve"> </v>
      </c>
      <c r="DW166" s="10" t="str">
        <f t="shared" si="340"/>
        <v xml:space="preserve"> </v>
      </c>
      <c r="DX166" s="10" t="str">
        <f t="shared" si="340"/>
        <v xml:space="preserve"> </v>
      </c>
      <c r="DY166" s="10" t="str">
        <f t="shared" si="340"/>
        <v xml:space="preserve"> </v>
      </c>
      <c r="EB166" s="10" t="str">
        <f t="shared" si="341"/>
        <v xml:space="preserve"> </v>
      </c>
      <c r="EC166" s="10" t="str">
        <f t="shared" si="341"/>
        <v xml:space="preserve"> </v>
      </c>
      <c r="ED166" s="10" t="str">
        <f t="shared" si="341"/>
        <v xml:space="preserve"> </v>
      </c>
      <c r="EE166" s="10" t="str">
        <f t="shared" si="341"/>
        <v xml:space="preserve"> </v>
      </c>
      <c r="EF166" s="10" t="str">
        <f t="shared" si="341"/>
        <v xml:space="preserve"> </v>
      </c>
      <c r="EI166" s="10" t="str">
        <f t="shared" si="342"/>
        <v xml:space="preserve"> </v>
      </c>
      <c r="EJ166" s="10" t="str">
        <f t="shared" si="342"/>
        <v xml:space="preserve"> </v>
      </c>
      <c r="EK166" s="10" t="str">
        <f t="shared" si="342"/>
        <v xml:space="preserve"> </v>
      </c>
      <c r="EL166" s="10" t="str">
        <f t="shared" si="342"/>
        <v xml:space="preserve"> </v>
      </c>
      <c r="EM166" s="10" t="str">
        <f t="shared" si="342"/>
        <v xml:space="preserve"> </v>
      </c>
      <c r="EP166" s="10" t="str">
        <f t="shared" si="343"/>
        <v xml:space="preserve"> </v>
      </c>
      <c r="EQ166" s="10" t="str">
        <f t="shared" si="343"/>
        <v xml:space="preserve"> </v>
      </c>
      <c r="ER166" s="10" t="str">
        <f t="shared" si="343"/>
        <v xml:space="preserve"> </v>
      </c>
      <c r="ES166" s="10" t="str">
        <f t="shared" si="343"/>
        <v xml:space="preserve"> </v>
      </c>
      <c r="ET166" s="10" t="str">
        <f t="shared" si="343"/>
        <v xml:space="preserve"> </v>
      </c>
      <c r="EW166" s="10" t="str">
        <f t="shared" si="344"/>
        <v xml:space="preserve"> </v>
      </c>
      <c r="EX166" s="10" t="str">
        <f t="shared" si="344"/>
        <v xml:space="preserve"> </v>
      </c>
      <c r="EY166" s="10" t="str">
        <f t="shared" si="344"/>
        <v xml:space="preserve"> </v>
      </c>
      <c r="EZ166" s="10" t="str">
        <f t="shared" si="344"/>
        <v xml:space="preserve"> </v>
      </c>
      <c r="FA166" s="10" t="str">
        <f t="shared" si="344"/>
        <v xml:space="preserve"> </v>
      </c>
      <c r="FD166" s="10" t="str">
        <f t="shared" si="345"/>
        <v xml:space="preserve"> </v>
      </c>
      <c r="FE166" s="10" t="str">
        <f t="shared" si="345"/>
        <v xml:space="preserve"> </v>
      </c>
      <c r="FF166" s="10" t="str">
        <f t="shared" si="345"/>
        <v xml:space="preserve"> </v>
      </c>
      <c r="FG166" s="10" t="str">
        <f t="shared" si="345"/>
        <v xml:space="preserve"> </v>
      </c>
      <c r="FH166" s="10" t="str">
        <f t="shared" si="345"/>
        <v xml:space="preserve"> </v>
      </c>
      <c r="FK166" s="10" t="str">
        <f t="shared" si="346"/>
        <v xml:space="preserve"> </v>
      </c>
      <c r="FL166" s="10" t="str">
        <f t="shared" si="346"/>
        <v xml:space="preserve"> </v>
      </c>
      <c r="FM166" s="10" t="str">
        <f t="shared" si="346"/>
        <v xml:space="preserve"> </v>
      </c>
      <c r="FN166" s="10" t="str">
        <f t="shared" si="346"/>
        <v xml:space="preserve"> </v>
      </c>
      <c r="FO166" s="10" t="str">
        <f t="shared" si="346"/>
        <v xml:space="preserve"> </v>
      </c>
      <c r="FR166" s="10" t="str">
        <f t="shared" si="347"/>
        <v xml:space="preserve"> </v>
      </c>
      <c r="FS166" s="10" t="str">
        <f t="shared" si="347"/>
        <v xml:space="preserve"> </v>
      </c>
      <c r="FT166" s="10" t="str">
        <f t="shared" si="347"/>
        <v xml:space="preserve"> </v>
      </c>
      <c r="FU166" s="10" t="str">
        <f t="shared" si="347"/>
        <v xml:space="preserve"> </v>
      </c>
      <c r="FV166" s="10" t="str">
        <f t="shared" si="347"/>
        <v xml:space="preserve"> </v>
      </c>
      <c r="FY166" s="10" t="str">
        <f t="shared" si="348"/>
        <v xml:space="preserve"> </v>
      </c>
      <c r="FZ166" s="10" t="str">
        <f t="shared" si="348"/>
        <v xml:space="preserve"> </v>
      </c>
      <c r="GA166" s="10" t="str">
        <f t="shared" si="348"/>
        <v xml:space="preserve"> </v>
      </c>
      <c r="GB166" s="10" t="str">
        <f t="shared" si="348"/>
        <v xml:space="preserve"> </v>
      </c>
      <c r="GC166" s="10" t="str">
        <f t="shared" si="348"/>
        <v xml:space="preserve"> </v>
      </c>
      <c r="GF166" s="10" t="str">
        <f t="shared" si="349"/>
        <v xml:space="preserve"> </v>
      </c>
      <c r="GG166" s="10" t="str">
        <f t="shared" si="349"/>
        <v xml:space="preserve"> </v>
      </c>
      <c r="GH166" s="10" t="str">
        <f t="shared" si="349"/>
        <v xml:space="preserve"> </v>
      </c>
      <c r="GI166" s="10" t="str">
        <f t="shared" si="349"/>
        <v xml:space="preserve"> </v>
      </c>
      <c r="GJ166" s="10" t="str">
        <f t="shared" si="349"/>
        <v xml:space="preserve"> </v>
      </c>
      <c r="GM166" s="10" t="str">
        <f t="shared" si="350"/>
        <v xml:space="preserve"> </v>
      </c>
      <c r="GN166" s="10" t="str">
        <f t="shared" si="350"/>
        <v xml:space="preserve"> </v>
      </c>
      <c r="GO166" s="10" t="str">
        <f t="shared" si="350"/>
        <v xml:space="preserve"> </v>
      </c>
      <c r="GP166" s="10" t="str">
        <f t="shared" si="350"/>
        <v xml:space="preserve"> </v>
      </c>
      <c r="GQ166" s="10" t="str">
        <f t="shared" si="350"/>
        <v xml:space="preserve"> </v>
      </c>
      <c r="GT166" s="10" t="str">
        <f t="shared" si="351"/>
        <v xml:space="preserve"> </v>
      </c>
      <c r="GU166" s="10" t="str">
        <f t="shared" si="351"/>
        <v xml:space="preserve"> </v>
      </c>
      <c r="GV166" s="10" t="str">
        <f t="shared" si="351"/>
        <v xml:space="preserve"> </v>
      </c>
      <c r="GW166" s="10" t="str">
        <f t="shared" si="351"/>
        <v xml:space="preserve"> </v>
      </c>
      <c r="GX166" s="10" t="str">
        <f t="shared" si="351"/>
        <v xml:space="preserve"> </v>
      </c>
      <c r="HA166" s="10" t="str">
        <f t="shared" si="352"/>
        <v xml:space="preserve"> </v>
      </c>
      <c r="HB166" s="10" t="str">
        <f t="shared" si="352"/>
        <v xml:space="preserve"> </v>
      </c>
      <c r="HC166" s="10" t="str">
        <f t="shared" si="352"/>
        <v xml:space="preserve"> </v>
      </c>
      <c r="HD166" s="10" t="str">
        <f t="shared" si="352"/>
        <v xml:space="preserve"> </v>
      </c>
      <c r="HE166" s="10" t="str">
        <f t="shared" si="352"/>
        <v xml:space="preserve"> </v>
      </c>
      <c r="HH166" s="10" t="str">
        <f t="shared" si="353"/>
        <v xml:space="preserve"> </v>
      </c>
      <c r="HI166" s="10" t="str">
        <f t="shared" si="353"/>
        <v xml:space="preserve"> </v>
      </c>
      <c r="HJ166" s="10" t="str">
        <f t="shared" si="353"/>
        <v xml:space="preserve"> </v>
      </c>
      <c r="HK166" s="10" t="str">
        <f t="shared" si="353"/>
        <v xml:space="preserve"> </v>
      </c>
      <c r="HL166" s="10" t="str">
        <f t="shared" si="353"/>
        <v xml:space="preserve"> </v>
      </c>
      <c r="HO166" s="10" t="str">
        <f t="shared" si="354"/>
        <v xml:space="preserve"> </v>
      </c>
      <c r="HP166" s="10" t="str">
        <f t="shared" si="354"/>
        <v xml:space="preserve"> </v>
      </c>
      <c r="HQ166" s="10" t="str">
        <f t="shared" si="354"/>
        <v xml:space="preserve"> </v>
      </c>
      <c r="HR166" s="10" t="str">
        <f t="shared" si="354"/>
        <v xml:space="preserve"> </v>
      </c>
      <c r="HS166" s="10" t="str">
        <f t="shared" si="354"/>
        <v xml:space="preserve"> </v>
      </c>
      <c r="HV166" s="10" t="str">
        <f t="shared" si="355"/>
        <v xml:space="preserve"> </v>
      </c>
      <c r="HW166" s="10" t="str">
        <f t="shared" si="355"/>
        <v xml:space="preserve"> </v>
      </c>
      <c r="HX166" s="10" t="str">
        <f t="shared" si="355"/>
        <v xml:space="preserve"> </v>
      </c>
      <c r="HY166" s="10" t="str">
        <f t="shared" si="355"/>
        <v xml:space="preserve"> </v>
      </c>
      <c r="HZ166" s="10" t="str">
        <f t="shared" si="355"/>
        <v xml:space="preserve"> </v>
      </c>
      <c r="IC166" s="10" t="str">
        <f t="shared" si="356"/>
        <v xml:space="preserve"> </v>
      </c>
      <c r="ID166" s="10" t="str">
        <f t="shared" si="356"/>
        <v xml:space="preserve"> </v>
      </c>
      <c r="IE166" s="10" t="str">
        <f t="shared" si="356"/>
        <v xml:space="preserve"> </v>
      </c>
      <c r="IF166" s="10" t="str">
        <f t="shared" si="356"/>
        <v xml:space="preserve"> </v>
      </c>
      <c r="IG166" s="10" t="str">
        <f t="shared" si="356"/>
        <v xml:space="preserve"> </v>
      </c>
      <c r="IJ166" s="10" t="str">
        <f t="shared" si="357"/>
        <v xml:space="preserve"> </v>
      </c>
      <c r="IK166" s="10" t="str">
        <f t="shared" si="357"/>
        <v xml:space="preserve"> </v>
      </c>
      <c r="IL166" s="10" t="str">
        <f t="shared" si="357"/>
        <v xml:space="preserve"> </v>
      </c>
      <c r="IM166" s="10" t="str">
        <f t="shared" si="357"/>
        <v xml:space="preserve"> </v>
      </c>
      <c r="IN166" s="10" t="str">
        <f t="shared" si="357"/>
        <v xml:space="preserve"> </v>
      </c>
      <c r="IQ166" s="10" t="str">
        <f t="shared" si="358"/>
        <v xml:space="preserve"> </v>
      </c>
      <c r="IR166" s="10" t="str">
        <f t="shared" si="358"/>
        <v xml:space="preserve"> </v>
      </c>
      <c r="IS166" s="10" t="str">
        <f t="shared" si="358"/>
        <v xml:space="preserve"> </v>
      </c>
      <c r="IT166" s="10" t="str">
        <f t="shared" si="358"/>
        <v xml:space="preserve"> </v>
      </c>
      <c r="IU166" s="10" t="str">
        <f t="shared" si="358"/>
        <v xml:space="preserve"> </v>
      </c>
      <c r="IX166" s="10" t="str">
        <f t="shared" si="359"/>
        <v xml:space="preserve"> </v>
      </c>
      <c r="IY166" s="10" t="str">
        <f t="shared" si="359"/>
        <v xml:space="preserve"> </v>
      </c>
      <c r="IZ166" s="10" t="str">
        <f t="shared" si="359"/>
        <v xml:space="preserve"> </v>
      </c>
      <c r="JA166" s="10" t="str">
        <f t="shared" si="359"/>
        <v xml:space="preserve"> </v>
      </c>
      <c r="JB166" s="10" t="str">
        <f t="shared" si="359"/>
        <v xml:space="preserve"> </v>
      </c>
      <c r="JE166" s="10" t="str">
        <f t="shared" si="360"/>
        <v xml:space="preserve"> </v>
      </c>
      <c r="JF166" s="10" t="str">
        <f t="shared" si="360"/>
        <v xml:space="preserve"> </v>
      </c>
      <c r="JG166" s="10" t="str">
        <f t="shared" si="360"/>
        <v xml:space="preserve"> </v>
      </c>
      <c r="JH166" s="10" t="str">
        <f t="shared" si="360"/>
        <v xml:space="preserve"> </v>
      </c>
      <c r="JI166" s="10" t="str">
        <f t="shared" si="360"/>
        <v xml:space="preserve"> </v>
      </c>
    </row>
    <row r="167" spans="13:269">
      <c r="M167" s="10" t="str">
        <f t="shared" si="361"/>
        <v xml:space="preserve"> </v>
      </c>
      <c r="N167" s="10" t="str">
        <f t="shared" si="361"/>
        <v xml:space="preserve"> </v>
      </c>
      <c r="O167" s="10" t="str">
        <f t="shared" si="361"/>
        <v xml:space="preserve"> </v>
      </c>
      <c r="P167" s="10" t="str">
        <f t="shared" si="361"/>
        <v xml:space="preserve"> </v>
      </c>
      <c r="Q167" s="10" t="str">
        <f t="shared" si="361"/>
        <v xml:space="preserve"> </v>
      </c>
      <c r="R167" s="14"/>
      <c r="S167" s="14"/>
      <c r="T167" s="10" t="str">
        <f t="shared" si="325"/>
        <v xml:space="preserve"> </v>
      </c>
      <c r="U167" s="10" t="str">
        <f t="shared" si="325"/>
        <v xml:space="preserve"> </v>
      </c>
      <c r="V167" s="10" t="str">
        <f t="shared" si="325"/>
        <v xml:space="preserve"> </v>
      </c>
      <c r="W167" s="10" t="str">
        <f t="shared" si="325"/>
        <v xml:space="preserve"> </v>
      </c>
      <c r="X167" s="10" t="str">
        <f t="shared" si="325"/>
        <v xml:space="preserve"> </v>
      </c>
      <c r="Y167" s="14"/>
      <c r="Z167" s="14"/>
      <c r="AA167" s="10" t="str">
        <f t="shared" si="326"/>
        <v xml:space="preserve"> </v>
      </c>
      <c r="AB167" s="10" t="str">
        <f t="shared" si="326"/>
        <v xml:space="preserve"> </v>
      </c>
      <c r="AC167" s="10" t="str">
        <f t="shared" si="326"/>
        <v xml:space="preserve"> </v>
      </c>
      <c r="AD167" s="10" t="str">
        <f t="shared" si="326"/>
        <v xml:space="preserve"> </v>
      </c>
      <c r="AE167" s="10" t="str">
        <f t="shared" si="326"/>
        <v xml:space="preserve"> </v>
      </c>
      <c r="AF167" s="14"/>
      <c r="AG167" s="14"/>
      <c r="AH167" s="10" t="str">
        <f t="shared" si="327"/>
        <v xml:space="preserve"> </v>
      </c>
      <c r="AI167" s="10" t="str">
        <f t="shared" si="327"/>
        <v xml:space="preserve"> </v>
      </c>
      <c r="AJ167" s="10" t="str">
        <f t="shared" si="327"/>
        <v xml:space="preserve"> </v>
      </c>
      <c r="AK167" s="10" t="str">
        <f t="shared" si="327"/>
        <v xml:space="preserve"> </v>
      </c>
      <c r="AL167" s="10" t="str">
        <f t="shared" si="327"/>
        <v xml:space="preserve"> </v>
      </c>
      <c r="AM167" s="14"/>
      <c r="AN167" s="14"/>
      <c r="AO167" s="10" t="str">
        <f t="shared" si="328"/>
        <v xml:space="preserve"> </v>
      </c>
      <c r="AP167" s="10" t="str">
        <f t="shared" si="328"/>
        <v xml:space="preserve"> </v>
      </c>
      <c r="AQ167" s="10" t="str">
        <f t="shared" si="328"/>
        <v xml:space="preserve"> </v>
      </c>
      <c r="AR167" s="10" t="str">
        <f t="shared" si="328"/>
        <v xml:space="preserve"> </v>
      </c>
      <c r="AS167" s="10" t="str">
        <f t="shared" si="328"/>
        <v xml:space="preserve"> </v>
      </c>
      <c r="AT167" s="14"/>
      <c r="AU167" s="14"/>
      <c r="AV167" s="10" t="str">
        <f t="shared" si="329"/>
        <v xml:space="preserve"> </v>
      </c>
      <c r="AW167" s="10" t="str">
        <f t="shared" si="329"/>
        <v xml:space="preserve"> </v>
      </c>
      <c r="AX167" s="10" t="str">
        <f t="shared" si="329"/>
        <v xml:space="preserve"> </v>
      </c>
      <c r="AY167" s="10" t="str">
        <f t="shared" si="329"/>
        <v xml:space="preserve"> </v>
      </c>
      <c r="AZ167" s="10" t="str">
        <f t="shared" si="329"/>
        <v xml:space="preserve"> </v>
      </c>
      <c r="BA167" s="14"/>
      <c r="BB167" s="14"/>
      <c r="BC167" s="10" t="str">
        <f t="shared" si="330"/>
        <v xml:space="preserve"> </v>
      </c>
      <c r="BD167" s="10" t="str">
        <f t="shared" si="330"/>
        <v xml:space="preserve"> </v>
      </c>
      <c r="BE167" s="10" t="str">
        <f t="shared" si="330"/>
        <v xml:space="preserve"> </v>
      </c>
      <c r="BF167" s="10" t="str">
        <f t="shared" si="330"/>
        <v xml:space="preserve"> </v>
      </c>
      <c r="BG167" s="10" t="str">
        <f t="shared" si="330"/>
        <v xml:space="preserve"> </v>
      </c>
      <c r="BH167" s="14"/>
      <c r="BI167" s="14"/>
      <c r="BJ167" s="10" t="str">
        <f t="shared" si="331"/>
        <v xml:space="preserve"> </v>
      </c>
      <c r="BK167" s="10" t="str">
        <f t="shared" si="331"/>
        <v xml:space="preserve"> </v>
      </c>
      <c r="BL167" s="10" t="str">
        <f t="shared" si="331"/>
        <v xml:space="preserve"> </v>
      </c>
      <c r="BM167" s="10" t="str">
        <f t="shared" si="331"/>
        <v xml:space="preserve"> </v>
      </c>
      <c r="BN167" s="10" t="str">
        <f t="shared" si="331"/>
        <v xml:space="preserve"> </v>
      </c>
      <c r="BO167" s="14"/>
      <c r="BP167" s="14"/>
      <c r="BQ167" s="10" t="str">
        <f t="shared" si="332"/>
        <v xml:space="preserve"> </v>
      </c>
      <c r="BR167" s="10" t="str">
        <f t="shared" si="332"/>
        <v xml:space="preserve"> </v>
      </c>
      <c r="BS167" s="10" t="str">
        <f t="shared" si="332"/>
        <v xml:space="preserve"> </v>
      </c>
      <c r="BT167" s="10" t="str">
        <f t="shared" si="332"/>
        <v xml:space="preserve"> </v>
      </c>
      <c r="BU167" s="10" t="str">
        <f t="shared" si="332"/>
        <v xml:space="preserve"> </v>
      </c>
      <c r="BV167" s="14"/>
      <c r="BW167" s="14"/>
      <c r="BX167" s="10" t="str">
        <f t="shared" si="333"/>
        <v xml:space="preserve"> </v>
      </c>
      <c r="BY167" s="10" t="str">
        <f t="shared" si="333"/>
        <v xml:space="preserve"> </v>
      </c>
      <c r="BZ167" s="10" t="str">
        <f t="shared" si="333"/>
        <v xml:space="preserve"> </v>
      </c>
      <c r="CA167" s="10" t="str">
        <f t="shared" si="333"/>
        <v xml:space="preserve"> </v>
      </c>
      <c r="CB167" s="10" t="str">
        <f t="shared" si="333"/>
        <v xml:space="preserve"> </v>
      </c>
      <c r="CC167" s="14"/>
      <c r="CD167" s="14"/>
      <c r="CE167" s="10" t="str">
        <f t="shared" si="334"/>
        <v xml:space="preserve"> </v>
      </c>
      <c r="CF167" s="10" t="str">
        <f t="shared" si="334"/>
        <v xml:space="preserve"> </v>
      </c>
      <c r="CG167" s="10" t="str">
        <f t="shared" si="334"/>
        <v xml:space="preserve"> </v>
      </c>
      <c r="CH167" s="10" t="str">
        <f t="shared" si="334"/>
        <v xml:space="preserve"> </v>
      </c>
      <c r="CI167" s="10" t="str">
        <f t="shared" si="334"/>
        <v xml:space="preserve"> </v>
      </c>
      <c r="CJ167" s="14"/>
      <c r="CK167" s="14"/>
      <c r="CL167" s="10" t="str">
        <f t="shared" si="335"/>
        <v xml:space="preserve"> </v>
      </c>
      <c r="CM167" s="10" t="str">
        <f t="shared" si="335"/>
        <v xml:space="preserve"> </v>
      </c>
      <c r="CN167" s="10" t="str">
        <f t="shared" si="335"/>
        <v xml:space="preserve"> </v>
      </c>
      <c r="CO167" s="10" t="str">
        <f t="shared" si="335"/>
        <v xml:space="preserve"> </v>
      </c>
      <c r="CP167" s="10" t="str">
        <f t="shared" si="335"/>
        <v xml:space="preserve"> </v>
      </c>
      <c r="CQ167" s="14"/>
      <c r="CR167" s="14"/>
      <c r="CS167" s="10" t="str">
        <f t="shared" si="336"/>
        <v xml:space="preserve"> </v>
      </c>
      <c r="CT167" s="10" t="str">
        <f t="shared" si="336"/>
        <v xml:space="preserve"> </v>
      </c>
      <c r="CU167" s="10" t="str">
        <f t="shared" si="336"/>
        <v xml:space="preserve"> </v>
      </c>
      <c r="CV167" s="10" t="str">
        <f t="shared" si="336"/>
        <v xml:space="preserve"> </v>
      </c>
      <c r="CW167" s="10" t="str">
        <f t="shared" si="336"/>
        <v xml:space="preserve"> </v>
      </c>
      <c r="CZ167" s="10" t="str">
        <f t="shared" si="337"/>
        <v xml:space="preserve"> </v>
      </c>
      <c r="DA167" s="10" t="str">
        <f t="shared" si="337"/>
        <v xml:space="preserve"> </v>
      </c>
      <c r="DB167" s="10" t="str">
        <f t="shared" si="337"/>
        <v xml:space="preserve"> </v>
      </c>
      <c r="DC167" s="10" t="str">
        <f t="shared" si="337"/>
        <v xml:space="preserve"> </v>
      </c>
      <c r="DD167" s="10" t="str">
        <f t="shared" si="337"/>
        <v xml:space="preserve"> </v>
      </c>
      <c r="DG167" s="10" t="str">
        <f t="shared" si="338"/>
        <v xml:space="preserve"> </v>
      </c>
      <c r="DH167" s="10" t="str">
        <f t="shared" si="338"/>
        <v xml:space="preserve"> </v>
      </c>
      <c r="DI167" s="10" t="str">
        <f t="shared" si="338"/>
        <v xml:space="preserve"> </v>
      </c>
      <c r="DJ167" s="10" t="str">
        <f t="shared" si="338"/>
        <v xml:space="preserve"> </v>
      </c>
      <c r="DK167" s="10" t="str">
        <f t="shared" si="338"/>
        <v xml:space="preserve"> </v>
      </c>
      <c r="DN167" s="10" t="str">
        <f t="shared" si="339"/>
        <v xml:space="preserve"> </v>
      </c>
      <c r="DO167" s="10" t="str">
        <f t="shared" si="339"/>
        <v xml:space="preserve"> </v>
      </c>
      <c r="DP167" s="10" t="str">
        <f t="shared" si="339"/>
        <v xml:space="preserve"> </v>
      </c>
      <c r="DQ167" s="10" t="str">
        <f t="shared" si="339"/>
        <v xml:space="preserve"> </v>
      </c>
      <c r="DR167" s="10" t="str">
        <f t="shared" si="339"/>
        <v xml:space="preserve"> </v>
      </c>
      <c r="DU167" s="10" t="str">
        <f t="shared" si="340"/>
        <v xml:space="preserve"> </v>
      </c>
      <c r="DV167" s="10" t="str">
        <f t="shared" si="340"/>
        <v xml:space="preserve"> </v>
      </c>
      <c r="DW167" s="10" t="str">
        <f t="shared" si="340"/>
        <v xml:space="preserve"> </v>
      </c>
      <c r="DX167" s="10" t="str">
        <f t="shared" si="340"/>
        <v xml:space="preserve"> </v>
      </c>
      <c r="DY167" s="10" t="str">
        <f t="shared" si="340"/>
        <v xml:space="preserve"> </v>
      </c>
      <c r="EB167" s="10" t="str">
        <f t="shared" si="341"/>
        <v xml:space="preserve"> </v>
      </c>
      <c r="EC167" s="10" t="str">
        <f t="shared" si="341"/>
        <v xml:space="preserve"> </v>
      </c>
      <c r="ED167" s="10" t="str">
        <f t="shared" si="341"/>
        <v xml:space="preserve"> </v>
      </c>
      <c r="EE167" s="10" t="str">
        <f t="shared" si="341"/>
        <v xml:space="preserve"> </v>
      </c>
      <c r="EF167" s="10" t="str">
        <f t="shared" si="341"/>
        <v xml:space="preserve"> </v>
      </c>
      <c r="EI167" s="10" t="str">
        <f t="shared" si="342"/>
        <v xml:space="preserve"> </v>
      </c>
      <c r="EJ167" s="10" t="str">
        <f t="shared" si="342"/>
        <v xml:space="preserve"> </v>
      </c>
      <c r="EK167" s="10" t="str">
        <f t="shared" si="342"/>
        <v xml:space="preserve"> </v>
      </c>
      <c r="EL167" s="10" t="str">
        <f t="shared" si="342"/>
        <v xml:space="preserve"> </v>
      </c>
      <c r="EM167" s="10" t="str">
        <f t="shared" si="342"/>
        <v xml:space="preserve"> </v>
      </c>
      <c r="EP167" s="10" t="str">
        <f t="shared" si="343"/>
        <v xml:space="preserve"> </v>
      </c>
      <c r="EQ167" s="10" t="str">
        <f t="shared" si="343"/>
        <v xml:space="preserve"> </v>
      </c>
      <c r="ER167" s="10" t="str">
        <f t="shared" si="343"/>
        <v xml:space="preserve"> </v>
      </c>
      <c r="ES167" s="10" t="str">
        <f t="shared" si="343"/>
        <v xml:space="preserve"> </v>
      </c>
      <c r="ET167" s="10" t="str">
        <f t="shared" si="343"/>
        <v xml:space="preserve"> </v>
      </c>
      <c r="EW167" s="10" t="str">
        <f t="shared" si="344"/>
        <v xml:space="preserve"> </v>
      </c>
      <c r="EX167" s="10" t="str">
        <f t="shared" si="344"/>
        <v xml:space="preserve"> </v>
      </c>
      <c r="EY167" s="10" t="str">
        <f t="shared" si="344"/>
        <v xml:space="preserve"> </v>
      </c>
      <c r="EZ167" s="10" t="str">
        <f t="shared" si="344"/>
        <v xml:space="preserve"> </v>
      </c>
      <c r="FA167" s="10" t="str">
        <f t="shared" si="344"/>
        <v xml:space="preserve"> </v>
      </c>
      <c r="FD167" s="10" t="str">
        <f t="shared" si="345"/>
        <v xml:space="preserve"> </v>
      </c>
      <c r="FE167" s="10" t="str">
        <f t="shared" si="345"/>
        <v xml:space="preserve"> </v>
      </c>
      <c r="FF167" s="10" t="str">
        <f t="shared" si="345"/>
        <v xml:space="preserve"> </v>
      </c>
      <c r="FG167" s="10" t="str">
        <f t="shared" si="345"/>
        <v xml:space="preserve"> </v>
      </c>
      <c r="FH167" s="10" t="str">
        <f t="shared" si="345"/>
        <v xml:space="preserve"> </v>
      </c>
      <c r="FK167" s="10" t="str">
        <f t="shared" si="346"/>
        <v xml:space="preserve"> </v>
      </c>
      <c r="FL167" s="10" t="str">
        <f t="shared" si="346"/>
        <v xml:space="preserve"> </v>
      </c>
      <c r="FM167" s="10" t="str">
        <f t="shared" si="346"/>
        <v xml:space="preserve"> </v>
      </c>
      <c r="FN167" s="10" t="str">
        <f t="shared" si="346"/>
        <v xml:space="preserve"> </v>
      </c>
      <c r="FO167" s="10" t="str">
        <f t="shared" si="346"/>
        <v xml:space="preserve"> </v>
      </c>
      <c r="FR167" s="10" t="str">
        <f t="shared" si="347"/>
        <v xml:space="preserve"> </v>
      </c>
      <c r="FS167" s="10" t="str">
        <f t="shared" si="347"/>
        <v xml:space="preserve"> </v>
      </c>
      <c r="FT167" s="10" t="str">
        <f t="shared" si="347"/>
        <v xml:space="preserve"> </v>
      </c>
      <c r="FU167" s="10" t="str">
        <f t="shared" si="347"/>
        <v xml:space="preserve"> </v>
      </c>
      <c r="FV167" s="10" t="str">
        <f t="shared" si="347"/>
        <v xml:space="preserve"> </v>
      </c>
      <c r="FY167" s="10" t="str">
        <f t="shared" si="348"/>
        <v xml:space="preserve"> </v>
      </c>
      <c r="FZ167" s="10" t="str">
        <f t="shared" si="348"/>
        <v xml:space="preserve"> </v>
      </c>
      <c r="GA167" s="10" t="str">
        <f t="shared" si="348"/>
        <v xml:space="preserve"> </v>
      </c>
      <c r="GB167" s="10" t="str">
        <f t="shared" si="348"/>
        <v xml:space="preserve"> </v>
      </c>
      <c r="GC167" s="10" t="str">
        <f t="shared" si="348"/>
        <v xml:space="preserve"> </v>
      </c>
      <c r="GF167" s="10" t="str">
        <f t="shared" si="349"/>
        <v xml:space="preserve"> </v>
      </c>
      <c r="GG167" s="10" t="str">
        <f t="shared" si="349"/>
        <v xml:space="preserve"> </v>
      </c>
      <c r="GH167" s="10" t="str">
        <f t="shared" si="349"/>
        <v xml:space="preserve"> </v>
      </c>
      <c r="GI167" s="10" t="str">
        <f t="shared" si="349"/>
        <v xml:space="preserve"> </v>
      </c>
      <c r="GJ167" s="10" t="str">
        <f t="shared" si="349"/>
        <v xml:space="preserve"> </v>
      </c>
      <c r="GM167" s="10" t="str">
        <f t="shared" si="350"/>
        <v xml:space="preserve"> </v>
      </c>
      <c r="GN167" s="10" t="str">
        <f t="shared" si="350"/>
        <v xml:space="preserve"> </v>
      </c>
      <c r="GO167" s="10" t="str">
        <f t="shared" si="350"/>
        <v xml:space="preserve"> </v>
      </c>
      <c r="GP167" s="10" t="str">
        <f t="shared" si="350"/>
        <v xml:space="preserve"> </v>
      </c>
      <c r="GQ167" s="10" t="str">
        <f t="shared" si="350"/>
        <v xml:space="preserve"> </v>
      </c>
      <c r="GT167" s="10" t="str">
        <f t="shared" si="351"/>
        <v xml:space="preserve"> </v>
      </c>
      <c r="GU167" s="10" t="str">
        <f t="shared" si="351"/>
        <v xml:space="preserve"> </v>
      </c>
      <c r="GV167" s="10" t="str">
        <f t="shared" si="351"/>
        <v xml:space="preserve"> </v>
      </c>
      <c r="GW167" s="10" t="str">
        <f t="shared" si="351"/>
        <v xml:space="preserve"> </v>
      </c>
      <c r="GX167" s="10" t="str">
        <f t="shared" si="351"/>
        <v xml:space="preserve"> </v>
      </c>
      <c r="HA167" s="10" t="str">
        <f t="shared" si="352"/>
        <v xml:space="preserve"> </v>
      </c>
      <c r="HB167" s="10" t="str">
        <f t="shared" si="352"/>
        <v xml:space="preserve"> </v>
      </c>
      <c r="HC167" s="10" t="str">
        <f t="shared" si="352"/>
        <v xml:space="preserve"> </v>
      </c>
      <c r="HD167" s="10" t="str">
        <f t="shared" si="352"/>
        <v xml:space="preserve"> </v>
      </c>
      <c r="HE167" s="10" t="str">
        <f t="shared" si="352"/>
        <v xml:space="preserve"> </v>
      </c>
      <c r="HH167" s="10" t="str">
        <f t="shared" si="353"/>
        <v xml:space="preserve"> </v>
      </c>
      <c r="HI167" s="10" t="str">
        <f t="shared" si="353"/>
        <v xml:space="preserve"> </v>
      </c>
      <c r="HJ167" s="10" t="str">
        <f t="shared" si="353"/>
        <v xml:space="preserve"> </v>
      </c>
      <c r="HK167" s="10" t="str">
        <f t="shared" si="353"/>
        <v xml:space="preserve"> </v>
      </c>
      <c r="HL167" s="10" t="str">
        <f t="shared" si="353"/>
        <v xml:space="preserve"> </v>
      </c>
      <c r="HO167" s="10" t="str">
        <f t="shared" si="354"/>
        <v xml:space="preserve"> </v>
      </c>
      <c r="HP167" s="10" t="str">
        <f t="shared" si="354"/>
        <v xml:space="preserve"> </v>
      </c>
      <c r="HQ167" s="10" t="str">
        <f t="shared" si="354"/>
        <v xml:space="preserve"> </v>
      </c>
      <c r="HR167" s="10" t="str">
        <f t="shared" si="354"/>
        <v xml:space="preserve"> </v>
      </c>
      <c r="HS167" s="10" t="str">
        <f t="shared" si="354"/>
        <v xml:space="preserve"> </v>
      </c>
      <c r="HV167" s="10" t="str">
        <f t="shared" si="355"/>
        <v xml:space="preserve"> </v>
      </c>
      <c r="HW167" s="10" t="str">
        <f t="shared" si="355"/>
        <v xml:space="preserve"> </v>
      </c>
      <c r="HX167" s="10" t="str">
        <f t="shared" si="355"/>
        <v xml:space="preserve"> </v>
      </c>
      <c r="HY167" s="10" t="str">
        <f t="shared" si="355"/>
        <v xml:space="preserve"> </v>
      </c>
      <c r="HZ167" s="10" t="str">
        <f t="shared" si="355"/>
        <v xml:space="preserve"> </v>
      </c>
      <c r="IC167" s="10" t="str">
        <f t="shared" si="356"/>
        <v xml:space="preserve"> </v>
      </c>
      <c r="ID167" s="10" t="str">
        <f t="shared" si="356"/>
        <v xml:space="preserve"> </v>
      </c>
      <c r="IE167" s="10" t="str">
        <f t="shared" si="356"/>
        <v xml:space="preserve"> </v>
      </c>
      <c r="IF167" s="10" t="str">
        <f t="shared" si="356"/>
        <v xml:space="preserve"> </v>
      </c>
      <c r="IG167" s="10" t="str">
        <f t="shared" si="356"/>
        <v xml:space="preserve"> </v>
      </c>
      <c r="IJ167" s="10" t="str">
        <f t="shared" si="357"/>
        <v xml:space="preserve"> </v>
      </c>
      <c r="IK167" s="10" t="str">
        <f t="shared" si="357"/>
        <v xml:space="preserve"> </v>
      </c>
      <c r="IL167" s="10" t="str">
        <f t="shared" si="357"/>
        <v xml:space="preserve"> </v>
      </c>
      <c r="IM167" s="10" t="str">
        <f t="shared" si="357"/>
        <v xml:space="preserve"> </v>
      </c>
      <c r="IN167" s="10" t="str">
        <f t="shared" si="357"/>
        <v xml:space="preserve"> </v>
      </c>
      <c r="IQ167" s="10" t="str">
        <f t="shared" si="358"/>
        <v xml:space="preserve"> </v>
      </c>
      <c r="IR167" s="10" t="str">
        <f t="shared" si="358"/>
        <v xml:space="preserve"> </v>
      </c>
      <c r="IS167" s="10" t="str">
        <f t="shared" si="358"/>
        <v xml:space="preserve"> </v>
      </c>
      <c r="IT167" s="10" t="str">
        <f t="shared" si="358"/>
        <v xml:space="preserve"> </v>
      </c>
      <c r="IU167" s="10" t="str">
        <f t="shared" si="358"/>
        <v xml:space="preserve"> </v>
      </c>
      <c r="IX167" s="10" t="str">
        <f t="shared" si="359"/>
        <v xml:space="preserve"> </v>
      </c>
      <c r="IY167" s="10" t="str">
        <f t="shared" si="359"/>
        <v xml:space="preserve"> </v>
      </c>
      <c r="IZ167" s="10" t="str">
        <f t="shared" si="359"/>
        <v xml:space="preserve"> </v>
      </c>
      <c r="JA167" s="10" t="str">
        <f t="shared" si="359"/>
        <v xml:space="preserve"> </v>
      </c>
      <c r="JB167" s="10" t="str">
        <f t="shared" si="359"/>
        <v xml:space="preserve"> </v>
      </c>
      <c r="JE167" s="10" t="str">
        <f t="shared" si="360"/>
        <v xml:space="preserve"> </v>
      </c>
      <c r="JF167" s="10" t="str">
        <f t="shared" si="360"/>
        <v xml:space="preserve"> </v>
      </c>
      <c r="JG167" s="10" t="str">
        <f t="shared" si="360"/>
        <v xml:space="preserve"> </v>
      </c>
      <c r="JH167" s="10" t="str">
        <f t="shared" si="360"/>
        <v xml:space="preserve"> </v>
      </c>
      <c r="JI167" s="10" t="str">
        <f t="shared" si="360"/>
        <v xml:space="preserve"> </v>
      </c>
    </row>
    <row r="168" spans="13:269">
      <c r="M168" s="10" t="str">
        <f t="shared" si="361"/>
        <v xml:space="preserve"> </v>
      </c>
      <c r="N168" s="10" t="str">
        <f t="shared" si="361"/>
        <v xml:space="preserve"> </v>
      </c>
      <c r="O168" s="10" t="str">
        <f t="shared" si="361"/>
        <v xml:space="preserve"> </v>
      </c>
      <c r="P168" s="10" t="str">
        <f t="shared" si="361"/>
        <v xml:space="preserve"> </v>
      </c>
      <c r="Q168" s="10" t="str">
        <f t="shared" si="361"/>
        <v xml:space="preserve"> </v>
      </c>
      <c r="R168" s="14"/>
      <c r="S168" s="14"/>
      <c r="T168" s="10" t="str">
        <f t="shared" si="325"/>
        <v xml:space="preserve"> </v>
      </c>
      <c r="U168" s="10" t="str">
        <f t="shared" si="325"/>
        <v xml:space="preserve"> </v>
      </c>
      <c r="V168" s="10" t="str">
        <f t="shared" si="325"/>
        <v xml:space="preserve"> </v>
      </c>
      <c r="W168" s="10" t="str">
        <f t="shared" si="325"/>
        <v xml:space="preserve"> </v>
      </c>
      <c r="X168" s="10" t="str">
        <f t="shared" si="325"/>
        <v xml:space="preserve"> </v>
      </c>
      <c r="Y168" s="14"/>
      <c r="Z168" s="14"/>
      <c r="AA168" s="10" t="str">
        <f t="shared" si="326"/>
        <v xml:space="preserve"> </v>
      </c>
      <c r="AB168" s="10" t="str">
        <f t="shared" si="326"/>
        <v xml:space="preserve"> </v>
      </c>
      <c r="AC168" s="10" t="str">
        <f t="shared" si="326"/>
        <v xml:space="preserve"> </v>
      </c>
      <c r="AD168" s="10" t="str">
        <f t="shared" si="326"/>
        <v xml:space="preserve"> </v>
      </c>
      <c r="AE168" s="10" t="str">
        <f t="shared" si="326"/>
        <v xml:space="preserve"> </v>
      </c>
      <c r="AF168" s="14"/>
      <c r="AG168" s="14"/>
      <c r="AH168" s="10" t="str">
        <f t="shared" si="327"/>
        <v xml:space="preserve"> </v>
      </c>
      <c r="AI168" s="10" t="str">
        <f t="shared" si="327"/>
        <v xml:space="preserve"> </v>
      </c>
      <c r="AJ168" s="10" t="str">
        <f t="shared" si="327"/>
        <v xml:space="preserve"> </v>
      </c>
      <c r="AK168" s="10" t="str">
        <f t="shared" si="327"/>
        <v xml:space="preserve"> </v>
      </c>
      <c r="AL168" s="10" t="str">
        <f t="shared" si="327"/>
        <v xml:space="preserve"> </v>
      </c>
      <c r="AM168" s="14"/>
      <c r="AN168" s="14"/>
      <c r="AO168" s="10" t="str">
        <f t="shared" si="328"/>
        <v xml:space="preserve"> </v>
      </c>
      <c r="AP168" s="10" t="str">
        <f t="shared" si="328"/>
        <v xml:space="preserve"> </v>
      </c>
      <c r="AQ168" s="10" t="str">
        <f t="shared" si="328"/>
        <v xml:space="preserve"> </v>
      </c>
      <c r="AR168" s="10" t="str">
        <f t="shared" si="328"/>
        <v xml:space="preserve"> </v>
      </c>
      <c r="AS168" s="10" t="str">
        <f t="shared" si="328"/>
        <v xml:space="preserve"> </v>
      </c>
      <c r="AT168" s="14"/>
      <c r="AU168" s="14"/>
      <c r="AV168" s="10" t="str">
        <f t="shared" si="329"/>
        <v xml:space="preserve"> </v>
      </c>
      <c r="AW168" s="10" t="str">
        <f t="shared" si="329"/>
        <v xml:space="preserve"> </v>
      </c>
      <c r="AX168" s="10" t="str">
        <f t="shared" si="329"/>
        <v xml:space="preserve"> </v>
      </c>
      <c r="AY168" s="10" t="str">
        <f t="shared" si="329"/>
        <v xml:space="preserve"> </v>
      </c>
      <c r="AZ168" s="10" t="str">
        <f t="shared" si="329"/>
        <v xml:space="preserve"> </v>
      </c>
      <c r="BA168" s="14"/>
      <c r="BB168" s="14"/>
      <c r="BC168" s="10" t="str">
        <f t="shared" si="330"/>
        <v xml:space="preserve"> </v>
      </c>
      <c r="BD168" s="10" t="str">
        <f t="shared" si="330"/>
        <v xml:space="preserve"> </v>
      </c>
      <c r="BE168" s="10" t="str">
        <f t="shared" si="330"/>
        <v xml:space="preserve"> </v>
      </c>
      <c r="BF168" s="10" t="str">
        <f t="shared" si="330"/>
        <v xml:space="preserve"> </v>
      </c>
      <c r="BG168" s="10" t="str">
        <f t="shared" si="330"/>
        <v xml:space="preserve"> </v>
      </c>
      <c r="BH168" s="14"/>
      <c r="BI168" s="14"/>
      <c r="BJ168" s="10" t="str">
        <f t="shared" si="331"/>
        <v xml:space="preserve"> </v>
      </c>
      <c r="BK168" s="10" t="str">
        <f t="shared" si="331"/>
        <v xml:space="preserve"> </v>
      </c>
      <c r="BL168" s="10" t="str">
        <f t="shared" si="331"/>
        <v xml:space="preserve"> </v>
      </c>
      <c r="BM168" s="10" t="str">
        <f t="shared" si="331"/>
        <v xml:space="preserve"> </v>
      </c>
      <c r="BN168" s="10" t="str">
        <f t="shared" si="331"/>
        <v xml:space="preserve"> </v>
      </c>
      <c r="BO168" s="14"/>
      <c r="BP168" s="14"/>
      <c r="BQ168" s="10" t="str">
        <f t="shared" si="332"/>
        <v xml:space="preserve"> </v>
      </c>
      <c r="BR168" s="10" t="str">
        <f t="shared" si="332"/>
        <v xml:space="preserve"> </v>
      </c>
      <c r="BS168" s="10" t="str">
        <f t="shared" si="332"/>
        <v xml:space="preserve"> </v>
      </c>
      <c r="BT168" s="10" t="str">
        <f t="shared" si="332"/>
        <v xml:space="preserve"> </v>
      </c>
      <c r="BU168" s="10" t="str">
        <f t="shared" si="332"/>
        <v xml:space="preserve"> </v>
      </c>
      <c r="BV168" s="14"/>
      <c r="BW168" s="14"/>
      <c r="BX168" s="10" t="str">
        <f t="shared" si="333"/>
        <v xml:space="preserve"> </v>
      </c>
      <c r="BY168" s="10" t="str">
        <f t="shared" si="333"/>
        <v xml:space="preserve"> </v>
      </c>
      <c r="BZ168" s="10" t="str">
        <f t="shared" si="333"/>
        <v xml:space="preserve"> </v>
      </c>
      <c r="CA168" s="10" t="str">
        <f t="shared" si="333"/>
        <v xml:space="preserve"> </v>
      </c>
      <c r="CB168" s="10" t="str">
        <f t="shared" si="333"/>
        <v xml:space="preserve"> </v>
      </c>
      <c r="CC168" s="14"/>
      <c r="CD168" s="14"/>
      <c r="CE168" s="10" t="str">
        <f t="shared" si="334"/>
        <v xml:space="preserve"> </v>
      </c>
      <c r="CF168" s="10" t="str">
        <f t="shared" si="334"/>
        <v xml:space="preserve"> </v>
      </c>
      <c r="CG168" s="10" t="str">
        <f t="shared" si="334"/>
        <v xml:space="preserve"> </v>
      </c>
      <c r="CH168" s="10" t="str">
        <f t="shared" si="334"/>
        <v xml:space="preserve"> </v>
      </c>
      <c r="CI168" s="10" t="str">
        <f t="shared" si="334"/>
        <v xml:space="preserve"> </v>
      </c>
      <c r="CJ168" s="14"/>
      <c r="CK168" s="14"/>
      <c r="CL168" s="10" t="str">
        <f t="shared" si="335"/>
        <v xml:space="preserve"> </v>
      </c>
      <c r="CM168" s="10" t="str">
        <f t="shared" si="335"/>
        <v xml:space="preserve"> </v>
      </c>
      <c r="CN168" s="10" t="str">
        <f t="shared" si="335"/>
        <v xml:space="preserve"> </v>
      </c>
      <c r="CO168" s="10" t="str">
        <f t="shared" si="335"/>
        <v xml:space="preserve"> </v>
      </c>
      <c r="CP168" s="10" t="str">
        <f t="shared" si="335"/>
        <v xml:space="preserve"> </v>
      </c>
      <c r="CQ168" s="14"/>
      <c r="CR168" s="14"/>
      <c r="CS168" s="10" t="str">
        <f t="shared" si="336"/>
        <v xml:space="preserve"> </v>
      </c>
      <c r="CT168" s="10" t="str">
        <f t="shared" si="336"/>
        <v xml:space="preserve"> </v>
      </c>
      <c r="CU168" s="10" t="str">
        <f t="shared" si="336"/>
        <v xml:space="preserve"> </v>
      </c>
      <c r="CV168" s="10" t="str">
        <f t="shared" si="336"/>
        <v xml:space="preserve"> </v>
      </c>
      <c r="CW168" s="10" t="str">
        <f t="shared" si="336"/>
        <v xml:space="preserve"> </v>
      </c>
      <c r="CZ168" s="10" t="str">
        <f t="shared" si="337"/>
        <v xml:space="preserve"> </v>
      </c>
      <c r="DA168" s="10" t="str">
        <f t="shared" si="337"/>
        <v xml:space="preserve"> </v>
      </c>
      <c r="DB168" s="10" t="str">
        <f t="shared" si="337"/>
        <v xml:space="preserve"> </v>
      </c>
      <c r="DC168" s="10" t="str">
        <f t="shared" si="337"/>
        <v xml:space="preserve"> </v>
      </c>
      <c r="DD168" s="10" t="str">
        <f t="shared" si="337"/>
        <v xml:space="preserve"> </v>
      </c>
      <c r="DG168" s="10" t="str">
        <f t="shared" si="338"/>
        <v xml:space="preserve"> </v>
      </c>
      <c r="DH168" s="10" t="str">
        <f t="shared" si="338"/>
        <v xml:space="preserve"> </v>
      </c>
      <c r="DI168" s="10" t="str">
        <f t="shared" si="338"/>
        <v xml:space="preserve"> </v>
      </c>
      <c r="DJ168" s="10" t="str">
        <f t="shared" si="338"/>
        <v xml:space="preserve"> </v>
      </c>
      <c r="DK168" s="10" t="str">
        <f t="shared" si="338"/>
        <v xml:space="preserve"> </v>
      </c>
      <c r="DN168" s="10" t="str">
        <f t="shared" si="339"/>
        <v xml:space="preserve"> </v>
      </c>
      <c r="DO168" s="10" t="str">
        <f t="shared" si="339"/>
        <v xml:space="preserve"> </v>
      </c>
      <c r="DP168" s="10" t="str">
        <f t="shared" si="339"/>
        <v xml:space="preserve"> </v>
      </c>
      <c r="DQ168" s="10" t="str">
        <f t="shared" si="339"/>
        <v xml:space="preserve"> </v>
      </c>
      <c r="DR168" s="10" t="str">
        <f t="shared" si="339"/>
        <v xml:space="preserve"> </v>
      </c>
      <c r="DU168" s="10" t="str">
        <f t="shared" si="340"/>
        <v xml:space="preserve"> </v>
      </c>
      <c r="DV168" s="10" t="str">
        <f t="shared" si="340"/>
        <v xml:space="preserve"> </v>
      </c>
      <c r="DW168" s="10" t="str">
        <f t="shared" si="340"/>
        <v xml:space="preserve"> </v>
      </c>
      <c r="DX168" s="10" t="str">
        <f t="shared" si="340"/>
        <v xml:space="preserve"> </v>
      </c>
      <c r="DY168" s="10" t="str">
        <f t="shared" si="340"/>
        <v xml:space="preserve"> </v>
      </c>
      <c r="EB168" s="10" t="str">
        <f t="shared" si="341"/>
        <v xml:space="preserve"> </v>
      </c>
      <c r="EC168" s="10" t="str">
        <f t="shared" si="341"/>
        <v xml:space="preserve"> </v>
      </c>
      <c r="ED168" s="10" t="str">
        <f t="shared" si="341"/>
        <v xml:space="preserve"> </v>
      </c>
      <c r="EE168" s="10" t="str">
        <f t="shared" si="341"/>
        <v xml:space="preserve"> </v>
      </c>
      <c r="EF168" s="10" t="str">
        <f t="shared" si="341"/>
        <v xml:space="preserve"> </v>
      </c>
      <c r="EI168" s="10" t="str">
        <f t="shared" si="342"/>
        <v xml:space="preserve"> </v>
      </c>
      <c r="EJ168" s="10" t="str">
        <f t="shared" si="342"/>
        <v xml:space="preserve"> </v>
      </c>
      <c r="EK168" s="10" t="str">
        <f t="shared" si="342"/>
        <v xml:space="preserve"> </v>
      </c>
      <c r="EL168" s="10" t="str">
        <f t="shared" si="342"/>
        <v xml:space="preserve"> </v>
      </c>
      <c r="EM168" s="10" t="str">
        <f t="shared" si="342"/>
        <v xml:space="preserve"> </v>
      </c>
      <c r="EP168" s="10" t="str">
        <f t="shared" si="343"/>
        <v xml:space="preserve"> </v>
      </c>
      <c r="EQ168" s="10" t="str">
        <f t="shared" si="343"/>
        <v xml:space="preserve"> </v>
      </c>
      <c r="ER168" s="10" t="str">
        <f t="shared" si="343"/>
        <v xml:space="preserve"> </v>
      </c>
      <c r="ES168" s="10" t="str">
        <f t="shared" si="343"/>
        <v xml:space="preserve"> </v>
      </c>
      <c r="ET168" s="10" t="str">
        <f t="shared" si="343"/>
        <v xml:space="preserve"> </v>
      </c>
      <c r="EW168" s="10" t="str">
        <f t="shared" si="344"/>
        <v xml:space="preserve"> </v>
      </c>
      <c r="EX168" s="10" t="str">
        <f t="shared" si="344"/>
        <v xml:space="preserve"> </v>
      </c>
      <c r="EY168" s="10" t="str">
        <f t="shared" si="344"/>
        <v xml:space="preserve"> </v>
      </c>
      <c r="EZ168" s="10" t="str">
        <f t="shared" si="344"/>
        <v xml:space="preserve"> </v>
      </c>
      <c r="FA168" s="10" t="str">
        <f t="shared" si="344"/>
        <v xml:space="preserve"> </v>
      </c>
      <c r="FD168" s="10" t="str">
        <f t="shared" si="345"/>
        <v xml:space="preserve"> </v>
      </c>
      <c r="FE168" s="10" t="str">
        <f t="shared" si="345"/>
        <v xml:space="preserve"> </v>
      </c>
      <c r="FF168" s="10" t="str">
        <f t="shared" si="345"/>
        <v xml:space="preserve"> </v>
      </c>
      <c r="FG168" s="10" t="str">
        <f t="shared" si="345"/>
        <v xml:space="preserve"> </v>
      </c>
      <c r="FH168" s="10" t="str">
        <f t="shared" si="345"/>
        <v xml:space="preserve"> </v>
      </c>
      <c r="FK168" s="10" t="str">
        <f t="shared" si="346"/>
        <v xml:space="preserve"> </v>
      </c>
      <c r="FL168" s="10" t="str">
        <f t="shared" si="346"/>
        <v xml:space="preserve"> </v>
      </c>
      <c r="FM168" s="10" t="str">
        <f t="shared" si="346"/>
        <v xml:space="preserve"> </v>
      </c>
      <c r="FN168" s="10" t="str">
        <f t="shared" si="346"/>
        <v xml:space="preserve"> </v>
      </c>
      <c r="FO168" s="10" t="str">
        <f t="shared" si="346"/>
        <v xml:space="preserve"> </v>
      </c>
      <c r="FR168" s="10" t="str">
        <f t="shared" si="347"/>
        <v xml:space="preserve"> </v>
      </c>
      <c r="FS168" s="10" t="str">
        <f t="shared" si="347"/>
        <v xml:space="preserve"> </v>
      </c>
      <c r="FT168" s="10" t="str">
        <f t="shared" si="347"/>
        <v xml:space="preserve"> </v>
      </c>
      <c r="FU168" s="10" t="str">
        <f t="shared" si="347"/>
        <v xml:space="preserve"> </v>
      </c>
      <c r="FV168" s="10" t="str">
        <f t="shared" si="347"/>
        <v xml:space="preserve"> </v>
      </c>
      <c r="FY168" s="10" t="str">
        <f t="shared" si="348"/>
        <v xml:space="preserve"> </v>
      </c>
      <c r="FZ168" s="10" t="str">
        <f t="shared" si="348"/>
        <v xml:space="preserve"> </v>
      </c>
      <c r="GA168" s="10" t="str">
        <f t="shared" si="348"/>
        <v xml:space="preserve"> </v>
      </c>
      <c r="GB168" s="10" t="str">
        <f t="shared" si="348"/>
        <v xml:space="preserve"> </v>
      </c>
      <c r="GC168" s="10" t="str">
        <f t="shared" si="348"/>
        <v xml:space="preserve"> </v>
      </c>
      <c r="GF168" s="10" t="str">
        <f t="shared" si="349"/>
        <v xml:space="preserve"> </v>
      </c>
      <c r="GG168" s="10" t="str">
        <f t="shared" si="349"/>
        <v xml:space="preserve"> </v>
      </c>
      <c r="GH168" s="10" t="str">
        <f t="shared" si="349"/>
        <v xml:space="preserve"> </v>
      </c>
      <c r="GI168" s="10" t="str">
        <f t="shared" si="349"/>
        <v xml:space="preserve"> </v>
      </c>
      <c r="GJ168" s="10" t="str">
        <f t="shared" si="349"/>
        <v xml:space="preserve"> </v>
      </c>
      <c r="GM168" s="10" t="str">
        <f t="shared" si="350"/>
        <v xml:space="preserve"> </v>
      </c>
      <c r="GN168" s="10" t="str">
        <f t="shared" si="350"/>
        <v xml:space="preserve"> </v>
      </c>
      <c r="GO168" s="10" t="str">
        <f t="shared" si="350"/>
        <v xml:space="preserve"> </v>
      </c>
      <c r="GP168" s="10" t="str">
        <f t="shared" si="350"/>
        <v xml:space="preserve"> </v>
      </c>
      <c r="GQ168" s="10" t="str">
        <f t="shared" si="350"/>
        <v xml:space="preserve"> </v>
      </c>
      <c r="GT168" s="10" t="str">
        <f t="shared" si="351"/>
        <v xml:space="preserve"> </v>
      </c>
      <c r="GU168" s="10" t="str">
        <f t="shared" si="351"/>
        <v xml:space="preserve"> </v>
      </c>
      <c r="GV168" s="10" t="str">
        <f t="shared" si="351"/>
        <v xml:space="preserve"> </v>
      </c>
      <c r="GW168" s="10" t="str">
        <f t="shared" si="351"/>
        <v xml:space="preserve"> </v>
      </c>
      <c r="GX168" s="10" t="str">
        <f t="shared" si="351"/>
        <v xml:space="preserve"> </v>
      </c>
      <c r="HA168" s="10" t="str">
        <f t="shared" si="352"/>
        <v xml:space="preserve"> </v>
      </c>
      <c r="HB168" s="10" t="str">
        <f t="shared" si="352"/>
        <v xml:space="preserve"> </v>
      </c>
      <c r="HC168" s="10" t="str">
        <f t="shared" si="352"/>
        <v xml:space="preserve"> </v>
      </c>
      <c r="HD168" s="10" t="str">
        <f t="shared" si="352"/>
        <v xml:space="preserve"> </v>
      </c>
      <c r="HE168" s="10" t="str">
        <f t="shared" si="352"/>
        <v xml:space="preserve"> </v>
      </c>
      <c r="HH168" s="10" t="str">
        <f t="shared" si="353"/>
        <v xml:space="preserve"> </v>
      </c>
      <c r="HI168" s="10" t="str">
        <f t="shared" si="353"/>
        <v xml:space="preserve"> </v>
      </c>
      <c r="HJ168" s="10" t="str">
        <f t="shared" si="353"/>
        <v xml:space="preserve"> </v>
      </c>
      <c r="HK168" s="10" t="str">
        <f t="shared" si="353"/>
        <v xml:space="preserve"> </v>
      </c>
      <c r="HL168" s="10" t="str">
        <f t="shared" si="353"/>
        <v xml:space="preserve"> </v>
      </c>
      <c r="HO168" s="10" t="str">
        <f t="shared" si="354"/>
        <v xml:space="preserve"> </v>
      </c>
      <c r="HP168" s="10" t="str">
        <f t="shared" si="354"/>
        <v xml:space="preserve"> </v>
      </c>
      <c r="HQ168" s="10" t="str">
        <f t="shared" si="354"/>
        <v xml:space="preserve"> </v>
      </c>
      <c r="HR168" s="10" t="str">
        <f t="shared" si="354"/>
        <v xml:space="preserve"> </v>
      </c>
      <c r="HS168" s="10" t="str">
        <f t="shared" si="354"/>
        <v xml:space="preserve"> </v>
      </c>
      <c r="HV168" s="10" t="str">
        <f t="shared" si="355"/>
        <v xml:space="preserve"> </v>
      </c>
      <c r="HW168" s="10" t="str">
        <f t="shared" si="355"/>
        <v xml:space="preserve"> </v>
      </c>
      <c r="HX168" s="10" t="str">
        <f t="shared" si="355"/>
        <v xml:space="preserve"> </v>
      </c>
      <c r="HY168" s="10" t="str">
        <f t="shared" si="355"/>
        <v xml:space="preserve"> </v>
      </c>
      <c r="HZ168" s="10" t="str">
        <f t="shared" si="355"/>
        <v xml:space="preserve"> </v>
      </c>
      <c r="IC168" s="10" t="str">
        <f t="shared" si="356"/>
        <v xml:space="preserve"> </v>
      </c>
      <c r="ID168" s="10" t="str">
        <f t="shared" si="356"/>
        <v xml:space="preserve"> </v>
      </c>
      <c r="IE168" s="10" t="str">
        <f t="shared" si="356"/>
        <v xml:space="preserve"> </v>
      </c>
      <c r="IF168" s="10" t="str">
        <f t="shared" si="356"/>
        <v xml:space="preserve"> </v>
      </c>
      <c r="IG168" s="10" t="str">
        <f t="shared" si="356"/>
        <v xml:space="preserve"> </v>
      </c>
      <c r="IJ168" s="10" t="str">
        <f t="shared" si="357"/>
        <v xml:space="preserve"> </v>
      </c>
      <c r="IK168" s="10" t="str">
        <f t="shared" si="357"/>
        <v xml:space="preserve"> </v>
      </c>
      <c r="IL168" s="10" t="str">
        <f t="shared" si="357"/>
        <v xml:space="preserve"> </v>
      </c>
      <c r="IM168" s="10" t="str">
        <f t="shared" si="357"/>
        <v xml:space="preserve"> </v>
      </c>
      <c r="IN168" s="10" t="str">
        <f t="shared" si="357"/>
        <v xml:space="preserve"> </v>
      </c>
      <c r="IQ168" s="10" t="str">
        <f t="shared" si="358"/>
        <v xml:space="preserve"> </v>
      </c>
      <c r="IR168" s="10" t="str">
        <f t="shared" si="358"/>
        <v xml:space="preserve"> </v>
      </c>
      <c r="IS168" s="10" t="str">
        <f t="shared" si="358"/>
        <v xml:space="preserve"> </v>
      </c>
      <c r="IT168" s="10" t="str">
        <f t="shared" si="358"/>
        <v xml:space="preserve"> </v>
      </c>
      <c r="IU168" s="10" t="str">
        <f t="shared" si="358"/>
        <v xml:space="preserve"> </v>
      </c>
      <c r="IX168" s="10" t="str">
        <f t="shared" si="359"/>
        <v xml:space="preserve"> </v>
      </c>
      <c r="IY168" s="10" t="str">
        <f t="shared" si="359"/>
        <v xml:space="preserve"> </v>
      </c>
      <c r="IZ168" s="10" t="str">
        <f t="shared" si="359"/>
        <v xml:space="preserve"> </v>
      </c>
      <c r="JA168" s="10" t="str">
        <f t="shared" si="359"/>
        <v xml:space="preserve"> </v>
      </c>
      <c r="JB168" s="10" t="str">
        <f t="shared" si="359"/>
        <v xml:space="preserve"> </v>
      </c>
      <c r="JE168" s="10" t="str">
        <f t="shared" si="360"/>
        <v xml:space="preserve"> </v>
      </c>
      <c r="JF168" s="10" t="str">
        <f t="shared" si="360"/>
        <v xml:space="preserve"> </v>
      </c>
      <c r="JG168" s="10" t="str">
        <f t="shared" si="360"/>
        <v xml:space="preserve"> </v>
      </c>
      <c r="JH168" s="10" t="str">
        <f t="shared" si="360"/>
        <v xml:space="preserve"> </v>
      </c>
      <c r="JI168" s="10" t="str">
        <f t="shared" si="360"/>
        <v xml:space="preserve"> </v>
      </c>
    </row>
    <row r="169" spans="13:269">
      <c r="M169" s="10" t="str">
        <f t="shared" si="361"/>
        <v xml:space="preserve"> </v>
      </c>
      <c r="N169" s="10" t="str">
        <f t="shared" si="361"/>
        <v xml:space="preserve"> </v>
      </c>
      <c r="O169" s="10" t="str">
        <f t="shared" si="361"/>
        <v xml:space="preserve"> </v>
      </c>
      <c r="P169" s="10" t="str">
        <f t="shared" si="361"/>
        <v xml:space="preserve"> </v>
      </c>
      <c r="Q169" s="10" t="str">
        <f t="shared" si="361"/>
        <v xml:space="preserve"> </v>
      </c>
      <c r="R169" s="14"/>
      <c r="S169" s="14"/>
      <c r="T169" s="10" t="str">
        <f t="shared" si="325"/>
        <v xml:space="preserve"> </v>
      </c>
      <c r="U169" s="10" t="str">
        <f t="shared" si="325"/>
        <v xml:space="preserve"> </v>
      </c>
      <c r="V169" s="10" t="str">
        <f t="shared" si="325"/>
        <v xml:space="preserve"> </v>
      </c>
      <c r="W169" s="10" t="str">
        <f t="shared" si="325"/>
        <v xml:space="preserve"> </v>
      </c>
      <c r="X169" s="10" t="str">
        <f t="shared" si="325"/>
        <v xml:space="preserve"> </v>
      </c>
      <c r="Y169" s="14"/>
      <c r="Z169" s="14"/>
      <c r="AA169" s="10" t="str">
        <f t="shared" si="326"/>
        <v xml:space="preserve"> </v>
      </c>
      <c r="AB169" s="10" t="str">
        <f t="shared" si="326"/>
        <v xml:space="preserve"> </v>
      </c>
      <c r="AC169" s="10" t="str">
        <f t="shared" si="326"/>
        <v xml:space="preserve"> </v>
      </c>
      <c r="AD169" s="10" t="str">
        <f t="shared" si="326"/>
        <v xml:space="preserve"> </v>
      </c>
      <c r="AE169" s="10" t="str">
        <f t="shared" si="326"/>
        <v xml:space="preserve"> </v>
      </c>
      <c r="AF169" s="14"/>
      <c r="AG169" s="14"/>
      <c r="AH169" s="10" t="str">
        <f t="shared" si="327"/>
        <v xml:space="preserve"> </v>
      </c>
      <c r="AI169" s="10" t="str">
        <f t="shared" si="327"/>
        <v xml:space="preserve"> </v>
      </c>
      <c r="AJ169" s="10" t="str">
        <f t="shared" si="327"/>
        <v xml:space="preserve"> </v>
      </c>
      <c r="AK169" s="10" t="str">
        <f t="shared" si="327"/>
        <v xml:space="preserve"> </v>
      </c>
      <c r="AL169" s="10" t="str">
        <f t="shared" si="327"/>
        <v xml:space="preserve"> </v>
      </c>
      <c r="AM169" s="14"/>
      <c r="AN169" s="14"/>
      <c r="AO169" s="10" t="str">
        <f t="shared" si="328"/>
        <v xml:space="preserve"> </v>
      </c>
      <c r="AP169" s="10" t="str">
        <f t="shared" si="328"/>
        <v xml:space="preserve"> </v>
      </c>
      <c r="AQ169" s="10" t="str">
        <f t="shared" si="328"/>
        <v xml:space="preserve"> </v>
      </c>
      <c r="AR169" s="10" t="str">
        <f t="shared" si="328"/>
        <v xml:space="preserve"> </v>
      </c>
      <c r="AS169" s="10" t="str">
        <f t="shared" si="328"/>
        <v xml:space="preserve"> </v>
      </c>
      <c r="AT169" s="14"/>
      <c r="AU169" s="14"/>
      <c r="AV169" s="10" t="str">
        <f t="shared" si="329"/>
        <v xml:space="preserve"> </v>
      </c>
      <c r="AW169" s="10" t="str">
        <f t="shared" si="329"/>
        <v xml:space="preserve"> </v>
      </c>
      <c r="AX169" s="10" t="str">
        <f t="shared" si="329"/>
        <v xml:space="preserve"> </v>
      </c>
      <c r="AY169" s="10" t="str">
        <f t="shared" si="329"/>
        <v xml:space="preserve"> </v>
      </c>
      <c r="AZ169" s="10" t="str">
        <f t="shared" si="329"/>
        <v xml:space="preserve"> </v>
      </c>
      <c r="BA169" s="14"/>
      <c r="BB169" s="14"/>
      <c r="BC169" s="10" t="str">
        <f t="shared" si="330"/>
        <v xml:space="preserve"> </v>
      </c>
      <c r="BD169" s="10" t="str">
        <f t="shared" si="330"/>
        <v xml:space="preserve"> </v>
      </c>
      <c r="BE169" s="10" t="str">
        <f t="shared" si="330"/>
        <v xml:space="preserve"> </v>
      </c>
      <c r="BF169" s="10" t="str">
        <f t="shared" si="330"/>
        <v xml:space="preserve"> </v>
      </c>
      <c r="BG169" s="10" t="str">
        <f t="shared" si="330"/>
        <v xml:space="preserve"> </v>
      </c>
      <c r="BH169" s="14"/>
      <c r="BI169" s="14"/>
      <c r="BJ169" s="10" t="str">
        <f t="shared" si="331"/>
        <v xml:space="preserve"> </v>
      </c>
      <c r="BK169" s="10" t="str">
        <f t="shared" si="331"/>
        <v xml:space="preserve"> </v>
      </c>
      <c r="BL169" s="10" t="str">
        <f t="shared" si="331"/>
        <v xml:space="preserve"> </v>
      </c>
      <c r="BM169" s="10" t="str">
        <f t="shared" si="331"/>
        <v xml:space="preserve"> </v>
      </c>
      <c r="BN169" s="10" t="str">
        <f t="shared" si="331"/>
        <v xml:space="preserve"> </v>
      </c>
      <c r="BO169" s="14"/>
      <c r="BP169" s="14"/>
      <c r="BQ169" s="10" t="str">
        <f t="shared" si="332"/>
        <v xml:space="preserve"> </v>
      </c>
      <c r="BR169" s="10" t="str">
        <f t="shared" si="332"/>
        <v xml:space="preserve"> </v>
      </c>
      <c r="BS169" s="10" t="str">
        <f t="shared" si="332"/>
        <v xml:space="preserve"> </v>
      </c>
      <c r="BT169" s="10" t="str">
        <f t="shared" si="332"/>
        <v xml:space="preserve"> </v>
      </c>
      <c r="BU169" s="10" t="str">
        <f t="shared" si="332"/>
        <v xml:space="preserve"> </v>
      </c>
      <c r="BV169" s="14"/>
      <c r="BW169" s="14"/>
      <c r="BX169" s="10" t="str">
        <f t="shared" si="333"/>
        <v xml:space="preserve"> </v>
      </c>
      <c r="BY169" s="10" t="str">
        <f t="shared" si="333"/>
        <v xml:space="preserve"> </v>
      </c>
      <c r="BZ169" s="10" t="str">
        <f t="shared" si="333"/>
        <v xml:space="preserve"> </v>
      </c>
      <c r="CA169" s="10" t="str">
        <f t="shared" si="333"/>
        <v xml:space="preserve"> </v>
      </c>
      <c r="CB169" s="10" t="str">
        <f t="shared" si="333"/>
        <v xml:space="preserve"> </v>
      </c>
      <c r="CC169" s="14"/>
      <c r="CD169" s="14"/>
      <c r="CE169" s="10" t="str">
        <f t="shared" si="334"/>
        <v xml:space="preserve"> </v>
      </c>
      <c r="CF169" s="10" t="str">
        <f t="shared" si="334"/>
        <v xml:space="preserve"> </v>
      </c>
      <c r="CG169" s="10" t="str">
        <f t="shared" si="334"/>
        <v xml:space="preserve"> </v>
      </c>
      <c r="CH169" s="10" t="str">
        <f t="shared" si="334"/>
        <v xml:space="preserve"> </v>
      </c>
      <c r="CI169" s="10" t="str">
        <f t="shared" si="334"/>
        <v xml:space="preserve"> </v>
      </c>
      <c r="CJ169" s="14"/>
      <c r="CK169" s="14"/>
      <c r="CL169" s="10" t="str">
        <f t="shared" si="335"/>
        <v xml:space="preserve"> </v>
      </c>
      <c r="CM169" s="10" t="str">
        <f t="shared" si="335"/>
        <v xml:space="preserve"> </v>
      </c>
      <c r="CN169" s="10" t="str">
        <f t="shared" si="335"/>
        <v xml:space="preserve"> </v>
      </c>
      <c r="CO169" s="10" t="str">
        <f t="shared" si="335"/>
        <v xml:space="preserve"> </v>
      </c>
      <c r="CP169" s="10" t="str">
        <f t="shared" si="335"/>
        <v xml:space="preserve"> </v>
      </c>
      <c r="CQ169" s="14"/>
      <c r="CR169" s="14"/>
      <c r="CS169" s="10" t="str">
        <f t="shared" si="336"/>
        <v xml:space="preserve"> </v>
      </c>
      <c r="CT169" s="10" t="str">
        <f t="shared" si="336"/>
        <v xml:space="preserve"> </v>
      </c>
      <c r="CU169" s="10" t="str">
        <f t="shared" si="336"/>
        <v xml:space="preserve"> </v>
      </c>
      <c r="CV169" s="10" t="str">
        <f t="shared" si="336"/>
        <v xml:space="preserve"> </v>
      </c>
      <c r="CW169" s="10" t="str">
        <f t="shared" si="336"/>
        <v xml:space="preserve"> </v>
      </c>
      <c r="CZ169" s="10" t="str">
        <f t="shared" si="337"/>
        <v xml:space="preserve"> </v>
      </c>
      <c r="DA169" s="10" t="str">
        <f t="shared" si="337"/>
        <v xml:space="preserve"> </v>
      </c>
      <c r="DB169" s="10" t="str">
        <f t="shared" si="337"/>
        <v xml:space="preserve"> </v>
      </c>
      <c r="DC169" s="10" t="str">
        <f t="shared" si="337"/>
        <v xml:space="preserve"> </v>
      </c>
      <c r="DD169" s="10" t="str">
        <f t="shared" si="337"/>
        <v xml:space="preserve"> </v>
      </c>
      <c r="DG169" s="10" t="str">
        <f t="shared" si="338"/>
        <v xml:space="preserve"> </v>
      </c>
      <c r="DH169" s="10" t="str">
        <f t="shared" si="338"/>
        <v xml:space="preserve"> </v>
      </c>
      <c r="DI169" s="10" t="str">
        <f t="shared" si="338"/>
        <v xml:space="preserve"> </v>
      </c>
      <c r="DJ169" s="10" t="str">
        <f t="shared" si="338"/>
        <v xml:space="preserve"> </v>
      </c>
      <c r="DK169" s="10" t="str">
        <f t="shared" si="338"/>
        <v xml:space="preserve"> </v>
      </c>
      <c r="DN169" s="10" t="str">
        <f t="shared" si="339"/>
        <v xml:space="preserve"> </v>
      </c>
      <c r="DO169" s="10" t="str">
        <f t="shared" si="339"/>
        <v xml:space="preserve"> </v>
      </c>
      <c r="DP169" s="10" t="str">
        <f t="shared" si="339"/>
        <v xml:space="preserve"> </v>
      </c>
      <c r="DQ169" s="10" t="str">
        <f t="shared" si="339"/>
        <v xml:space="preserve"> </v>
      </c>
      <c r="DR169" s="10" t="str">
        <f t="shared" si="339"/>
        <v xml:space="preserve"> </v>
      </c>
      <c r="DU169" s="10" t="str">
        <f t="shared" si="340"/>
        <v xml:space="preserve"> </v>
      </c>
      <c r="DV169" s="10" t="str">
        <f t="shared" si="340"/>
        <v xml:space="preserve"> </v>
      </c>
      <c r="DW169" s="10" t="str">
        <f t="shared" si="340"/>
        <v xml:space="preserve"> </v>
      </c>
      <c r="DX169" s="10" t="str">
        <f t="shared" si="340"/>
        <v xml:space="preserve"> </v>
      </c>
      <c r="DY169" s="10" t="str">
        <f t="shared" si="340"/>
        <v xml:space="preserve"> </v>
      </c>
      <c r="EB169" s="10" t="str">
        <f t="shared" si="341"/>
        <v xml:space="preserve"> </v>
      </c>
      <c r="EC169" s="10" t="str">
        <f t="shared" si="341"/>
        <v xml:space="preserve"> </v>
      </c>
      <c r="ED169" s="10" t="str">
        <f t="shared" si="341"/>
        <v xml:space="preserve"> </v>
      </c>
      <c r="EE169" s="10" t="str">
        <f t="shared" si="341"/>
        <v xml:space="preserve"> </v>
      </c>
      <c r="EF169" s="10" t="str">
        <f t="shared" si="341"/>
        <v xml:space="preserve"> </v>
      </c>
      <c r="EI169" s="10" t="str">
        <f t="shared" si="342"/>
        <v xml:space="preserve"> </v>
      </c>
      <c r="EJ169" s="10" t="str">
        <f t="shared" si="342"/>
        <v xml:space="preserve"> </v>
      </c>
      <c r="EK169" s="10" t="str">
        <f t="shared" si="342"/>
        <v xml:space="preserve"> </v>
      </c>
      <c r="EL169" s="10" t="str">
        <f t="shared" si="342"/>
        <v xml:space="preserve"> </v>
      </c>
      <c r="EM169" s="10" t="str">
        <f t="shared" si="342"/>
        <v xml:space="preserve"> </v>
      </c>
      <c r="EP169" s="10" t="str">
        <f t="shared" si="343"/>
        <v xml:space="preserve"> </v>
      </c>
      <c r="EQ169" s="10" t="str">
        <f t="shared" si="343"/>
        <v xml:space="preserve"> </v>
      </c>
      <c r="ER169" s="10" t="str">
        <f t="shared" si="343"/>
        <v xml:space="preserve"> </v>
      </c>
      <c r="ES169" s="10" t="str">
        <f t="shared" si="343"/>
        <v xml:space="preserve"> </v>
      </c>
      <c r="ET169" s="10" t="str">
        <f t="shared" si="343"/>
        <v xml:space="preserve"> </v>
      </c>
      <c r="EW169" s="10" t="str">
        <f t="shared" si="344"/>
        <v xml:space="preserve"> </v>
      </c>
      <c r="EX169" s="10" t="str">
        <f t="shared" si="344"/>
        <v xml:space="preserve"> </v>
      </c>
      <c r="EY169" s="10" t="str">
        <f t="shared" si="344"/>
        <v xml:space="preserve"> </v>
      </c>
      <c r="EZ169" s="10" t="str">
        <f t="shared" si="344"/>
        <v xml:space="preserve"> </v>
      </c>
      <c r="FA169" s="10" t="str">
        <f t="shared" si="344"/>
        <v xml:space="preserve"> </v>
      </c>
      <c r="FD169" s="10" t="str">
        <f t="shared" si="345"/>
        <v xml:space="preserve"> </v>
      </c>
      <c r="FE169" s="10" t="str">
        <f t="shared" si="345"/>
        <v xml:space="preserve"> </v>
      </c>
      <c r="FF169" s="10" t="str">
        <f t="shared" si="345"/>
        <v xml:space="preserve"> </v>
      </c>
      <c r="FG169" s="10" t="str">
        <f t="shared" si="345"/>
        <v xml:space="preserve"> </v>
      </c>
      <c r="FH169" s="10" t="str">
        <f t="shared" si="345"/>
        <v xml:space="preserve"> </v>
      </c>
      <c r="FK169" s="10" t="str">
        <f t="shared" si="346"/>
        <v xml:space="preserve"> </v>
      </c>
      <c r="FL169" s="10" t="str">
        <f t="shared" si="346"/>
        <v xml:space="preserve"> </v>
      </c>
      <c r="FM169" s="10" t="str">
        <f t="shared" si="346"/>
        <v xml:space="preserve"> </v>
      </c>
      <c r="FN169" s="10" t="str">
        <f t="shared" si="346"/>
        <v xml:space="preserve"> </v>
      </c>
      <c r="FO169" s="10" t="str">
        <f t="shared" si="346"/>
        <v xml:space="preserve"> </v>
      </c>
      <c r="FR169" s="10" t="str">
        <f t="shared" si="347"/>
        <v xml:space="preserve"> </v>
      </c>
      <c r="FS169" s="10" t="str">
        <f t="shared" si="347"/>
        <v xml:space="preserve"> </v>
      </c>
      <c r="FT169" s="10" t="str">
        <f t="shared" si="347"/>
        <v xml:space="preserve"> </v>
      </c>
      <c r="FU169" s="10" t="str">
        <f t="shared" si="347"/>
        <v xml:space="preserve"> </v>
      </c>
      <c r="FV169" s="10" t="str">
        <f t="shared" si="347"/>
        <v xml:space="preserve"> </v>
      </c>
      <c r="FY169" s="10" t="str">
        <f t="shared" si="348"/>
        <v xml:space="preserve"> </v>
      </c>
      <c r="FZ169" s="10" t="str">
        <f t="shared" si="348"/>
        <v xml:space="preserve"> </v>
      </c>
      <c r="GA169" s="10" t="str">
        <f t="shared" si="348"/>
        <v xml:space="preserve"> </v>
      </c>
      <c r="GB169" s="10" t="str">
        <f t="shared" si="348"/>
        <v xml:space="preserve"> </v>
      </c>
      <c r="GC169" s="10" t="str">
        <f t="shared" si="348"/>
        <v xml:space="preserve"> </v>
      </c>
      <c r="GF169" s="10" t="str">
        <f t="shared" si="349"/>
        <v xml:space="preserve"> </v>
      </c>
      <c r="GG169" s="10" t="str">
        <f t="shared" si="349"/>
        <v xml:space="preserve"> </v>
      </c>
      <c r="GH169" s="10" t="str">
        <f t="shared" si="349"/>
        <v xml:space="preserve"> </v>
      </c>
      <c r="GI169" s="10" t="str">
        <f t="shared" si="349"/>
        <v xml:space="preserve"> </v>
      </c>
      <c r="GJ169" s="10" t="str">
        <f t="shared" si="349"/>
        <v xml:space="preserve"> </v>
      </c>
      <c r="GM169" s="10" t="str">
        <f t="shared" si="350"/>
        <v xml:space="preserve"> </v>
      </c>
      <c r="GN169" s="10" t="str">
        <f t="shared" si="350"/>
        <v xml:space="preserve"> </v>
      </c>
      <c r="GO169" s="10" t="str">
        <f t="shared" si="350"/>
        <v xml:space="preserve"> </v>
      </c>
      <c r="GP169" s="10" t="str">
        <f t="shared" si="350"/>
        <v xml:space="preserve"> </v>
      </c>
      <c r="GQ169" s="10" t="str">
        <f t="shared" si="350"/>
        <v xml:space="preserve"> </v>
      </c>
      <c r="GT169" s="10" t="str">
        <f t="shared" si="351"/>
        <v xml:space="preserve"> </v>
      </c>
      <c r="GU169" s="10" t="str">
        <f t="shared" si="351"/>
        <v xml:space="preserve"> </v>
      </c>
      <c r="GV169" s="10" t="str">
        <f t="shared" si="351"/>
        <v xml:space="preserve"> </v>
      </c>
      <c r="GW169" s="10" t="str">
        <f t="shared" si="351"/>
        <v xml:space="preserve"> </v>
      </c>
      <c r="GX169" s="10" t="str">
        <f t="shared" si="351"/>
        <v xml:space="preserve"> </v>
      </c>
      <c r="HA169" s="10" t="str">
        <f t="shared" si="352"/>
        <v xml:space="preserve"> </v>
      </c>
      <c r="HB169" s="10" t="str">
        <f t="shared" si="352"/>
        <v xml:space="preserve"> </v>
      </c>
      <c r="HC169" s="10" t="str">
        <f t="shared" si="352"/>
        <v xml:space="preserve"> </v>
      </c>
      <c r="HD169" s="10" t="str">
        <f t="shared" si="352"/>
        <v xml:space="preserve"> </v>
      </c>
      <c r="HE169" s="10" t="str">
        <f t="shared" si="352"/>
        <v xml:space="preserve"> </v>
      </c>
      <c r="HH169" s="10" t="str">
        <f t="shared" si="353"/>
        <v xml:space="preserve"> </v>
      </c>
      <c r="HI169" s="10" t="str">
        <f t="shared" si="353"/>
        <v xml:space="preserve"> </v>
      </c>
      <c r="HJ169" s="10" t="str">
        <f t="shared" si="353"/>
        <v xml:space="preserve"> </v>
      </c>
      <c r="HK169" s="10" t="str">
        <f t="shared" si="353"/>
        <v xml:space="preserve"> </v>
      </c>
      <c r="HL169" s="10" t="str">
        <f t="shared" si="353"/>
        <v xml:space="preserve"> </v>
      </c>
      <c r="HO169" s="10" t="str">
        <f t="shared" si="354"/>
        <v xml:space="preserve"> </v>
      </c>
      <c r="HP169" s="10" t="str">
        <f t="shared" si="354"/>
        <v xml:space="preserve"> </v>
      </c>
      <c r="HQ169" s="10" t="str">
        <f t="shared" si="354"/>
        <v xml:space="preserve"> </v>
      </c>
      <c r="HR169" s="10" t="str">
        <f t="shared" si="354"/>
        <v xml:space="preserve"> </v>
      </c>
      <c r="HS169" s="10" t="str">
        <f t="shared" si="354"/>
        <v xml:space="preserve"> </v>
      </c>
      <c r="HV169" s="10" t="str">
        <f t="shared" si="355"/>
        <v xml:space="preserve"> </v>
      </c>
      <c r="HW169" s="10" t="str">
        <f t="shared" si="355"/>
        <v xml:space="preserve"> </v>
      </c>
      <c r="HX169" s="10" t="str">
        <f t="shared" si="355"/>
        <v xml:space="preserve"> </v>
      </c>
      <c r="HY169" s="10" t="str">
        <f t="shared" si="355"/>
        <v xml:space="preserve"> </v>
      </c>
      <c r="HZ169" s="10" t="str">
        <f t="shared" si="355"/>
        <v xml:space="preserve"> </v>
      </c>
      <c r="IC169" s="10" t="str">
        <f t="shared" si="356"/>
        <v xml:space="preserve"> </v>
      </c>
      <c r="ID169" s="10" t="str">
        <f t="shared" si="356"/>
        <v xml:space="preserve"> </v>
      </c>
      <c r="IE169" s="10" t="str">
        <f t="shared" si="356"/>
        <v xml:space="preserve"> </v>
      </c>
      <c r="IF169" s="10" t="str">
        <f t="shared" si="356"/>
        <v xml:space="preserve"> </v>
      </c>
      <c r="IG169" s="10" t="str">
        <f t="shared" si="356"/>
        <v xml:space="preserve"> </v>
      </c>
      <c r="IJ169" s="10" t="str">
        <f t="shared" si="357"/>
        <v xml:space="preserve"> </v>
      </c>
      <c r="IK169" s="10" t="str">
        <f t="shared" si="357"/>
        <v xml:space="preserve"> </v>
      </c>
      <c r="IL169" s="10" t="str">
        <f t="shared" si="357"/>
        <v xml:space="preserve"> </v>
      </c>
      <c r="IM169" s="10" t="str">
        <f t="shared" si="357"/>
        <v xml:space="preserve"> </v>
      </c>
      <c r="IN169" s="10" t="str">
        <f t="shared" si="357"/>
        <v xml:space="preserve"> </v>
      </c>
      <c r="IQ169" s="10" t="str">
        <f t="shared" si="358"/>
        <v xml:space="preserve"> </v>
      </c>
      <c r="IR169" s="10" t="str">
        <f t="shared" si="358"/>
        <v xml:space="preserve"> </v>
      </c>
      <c r="IS169" s="10" t="str">
        <f t="shared" si="358"/>
        <v xml:space="preserve"> </v>
      </c>
      <c r="IT169" s="10" t="str">
        <f t="shared" si="358"/>
        <v xml:space="preserve"> </v>
      </c>
      <c r="IU169" s="10" t="str">
        <f t="shared" si="358"/>
        <v xml:space="preserve"> </v>
      </c>
      <c r="IX169" s="10" t="str">
        <f t="shared" si="359"/>
        <v xml:space="preserve"> </v>
      </c>
      <c r="IY169" s="10" t="str">
        <f t="shared" si="359"/>
        <v xml:space="preserve"> </v>
      </c>
      <c r="IZ169" s="10" t="str">
        <f t="shared" si="359"/>
        <v xml:space="preserve"> </v>
      </c>
      <c r="JA169" s="10" t="str">
        <f t="shared" si="359"/>
        <v xml:space="preserve"> </v>
      </c>
      <c r="JB169" s="10" t="str">
        <f t="shared" si="359"/>
        <v xml:space="preserve"> </v>
      </c>
      <c r="JE169" s="10" t="str">
        <f t="shared" si="360"/>
        <v xml:space="preserve"> </v>
      </c>
      <c r="JF169" s="10" t="str">
        <f t="shared" si="360"/>
        <v xml:space="preserve"> </v>
      </c>
      <c r="JG169" s="10" t="str">
        <f t="shared" si="360"/>
        <v xml:space="preserve"> </v>
      </c>
      <c r="JH169" s="10" t="str">
        <f t="shared" si="360"/>
        <v xml:space="preserve"> </v>
      </c>
      <c r="JI169" s="10" t="str">
        <f t="shared" si="360"/>
        <v xml:space="preserve"> </v>
      </c>
    </row>
    <row r="170" spans="13:269">
      <c r="M170" s="10" t="str">
        <f t="shared" si="361"/>
        <v xml:space="preserve"> </v>
      </c>
      <c r="N170" s="10" t="str">
        <f t="shared" si="361"/>
        <v xml:space="preserve"> </v>
      </c>
      <c r="O170" s="10" t="str">
        <f t="shared" si="361"/>
        <v xml:space="preserve"> </v>
      </c>
      <c r="P170" s="10" t="str">
        <f t="shared" si="361"/>
        <v xml:space="preserve"> </v>
      </c>
      <c r="Q170" s="10" t="str">
        <f t="shared" si="361"/>
        <v xml:space="preserve"> </v>
      </c>
      <c r="R170" s="14"/>
      <c r="S170" s="14"/>
      <c r="T170" s="10" t="str">
        <f t="shared" si="325"/>
        <v xml:space="preserve"> </v>
      </c>
      <c r="U170" s="10" t="str">
        <f t="shared" si="325"/>
        <v xml:space="preserve"> </v>
      </c>
      <c r="V170" s="10" t="str">
        <f t="shared" si="325"/>
        <v xml:space="preserve"> </v>
      </c>
      <c r="W170" s="10" t="str">
        <f t="shared" si="325"/>
        <v xml:space="preserve"> </v>
      </c>
      <c r="X170" s="10" t="str">
        <f t="shared" si="325"/>
        <v xml:space="preserve"> </v>
      </c>
      <c r="Y170" s="14"/>
      <c r="Z170" s="14"/>
      <c r="AA170" s="10" t="str">
        <f t="shared" si="326"/>
        <v xml:space="preserve"> </v>
      </c>
      <c r="AB170" s="10" t="str">
        <f t="shared" si="326"/>
        <v xml:space="preserve"> </v>
      </c>
      <c r="AC170" s="10" t="str">
        <f t="shared" si="326"/>
        <v xml:space="preserve"> </v>
      </c>
      <c r="AD170" s="10" t="str">
        <f t="shared" si="326"/>
        <v xml:space="preserve"> </v>
      </c>
      <c r="AE170" s="10" t="str">
        <f t="shared" si="326"/>
        <v xml:space="preserve"> </v>
      </c>
      <c r="AF170" s="14"/>
      <c r="AG170" s="14"/>
      <c r="AH170" s="10" t="str">
        <f t="shared" si="327"/>
        <v xml:space="preserve"> </v>
      </c>
      <c r="AI170" s="10" t="str">
        <f t="shared" si="327"/>
        <v xml:space="preserve"> </v>
      </c>
      <c r="AJ170" s="10" t="str">
        <f t="shared" si="327"/>
        <v xml:space="preserve"> </v>
      </c>
      <c r="AK170" s="10" t="str">
        <f t="shared" si="327"/>
        <v xml:space="preserve"> </v>
      </c>
      <c r="AL170" s="10" t="str">
        <f t="shared" si="327"/>
        <v xml:space="preserve"> </v>
      </c>
      <c r="AM170" s="14"/>
      <c r="AN170" s="14"/>
      <c r="AO170" s="10" t="str">
        <f t="shared" si="328"/>
        <v xml:space="preserve"> </v>
      </c>
      <c r="AP170" s="10" t="str">
        <f t="shared" si="328"/>
        <v xml:space="preserve"> </v>
      </c>
      <c r="AQ170" s="10" t="str">
        <f t="shared" si="328"/>
        <v xml:space="preserve"> </v>
      </c>
      <c r="AR170" s="10" t="str">
        <f t="shared" si="328"/>
        <v xml:space="preserve"> </v>
      </c>
      <c r="AS170" s="10" t="str">
        <f t="shared" si="328"/>
        <v xml:space="preserve"> </v>
      </c>
      <c r="AT170" s="14"/>
      <c r="AU170" s="14"/>
      <c r="AV170" s="10" t="str">
        <f t="shared" si="329"/>
        <v xml:space="preserve"> </v>
      </c>
      <c r="AW170" s="10" t="str">
        <f t="shared" si="329"/>
        <v xml:space="preserve"> </v>
      </c>
      <c r="AX170" s="10" t="str">
        <f t="shared" si="329"/>
        <v xml:space="preserve"> </v>
      </c>
      <c r="AY170" s="10" t="str">
        <f t="shared" si="329"/>
        <v xml:space="preserve"> </v>
      </c>
      <c r="AZ170" s="10" t="str">
        <f t="shared" si="329"/>
        <v xml:space="preserve"> </v>
      </c>
      <c r="BA170" s="14"/>
      <c r="BB170" s="14"/>
      <c r="BC170" s="10" t="str">
        <f t="shared" si="330"/>
        <v xml:space="preserve"> </v>
      </c>
      <c r="BD170" s="10" t="str">
        <f t="shared" si="330"/>
        <v xml:space="preserve"> </v>
      </c>
      <c r="BE170" s="10" t="str">
        <f t="shared" si="330"/>
        <v xml:space="preserve"> </v>
      </c>
      <c r="BF170" s="10" t="str">
        <f t="shared" si="330"/>
        <v xml:space="preserve"> </v>
      </c>
      <c r="BG170" s="10" t="str">
        <f t="shared" si="330"/>
        <v xml:space="preserve"> </v>
      </c>
      <c r="BH170" s="14"/>
      <c r="BI170" s="14"/>
      <c r="BJ170" s="10" t="str">
        <f t="shared" si="331"/>
        <v xml:space="preserve"> </v>
      </c>
      <c r="BK170" s="10" t="str">
        <f t="shared" si="331"/>
        <v xml:space="preserve"> </v>
      </c>
      <c r="BL170" s="10" t="str">
        <f t="shared" si="331"/>
        <v xml:space="preserve"> </v>
      </c>
      <c r="BM170" s="10" t="str">
        <f t="shared" si="331"/>
        <v xml:space="preserve"> </v>
      </c>
      <c r="BN170" s="10" t="str">
        <f t="shared" si="331"/>
        <v xml:space="preserve"> </v>
      </c>
      <c r="BO170" s="14"/>
      <c r="BP170" s="14"/>
      <c r="BQ170" s="10" t="str">
        <f t="shared" si="332"/>
        <v xml:space="preserve"> </v>
      </c>
      <c r="BR170" s="10" t="str">
        <f t="shared" si="332"/>
        <v xml:space="preserve"> </v>
      </c>
      <c r="BS170" s="10" t="str">
        <f t="shared" si="332"/>
        <v xml:space="preserve"> </v>
      </c>
      <c r="BT170" s="10" t="str">
        <f t="shared" si="332"/>
        <v xml:space="preserve"> </v>
      </c>
      <c r="BU170" s="10" t="str">
        <f t="shared" si="332"/>
        <v xml:space="preserve"> </v>
      </c>
      <c r="BV170" s="14"/>
      <c r="BW170" s="14"/>
      <c r="BX170" s="10" t="str">
        <f t="shared" si="333"/>
        <v xml:space="preserve"> </v>
      </c>
      <c r="BY170" s="10" t="str">
        <f t="shared" si="333"/>
        <v xml:space="preserve"> </v>
      </c>
      <c r="BZ170" s="10" t="str">
        <f t="shared" si="333"/>
        <v xml:space="preserve"> </v>
      </c>
      <c r="CA170" s="10" t="str">
        <f t="shared" si="333"/>
        <v xml:space="preserve"> </v>
      </c>
      <c r="CB170" s="10" t="str">
        <f t="shared" si="333"/>
        <v xml:space="preserve"> </v>
      </c>
      <c r="CC170" s="14"/>
      <c r="CD170" s="14"/>
      <c r="CE170" s="10" t="str">
        <f t="shared" si="334"/>
        <v xml:space="preserve"> </v>
      </c>
      <c r="CF170" s="10" t="str">
        <f t="shared" si="334"/>
        <v xml:space="preserve"> </v>
      </c>
      <c r="CG170" s="10" t="str">
        <f t="shared" si="334"/>
        <v xml:space="preserve"> </v>
      </c>
      <c r="CH170" s="10" t="str">
        <f t="shared" si="334"/>
        <v xml:space="preserve"> </v>
      </c>
      <c r="CI170" s="10" t="str">
        <f t="shared" si="334"/>
        <v xml:space="preserve"> </v>
      </c>
      <c r="CJ170" s="14"/>
      <c r="CK170" s="14"/>
      <c r="CL170" s="10" t="str">
        <f t="shared" si="335"/>
        <v xml:space="preserve"> </v>
      </c>
      <c r="CM170" s="10" t="str">
        <f t="shared" si="335"/>
        <v xml:space="preserve"> </v>
      </c>
      <c r="CN170" s="10" t="str">
        <f t="shared" si="335"/>
        <v xml:space="preserve"> </v>
      </c>
      <c r="CO170" s="10" t="str">
        <f t="shared" si="335"/>
        <v xml:space="preserve"> </v>
      </c>
      <c r="CP170" s="10" t="str">
        <f t="shared" si="335"/>
        <v xml:space="preserve"> </v>
      </c>
      <c r="CQ170" s="14"/>
      <c r="CR170" s="14"/>
      <c r="CS170" s="10" t="str">
        <f t="shared" si="336"/>
        <v xml:space="preserve"> </v>
      </c>
      <c r="CT170" s="10" t="str">
        <f t="shared" si="336"/>
        <v xml:space="preserve"> </v>
      </c>
      <c r="CU170" s="10" t="str">
        <f t="shared" si="336"/>
        <v xml:space="preserve"> </v>
      </c>
      <c r="CV170" s="10" t="str">
        <f t="shared" si="336"/>
        <v xml:space="preserve"> </v>
      </c>
      <c r="CW170" s="10" t="str">
        <f t="shared" si="336"/>
        <v xml:space="preserve"> </v>
      </c>
      <c r="CZ170" s="10" t="str">
        <f t="shared" si="337"/>
        <v xml:space="preserve"> </v>
      </c>
      <c r="DA170" s="10" t="str">
        <f t="shared" si="337"/>
        <v xml:space="preserve"> </v>
      </c>
      <c r="DB170" s="10" t="str">
        <f t="shared" si="337"/>
        <v xml:space="preserve"> </v>
      </c>
      <c r="DC170" s="10" t="str">
        <f t="shared" si="337"/>
        <v xml:space="preserve"> </v>
      </c>
      <c r="DD170" s="10" t="str">
        <f t="shared" si="337"/>
        <v xml:space="preserve"> </v>
      </c>
      <c r="DG170" s="10" t="str">
        <f t="shared" si="338"/>
        <v xml:space="preserve"> </v>
      </c>
      <c r="DH170" s="10" t="str">
        <f t="shared" si="338"/>
        <v xml:space="preserve"> </v>
      </c>
      <c r="DI170" s="10" t="str">
        <f t="shared" si="338"/>
        <v xml:space="preserve"> </v>
      </c>
      <c r="DJ170" s="10" t="str">
        <f t="shared" si="338"/>
        <v xml:space="preserve"> </v>
      </c>
      <c r="DK170" s="10" t="str">
        <f t="shared" si="338"/>
        <v xml:space="preserve"> </v>
      </c>
      <c r="DN170" s="10" t="str">
        <f t="shared" si="339"/>
        <v xml:space="preserve"> </v>
      </c>
      <c r="DO170" s="10" t="str">
        <f t="shared" si="339"/>
        <v xml:space="preserve"> </v>
      </c>
      <c r="DP170" s="10" t="str">
        <f t="shared" si="339"/>
        <v xml:space="preserve"> </v>
      </c>
      <c r="DQ170" s="10" t="str">
        <f t="shared" si="339"/>
        <v xml:space="preserve"> </v>
      </c>
      <c r="DR170" s="10" t="str">
        <f t="shared" si="339"/>
        <v xml:space="preserve"> </v>
      </c>
      <c r="DU170" s="10" t="str">
        <f t="shared" si="340"/>
        <v xml:space="preserve"> </v>
      </c>
      <c r="DV170" s="10" t="str">
        <f t="shared" si="340"/>
        <v xml:space="preserve"> </v>
      </c>
      <c r="DW170" s="10" t="str">
        <f t="shared" si="340"/>
        <v xml:space="preserve"> </v>
      </c>
      <c r="DX170" s="10" t="str">
        <f t="shared" si="340"/>
        <v xml:space="preserve"> </v>
      </c>
      <c r="DY170" s="10" t="str">
        <f t="shared" si="340"/>
        <v xml:space="preserve"> </v>
      </c>
      <c r="EB170" s="10" t="str">
        <f t="shared" si="341"/>
        <v xml:space="preserve"> </v>
      </c>
      <c r="EC170" s="10" t="str">
        <f t="shared" si="341"/>
        <v xml:space="preserve"> </v>
      </c>
      <c r="ED170" s="10" t="str">
        <f t="shared" si="341"/>
        <v xml:space="preserve"> </v>
      </c>
      <c r="EE170" s="10" t="str">
        <f t="shared" si="341"/>
        <v xml:space="preserve"> </v>
      </c>
      <c r="EF170" s="10" t="str">
        <f t="shared" si="341"/>
        <v xml:space="preserve"> </v>
      </c>
      <c r="EI170" s="10" t="str">
        <f t="shared" si="342"/>
        <v xml:space="preserve"> </v>
      </c>
      <c r="EJ170" s="10" t="str">
        <f t="shared" si="342"/>
        <v xml:space="preserve"> </v>
      </c>
      <c r="EK170" s="10" t="str">
        <f t="shared" si="342"/>
        <v xml:space="preserve"> </v>
      </c>
      <c r="EL170" s="10" t="str">
        <f t="shared" si="342"/>
        <v xml:space="preserve"> </v>
      </c>
      <c r="EM170" s="10" t="str">
        <f t="shared" si="342"/>
        <v xml:space="preserve"> </v>
      </c>
      <c r="EP170" s="10" t="str">
        <f t="shared" si="343"/>
        <v xml:space="preserve"> </v>
      </c>
      <c r="EQ170" s="10" t="str">
        <f t="shared" si="343"/>
        <v xml:space="preserve"> </v>
      </c>
      <c r="ER170" s="10" t="str">
        <f t="shared" si="343"/>
        <v xml:space="preserve"> </v>
      </c>
      <c r="ES170" s="10" t="str">
        <f t="shared" si="343"/>
        <v xml:space="preserve"> </v>
      </c>
      <c r="ET170" s="10" t="str">
        <f t="shared" si="343"/>
        <v xml:space="preserve"> </v>
      </c>
      <c r="EW170" s="10" t="str">
        <f t="shared" si="344"/>
        <v xml:space="preserve"> </v>
      </c>
      <c r="EX170" s="10" t="str">
        <f t="shared" si="344"/>
        <v xml:space="preserve"> </v>
      </c>
      <c r="EY170" s="10" t="str">
        <f t="shared" si="344"/>
        <v xml:space="preserve"> </v>
      </c>
      <c r="EZ170" s="10" t="str">
        <f t="shared" si="344"/>
        <v xml:space="preserve"> </v>
      </c>
      <c r="FA170" s="10" t="str">
        <f t="shared" si="344"/>
        <v xml:space="preserve"> </v>
      </c>
      <c r="FD170" s="10" t="str">
        <f t="shared" si="345"/>
        <v xml:space="preserve"> </v>
      </c>
      <c r="FE170" s="10" t="str">
        <f t="shared" si="345"/>
        <v xml:space="preserve"> </v>
      </c>
      <c r="FF170" s="10" t="str">
        <f t="shared" si="345"/>
        <v xml:space="preserve"> </v>
      </c>
      <c r="FG170" s="10" t="str">
        <f t="shared" si="345"/>
        <v xml:space="preserve"> </v>
      </c>
      <c r="FH170" s="10" t="str">
        <f t="shared" si="345"/>
        <v xml:space="preserve"> </v>
      </c>
      <c r="FK170" s="10" t="str">
        <f t="shared" si="346"/>
        <v xml:space="preserve"> </v>
      </c>
      <c r="FL170" s="10" t="str">
        <f t="shared" si="346"/>
        <v xml:space="preserve"> </v>
      </c>
      <c r="FM170" s="10" t="str">
        <f t="shared" si="346"/>
        <v xml:space="preserve"> </v>
      </c>
      <c r="FN170" s="10" t="str">
        <f t="shared" si="346"/>
        <v xml:space="preserve"> </v>
      </c>
      <c r="FO170" s="10" t="str">
        <f t="shared" si="346"/>
        <v xml:space="preserve"> </v>
      </c>
      <c r="FR170" s="10" t="str">
        <f t="shared" si="347"/>
        <v xml:space="preserve"> </v>
      </c>
      <c r="FS170" s="10" t="str">
        <f t="shared" si="347"/>
        <v xml:space="preserve"> </v>
      </c>
      <c r="FT170" s="10" t="str">
        <f t="shared" si="347"/>
        <v xml:space="preserve"> </v>
      </c>
      <c r="FU170" s="10" t="str">
        <f t="shared" si="347"/>
        <v xml:space="preserve"> </v>
      </c>
      <c r="FV170" s="10" t="str">
        <f t="shared" si="347"/>
        <v xml:space="preserve"> </v>
      </c>
      <c r="FY170" s="10" t="str">
        <f t="shared" si="348"/>
        <v xml:space="preserve"> </v>
      </c>
      <c r="FZ170" s="10" t="str">
        <f t="shared" si="348"/>
        <v xml:space="preserve"> </v>
      </c>
      <c r="GA170" s="10" t="str">
        <f t="shared" si="348"/>
        <v xml:space="preserve"> </v>
      </c>
      <c r="GB170" s="10" t="str">
        <f t="shared" si="348"/>
        <v xml:space="preserve"> </v>
      </c>
      <c r="GC170" s="10" t="str">
        <f t="shared" si="348"/>
        <v xml:space="preserve"> </v>
      </c>
      <c r="GF170" s="10" t="str">
        <f t="shared" si="349"/>
        <v xml:space="preserve"> </v>
      </c>
      <c r="GG170" s="10" t="str">
        <f t="shared" si="349"/>
        <v xml:space="preserve"> </v>
      </c>
      <c r="GH170" s="10" t="str">
        <f t="shared" si="349"/>
        <v xml:space="preserve"> </v>
      </c>
      <c r="GI170" s="10" t="str">
        <f t="shared" si="349"/>
        <v xml:space="preserve"> </v>
      </c>
      <c r="GJ170" s="10" t="str">
        <f t="shared" si="349"/>
        <v xml:space="preserve"> </v>
      </c>
      <c r="GM170" s="10" t="str">
        <f t="shared" si="350"/>
        <v xml:space="preserve"> </v>
      </c>
      <c r="GN170" s="10" t="str">
        <f t="shared" si="350"/>
        <v xml:space="preserve"> </v>
      </c>
      <c r="GO170" s="10" t="str">
        <f t="shared" si="350"/>
        <v xml:space="preserve"> </v>
      </c>
      <c r="GP170" s="10" t="str">
        <f t="shared" si="350"/>
        <v xml:space="preserve"> </v>
      </c>
      <c r="GQ170" s="10" t="str">
        <f t="shared" si="350"/>
        <v xml:space="preserve"> </v>
      </c>
      <c r="GT170" s="10" t="str">
        <f t="shared" si="351"/>
        <v xml:space="preserve"> </v>
      </c>
      <c r="GU170" s="10" t="str">
        <f t="shared" si="351"/>
        <v xml:space="preserve"> </v>
      </c>
      <c r="GV170" s="10" t="str">
        <f t="shared" si="351"/>
        <v xml:space="preserve"> </v>
      </c>
      <c r="GW170" s="10" t="str">
        <f t="shared" si="351"/>
        <v xml:space="preserve"> </v>
      </c>
      <c r="GX170" s="10" t="str">
        <f t="shared" si="351"/>
        <v xml:space="preserve"> </v>
      </c>
      <c r="HA170" s="10" t="str">
        <f t="shared" si="352"/>
        <v xml:space="preserve"> </v>
      </c>
      <c r="HB170" s="10" t="str">
        <f t="shared" si="352"/>
        <v xml:space="preserve"> </v>
      </c>
      <c r="HC170" s="10" t="str">
        <f t="shared" si="352"/>
        <v xml:space="preserve"> </v>
      </c>
      <c r="HD170" s="10" t="str">
        <f t="shared" si="352"/>
        <v xml:space="preserve"> </v>
      </c>
      <c r="HE170" s="10" t="str">
        <f t="shared" si="352"/>
        <v xml:space="preserve"> </v>
      </c>
      <c r="HH170" s="10" t="str">
        <f t="shared" si="353"/>
        <v xml:space="preserve"> </v>
      </c>
      <c r="HI170" s="10" t="str">
        <f t="shared" si="353"/>
        <v xml:space="preserve"> </v>
      </c>
      <c r="HJ170" s="10" t="str">
        <f t="shared" si="353"/>
        <v xml:space="preserve"> </v>
      </c>
      <c r="HK170" s="10" t="str">
        <f t="shared" si="353"/>
        <v xml:space="preserve"> </v>
      </c>
      <c r="HL170" s="10" t="str">
        <f t="shared" si="353"/>
        <v xml:space="preserve"> </v>
      </c>
      <c r="HO170" s="10" t="str">
        <f t="shared" si="354"/>
        <v xml:space="preserve"> </v>
      </c>
      <c r="HP170" s="10" t="str">
        <f t="shared" si="354"/>
        <v xml:space="preserve"> </v>
      </c>
      <c r="HQ170" s="10" t="str">
        <f t="shared" si="354"/>
        <v xml:space="preserve"> </v>
      </c>
      <c r="HR170" s="10" t="str">
        <f t="shared" si="354"/>
        <v xml:space="preserve"> </v>
      </c>
      <c r="HS170" s="10" t="str">
        <f t="shared" si="354"/>
        <v xml:space="preserve"> </v>
      </c>
      <c r="HV170" s="10" t="str">
        <f t="shared" si="355"/>
        <v xml:space="preserve"> </v>
      </c>
      <c r="HW170" s="10" t="str">
        <f t="shared" si="355"/>
        <v xml:space="preserve"> </v>
      </c>
      <c r="HX170" s="10" t="str">
        <f t="shared" si="355"/>
        <v xml:space="preserve"> </v>
      </c>
      <c r="HY170" s="10" t="str">
        <f t="shared" si="355"/>
        <v xml:space="preserve"> </v>
      </c>
      <c r="HZ170" s="10" t="str">
        <f t="shared" si="355"/>
        <v xml:space="preserve"> </v>
      </c>
      <c r="IC170" s="10" t="str">
        <f t="shared" si="356"/>
        <v xml:space="preserve"> </v>
      </c>
      <c r="ID170" s="10" t="str">
        <f t="shared" si="356"/>
        <v xml:space="preserve"> </v>
      </c>
      <c r="IE170" s="10" t="str">
        <f t="shared" si="356"/>
        <v xml:space="preserve"> </v>
      </c>
      <c r="IF170" s="10" t="str">
        <f t="shared" si="356"/>
        <v xml:space="preserve"> </v>
      </c>
      <c r="IG170" s="10" t="str">
        <f t="shared" si="356"/>
        <v xml:space="preserve"> </v>
      </c>
      <c r="IJ170" s="10" t="str">
        <f t="shared" si="357"/>
        <v xml:space="preserve"> </v>
      </c>
      <c r="IK170" s="10" t="str">
        <f t="shared" si="357"/>
        <v xml:space="preserve"> </v>
      </c>
      <c r="IL170" s="10" t="str">
        <f t="shared" si="357"/>
        <v xml:space="preserve"> </v>
      </c>
      <c r="IM170" s="10" t="str">
        <f t="shared" si="357"/>
        <v xml:space="preserve"> </v>
      </c>
      <c r="IN170" s="10" t="str">
        <f t="shared" si="357"/>
        <v xml:space="preserve"> </v>
      </c>
      <c r="IQ170" s="10" t="str">
        <f t="shared" si="358"/>
        <v xml:space="preserve"> </v>
      </c>
      <c r="IR170" s="10" t="str">
        <f t="shared" si="358"/>
        <v xml:space="preserve"> </v>
      </c>
      <c r="IS170" s="10" t="str">
        <f t="shared" si="358"/>
        <v xml:space="preserve"> </v>
      </c>
      <c r="IT170" s="10" t="str">
        <f t="shared" si="358"/>
        <v xml:space="preserve"> </v>
      </c>
      <c r="IU170" s="10" t="str">
        <f t="shared" si="358"/>
        <v xml:space="preserve"> </v>
      </c>
      <c r="IX170" s="10" t="str">
        <f t="shared" si="359"/>
        <v xml:space="preserve"> </v>
      </c>
      <c r="IY170" s="10" t="str">
        <f t="shared" si="359"/>
        <v xml:space="preserve"> </v>
      </c>
      <c r="IZ170" s="10" t="str">
        <f t="shared" si="359"/>
        <v xml:space="preserve"> </v>
      </c>
      <c r="JA170" s="10" t="str">
        <f t="shared" si="359"/>
        <v xml:space="preserve"> </v>
      </c>
      <c r="JB170" s="10" t="str">
        <f t="shared" si="359"/>
        <v xml:space="preserve"> </v>
      </c>
      <c r="JE170" s="10" t="str">
        <f t="shared" si="360"/>
        <v xml:space="preserve"> </v>
      </c>
      <c r="JF170" s="10" t="str">
        <f t="shared" si="360"/>
        <v xml:space="preserve"> </v>
      </c>
      <c r="JG170" s="10" t="str">
        <f t="shared" si="360"/>
        <v xml:space="preserve"> </v>
      </c>
      <c r="JH170" s="10" t="str">
        <f t="shared" si="360"/>
        <v xml:space="preserve"> </v>
      </c>
      <c r="JI170" s="10" t="str">
        <f t="shared" si="360"/>
        <v xml:space="preserve"> </v>
      </c>
    </row>
    <row r="171" spans="13:269">
      <c r="M171" s="10" t="str">
        <f t="shared" si="361"/>
        <v xml:space="preserve"> </v>
      </c>
      <c r="N171" s="10" t="str">
        <f t="shared" si="361"/>
        <v xml:space="preserve"> </v>
      </c>
      <c r="O171" s="10" t="str">
        <f t="shared" si="361"/>
        <v xml:space="preserve"> </v>
      </c>
      <c r="P171" s="10" t="str">
        <f t="shared" si="361"/>
        <v xml:space="preserve"> </v>
      </c>
      <c r="Q171" s="10" t="str">
        <f t="shared" si="361"/>
        <v xml:space="preserve"> </v>
      </c>
      <c r="R171" s="14"/>
      <c r="S171" s="14"/>
      <c r="T171" s="10" t="str">
        <f t="shared" si="325"/>
        <v xml:space="preserve"> </v>
      </c>
      <c r="U171" s="10" t="str">
        <f t="shared" si="325"/>
        <v xml:space="preserve"> </v>
      </c>
      <c r="V171" s="10" t="str">
        <f t="shared" si="325"/>
        <v xml:space="preserve"> </v>
      </c>
      <c r="W171" s="10" t="str">
        <f t="shared" si="325"/>
        <v xml:space="preserve"> </v>
      </c>
      <c r="X171" s="10" t="str">
        <f t="shared" si="325"/>
        <v xml:space="preserve"> </v>
      </c>
      <c r="Y171" s="14"/>
      <c r="Z171" s="14"/>
      <c r="AA171" s="10" t="str">
        <f t="shared" si="326"/>
        <v xml:space="preserve"> </v>
      </c>
      <c r="AB171" s="10" t="str">
        <f t="shared" si="326"/>
        <v xml:space="preserve"> </v>
      </c>
      <c r="AC171" s="10" t="str">
        <f t="shared" si="326"/>
        <v xml:space="preserve"> </v>
      </c>
      <c r="AD171" s="10" t="str">
        <f t="shared" si="326"/>
        <v xml:space="preserve"> </v>
      </c>
      <c r="AE171" s="10" t="str">
        <f t="shared" si="326"/>
        <v xml:space="preserve"> </v>
      </c>
      <c r="AF171" s="14"/>
      <c r="AG171" s="14"/>
      <c r="AH171" s="10" t="str">
        <f t="shared" si="327"/>
        <v xml:space="preserve"> </v>
      </c>
      <c r="AI171" s="10" t="str">
        <f t="shared" si="327"/>
        <v xml:space="preserve"> </v>
      </c>
      <c r="AJ171" s="10" t="str">
        <f t="shared" si="327"/>
        <v xml:space="preserve"> </v>
      </c>
      <c r="AK171" s="10" t="str">
        <f t="shared" si="327"/>
        <v xml:space="preserve"> </v>
      </c>
      <c r="AL171" s="10" t="str">
        <f t="shared" si="327"/>
        <v xml:space="preserve"> </v>
      </c>
      <c r="AM171" s="14"/>
      <c r="AN171" s="14"/>
      <c r="AO171" s="10" t="str">
        <f t="shared" si="328"/>
        <v xml:space="preserve"> </v>
      </c>
      <c r="AP171" s="10" t="str">
        <f t="shared" si="328"/>
        <v xml:space="preserve"> </v>
      </c>
      <c r="AQ171" s="10" t="str">
        <f t="shared" si="328"/>
        <v xml:space="preserve"> </v>
      </c>
      <c r="AR171" s="10" t="str">
        <f t="shared" si="328"/>
        <v xml:space="preserve"> </v>
      </c>
      <c r="AS171" s="10" t="str">
        <f t="shared" si="328"/>
        <v xml:space="preserve"> </v>
      </c>
      <c r="AT171" s="14"/>
      <c r="AU171" s="14"/>
      <c r="AV171" s="10" t="str">
        <f t="shared" si="329"/>
        <v xml:space="preserve"> </v>
      </c>
      <c r="AW171" s="10" t="str">
        <f t="shared" si="329"/>
        <v xml:space="preserve"> </v>
      </c>
      <c r="AX171" s="10" t="str">
        <f t="shared" si="329"/>
        <v xml:space="preserve"> </v>
      </c>
      <c r="AY171" s="10" t="str">
        <f t="shared" si="329"/>
        <v xml:space="preserve"> </v>
      </c>
      <c r="AZ171" s="10" t="str">
        <f t="shared" si="329"/>
        <v xml:space="preserve"> </v>
      </c>
      <c r="BA171" s="14"/>
      <c r="BB171" s="14"/>
      <c r="BC171" s="10" t="str">
        <f t="shared" si="330"/>
        <v xml:space="preserve"> </v>
      </c>
      <c r="BD171" s="10" t="str">
        <f t="shared" si="330"/>
        <v xml:space="preserve"> </v>
      </c>
      <c r="BE171" s="10" t="str">
        <f t="shared" si="330"/>
        <v xml:space="preserve"> </v>
      </c>
      <c r="BF171" s="10" t="str">
        <f t="shared" si="330"/>
        <v xml:space="preserve"> </v>
      </c>
      <c r="BG171" s="10" t="str">
        <f t="shared" si="330"/>
        <v xml:space="preserve"> </v>
      </c>
      <c r="BH171" s="14"/>
      <c r="BI171" s="14"/>
      <c r="BJ171" s="10" t="str">
        <f t="shared" si="331"/>
        <v xml:space="preserve"> </v>
      </c>
      <c r="BK171" s="10" t="str">
        <f t="shared" si="331"/>
        <v xml:space="preserve"> </v>
      </c>
      <c r="BL171" s="10" t="str">
        <f t="shared" si="331"/>
        <v xml:space="preserve"> </v>
      </c>
      <c r="BM171" s="10" t="str">
        <f t="shared" si="331"/>
        <v xml:space="preserve"> </v>
      </c>
      <c r="BN171" s="10" t="str">
        <f t="shared" si="331"/>
        <v xml:space="preserve"> </v>
      </c>
      <c r="BO171" s="14"/>
      <c r="BP171" s="14"/>
      <c r="BQ171" s="10" t="str">
        <f t="shared" si="332"/>
        <v xml:space="preserve"> </v>
      </c>
      <c r="BR171" s="10" t="str">
        <f t="shared" si="332"/>
        <v xml:space="preserve"> </v>
      </c>
      <c r="BS171" s="10" t="str">
        <f t="shared" si="332"/>
        <v xml:space="preserve"> </v>
      </c>
      <c r="BT171" s="10" t="str">
        <f t="shared" si="332"/>
        <v xml:space="preserve"> </v>
      </c>
      <c r="BU171" s="10" t="str">
        <f t="shared" si="332"/>
        <v xml:space="preserve"> </v>
      </c>
      <c r="BV171" s="14"/>
      <c r="BW171" s="14"/>
      <c r="BX171" s="10" t="str">
        <f t="shared" si="333"/>
        <v xml:space="preserve"> </v>
      </c>
      <c r="BY171" s="10" t="str">
        <f t="shared" si="333"/>
        <v xml:space="preserve"> </v>
      </c>
      <c r="BZ171" s="10" t="str">
        <f t="shared" si="333"/>
        <v xml:space="preserve"> </v>
      </c>
      <c r="CA171" s="10" t="str">
        <f t="shared" si="333"/>
        <v xml:space="preserve"> </v>
      </c>
      <c r="CB171" s="10" t="str">
        <f t="shared" si="333"/>
        <v xml:space="preserve"> </v>
      </c>
      <c r="CC171" s="14"/>
      <c r="CD171" s="14"/>
      <c r="CE171" s="10" t="str">
        <f t="shared" si="334"/>
        <v xml:space="preserve"> </v>
      </c>
      <c r="CF171" s="10" t="str">
        <f t="shared" si="334"/>
        <v xml:space="preserve"> </v>
      </c>
      <c r="CG171" s="10" t="str">
        <f t="shared" si="334"/>
        <v xml:space="preserve"> </v>
      </c>
      <c r="CH171" s="10" t="str">
        <f t="shared" si="334"/>
        <v xml:space="preserve"> </v>
      </c>
      <c r="CI171" s="10" t="str">
        <f t="shared" si="334"/>
        <v xml:space="preserve"> </v>
      </c>
      <c r="CJ171" s="14"/>
      <c r="CK171" s="14"/>
      <c r="CL171" s="10" t="str">
        <f t="shared" si="335"/>
        <v xml:space="preserve"> </v>
      </c>
      <c r="CM171" s="10" t="str">
        <f t="shared" si="335"/>
        <v xml:space="preserve"> </v>
      </c>
      <c r="CN171" s="10" t="str">
        <f t="shared" si="335"/>
        <v xml:space="preserve"> </v>
      </c>
      <c r="CO171" s="10" t="str">
        <f t="shared" si="335"/>
        <v xml:space="preserve"> </v>
      </c>
      <c r="CP171" s="10" t="str">
        <f t="shared" si="335"/>
        <v xml:space="preserve"> </v>
      </c>
      <c r="CQ171" s="14"/>
      <c r="CR171" s="14"/>
      <c r="CS171" s="10" t="str">
        <f t="shared" si="336"/>
        <v xml:space="preserve"> </v>
      </c>
      <c r="CT171" s="10" t="str">
        <f t="shared" si="336"/>
        <v xml:space="preserve"> </v>
      </c>
      <c r="CU171" s="10" t="str">
        <f t="shared" si="336"/>
        <v xml:space="preserve"> </v>
      </c>
      <c r="CV171" s="10" t="str">
        <f t="shared" si="336"/>
        <v xml:space="preserve"> </v>
      </c>
      <c r="CW171" s="10" t="str">
        <f t="shared" si="336"/>
        <v xml:space="preserve"> </v>
      </c>
      <c r="CZ171" s="10" t="str">
        <f t="shared" si="337"/>
        <v xml:space="preserve"> </v>
      </c>
      <c r="DA171" s="10" t="str">
        <f t="shared" si="337"/>
        <v xml:space="preserve"> </v>
      </c>
      <c r="DB171" s="10" t="str">
        <f t="shared" si="337"/>
        <v xml:space="preserve"> </v>
      </c>
      <c r="DC171" s="10" t="str">
        <f t="shared" si="337"/>
        <v xml:space="preserve"> </v>
      </c>
      <c r="DD171" s="10" t="str">
        <f t="shared" si="337"/>
        <v xml:space="preserve"> </v>
      </c>
      <c r="DG171" s="10" t="str">
        <f t="shared" si="338"/>
        <v xml:space="preserve"> </v>
      </c>
      <c r="DH171" s="10" t="str">
        <f t="shared" si="338"/>
        <v xml:space="preserve"> </v>
      </c>
      <c r="DI171" s="10" t="str">
        <f t="shared" si="338"/>
        <v xml:space="preserve"> </v>
      </c>
      <c r="DJ171" s="10" t="str">
        <f t="shared" si="338"/>
        <v xml:space="preserve"> </v>
      </c>
      <c r="DK171" s="10" t="str">
        <f t="shared" si="338"/>
        <v xml:space="preserve"> </v>
      </c>
      <c r="DN171" s="10" t="str">
        <f t="shared" si="339"/>
        <v xml:space="preserve"> </v>
      </c>
      <c r="DO171" s="10" t="str">
        <f t="shared" si="339"/>
        <v xml:space="preserve"> </v>
      </c>
      <c r="DP171" s="10" t="str">
        <f t="shared" si="339"/>
        <v xml:space="preserve"> </v>
      </c>
      <c r="DQ171" s="10" t="str">
        <f t="shared" si="339"/>
        <v xml:space="preserve"> </v>
      </c>
      <c r="DR171" s="10" t="str">
        <f t="shared" si="339"/>
        <v xml:space="preserve"> </v>
      </c>
      <c r="DU171" s="10" t="str">
        <f t="shared" si="340"/>
        <v xml:space="preserve"> </v>
      </c>
      <c r="DV171" s="10" t="str">
        <f t="shared" si="340"/>
        <v xml:space="preserve"> </v>
      </c>
      <c r="DW171" s="10" t="str">
        <f t="shared" si="340"/>
        <v xml:space="preserve"> </v>
      </c>
      <c r="DX171" s="10" t="str">
        <f t="shared" si="340"/>
        <v xml:space="preserve"> </v>
      </c>
      <c r="DY171" s="10" t="str">
        <f t="shared" si="340"/>
        <v xml:space="preserve"> </v>
      </c>
      <c r="EB171" s="10" t="str">
        <f t="shared" si="341"/>
        <v xml:space="preserve"> </v>
      </c>
      <c r="EC171" s="10" t="str">
        <f t="shared" si="341"/>
        <v xml:space="preserve"> </v>
      </c>
      <c r="ED171" s="10" t="str">
        <f t="shared" si="341"/>
        <v xml:space="preserve"> </v>
      </c>
      <c r="EE171" s="10" t="str">
        <f t="shared" si="341"/>
        <v xml:space="preserve"> </v>
      </c>
      <c r="EF171" s="10" t="str">
        <f t="shared" si="341"/>
        <v xml:space="preserve"> </v>
      </c>
      <c r="EI171" s="10" t="str">
        <f t="shared" si="342"/>
        <v xml:space="preserve"> </v>
      </c>
      <c r="EJ171" s="10" t="str">
        <f t="shared" si="342"/>
        <v xml:space="preserve"> </v>
      </c>
      <c r="EK171" s="10" t="str">
        <f t="shared" si="342"/>
        <v xml:space="preserve"> </v>
      </c>
      <c r="EL171" s="10" t="str">
        <f t="shared" si="342"/>
        <v xml:space="preserve"> </v>
      </c>
      <c r="EM171" s="10" t="str">
        <f t="shared" si="342"/>
        <v xml:space="preserve"> </v>
      </c>
      <c r="EP171" s="10" t="str">
        <f t="shared" si="343"/>
        <v xml:space="preserve"> </v>
      </c>
      <c r="EQ171" s="10" t="str">
        <f t="shared" si="343"/>
        <v xml:space="preserve"> </v>
      </c>
      <c r="ER171" s="10" t="str">
        <f t="shared" si="343"/>
        <v xml:space="preserve"> </v>
      </c>
      <c r="ES171" s="10" t="str">
        <f t="shared" si="343"/>
        <v xml:space="preserve"> </v>
      </c>
      <c r="ET171" s="10" t="str">
        <f t="shared" si="343"/>
        <v xml:space="preserve"> </v>
      </c>
      <c r="EW171" s="10" t="str">
        <f t="shared" si="344"/>
        <v xml:space="preserve"> </v>
      </c>
      <c r="EX171" s="10" t="str">
        <f t="shared" si="344"/>
        <v xml:space="preserve"> </v>
      </c>
      <c r="EY171" s="10" t="str">
        <f t="shared" si="344"/>
        <v xml:space="preserve"> </v>
      </c>
      <c r="EZ171" s="10" t="str">
        <f t="shared" si="344"/>
        <v xml:space="preserve"> </v>
      </c>
      <c r="FA171" s="10" t="str">
        <f t="shared" si="344"/>
        <v xml:space="preserve"> </v>
      </c>
      <c r="FD171" s="10" t="str">
        <f t="shared" si="345"/>
        <v xml:space="preserve"> </v>
      </c>
      <c r="FE171" s="10" t="str">
        <f t="shared" si="345"/>
        <v xml:space="preserve"> </v>
      </c>
      <c r="FF171" s="10" t="str">
        <f t="shared" si="345"/>
        <v xml:space="preserve"> </v>
      </c>
      <c r="FG171" s="10" t="str">
        <f t="shared" si="345"/>
        <v xml:space="preserve"> </v>
      </c>
      <c r="FH171" s="10" t="str">
        <f t="shared" si="345"/>
        <v xml:space="preserve"> </v>
      </c>
      <c r="FK171" s="10" t="str">
        <f t="shared" si="346"/>
        <v xml:space="preserve"> </v>
      </c>
      <c r="FL171" s="10" t="str">
        <f t="shared" si="346"/>
        <v xml:space="preserve"> </v>
      </c>
      <c r="FM171" s="10" t="str">
        <f t="shared" si="346"/>
        <v xml:space="preserve"> </v>
      </c>
      <c r="FN171" s="10" t="str">
        <f t="shared" si="346"/>
        <v xml:space="preserve"> </v>
      </c>
      <c r="FO171" s="10" t="str">
        <f t="shared" si="346"/>
        <v xml:space="preserve"> </v>
      </c>
      <c r="FR171" s="10" t="str">
        <f t="shared" si="347"/>
        <v xml:space="preserve"> </v>
      </c>
      <c r="FS171" s="10" t="str">
        <f t="shared" si="347"/>
        <v xml:space="preserve"> </v>
      </c>
      <c r="FT171" s="10" t="str">
        <f t="shared" si="347"/>
        <v xml:space="preserve"> </v>
      </c>
      <c r="FU171" s="10" t="str">
        <f t="shared" si="347"/>
        <v xml:space="preserve"> </v>
      </c>
      <c r="FV171" s="10" t="str">
        <f t="shared" si="347"/>
        <v xml:space="preserve"> </v>
      </c>
      <c r="FY171" s="10" t="str">
        <f t="shared" si="348"/>
        <v xml:space="preserve"> </v>
      </c>
      <c r="FZ171" s="10" t="str">
        <f t="shared" si="348"/>
        <v xml:space="preserve"> </v>
      </c>
      <c r="GA171" s="10" t="str">
        <f t="shared" si="348"/>
        <v xml:space="preserve"> </v>
      </c>
      <c r="GB171" s="10" t="str">
        <f t="shared" si="348"/>
        <v xml:space="preserve"> </v>
      </c>
      <c r="GC171" s="10" t="str">
        <f t="shared" si="348"/>
        <v xml:space="preserve"> </v>
      </c>
      <c r="GF171" s="10" t="str">
        <f t="shared" si="349"/>
        <v xml:space="preserve"> </v>
      </c>
      <c r="GG171" s="10" t="str">
        <f t="shared" si="349"/>
        <v xml:space="preserve"> </v>
      </c>
      <c r="GH171" s="10" t="str">
        <f t="shared" si="349"/>
        <v xml:space="preserve"> </v>
      </c>
      <c r="GI171" s="10" t="str">
        <f t="shared" si="349"/>
        <v xml:space="preserve"> </v>
      </c>
      <c r="GJ171" s="10" t="str">
        <f t="shared" si="349"/>
        <v xml:space="preserve"> </v>
      </c>
      <c r="GM171" s="10" t="str">
        <f t="shared" si="350"/>
        <v xml:space="preserve"> </v>
      </c>
      <c r="GN171" s="10" t="str">
        <f t="shared" si="350"/>
        <v xml:space="preserve"> </v>
      </c>
      <c r="GO171" s="10" t="str">
        <f t="shared" si="350"/>
        <v xml:space="preserve"> </v>
      </c>
      <c r="GP171" s="10" t="str">
        <f t="shared" si="350"/>
        <v xml:space="preserve"> </v>
      </c>
      <c r="GQ171" s="10" t="str">
        <f t="shared" si="350"/>
        <v xml:space="preserve"> </v>
      </c>
      <c r="GT171" s="10" t="str">
        <f t="shared" si="351"/>
        <v xml:space="preserve"> </v>
      </c>
      <c r="GU171" s="10" t="str">
        <f t="shared" si="351"/>
        <v xml:space="preserve"> </v>
      </c>
      <c r="GV171" s="10" t="str">
        <f t="shared" si="351"/>
        <v xml:space="preserve"> </v>
      </c>
      <c r="GW171" s="10" t="str">
        <f t="shared" si="351"/>
        <v xml:space="preserve"> </v>
      </c>
      <c r="GX171" s="10" t="str">
        <f t="shared" si="351"/>
        <v xml:space="preserve"> </v>
      </c>
      <c r="HA171" s="10" t="str">
        <f t="shared" si="352"/>
        <v xml:space="preserve"> </v>
      </c>
      <c r="HB171" s="10" t="str">
        <f t="shared" si="352"/>
        <v xml:space="preserve"> </v>
      </c>
      <c r="HC171" s="10" t="str">
        <f t="shared" si="352"/>
        <v xml:space="preserve"> </v>
      </c>
      <c r="HD171" s="10" t="str">
        <f t="shared" si="352"/>
        <v xml:space="preserve"> </v>
      </c>
      <c r="HE171" s="10" t="str">
        <f t="shared" si="352"/>
        <v xml:space="preserve"> </v>
      </c>
      <c r="HH171" s="10" t="str">
        <f t="shared" si="353"/>
        <v xml:space="preserve"> </v>
      </c>
      <c r="HI171" s="10" t="str">
        <f t="shared" si="353"/>
        <v xml:space="preserve"> </v>
      </c>
      <c r="HJ171" s="10" t="str">
        <f t="shared" si="353"/>
        <v xml:space="preserve"> </v>
      </c>
      <c r="HK171" s="10" t="str">
        <f t="shared" si="353"/>
        <v xml:space="preserve"> </v>
      </c>
      <c r="HL171" s="10" t="str">
        <f t="shared" si="353"/>
        <v xml:space="preserve"> </v>
      </c>
      <c r="HO171" s="10" t="str">
        <f t="shared" si="354"/>
        <v xml:space="preserve"> </v>
      </c>
      <c r="HP171" s="10" t="str">
        <f t="shared" si="354"/>
        <v xml:space="preserve"> </v>
      </c>
      <c r="HQ171" s="10" t="str">
        <f t="shared" si="354"/>
        <v xml:space="preserve"> </v>
      </c>
      <c r="HR171" s="10" t="str">
        <f t="shared" si="354"/>
        <v xml:space="preserve"> </v>
      </c>
      <c r="HS171" s="10" t="str">
        <f t="shared" si="354"/>
        <v xml:space="preserve"> </v>
      </c>
      <c r="HV171" s="10" t="str">
        <f t="shared" si="355"/>
        <v xml:space="preserve"> </v>
      </c>
      <c r="HW171" s="10" t="str">
        <f t="shared" si="355"/>
        <v xml:space="preserve"> </v>
      </c>
      <c r="HX171" s="10" t="str">
        <f t="shared" si="355"/>
        <v xml:space="preserve"> </v>
      </c>
      <c r="HY171" s="10" t="str">
        <f t="shared" si="355"/>
        <v xml:space="preserve"> </v>
      </c>
      <c r="HZ171" s="10" t="str">
        <f t="shared" si="355"/>
        <v xml:space="preserve"> </v>
      </c>
      <c r="IC171" s="10" t="str">
        <f t="shared" si="356"/>
        <v xml:space="preserve"> </v>
      </c>
      <c r="ID171" s="10" t="str">
        <f t="shared" si="356"/>
        <v xml:space="preserve"> </v>
      </c>
      <c r="IE171" s="10" t="str">
        <f t="shared" si="356"/>
        <v xml:space="preserve"> </v>
      </c>
      <c r="IF171" s="10" t="str">
        <f t="shared" si="356"/>
        <v xml:space="preserve"> </v>
      </c>
      <c r="IG171" s="10" t="str">
        <f t="shared" si="356"/>
        <v xml:space="preserve"> </v>
      </c>
      <c r="IJ171" s="10" t="str">
        <f t="shared" si="357"/>
        <v xml:space="preserve"> </v>
      </c>
      <c r="IK171" s="10" t="str">
        <f t="shared" si="357"/>
        <v xml:space="preserve"> </v>
      </c>
      <c r="IL171" s="10" t="str">
        <f t="shared" si="357"/>
        <v xml:space="preserve"> </v>
      </c>
      <c r="IM171" s="10" t="str">
        <f t="shared" si="357"/>
        <v xml:space="preserve"> </v>
      </c>
      <c r="IN171" s="10" t="str">
        <f t="shared" si="357"/>
        <v xml:space="preserve"> </v>
      </c>
      <c r="IQ171" s="10" t="str">
        <f t="shared" si="358"/>
        <v xml:space="preserve"> </v>
      </c>
      <c r="IR171" s="10" t="str">
        <f t="shared" si="358"/>
        <v xml:space="preserve"> </v>
      </c>
      <c r="IS171" s="10" t="str">
        <f t="shared" si="358"/>
        <v xml:space="preserve"> </v>
      </c>
      <c r="IT171" s="10" t="str">
        <f t="shared" si="358"/>
        <v xml:space="preserve"> </v>
      </c>
      <c r="IU171" s="10" t="str">
        <f t="shared" si="358"/>
        <v xml:space="preserve"> </v>
      </c>
      <c r="IX171" s="10" t="str">
        <f t="shared" si="359"/>
        <v xml:space="preserve"> </v>
      </c>
      <c r="IY171" s="10" t="str">
        <f t="shared" si="359"/>
        <v xml:space="preserve"> </v>
      </c>
      <c r="IZ171" s="10" t="str">
        <f t="shared" si="359"/>
        <v xml:space="preserve"> </v>
      </c>
      <c r="JA171" s="10" t="str">
        <f t="shared" si="359"/>
        <v xml:space="preserve"> </v>
      </c>
      <c r="JB171" s="10" t="str">
        <f t="shared" si="359"/>
        <v xml:space="preserve"> </v>
      </c>
      <c r="JE171" s="10" t="str">
        <f t="shared" si="360"/>
        <v xml:space="preserve"> </v>
      </c>
      <c r="JF171" s="10" t="str">
        <f t="shared" si="360"/>
        <v xml:space="preserve"> </v>
      </c>
      <c r="JG171" s="10" t="str">
        <f t="shared" si="360"/>
        <v xml:space="preserve"> </v>
      </c>
      <c r="JH171" s="10" t="str">
        <f t="shared" si="360"/>
        <v xml:space="preserve"> </v>
      </c>
      <c r="JI171" s="10" t="str">
        <f t="shared" si="360"/>
        <v xml:space="preserve"> </v>
      </c>
    </row>
    <row r="172" spans="13:269">
      <c r="M172" s="10" t="str">
        <f t="shared" si="361"/>
        <v xml:space="preserve"> </v>
      </c>
      <c r="N172" s="10" t="str">
        <f t="shared" si="361"/>
        <v xml:space="preserve"> </v>
      </c>
      <c r="O172" s="10" t="str">
        <f t="shared" si="361"/>
        <v xml:space="preserve"> </v>
      </c>
      <c r="P172" s="10" t="str">
        <f t="shared" si="361"/>
        <v xml:space="preserve"> </v>
      </c>
      <c r="Q172" s="10" t="str">
        <f t="shared" si="361"/>
        <v xml:space="preserve"> </v>
      </c>
      <c r="R172" s="14"/>
      <c r="S172" s="14"/>
      <c r="T172" s="10" t="str">
        <f t="shared" ref="T172:X213" si="362">IF(AND(T$6&gt;=$F172,T$6&lt;=$G172),"."," ")</f>
        <v xml:space="preserve"> </v>
      </c>
      <c r="U172" s="10" t="str">
        <f t="shared" si="362"/>
        <v xml:space="preserve"> </v>
      </c>
      <c r="V172" s="10" t="str">
        <f t="shared" si="362"/>
        <v xml:space="preserve"> </v>
      </c>
      <c r="W172" s="10" t="str">
        <f t="shared" si="362"/>
        <v xml:space="preserve"> </v>
      </c>
      <c r="X172" s="10" t="str">
        <f t="shared" si="362"/>
        <v xml:space="preserve"> </v>
      </c>
      <c r="Y172" s="14"/>
      <c r="Z172" s="14"/>
      <c r="AA172" s="10" t="str">
        <f t="shared" ref="AA172:AE213" si="363">IF(AND(AA$6&gt;=$F172,AA$6&lt;=$G172),"."," ")</f>
        <v xml:space="preserve"> </v>
      </c>
      <c r="AB172" s="10" t="str">
        <f t="shared" si="363"/>
        <v xml:space="preserve"> </v>
      </c>
      <c r="AC172" s="10" t="str">
        <f t="shared" si="363"/>
        <v xml:space="preserve"> </v>
      </c>
      <c r="AD172" s="10" t="str">
        <f t="shared" si="363"/>
        <v xml:space="preserve"> </v>
      </c>
      <c r="AE172" s="10" t="str">
        <f t="shared" si="363"/>
        <v xml:space="preserve"> </v>
      </c>
      <c r="AF172" s="14"/>
      <c r="AG172" s="14"/>
      <c r="AH172" s="10" t="str">
        <f t="shared" ref="AH172:AL213" si="364">IF(AND(AH$6&gt;=$F172,AH$6&lt;=$G172),"."," ")</f>
        <v xml:space="preserve"> </v>
      </c>
      <c r="AI172" s="10" t="str">
        <f t="shared" si="364"/>
        <v xml:space="preserve"> </v>
      </c>
      <c r="AJ172" s="10" t="str">
        <f t="shared" si="364"/>
        <v xml:space="preserve"> </v>
      </c>
      <c r="AK172" s="10" t="str">
        <f t="shared" si="364"/>
        <v xml:space="preserve"> </v>
      </c>
      <c r="AL172" s="10" t="str">
        <f t="shared" si="364"/>
        <v xml:space="preserve"> </v>
      </c>
      <c r="AM172" s="14"/>
      <c r="AN172" s="14"/>
      <c r="AO172" s="10" t="str">
        <f t="shared" ref="AO172:AS213" si="365">IF(AND(AO$6&gt;=$F172,AO$6&lt;=$G172),"."," ")</f>
        <v xml:space="preserve"> </v>
      </c>
      <c r="AP172" s="10" t="str">
        <f t="shared" si="365"/>
        <v xml:space="preserve"> </v>
      </c>
      <c r="AQ172" s="10" t="str">
        <f t="shared" si="365"/>
        <v xml:space="preserve"> </v>
      </c>
      <c r="AR172" s="10" t="str">
        <f t="shared" si="365"/>
        <v xml:space="preserve"> </v>
      </c>
      <c r="AS172" s="10" t="str">
        <f t="shared" si="365"/>
        <v xml:space="preserve"> </v>
      </c>
      <c r="AT172" s="14"/>
      <c r="AU172" s="14"/>
      <c r="AV172" s="10" t="str">
        <f t="shared" ref="AV172:AZ213" si="366">IF(AND(AV$6&gt;=$F172,AV$6&lt;=$G172),"."," ")</f>
        <v xml:space="preserve"> </v>
      </c>
      <c r="AW172" s="10" t="str">
        <f t="shared" si="366"/>
        <v xml:space="preserve"> </v>
      </c>
      <c r="AX172" s="10" t="str">
        <f t="shared" si="366"/>
        <v xml:space="preserve"> </v>
      </c>
      <c r="AY172" s="10" t="str">
        <f t="shared" si="366"/>
        <v xml:space="preserve"> </v>
      </c>
      <c r="AZ172" s="10" t="str">
        <f t="shared" si="366"/>
        <v xml:space="preserve"> </v>
      </c>
      <c r="BA172" s="14"/>
      <c r="BB172" s="14"/>
      <c r="BC172" s="10" t="str">
        <f t="shared" ref="BC172:BG213" si="367">IF(AND(BC$6&gt;=$F172,BC$6&lt;=$G172),"."," ")</f>
        <v xml:space="preserve"> </v>
      </c>
      <c r="BD172" s="10" t="str">
        <f t="shared" si="367"/>
        <v xml:space="preserve"> </v>
      </c>
      <c r="BE172" s="10" t="str">
        <f t="shared" si="367"/>
        <v xml:space="preserve"> </v>
      </c>
      <c r="BF172" s="10" t="str">
        <f t="shared" si="367"/>
        <v xml:space="preserve"> </v>
      </c>
      <c r="BG172" s="10" t="str">
        <f t="shared" si="367"/>
        <v xml:space="preserve"> </v>
      </c>
      <c r="BH172" s="14"/>
      <c r="BI172" s="14"/>
      <c r="BJ172" s="10" t="str">
        <f t="shared" ref="BJ172:BN213" si="368">IF(AND(BJ$6&gt;=$F172,BJ$6&lt;=$G172),"."," ")</f>
        <v xml:space="preserve"> </v>
      </c>
      <c r="BK172" s="10" t="str">
        <f t="shared" si="368"/>
        <v xml:space="preserve"> </v>
      </c>
      <c r="BL172" s="10" t="str">
        <f t="shared" si="368"/>
        <v xml:space="preserve"> </v>
      </c>
      <c r="BM172" s="10" t="str">
        <f t="shared" si="368"/>
        <v xml:space="preserve"> </v>
      </c>
      <c r="BN172" s="10" t="str">
        <f t="shared" si="368"/>
        <v xml:space="preserve"> </v>
      </c>
      <c r="BO172" s="14"/>
      <c r="BP172" s="14"/>
      <c r="BQ172" s="10" t="str">
        <f t="shared" ref="BQ172:BU213" si="369">IF(AND(BQ$6&gt;=$F172,BQ$6&lt;=$G172),"."," ")</f>
        <v xml:space="preserve"> </v>
      </c>
      <c r="BR172" s="10" t="str">
        <f t="shared" si="369"/>
        <v xml:space="preserve"> </v>
      </c>
      <c r="BS172" s="10" t="str">
        <f t="shared" si="369"/>
        <v xml:space="preserve"> </v>
      </c>
      <c r="BT172" s="10" t="str">
        <f t="shared" si="369"/>
        <v xml:space="preserve"> </v>
      </c>
      <c r="BU172" s="10" t="str">
        <f t="shared" si="369"/>
        <v xml:space="preserve"> </v>
      </c>
      <c r="BV172" s="14"/>
      <c r="BW172" s="14"/>
      <c r="BX172" s="10" t="str">
        <f t="shared" ref="BX172:CB213" si="370">IF(AND(BX$6&gt;=$F172,BX$6&lt;=$G172),"."," ")</f>
        <v xml:space="preserve"> </v>
      </c>
      <c r="BY172" s="10" t="str">
        <f t="shared" si="370"/>
        <v xml:space="preserve"> </v>
      </c>
      <c r="BZ172" s="10" t="str">
        <f t="shared" si="370"/>
        <v xml:space="preserve"> </v>
      </c>
      <c r="CA172" s="10" t="str">
        <f t="shared" si="370"/>
        <v xml:space="preserve"> </v>
      </c>
      <c r="CB172" s="10" t="str">
        <f t="shared" si="370"/>
        <v xml:space="preserve"> </v>
      </c>
      <c r="CC172" s="14"/>
      <c r="CD172" s="14"/>
      <c r="CE172" s="10" t="str">
        <f t="shared" ref="CE172:CI213" si="371">IF(AND(CE$6&gt;=$F172,CE$6&lt;=$G172),"."," ")</f>
        <v xml:space="preserve"> </v>
      </c>
      <c r="CF172" s="10" t="str">
        <f t="shared" si="371"/>
        <v xml:space="preserve"> </v>
      </c>
      <c r="CG172" s="10" t="str">
        <f t="shared" si="371"/>
        <v xml:space="preserve"> </v>
      </c>
      <c r="CH172" s="10" t="str">
        <f t="shared" si="371"/>
        <v xml:space="preserve"> </v>
      </c>
      <c r="CI172" s="10" t="str">
        <f t="shared" si="371"/>
        <v xml:space="preserve"> </v>
      </c>
      <c r="CJ172" s="14"/>
      <c r="CK172" s="14"/>
      <c r="CL172" s="10" t="str">
        <f t="shared" ref="CL172:CP213" si="372">IF(AND(CL$6&gt;=$F172,CL$6&lt;=$G172),"."," ")</f>
        <v xml:space="preserve"> </v>
      </c>
      <c r="CM172" s="10" t="str">
        <f t="shared" si="372"/>
        <v xml:space="preserve"> </v>
      </c>
      <c r="CN172" s="10" t="str">
        <f t="shared" si="372"/>
        <v xml:space="preserve"> </v>
      </c>
      <c r="CO172" s="10" t="str">
        <f t="shared" si="372"/>
        <v xml:space="preserve"> </v>
      </c>
      <c r="CP172" s="10" t="str">
        <f t="shared" si="372"/>
        <v xml:space="preserve"> </v>
      </c>
      <c r="CQ172" s="14"/>
      <c r="CR172" s="14"/>
      <c r="CS172" s="10" t="str">
        <f t="shared" ref="CS172:CW213" si="373">IF(AND(CS$6&gt;=$F172,CS$6&lt;=$G172),"."," ")</f>
        <v xml:space="preserve"> </v>
      </c>
      <c r="CT172" s="10" t="str">
        <f t="shared" si="373"/>
        <v xml:space="preserve"> </v>
      </c>
      <c r="CU172" s="10" t="str">
        <f t="shared" si="373"/>
        <v xml:space="preserve"> </v>
      </c>
      <c r="CV172" s="10" t="str">
        <f t="shared" si="373"/>
        <v xml:space="preserve"> </v>
      </c>
      <c r="CW172" s="10" t="str">
        <f t="shared" si="373"/>
        <v xml:space="preserve"> </v>
      </c>
      <c r="CZ172" s="10" t="str">
        <f t="shared" ref="CZ172:DD213" si="374">IF(AND(CZ$6&gt;=$F172,CZ$6&lt;=$G172),"."," ")</f>
        <v xml:space="preserve"> </v>
      </c>
      <c r="DA172" s="10" t="str">
        <f t="shared" si="374"/>
        <v xml:space="preserve"> </v>
      </c>
      <c r="DB172" s="10" t="str">
        <f t="shared" si="374"/>
        <v xml:space="preserve"> </v>
      </c>
      <c r="DC172" s="10" t="str">
        <f t="shared" si="374"/>
        <v xml:space="preserve"> </v>
      </c>
      <c r="DD172" s="10" t="str">
        <f t="shared" si="374"/>
        <v xml:space="preserve"> </v>
      </c>
      <c r="DG172" s="10" t="str">
        <f t="shared" ref="DG172:DK213" si="375">IF(AND(DG$6&gt;=$F172,DG$6&lt;=$G172),"."," ")</f>
        <v xml:space="preserve"> </v>
      </c>
      <c r="DH172" s="10" t="str">
        <f t="shared" si="375"/>
        <v xml:space="preserve"> </v>
      </c>
      <c r="DI172" s="10" t="str">
        <f t="shared" si="375"/>
        <v xml:space="preserve"> </v>
      </c>
      <c r="DJ172" s="10" t="str">
        <f t="shared" si="375"/>
        <v xml:space="preserve"> </v>
      </c>
      <c r="DK172" s="10" t="str">
        <f t="shared" si="375"/>
        <v xml:space="preserve"> </v>
      </c>
      <c r="DN172" s="10" t="str">
        <f t="shared" ref="DN172:DR213" si="376">IF(AND(DN$6&gt;=$F172,DN$6&lt;=$G172),"."," ")</f>
        <v xml:space="preserve"> </v>
      </c>
      <c r="DO172" s="10" t="str">
        <f t="shared" si="376"/>
        <v xml:space="preserve"> </v>
      </c>
      <c r="DP172" s="10" t="str">
        <f t="shared" si="376"/>
        <v xml:space="preserve"> </v>
      </c>
      <c r="DQ172" s="10" t="str">
        <f t="shared" si="376"/>
        <v xml:space="preserve"> </v>
      </c>
      <c r="DR172" s="10" t="str">
        <f t="shared" si="376"/>
        <v xml:space="preserve"> </v>
      </c>
      <c r="DU172" s="10" t="str">
        <f t="shared" ref="DU172:DY213" si="377">IF(AND(DU$6&gt;=$F172,DU$6&lt;=$G172),"."," ")</f>
        <v xml:space="preserve"> </v>
      </c>
      <c r="DV172" s="10" t="str">
        <f t="shared" si="377"/>
        <v xml:space="preserve"> </v>
      </c>
      <c r="DW172" s="10" t="str">
        <f t="shared" si="377"/>
        <v xml:space="preserve"> </v>
      </c>
      <c r="DX172" s="10" t="str">
        <f t="shared" si="377"/>
        <v xml:space="preserve"> </v>
      </c>
      <c r="DY172" s="10" t="str">
        <f t="shared" si="377"/>
        <v xml:space="preserve"> </v>
      </c>
      <c r="EB172" s="10" t="str">
        <f t="shared" ref="EB172:EF213" si="378">IF(AND(EB$6&gt;=$F172,EB$6&lt;=$G172),"."," ")</f>
        <v xml:space="preserve"> </v>
      </c>
      <c r="EC172" s="10" t="str">
        <f t="shared" si="378"/>
        <v xml:space="preserve"> </v>
      </c>
      <c r="ED172" s="10" t="str">
        <f t="shared" si="378"/>
        <v xml:space="preserve"> </v>
      </c>
      <c r="EE172" s="10" t="str">
        <f t="shared" si="378"/>
        <v xml:space="preserve"> </v>
      </c>
      <c r="EF172" s="10" t="str">
        <f t="shared" si="378"/>
        <v xml:space="preserve"> </v>
      </c>
      <c r="EI172" s="10" t="str">
        <f t="shared" ref="EI172:EM213" si="379">IF(AND(EI$6&gt;=$F172,EI$6&lt;=$G172),"."," ")</f>
        <v xml:space="preserve"> </v>
      </c>
      <c r="EJ172" s="10" t="str">
        <f t="shared" si="379"/>
        <v xml:space="preserve"> </v>
      </c>
      <c r="EK172" s="10" t="str">
        <f t="shared" si="379"/>
        <v xml:space="preserve"> </v>
      </c>
      <c r="EL172" s="10" t="str">
        <f t="shared" si="379"/>
        <v xml:space="preserve"> </v>
      </c>
      <c r="EM172" s="10" t="str">
        <f t="shared" si="379"/>
        <v xml:space="preserve"> </v>
      </c>
      <c r="EP172" s="10" t="str">
        <f t="shared" ref="EP172:ET213" si="380">IF(AND(EP$6&gt;=$F172,EP$6&lt;=$G172),"."," ")</f>
        <v xml:space="preserve"> </v>
      </c>
      <c r="EQ172" s="10" t="str">
        <f t="shared" si="380"/>
        <v xml:space="preserve"> </v>
      </c>
      <c r="ER172" s="10" t="str">
        <f t="shared" si="380"/>
        <v xml:space="preserve"> </v>
      </c>
      <c r="ES172" s="10" t="str">
        <f t="shared" si="380"/>
        <v xml:space="preserve"> </v>
      </c>
      <c r="ET172" s="10" t="str">
        <f t="shared" si="380"/>
        <v xml:space="preserve"> </v>
      </c>
      <c r="EW172" s="10" t="str">
        <f t="shared" ref="EW172:FA213" si="381">IF(AND(EW$6&gt;=$F172,EW$6&lt;=$G172),"."," ")</f>
        <v xml:space="preserve"> </v>
      </c>
      <c r="EX172" s="10" t="str">
        <f t="shared" si="381"/>
        <v xml:space="preserve"> </v>
      </c>
      <c r="EY172" s="10" t="str">
        <f t="shared" si="381"/>
        <v xml:space="preserve"> </v>
      </c>
      <c r="EZ172" s="10" t="str">
        <f t="shared" si="381"/>
        <v xml:space="preserve"> </v>
      </c>
      <c r="FA172" s="10" t="str">
        <f t="shared" si="381"/>
        <v xml:space="preserve"> </v>
      </c>
      <c r="FD172" s="10" t="str">
        <f t="shared" ref="FD172:FH213" si="382">IF(AND(FD$6&gt;=$F172,FD$6&lt;=$G172),"."," ")</f>
        <v xml:space="preserve"> </v>
      </c>
      <c r="FE172" s="10" t="str">
        <f t="shared" si="382"/>
        <v xml:space="preserve"> </v>
      </c>
      <c r="FF172" s="10" t="str">
        <f t="shared" si="382"/>
        <v xml:space="preserve"> </v>
      </c>
      <c r="FG172" s="10" t="str">
        <f t="shared" si="382"/>
        <v xml:space="preserve"> </v>
      </c>
      <c r="FH172" s="10" t="str">
        <f t="shared" si="382"/>
        <v xml:space="preserve"> </v>
      </c>
      <c r="FK172" s="10" t="str">
        <f t="shared" ref="FK172:FO213" si="383">IF(AND(FK$6&gt;=$F172,FK$6&lt;=$G172),"."," ")</f>
        <v xml:space="preserve"> </v>
      </c>
      <c r="FL172" s="10" t="str">
        <f t="shared" si="383"/>
        <v xml:space="preserve"> </v>
      </c>
      <c r="FM172" s="10" t="str">
        <f t="shared" si="383"/>
        <v xml:space="preserve"> </v>
      </c>
      <c r="FN172" s="10" t="str">
        <f t="shared" si="383"/>
        <v xml:space="preserve"> </v>
      </c>
      <c r="FO172" s="10" t="str">
        <f t="shared" si="383"/>
        <v xml:space="preserve"> </v>
      </c>
      <c r="FR172" s="10" t="str">
        <f t="shared" ref="FR172:FV213" si="384">IF(AND(FR$6&gt;=$F172,FR$6&lt;=$G172),"."," ")</f>
        <v xml:space="preserve"> </v>
      </c>
      <c r="FS172" s="10" t="str">
        <f t="shared" si="384"/>
        <v xml:space="preserve"> </v>
      </c>
      <c r="FT172" s="10" t="str">
        <f t="shared" si="384"/>
        <v xml:space="preserve"> </v>
      </c>
      <c r="FU172" s="10" t="str">
        <f t="shared" si="384"/>
        <v xml:space="preserve"> </v>
      </c>
      <c r="FV172" s="10" t="str">
        <f t="shared" si="384"/>
        <v xml:space="preserve"> </v>
      </c>
      <c r="FY172" s="10" t="str">
        <f t="shared" ref="FY172:GC213" si="385">IF(AND(FY$6&gt;=$F172,FY$6&lt;=$G172),"."," ")</f>
        <v xml:space="preserve"> </v>
      </c>
      <c r="FZ172" s="10" t="str">
        <f t="shared" si="385"/>
        <v xml:space="preserve"> </v>
      </c>
      <c r="GA172" s="10" t="str">
        <f t="shared" si="385"/>
        <v xml:space="preserve"> </v>
      </c>
      <c r="GB172" s="10" t="str">
        <f t="shared" si="385"/>
        <v xml:space="preserve"> </v>
      </c>
      <c r="GC172" s="10" t="str">
        <f t="shared" si="385"/>
        <v xml:space="preserve"> </v>
      </c>
      <c r="GF172" s="10" t="str">
        <f t="shared" ref="GF172:GJ213" si="386">IF(AND(GF$6&gt;=$F172,GF$6&lt;=$G172),"."," ")</f>
        <v xml:space="preserve"> </v>
      </c>
      <c r="GG172" s="10" t="str">
        <f t="shared" si="386"/>
        <v xml:space="preserve"> </v>
      </c>
      <c r="GH172" s="10" t="str">
        <f t="shared" si="386"/>
        <v xml:space="preserve"> </v>
      </c>
      <c r="GI172" s="10" t="str">
        <f t="shared" si="386"/>
        <v xml:space="preserve"> </v>
      </c>
      <c r="GJ172" s="10" t="str">
        <f t="shared" si="386"/>
        <v xml:space="preserve"> </v>
      </c>
      <c r="GM172" s="10" t="str">
        <f t="shared" ref="GM172:GQ213" si="387">IF(AND(GM$6&gt;=$F172,GM$6&lt;=$G172),"."," ")</f>
        <v xml:space="preserve"> </v>
      </c>
      <c r="GN172" s="10" t="str">
        <f t="shared" si="387"/>
        <v xml:space="preserve"> </v>
      </c>
      <c r="GO172" s="10" t="str">
        <f t="shared" si="387"/>
        <v xml:space="preserve"> </v>
      </c>
      <c r="GP172" s="10" t="str">
        <f t="shared" si="387"/>
        <v xml:space="preserve"> </v>
      </c>
      <c r="GQ172" s="10" t="str">
        <f t="shared" si="387"/>
        <v xml:space="preserve"> </v>
      </c>
      <c r="GT172" s="10" t="str">
        <f t="shared" ref="GT172:GX213" si="388">IF(AND(GT$6&gt;=$F172,GT$6&lt;=$G172),"."," ")</f>
        <v xml:space="preserve"> </v>
      </c>
      <c r="GU172" s="10" t="str">
        <f t="shared" si="388"/>
        <v xml:space="preserve"> </v>
      </c>
      <c r="GV172" s="10" t="str">
        <f t="shared" si="388"/>
        <v xml:space="preserve"> </v>
      </c>
      <c r="GW172" s="10" t="str">
        <f t="shared" si="388"/>
        <v xml:space="preserve"> </v>
      </c>
      <c r="GX172" s="10" t="str">
        <f t="shared" si="388"/>
        <v xml:space="preserve"> </v>
      </c>
      <c r="HA172" s="10" t="str">
        <f t="shared" ref="HA172:HE213" si="389">IF(AND(HA$6&gt;=$F172,HA$6&lt;=$G172),"."," ")</f>
        <v xml:space="preserve"> </v>
      </c>
      <c r="HB172" s="10" t="str">
        <f t="shared" si="389"/>
        <v xml:space="preserve"> </v>
      </c>
      <c r="HC172" s="10" t="str">
        <f t="shared" si="389"/>
        <v xml:space="preserve"> </v>
      </c>
      <c r="HD172" s="10" t="str">
        <f t="shared" si="389"/>
        <v xml:space="preserve"> </v>
      </c>
      <c r="HE172" s="10" t="str">
        <f t="shared" si="389"/>
        <v xml:space="preserve"> </v>
      </c>
      <c r="HH172" s="10" t="str">
        <f t="shared" ref="HH172:HL213" si="390">IF(AND(HH$6&gt;=$F172,HH$6&lt;=$G172),"."," ")</f>
        <v xml:space="preserve"> </v>
      </c>
      <c r="HI172" s="10" t="str">
        <f t="shared" si="390"/>
        <v xml:space="preserve"> </v>
      </c>
      <c r="HJ172" s="10" t="str">
        <f t="shared" si="390"/>
        <v xml:space="preserve"> </v>
      </c>
      <c r="HK172" s="10" t="str">
        <f t="shared" si="390"/>
        <v xml:space="preserve"> </v>
      </c>
      <c r="HL172" s="10" t="str">
        <f t="shared" si="390"/>
        <v xml:space="preserve"> </v>
      </c>
      <c r="HO172" s="10" t="str">
        <f t="shared" ref="HO172:HS213" si="391">IF(AND(HO$6&gt;=$F172,HO$6&lt;=$G172),"."," ")</f>
        <v xml:space="preserve"> </v>
      </c>
      <c r="HP172" s="10" t="str">
        <f t="shared" si="391"/>
        <v xml:space="preserve"> </v>
      </c>
      <c r="HQ172" s="10" t="str">
        <f t="shared" si="391"/>
        <v xml:space="preserve"> </v>
      </c>
      <c r="HR172" s="10" t="str">
        <f t="shared" si="391"/>
        <v xml:space="preserve"> </v>
      </c>
      <c r="HS172" s="10" t="str">
        <f t="shared" si="391"/>
        <v xml:space="preserve"> </v>
      </c>
      <c r="HV172" s="10" t="str">
        <f t="shared" ref="HV172:HZ213" si="392">IF(AND(HV$6&gt;=$F172,HV$6&lt;=$G172),"."," ")</f>
        <v xml:space="preserve"> </v>
      </c>
      <c r="HW172" s="10" t="str">
        <f t="shared" si="392"/>
        <v xml:space="preserve"> </v>
      </c>
      <c r="HX172" s="10" t="str">
        <f t="shared" si="392"/>
        <v xml:space="preserve"> </v>
      </c>
      <c r="HY172" s="10" t="str">
        <f t="shared" si="392"/>
        <v xml:space="preserve"> </v>
      </c>
      <c r="HZ172" s="10" t="str">
        <f t="shared" si="392"/>
        <v xml:space="preserve"> </v>
      </c>
      <c r="IC172" s="10" t="str">
        <f t="shared" ref="IC172:IG213" si="393">IF(AND(IC$6&gt;=$F172,IC$6&lt;=$G172),"."," ")</f>
        <v xml:space="preserve"> </v>
      </c>
      <c r="ID172" s="10" t="str">
        <f t="shared" si="393"/>
        <v xml:space="preserve"> </v>
      </c>
      <c r="IE172" s="10" t="str">
        <f t="shared" si="393"/>
        <v xml:space="preserve"> </v>
      </c>
      <c r="IF172" s="10" t="str">
        <f t="shared" si="393"/>
        <v xml:space="preserve"> </v>
      </c>
      <c r="IG172" s="10" t="str">
        <f t="shared" si="393"/>
        <v xml:space="preserve"> </v>
      </c>
      <c r="IJ172" s="10" t="str">
        <f t="shared" ref="IJ172:IN213" si="394">IF(AND(IJ$6&gt;=$F172,IJ$6&lt;=$G172),"."," ")</f>
        <v xml:space="preserve"> </v>
      </c>
      <c r="IK172" s="10" t="str">
        <f t="shared" si="394"/>
        <v xml:space="preserve"> </v>
      </c>
      <c r="IL172" s="10" t="str">
        <f t="shared" si="394"/>
        <v xml:space="preserve"> </v>
      </c>
      <c r="IM172" s="10" t="str">
        <f t="shared" si="394"/>
        <v xml:space="preserve"> </v>
      </c>
      <c r="IN172" s="10" t="str">
        <f t="shared" si="394"/>
        <v xml:space="preserve"> </v>
      </c>
      <c r="IQ172" s="10" t="str">
        <f t="shared" ref="IQ172:IU213" si="395">IF(AND(IQ$6&gt;=$F172,IQ$6&lt;=$G172),"."," ")</f>
        <v xml:space="preserve"> </v>
      </c>
      <c r="IR172" s="10" t="str">
        <f t="shared" si="395"/>
        <v xml:space="preserve"> </v>
      </c>
      <c r="IS172" s="10" t="str">
        <f t="shared" si="395"/>
        <v xml:space="preserve"> </v>
      </c>
      <c r="IT172" s="10" t="str">
        <f t="shared" si="395"/>
        <v xml:space="preserve"> </v>
      </c>
      <c r="IU172" s="10" t="str">
        <f t="shared" si="395"/>
        <v xml:space="preserve"> </v>
      </c>
      <c r="IX172" s="10" t="str">
        <f t="shared" ref="IX172:JB213" si="396">IF(AND(IX$6&gt;=$F172,IX$6&lt;=$G172),"."," ")</f>
        <v xml:space="preserve"> </v>
      </c>
      <c r="IY172" s="10" t="str">
        <f t="shared" si="396"/>
        <v xml:space="preserve"> </v>
      </c>
      <c r="IZ172" s="10" t="str">
        <f t="shared" si="396"/>
        <v xml:space="preserve"> </v>
      </c>
      <c r="JA172" s="10" t="str">
        <f t="shared" si="396"/>
        <v xml:space="preserve"> </v>
      </c>
      <c r="JB172" s="10" t="str">
        <f t="shared" si="396"/>
        <v xml:space="preserve"> </v>
      </c>
      <c r="JE172" s="10" t="str">
        <f t="shared" ref="JE172:JI213" si="397">IF(AND(JE$6&gt;=$F172,JE$6&lt;=$G172),"."," ")</f>
        <v xml:space="preserve"> </v>
      </c>
      <c r="JF172" s="10" t="str">
        <f t="shared" si="397"/>
        <v xml:space="preserve"> </v>
      </c>
      <c r="JG172" s="10" t="str">
        <f t="shared" si="397"/>
        <v xml:space="preserve"> </v>
      </c>
      <c r="JH172" s="10" t="str">
        <f t="shared" si="397"/>
        <v xml:space="preserve"> </v>
      </c>
      <c r="JI172" s="10" t="str">
        <f t="shared" si="397"/>
        <v xml:space="preserve"> </v>
      </c>
    </row>
    <row r="173" spans="13:269">
      <c r="M173" s="10" t="str">
        <f t="shared" si="361"/>
        <v xml:space="preserve"> </v>
      </c>
      <c r="N173" s="10" t="str">
        <f t="shared" si="361"/>
        <v xml:space="preserve"> </v>
      </c>
      <c r="O173" s="10" t="str">
        <f t="shared" si="361"/>
        <v xml:space="preserve"> </v>
      </c>
      <c r="P173" s="10" t="str">
        <f t="shared" si="361"/>
        <v xml:space="preserve"> </v>
      </c>
      <c r="Q173" s="10" t="str">
        <f t="shared" si="361"/>
        <v xml:space="preserve"> </v>
      </c>
      <c r="R173" s="14"/>
      <c r="S173" s="14"/>
      <c r="T173" s="10" t="str">
        <f t="shared" si="362"/>
        <v xml:space="preserve"> </v>
      </c>
      <c r="U173" s="10" t="str">
        <f t="shared" si="362"/>
        <v xml:space="preserve"> </v>
      </c>
      <c r="V173" s="10" t="str">
        <f t="shared" si="362"/>
        <v xml:space="preserve"> </v>
      </c>
      <c r="W173" s="10" t="str">
        <f t="shared" si="362"/>
        <v xml:space="preserve"> </v>
      </c>
      <c r="X173" s="10" t="str">
        <f t="shared" si="362"/>
        <v xml:space="preserve"> </v>
      </c>
      <c r="Y173" s="14"/>
      <c r="Z173" s="14"/>
      <c r="AA173" s="10" t="str">
        <f t="shared" si="363"/>
        <v xml:space="preserve"> </v>
      </c>
      <c r="AB173" s="10" t="str">
        <f t="shared" si="363"/>
        <v xml:space="preserve"> </v>
      </c>
      <c r="AC173" s="10" t="str">
        <f t="shared" si="363"/>
        <v xml:space="preserve"> </v>
      </c>
      <c r="AD173" s="10" t="str">
        <f t="shared" si="363"/>
        <v xml:space="preserve"> </v>
      </c>
      <c r="AE173" s="10" t="str">
        <f t="shared" si="363"/>
        <v xml:space="preserve"> </v>
      </c>
      <c r="AF173" s="14"/>
      <c r="AG173" s="14"/>
      <c r="AH173" s="10" t="str">
        <f t="shared" si="364"/>
        <v xml:space="preserve"> </v>
      </c>
      <c r="AI173" s="10" t="str">
        <f t="shared" si="364"/>
        <v xml:space="preserve"> </v>
      </c>
      <c r="AJ173" s="10" t="str">
        <f t="shared" si="364"/>
        <v xml:space="preserve"> </v>
      </c>
      <c r="AK173" s="10" t="str">
        <f t="shared" si="364"/>
        <v xml:space="preserve"> </v>
      </c>
      <c r="AL173" s="10" t="str">
        <f t="shared" si="364"/>
        <v xml:space="preserve"> </v>
      </c>
      <c r="AM173" s="14"/>
      <c r="AN173" s="14"/>
      <c r="AO173" s="10" t="str">
        <f t="shared" si="365"/>
        <v xml:space="preserve"> </v>
      </c>
      <c r="AP173" s="10" t="str">
        <f t="shared" si="365"/>
        <v xml:space="preserve"> </v>
      </c>
      <c r="AQ173" s="10" t="str">
        <f t="shared" si="365"/>
        <v xml:space="preserve"> </v>
      </c>
      <c r="AR173" s="10" t="str">
        <f t="shared" si="365"/>
        <v xml:space="preserve"> </v>
      </c>
      <c r="AS173" s="10" t="str">
        <f t="shared" si="365"/>
        <v xml:space="preserve"> </v>
      </c>
      <c r="AT173" s="14"/>
      <c r="AU173" s="14"/>
      <c r="AV173" s="10" t="str">
        <f t="shared" si="366"/>
        <v xml:space="preserve"> </v>
      </c>
      <c r="AW173" s="10" t="str">
        <f t="shared" si="366"/>
        <v xml:space="preserve"> </v>
      </c>
      <c r="AX173" s="10" t="str">
        <f t="shared" si="366"/>
        <v xml:space="preserve"> </v>
      </c>
      <c r="AY173" s="10" t="str">
        <f t="shared" si="366"/>
        <v xml:space="preserve"> </v>
      </c>
      <c r="AZ173" s="10" t="str">
        <f t="shared" si="366"/>
        <v xml:space="preserve"> </v>
      </c>
      <c r="BA173" s="14"/>
      <c r="BB173" s="14"/>
      <c r="BC173" s="10" t="str">
        <f t="shared" si="367"/>
        <v xml:space="preserve"> </v>
      </c>
      <c r="BD173" s="10" t="str">
        <f t="shared" si="367"/>
        <v xml:space="preserve"> </v>
      </c>
      <c r="BE173" s="10" t="str">
        <f t="shared" si="367"/>
        <v xml:space="preserve"> </v>
      </c>
      <c r="BF173" s="10" t="str">
        <f t="shared" si="367"/>
        <v xml:space="preserve"> </v>
      </c>
      <c r="BG173" s="10" t="str">
        <f t="shared" si="367"/>
        <v xml:space="preserve"> </v>
      </c>
      <c r="BH173" s="14"/>
      <c r="BI173" s="14"/>
      <c r="BJ173" s="10" t="str">
        <f t="shared" si="368"/>
        <v xml:space="preserve"> </v>
      </c>
      <c r="BK173" s="10" t="str">
        <f t="shared" si="368"/>
        <v xml:space="preserve"> </v>
      </c>
      <c r="BL173" s="10" t="str">
        <f t="shared" si="368"/>
        <v xml:space="preserve"> </v>
      </c>
      <c r="BM173" s="10" t="str">
        <f t="shared" si="368"/>
        <v xml:space="preserve"> </v>
      </c>
      <c r="BN173" s="10" t="str">
        <f t="shared" si="368"/>
        <v xml:space="preserve"> </v>
      </c>
      <c r="BO173" s="14"/>
      <c r="BP173" s="14"/>
      <c r="BQ173" s="10" t="str">
        <f t="shared" si="369"/>
        <v xml:space="preserve"> </v>
      </c>
      <c r="BR173" s="10" t="str">
        <f t="shared" si="369"/>
        <v xml:space="preserve"> </v>
      </c>
      <c r="BS173" s="10" t="str">
        <f t="shared" si="369"/>
        <v xml:space="preserve"> </v>
      </c>
      <c r="BT173" s="10" t="str">
        <f t="shared" si="369"/>
        <v xml:space="preserve"> </v>
      </c>
      <c r="BU173" s="10" t="str">
        <f t="shared" si="369"/>
        <v xml:space="preserve"> </v>
      </c>
      <c r="BV173" s="14"/>
      <c r="BW173" s="14"/>
      <c r="BX173" s="10" t="str">
        <f t="shared" si="370"/>
        <v xml:space="preserve"> </v>
      </c>
      <c r="BY173" s="10" t="str">
        <f t="shared" si="370"/>
        <v xml:space="preserve"> </v>
      </c>
      <c r="BZ173" s="10" t="str">
        <f t="shared" si="370"/>
        <v xml:space="preserve"> </v>
      </c>
      <c r="CA173" s="10" t="str">
        <f t="shared" si="370"/>
        <v xml:space="preserve"> </v>
      </c>
      <c r="CB173" s="10" t="str">
        <f t="shared" si="370"/>
        <v xml:space="preserve"> </v>
      </c>
      <c r="CC173" s="14"/>
      <c r="CD173" s="14"/>
      <c r="CE173" s="10" t="str">
        <f t="shared" si="371"/>
        <v xml:space="preserve"> </v>
      </c>
      <c r="CF173" s="10" t="str">
        <f t="shared" si="371"/>
        <v xml:space="preserve"> </v>
      </c>
      <c r="CG173" s="10" t="str">
        <f t="shared" si="371"/>
        <v xml:space="preserve"> </v>
      </c>
      <c r="CH173" s="10" t="str">
        <f t="shared" si="371"/>
        <v xml:space="preserve"> </v>
      </c>
      <c r="CI173" s="10" t="str">
        <f t="shared" si="371"/>
        <v xml:space="preserve"> </v>
      </c>
      <c r="CJ173" s="14"/>
      <c r="CK173" s="14"/>
      <c r="CL173" s="10" t="str">
        <f t="shared" si="372"/>
        <v xml:space="preserve"> </v>
      </c>
      <c r="CM173" s="10" t="str">
        <f t="shared" si="372"/>
        <v xml:space="preserve"> </v>
      </c>
      <c r="CN173" s="10" t="str">
        <f t="shared" si="372"/>
        <v xml:space="preserve"> </v>
      </c>
      <c r="CO173" s="10" t="str">
        <f t="shared" si="372"/>
        <v xml:space="preserve"> </v>
      </c>
      <c r="CP173" s="10" t="str">
        <f t="shared" si="372"/>
        <v xml:space="preserve"> </v>
      </c>
      <c r="CQ173" s="14"/>
      <c r="CR173" s="14"/>
      <c r="CS173" s="10" t="str">
        <f t="shared" si="373"/>
        <v xml:space="preserve"> </v>
      </c>
      <c r="CT173" s="10" t="str">
        <f t="shared" si="373"/>
        <v xml:space="preserve"> </v>
      </c>
      <c r="CU173" s="10" t="str">
        <f t="shared" si="373"/>
        <v xml:space="preserve"> </v>
      </c>
      <c r="CV173" s="10" t="str">
        <f t="shared" si="373"/>
        <v xml:space="preserve"> </v>
      </c>
      <c r="CW173" s="10" t="str">
        <f t="shared" si="373"/>
        <v xml:space="preserve"> </v>
      </c>
      <c r="CZ173" s="10" t="str">
        <f t="shared" si="374"/>
        <v xml:space="preserve"> </v>
      </c>
      <c r="DA173" s="10" t="str">
        <f t="shared" si="374"/>
        <v xml:space="preserve"> </v>
      </c>
      <c r="DB173" s="10" t="str">
        <f t="shared" si="374"/>
        <v xml:space="preserve"> </v>
      </c>
      <c r="DC173" s="10" t="str">
        <f t="shared" si="374"/>
        <v xml:space="preserve"> </v>
      </c>
      <c r="DD173" s="10" t="str">
        <f t="shared" si="374"/>
        <v xml:space="preserve"> </v>
      </c>
      <c r="DG173" s="10" t="str">
        <f t="shared" si="375"/>
        <v xml:space="preserve"> </v>
      </c>
      <c r="DH173" s="10" t="str">
        <f t="shared" si="375"/>
        <v xml:space="preserve"> </v>
      </c>
      <c r="DI173" s="10" t="str">
        <f t="shared" si="375"/>
        <v xml:space="preserve"> </v>
      </c>
      <c r="DJ173" s="10" t="str">
        <f t="shared" si="375"/>
        <v xml:space="preserve"> </v>
      </c>
      <c r="DK173" s="10" t="str">
        <f t="shared" si="375"/>
        <v xml:space="preserve"> </v>
      </c>
      <c r="DN173" s="10" t="str">
        <f t="shared" si="376"/>
        <v xml:space="preserve"> </v>
      </c>
      <c r="DO173" s="10" t="str">
        <f t="shared" si="376"/>
        <v xml:space="preserve"> </v>
      </c>
      <c r="DP173" s="10" t="str">
        <f t="shared" si="376"/>
        <v xml:space="preserve"> </v>
      </c>
      <c r="DQ173" s="10" t="str">
        <f t="shared" si="376"/>
        <v xml:space="preserve"> </v>
      </c>
      <c r="DR173" s="10" t="str">
        <f t="shared" si="376"/>
        <v xml:space="preserve"> </v>
      </c>
      <c r="DU173" s="10" t="str">
        <f t="shared" si="377"/>
        <v xml:space="preserve"> </v>
      </c>
      <c r="DV173" s="10" t="str">
        <f t="shared" si="377"/>
        <v xml:space="preserve"> </v>
      </c>
      <c r="DW173" s="10" t="str">
        <f t="shared" si="377"/>
        <v xml:space="preserve"> </v>
      </c>
      <c r="DX173" s="10" t="str">
        <f t="shared" si="377"/>
        <v xml:space="preserve"> </v>
      </c>
      <c r="DY173" s="10" t="str">
        <f t="shared" si="377"/>
        <v xml:space="preserve"> </v>
      </c>
      <c r="EB173" s="10" t="str">
        <f t="shared" si="378"/>
        <v xml:space="preserve"> </v>
      </c>
      <c r="EC173" s="10" t="str">
        <f t="shared" si="378"/>
        <v xml:space="preserve"> </v>
      </c>
      <c r="ED173" s="10" t="str">
        <f t="shared" si="378"/>
        <v xml:space="preserve"> </v>
      </c>
      <c r="EE173" s="10" t="str">
        <f t="shared" si="378"/>
        <v xml:space="preserve"> </v>
      </c>
      <c r="EF173" s="10" t="str">
        <f t="shared" si="378"/>
        <v xml:space="preserve"> </v>
      </c>
      <c r="EI173" s="10" t="str">
        <f t="shared" si="379"/>
        <v xml:space="preserve"> </v>
      </c>
      <c r="EJ173" s="10" t="str">
        <f t="shared" si="379"/>
        <v xml:space="preserve"> </v>
      </c>
      <c r="EK173" s="10" t="str">
        <f t="shared" si="379"/>
        <v xml:space="preserve"> </v>
      </c>
      <c r="EL173" s="10" t="str">
        <f t="shared" si="379"/>
        <v xml:space="preserve"> </v>
      </c>
      <c r="EM173" s="10" t="str">
        <f t="shared" si="379"/>
        <v xml:space="preserve"> </v>
      </c>
      <c r="EP173" s="10" t="str">
        <f t="shared" si="380"/>
        <v xml:space="preserve"> </v>
      </c>
      <c r="EQ173" s="10" t="str">
        <f t="shared" si="380"/>
        <v xml:space="preserve"> </v>
      </c>
      <c r="ER173" s="10" t="str">
        <f t="shared" si="380"/>
        <v xml:space="preserve"> </v>
      </c>
      <c r="ES173" s="10" t="str">
        <f t="shared" si="380"/>
        <v xml:space="preserve"> </v>
      </c>
      <c r="ET173" s="10" t="str">
        <f t="shared" si="380"/>
        <v xml:space="preserve"> </v>
      </c>
      <c r="EW173" s="10" t="str">
        <f t="shared" si="381"/>
        <v xml:space="preserve"> </v>
      </c>
      <c r="EX173" s="10" t="str">
        <f t="shared" si="381"/>
        <v xml:space="preserve"> </v>
      </c>
      <c r="EY173" s="10" t="str">
        <f t="shared" si="381"/>
        <v xml:space="preserve"> </v>
      </c>
      <c r="EZ173" s="10" t="str">
        <f t="shared" si="381"/>
        <v xml:space="preserve"> </v>
      </c>
      <c r="FA173" s="10" t="str">
        <f t="shared" si="381"/>
        <v xml:space="preserve"> </v>
      </c>
      <c r="FD173" s="10" t="str">
        <f t="shared" si="382"/>
        <v xml:space="preserve"> </v>
      </c>
      <c r="FE173" s="10" t="str">
        <f t="shared" si="382"/>
        <v xml:space="preserve"> </v>
      </c>
      <c r="FF173" s="10" t="str">
        <f t="shared" si="382"/>
        <v xml:space="preserve"> </v>
      </c>
      <c r="FG173" s="10" t="str">
        <f t="shared" si="382"/>
        <v xml:space="preserve"> </v>
      </c>
      <c r="FH173" s="10" t="str">
        <f t="shared" si="382"/>
        <v xml:space="preserve"> </v>
      </c>
      <c r="FK173" s="10" t="str">
        <f t="shared" si="383"/>
        <v xml:space="preserve"> </v>
      </c>
      <c r="FL173" s="10" t="str">
        <f t="shared" si="383"/>
        <v xml:space="preserve"> </v>
      </c>
      <c r="FM173" s="10" t="str">
        <f t="shared" si="383"/>
        <v xml:space="preserve"> </v>
      </c>
      <c r="FN173" s="10" t="str">
        <f t="shared" si="383"/>
        <v xml:space="preserve"> </v>
      </c>
      <c r="FO173" s="10" t="str">
        <f t="shared" si="383"/>
        <v xml:space="preserve"> </v>
      </c>
      <c r="FR173" s="10" t="str">
        <f t="shared" si="384"/>
        <v xml:space="preserve"> </v>
      </c>
      <c r="FS173" s="10" t="str">
        <f t="shared" si="384"/>
        <v xml:space="preserve"> </v>
      </c>
      <c r="FT173" s="10" t="str">
        <f t="shared" si="384"/>
        <v xml:space="preserve"> </v>
      </c>
      <c r="FU173" s="10" t="str">
        <f t="shared" si="384"/>
        <v xml:space="preserve"> </v>
      </c>
      <c r="FV173" s="10" t="str">
        <f t="shared" si="384"/>
        <v xml:space="preserve"> </v>
      </c>
      <c r="FY173" s="10" t="str">
        <f t="shared" si="385"/>
        <v xml:space="preserve"> </v>
      </c>
      <c r="FZ173" s="10" t="str">
        <f t="shared" si="385"/>
        <v xml:space="preserve"> </v>
      </c>
      <c r="GA173" s="10" t="str">
        <f t="shared" si="385"/>
        <v xml:space="preserve"> </v>
      </c>
      <c r="GB173" s="10" t="str">
        <f t="shared" si="385"/>
        <v xml:space="preserve"> </v>
      </c>
      <c r="GC173" s="10" t="str">
        <f t="shared" si="385"/>
        <v xml:space="preserve"> </v>
      </c>
      <c r="GF173" s="10" t="str">
        <f t="shared" si="386"/>
        <v xml:space="preserve"> </v>
      </c>
      <c r="GG173" s="10" t="str">
        <f t="shared" si="386"/>
        <v xml:space="preserve"> </v>
      </c>
      <c r="GH173" s="10" t="str">
        <f t="shared" si="386"/>
        <v xml:space="preserve"> </v>
      </c>
      <c r="GI173" s="10" t="str">
        <f t="shared" si="386"/>
        <v xml:space="preserve"> </v>
      </c>
      <c r="GJ173" s="10" t="str">
        <f t="shared" si="386"/>
        <v xml:space="preserve"> </v>
      </c>
      <c r="GM173" s="10" t="str">
        <f t="shared" si="387"/>
        <v xml:space="preserve"> </v>
      </c>
      <c r="GN173" s="10" t="str">
        <f t="shared" si="387"/>
        <v xml:space="preserve"> </v>
      </c>
      <c r="GO173" s="10" t="str">
        <f t="shared" si="387"/>
        <v xml:space="preserve"> </v>
      </c>
      <c r="GP173" s="10" t="str">
        <f t="shared" si="387"/>
        <v xml:space="preserve"> </v>
      </c>
      <c r="GQ173" s="10" t="str">
        <f t="shared" si="387"/>
        <v xml:space="preserve"> </v>
      </c>
      <c r="GT173" s="10" t="str">
        <f t="shared" si="388"/>
        <v xml:space="preserve"> </v>
      </c>
      <c r="GU173" s="10" t="str">
        <f t="shared" si="388"/>
        <v xml:space="preserve"> </v>
      </c>
      <c r="GV173" s="10" t="str">
        <f t="shared" si="388"/>
        <v xml:space="preserve"> </v>
      </c>
      <c r="GW173" s="10" t="str">
        <f t="shared" si="388"/>
        <v xml:space="preserve"> </v>
      </c>
      <c r="GX173" s="10" t="str">
        <f t="shared" si="388"/>
        <v xml:space="preserve"> </v>
      </c>
      <c r="HA173" s="10" t="str">
        <f t="shared" si="389"/>
        <v xml:space="preserve"> </v>
      </c>
      <c r="HB173" s="10" t="str">
        <f t="shared" si="389"/>
        <v xml:space="preserve"> </v>
      </c>
      <c r="HC173" s="10" t="str">
        <f t="shared" si="389"/>
        <v xml:space="preserve"> </v>
      </c>
      <c r="HD173" s="10" t="str">
        <f t="shared" si="389"/>
        <v xml:space="preserve"> </v>
      </c>
      <c r="HE173" s="10" t="str">
        <f t="shared" si="389"/>
        <v xml:space="preserve"> </v>
      </c>
      <c r="HH173" s="10" t="str">
        <f t="shared" si="390"/>
        <v xml:space="preserve"> </v>
      </c>
      <c r="HI173" s="10" t="str">
        <f t="shared" si="390"/>
        <v xml:space="preserve"> </v>
      </c>
      <c r="HJ173" s="10" t="str">
        <f t="shared" si="390"/>
        <v xml:space="preserve"> </v>
      </c>
      <c r="HK173" s="10" t="str">
        <f t="shared" si="390"/>
        <v xml:space="preserve"> </v>
      </c>
      <c r="HL173" s="10" t="str">
        <f t="shared" si="390"/>
        <v xml:space="preserve"> </v>
      </c>
      <c r="HO173" s="10" t="str">
        <f t="shared" si="391"/>
        <v xml:space="preserve"> </v>
      </c>
      <c r="HP173" s="10" t="str">
        <f t="shared" si="391"/>
        <v xml:space="preserve"> </v>
      </c>
      <c r="HQ173" s="10" t="str">
        <f t="shared" si="391"/>
        <v xml:space="preserve"> </v>
      </c>
      <c r="HR173" s="10" t="str">
        <f t="shared" si="391"/>
        <v xml:space="preserve"> </v>
      </c>
      <c r="HS173" s="10" t="str">
        <f t="shared" si="391"/>
        <v xml:space="preserve"> </v>
      </c>
      <c r="HV173" s="10" t="str">
        <f t="shared" si="392"/>
        <v xml:space="preserve"> </v>
      </c>
      <c r="HW173" s="10" t="str">
        <f t="shared" si="392"/>
        <v xml:space="preserve"> </v>
      </c>
      <c r="HX173" s="10" t="str">
        <f t="shared" si="392"/>
        <v xml:space="preserve"> </v>
      </c>
      <c r="HY173" s="10" t="str">
        <f t="shared" si="392"/>
        <v xml:space="preserve"> </v>
      </c>
      <c r="HZ173" s="10" t="str">
        <f t="shared" si="392"/>
        <v xml:space="preserve"> </v>
      </c>
      <c r="IC173" s="10" t="str">
        <f t="shared" si="393"/>
        <v xml:space="preserve"> </v>
      </c>
      <c r="ID173" s="10" t="str">
        <f t="shared" si="393"/>
        <v xml:space="preserve"> </v>
      </c>
      <c r="IE173" s="10" t="str">
        <f t="shared" si="393"/>
        <v xml:space="preserve"> </v>
      </c>
      <c r="IF173" s="10" t="str">
        <f t="shared" si="393"/>
        <v xml:space="preserve"> </v>
      </c>
      <c r="IG173" s="10" t="str">
        <f t="shared" si="393"/>
        <v xml:space="preserve"> </v>
      </c>
      <c r="IJ173" s="10" t="str">
        <f t="shared" si="394"/>
        <v xml:space="preserve"> </v>
      </c>
      <c r="IK173" s="10" t="str">
        <f t="shared" si="394"/>
        <v xml:space="preserve"> </v>
      </c>
      <c r="IL173" s="10" t="str">
        <f t="shared" si="394"/>
        <v xml:space="preserve"> </v>
      </c>
      <c r="IM173" s="10" t="str">
        <f t="shared" si="394"/>
        <v xml:space="preserve"> </v>
      </c>
      <c r="IN173" s="10" t="str">
        <f t="shared" si="394"/>
        <v xml:space="preserve"> </v>
      </c>
      <c r="IQ173" s="10" t="str">
        <f t="shared" si="395"/>
        <v xml:space="preserve"> </v>
      </c>
      <c r="IR173" s="10" t="str">
        <f t="shared" si="395"/>
        <v xml:space="preserve"> </v>
      </c>
      <c r="IS173" s="10" t="str">
        <f t="shared" si="395"/>
        <v xml:space="preserve"> </v>
      </c>
      <c r="IT173" s="10" t="str">
        <f t="shared" si="395"/>
        <v xml:space="preserve"> </v>
      </c>
      <c r="IU173" s="10" t="str">
        <f t="shared" si="395"/>
        <v xml:space="preserve"> </v>
      </c>
      <c r="IX173" s="10" t="str">
        <f t="shared" si="396"/>
        <v xml:space="preserve"> </v>
      </c>
      <c r="IY173" s="10" t="str">
        <f t="shared" si="396"/>
        <v xml:space="preserve"> </v>
      </c>
      <c r="IZ173" s="10" t="str">
        <f t="shared" si="396"/>
        <v xml:space="preserve"> </v>
      </c>
      <c r="JA173" s="10" t="str">
        <f t="shared" si="396"/>
        <v xml:space="preserve"> </v>
      </c>
      <c r="JB173" s="10" t="str">
        <f t="shared" si="396"/>
        <v xml:space="preserve"> </v>
      </c>
      <c r="JE173" s="10" t="str">
        <f t="shared" si="397"/>
        <v xml:space="preserve"> </v>
      </c>
      <c r="JF173" s="10" t="str">
        <f t="shared" si="397"/>
        <v xml:space="preserve"> </v>
      </c>
      <c r="JG173" s="10" t="str">
        <f t="shared" si="397"/>
        <v xml:space="preserve"> </v>
      </c>
      <c r="JH173" s="10" t="str">
        <f t="shared" si="397"/>
        <v xml:space="preserve"> </v>
      </c>
      <c r="JI173" s="10" t="str">
        <f t="shared" si="397"/>
        <v xml:space="preserve"> </v>
      </c>
    </row>
    <row r="174" spans="13:269">
      <c r="M174" s="10" t="str">
        <f t="shared" si="361"/>
        <v xml:space="preserve"> </v>
      </c>
      <c r="N174" s="10" t="str">
        <f t="shared" si="361"/>
        <v xml:space="preserve"> </v>
      </c>
      <c r="O174" s="10" t="str">
        <f t="shared" si="361"/>
        <v xml:space="preserve"> </v>
      </c>
      <c r="P174" s="10" t="str">
        <f t="shared" si="361"/>
        <v xml:space="preserve"> </v>
      </c>
      <c r="Q174" s="10" t="str">
        <f t="shared" si="361"/>
        <v xml:space="preserve"> </v>
      </c>
      <c r="R174" s="14"/>
      <c r="S174" s="14"/>
      <c r="T174" s="10" t="str">
        <f t="shared" si="362"/>
        <v xml:space="preserve"> </v>
      </c>
      <c r="U174" s="10" t="str">
        <f t="shared" si="362"/>
        <v xml:space="preserve"> </v>
      </c>
      <c r="V174" s="10" t="str">
        <f t="shared" si="362"/>
        <v xml:space="preserve"> </v>
      </c>
      <c r="W174" s="10" t="str">
        <f t="shared" si="362"/>
        <v xml:space="preserve"> </v>
      </c>
      <c r="X174" s="10" t="str">
        <f t="shared" si="362"/>
        <v xml:space="preserve"> </v>
      </c>
      <c r="Y174" s="14"/>
      <c r="Z174" s="14"/>
      <c r="AA174" s="10" t="str">
        <f t="shared" si="363"/>
        <v xml:space="preserve"> </v>
      </c>
      <c r="AB174" s="10" t="str">
        <f t="shared" si="363"/>
        <v xml:space="preserve"> </v>
      </c>
      <c r="AC174" s="10" t="str">
        <f t="shared" si="363"/>
        <v xml:space="preserve"> </v>
      </c>
      <c r="AD174" s="10" t="str">
        <f t="shared" si="363"/>
        <v xml:space="preserve"> </v>
      </c>
      <c r="AE174" s="10" t="str">
        <f t="shared" si="363"/>
        <v xml:space="preserve"> </v>
      </c>
      <c r="AF174" s="14"/>
      <c r="AG174" s="14"/>
      <c r="AH174" s="10" t="str">
        <f t="shared" si="364"/>
        <v xml:space="preserve"> </v>
      </c>
      <c r="AI174" s="10" t="str">
        <f t="shared" si="364"/>
        <v xml:space="preserve"> </v>
      </c>
      <c r="AJ174" s="10" t="str">
        <f t="shared" si="364"/>
        <v xml:space="preserve"> </v>
      </c>
      <c r="AK174" s="10" t="str">
        <f t="shared" si="364"/>
        <v xml:space="preserve"> </v>
      </c>
      <c r="AL174" s="10" t="str">
        <f t="shared" si="364"/>
        <v xml:space="preserve"> </v>
      </c>
      <c r="AM174" s="14"/>
      <c r="AN174" s="14"/>
      <c r="AO174" s="10" t="str">
        <f t="shared" si="365"/>
        <v xml:space="preserve"> </v>
      </c>
      <c r="AP174" s="10" t="str">
        <f t="shared" si="365"/>
        <v xml:space="preserve"> </v>
      </c>
      <c r="AQ174" s="10" t="str">
        <f t="shared" si="365"/>
        <v xml:space="preserve"> </v>
      </c>
      <c r="AR174" s="10" t="str">
        <f t="shared" si="365"/>
        <v xml:space="preserve"> </v>
      </c>
      <c r="AS174" s="10" t="str">
        <f t="shared" si="365"/>
        <v xml:space="preserve"> </v>
      </c>
      <c r="AT174" s="14"/>
      <c r="AU174" s="14"/>
      <c r="AV174" s="10" t="str">
        <f t="shared" si="366"/>
        <v xml:space="preserve"> </v>
      </c>
      <c r="AW174" s="10" t="str">
        <f t="shared" si="366"/>
        <v xml:space="preserve"> </v>
      </c>
      <c r="AX174" s="10" t="str">
        <f t="shared" si="366"/>
        <v xml:space="preserve"> </v>
      </c>
      <c r="AY174" s="10" t="str">
        <f t="shared" si="366"/>
        <v xml:space="preserve"> </v>
      </c>
      <c r="AZ174" s="10" t="str">
        <f t="shared" si="366"/>
        <v xml:space="preserve"> </v>
      </c>
      <c r="BA174" s="14"/>
      <c r="BB174" s="14"/>
      <c r="BC174" s="10" t="str">
        <f t="shared" si="367"/>
        <v xml:space="preserve"> </v>
      </c>
      <c r="BD174" s="10" t="str">
        <f t="shared" si="367"/>
        <v xml:space="preserve"> </v>
      </c>
      <c r="BE174" s="10" t="str">
        <f t="shared" si="367"/>
        <v xml:space="preserve"> </v>
      </c>
      <c r="BF174" s="10" t="str">
        <f t="shared" si="367"/>
        <v xml:space="preserve"> </v>
      </c>
      <c r="BG174" s="10" t="str">
        <f t="shared" si="367"/>
        <v xml:space="preserve"> </v>
      </c>
      <c r="BH174" s="14"/>
      <c r="BI174" s="14"/>
      <c r="BJ174" s="10" t="str">
        <f t="shared" si="368"/>
        <v xml:space="preserve"> </v>
      </c>
      <c r="BK174" s="10" t="str">
        <f t="shared" si="368"/>
        <v xml:space="preserve"> </v>
      </c>
      <c r="BL174" s="10" t="str">
        <f t="shared" si="368"/>
        <v xml:space="preserve"> </v>
      </c>
      <c r="BM174" s="10" t="str">
        <f t="shared" si="368"/>
        <v xml:space="preserve"> </v>
      </c>
      <c r="BN174" s="10" t="str">
        <f t="shared" si="368"/>
        <v xml:space="preserve"> </v>
      </c>
      <c r="BO174" s="14"/>
      <c r="BP174" s="14"/>
      <c r="BQ174" s="10" t="str">
        <f t="shared" si="369"/>
        <v xml:space="preserve"> </v>
      </c>
      <c r="BR174" s="10" t="str">
        <f t="shared" si="369"/>
        <v xml:space="preserve"> </v>
      </c>
      <c r="BS174" s="10" t="str">
        <f t="shared" si="369"/>
        <v xml:space="preserve"> </v>
      </c>
      <c r="BT174" s="10" t="str">
        <f t="shared" si="369"/>
        <v xml:space="preserve"> </v>
      </c>
      <c r="BU174" s="10" t="str">
        <f t="shared" si="369"/>
        <v xml:space="preserve"> </v>
      </c>
      <c r="BV174" s="14"/>
      <c r="BW174" s="14"/>
      <c r="BX174" s="10" t="str">
        <f t="shared" si="370"/>
        <v xml:space="preserve"> </v>
      </c>
      <c r="BY174" s="10" t="str">
        <f t="shared" si="370"/>
        <v xml:space="preserve"> </v>
      </c>
      <c r="BZ174" s="10" t="str">
        <f t="shared" si="370"/>
        <v xml:space="preserve"> </v>
      </c>
      <c r="CA174" s="10" t="str">
        <f t="shared" si="370"/>
        <v xml:space="preserve"> </v>
      </c>
      <c r="CB174" s="10" t="str">
        <f t="shared" si="370"/>
        <v xml:space="preserve"> </v>
      </c>
      <c r="CC174" s="14"/>
      <c r="CD174" s="14"/>
      <c r="CE174" s="10" t="str">
        <f t="shared" si="371"/>
        <v xml:space="preserve"> </v>
      </c>
      <c r="CF174" s="10" t="str">
        <f t="shared" si="371"/>
        <v xml:space="preserve"> </v>
      </c>
      <c r="CG174" s="10" t="str">
        <f t="shared" si="371"/>
        <v xml:space="preserve"> </v>
      </c>
      <c r="CH174" s="10" t="str">
        <f t="shared" si="371"/>
        <v xml:space="preserve"> </v>
      </c>
      <c r="CI174" s="10" t="str">
        <f t="shared" si="371"/>
        <v xml:space="preserve"> </v>
      </c>
      <c r="CJ174" s="14"/>
      <c r="CK174" s="14"/>
      <c r="CL174" s="10" t="str">
        <f t="shared" si="372"/>
        <v xml:space="preserve"> </v>
      </c>
      <c r="CM174" s="10" t="str">
        <f t="shared" si="372"/>
        <v xml:space="preserve"> </v>
      </c>
      <c r="CN174" s="10" t="str">
        <f t="shared" si="372"/>
        <v xml:space="preserve"> </v>
      </c>
      <c r="CO174" s="10" t="str">
        <f t="shared" si="372"/>
        <v xml:space="preserve"> </v>
      </c>
      <c r="CP174" s="10" t="str">
        <f t="shared" si="372"/>
        <v xml:space="preserve"> </v>
      </c>
      <c r="CQ174" s="14"/>
      <c r="CR174" s="14"/>
      <c r="CS174" s="10" t="str">
        <f t="shared" si="373"/>
        <v xml:space="preserve"> </v>
      </c>
      <c r="CT174" s="10" t="str">
        <f t="shared" si="373"/>
        <v xml:space="preserve"> </v>
      </c>
      <c r="CU174" s="10" t="str">
        <f t="shared" si="373"/>
        <v xml:space="preserve"> </v>
      </c>
      <c r="CV174" s="10" t="str">
        <f t="shared" si="373"/>
        <v xml:space="preserve"> </v>
      </c>
      <c r="CW174" s="10" t="str">
        <f t="shared" si="373"/>
        <v xml:space="preserve"> </v>
      </c>
      <c r="CZ174" s="10" t="str">
        <f t="shared" si="374"/>
        <v xml:space="preserve"> </v>
      </c>
      <c r="DA174" s="10" t="str">
        <f t="shared" si="374"/>
        <v xml:space="preserve"> </v>
      </c>
      <c r="DB174" s="10" t="str">
        <f t="shared" si="374"/>
        <v xml:space="preserve"> </v>
      </c>
      <c r="DC174" s="10" t="str">
        <f t="shared" si="374"/>
        <v xml:space="preserve"> </v>
      </c>
      <c r="DD174" s="10" t="str">
        <f t="shared" si="374"/>
        <v xml:space="preserve"> </v>
      </c>
      <c r="DG174" s="10" t="str">
        <f t="shared" si="375"/>
        <v xml:space="preserve"> </v>
      </c>
      <c r="DH174" s="10" t="str">
        <f t="shared" si="375"/>
        <v xml:space="preserve"> </v>
      </c>
      <c r="DI174" s="10" t="str">
        <f t="shared" si="375"/>
        <v xml:space="preserve"> </v>
      </c>
      <c r="DJ174" s="10" t="str">
        <f t="shared" si="375"/>
        <v xml:space="preserve"> </v>
      </c>
      <c r="DK174" s="10" t="str">
        <f t="shared" si="375"/>
        <v xml:space="preserve"> </v>
      </c>
      <c r="DN174" s="10" t="str">
        <f t="shared" si="376"/>
        <v xml:space="preserve"> </v>
      </c>
      <c r="DO174" s="10" t="str">
        <f t="shared" si="376"/>
        <v xml:space="preserve"> </v>
      </c>
      <c r="DP174" s="10" t="str">
        <f t="shared" si="376"/>
        <v xml:space="preserve"> </v>
      </c>
      <c r="DQ174" s="10" t="str">
        <f t="shared" si="376"/>
        <v xml:space="preserve"> </v>
      </c>
      <c r="DR174" s="10" t="str">
        <f t="shared" si="376"/>
        <v xml:space="preserve"> </v>
      </c>
      <c r="DU174" s="10" t="str">
        <f t="shared" si="377"/>
        <v xml:space="preserve"> </v>
      </c>
      <c r="DV174" s="10" t="str">
        <f t="shared" si="377"/>
        <v xml:space="preserve"> </v>
      </c>
      <c r="DW174" s="10" t="str">
        <f t="shared" si="377"/>
        <v xml:space="preserve"> </v>
      </c>
      <c r="DX174" s="10" t="str">
        <f t="shared" si="377"/>
        <v xml:space="preserve"> </v>
      </c>
      <c r="DY174" s="10" t="str">
        <f t="shared" si="377"/>
        <v xml:space="preserve"> </v>
      </c>
      <c r="EB174" s="10" t="str">
        <f t="shared" si="378"/>
        <v xml:space="preserve"> </v>
      </c>
      <c r="EC174" s="10" t="str">
        <f t="shared" si="378"/>
        <v xml:space="preserve"> </v>
      </c>
      <c r="ED174" s="10" t="str">
        <f t="shared" si="378"/>
        <v xml:space="preserve"> </v>
      </c>
      <c r="EE174" s="10" t="str">
        <f t="shared" si="378"/>
        <v xml:space="preserve"> </v>
      </c>
      <c r="EF174" s="10" t="str">
        <f t="shared" si="378"/>
        <v xml:space="preserve"> </v>
      </c>
      <c r="EI174" s="10" t="str">
        <f t="shared" si="379"/>
        <v xml:space="preserve"> </v>
      </c>
      <c r="EJ174" s="10" t="str">
        <f t="shared" si="379"/>
        <v xml:space="preserve"> </v>
      </c>
      <c r="EK174" s="10" t="str">
        <f t="shared" si="379"/>
        <v xml:space="preserve"> </v>
      </c>
      <c r="EL174" s="10" t="str">
        <f t="shared" si="379"/>
        <v xml:space="preserve"> </v>
      </c>
      <c r="EM174" s="10" t="str">
        <f t="shared" si="379"/>
        <v xml:space="preserve"> </v>
      </c>
      <c r="EP174" s="10" t="str">
        <f t="shared" si="380"/>
        <v xml:space="preserve"> </v>
      </c>
      <c r="EQ174" s="10" t="str">
        <f t="shared" si="380"/>
        <v xml:space="preserve"> </v>
      </c>
      <c r="ER174" s="10" t="str">
        <f t="shared" si="380"/>
        <v xml:space="preserve"> </v>
      </c>
      <c r="ES174" s="10" t="str">
        <f t="shared" si="380"/>
        <v xml:space="preserve"> </v>
      </c>
      <c r="ET174" s="10" t="str">
        <f t="shared" si="380"/>
        <v xml:space="preserve"> </v>
      </c>
      <c r="EW174" s="10" t="str">
        <f t="shared" si="381"/>
        <v xml:space="preserve"> </v>
      </c>
      <c r="EX174" s="10" t="str">
        <f t="shared" si="381"/>
        <v xml:space="preserve"> </v>
      </c>
      <c r="EY174" s="10" t="str">
        <f t="shared" si="381"/>
        <v xml:space="preserve"> </v>
      </c>
      <c r="EZ174" s="10" t="str">
        <f t="shared" si="381"/>
        <v xml:space="preserve"> </v>
      </c>
      <c r="FA174" s="10" t="str">
        <f t="shared" si="381"/>
        <v xml:space="preserve"> </v>
      </c>
      <c r="FD174" s="10" t="str">
        <f t="shared" si="382"/>
        <v xml:space="preserve"> </v>
      </c>
      <c r="FE174" s="10" t="str">
        <f t="shared" si="382"/>
        <v xml:space="preserve"> </v>
      </c>
      <c r="FF174" s="10" t="str">
        <f t="shared" si="382"/>
        <v xml:space="preserve"> </v>
      </c>
      <c r="FG174" s="10" t="str">
        <f t="shared" si="382"/>
        <v xml:space="preserve"> </v>
      </c>
      <c r="FH174" s="10" t="str">
        <f t="shared" si="382"/>
        <v xml:space="preserve"> </v>
      </c>
      <c r="FK174" s="10" t="str">
        <f t="shared" si="383"/>
        <v xml:space="preserve"> </v>
      </c>
      <c r="FL174" s="10" t="str">
        <f t="shared" si="383"/>
        <v xml:space="preserve"> </v>
      </c>
      <c r="FM174" s="10" t="str">
        <f t="shared" si="383"/>
        <v xml:space="preserve"> </v>
      </c>
      <c r="FN174" s="10" t="str">
        <f t="shared" si="383"/>
        <v xml:space="preserve"> </v>
      </c>
      <c r="FO174" s="10" t="str">
        <f t="shared" si="383"/>
        <v xml:space="preserve"> </v>
      </c>
      <c r="FR174" s="10" t="str">
        <f t="shared" si="384"/>
        <v xml:space="preserve"> </v>
      </c>
      <c r="FS174" s="10" t="str">
        <f t="shared" si="384"/>
        <v xml:space="preserve"> </v>
      </c>
      <c r="FT174" s="10" t="str">
        <f t="shared" si="384"/>
        <v xml:space="preserve"> </v>
      </c>
      <c r="FU174" s="10" t="str">
        <f t="shared" si="384"/>
        <v xml:space="preserve"> </v>
      </c>
      <c r="FV174" s="10" t="str">
        <f t="shared" si="384"/>
        <v xml:space="preserve"> </v>
      </c>
      <c r="FY174" s="10" t="str">
        <f t="shared" si="385"/>
        <v xml:space="preserve"> </v>
      </c>
      <c r="FZ174" s="10" t="str">
        <f t="shared" si="385"/>
        <v xml:space="preserve"> </v>
      </c>
      <c r="GA174" s="10" t="str">
        <f t="shared" si="385"/>
        <v xml:space="preserve"> </v>
      </c>
      <c r="GB174" s="10" t="str">
        <f t="shared" si="385"/>
        <v xml:space="preserve"> </v>
      </c>
      <c r="GC174" s="10" t="str">
        <f t="shared" si="385"/>
        <v xml:space="preserve"> </v>
      </c>
      <c r="GF174" s="10" t="str">
        <f t="shared" si="386"/>
        <v xml:space="preserve"> </v>
      </c>
      <c r="GG174" s="10" t="str">
        <f t="shared" si="386"/>
        <v xml:space="preserve"> </v>
      </c>
      <c r="GH174" s="10" t="str">
        <f t="shared" si="386"/>
        <v xml:space="preserve"> </v>
      </c>
      <c r="GI174" s="10" t="str">
        <f t="shared" si="386"/>
        <v xml:space="preserve"> </v>
      </c>
      <c r="GJ174" s="10" t="str">
        <f t="shared" si="386"/>
        <v xml:space="preserve"> </v>
      </c>
      <c r="GM174" s="10" t="str">
        <f t="shared" si="387"/>
        <v xml:space="preserve"> </v>
      </c>
      <c r="GN174" s="10" t="str">
        <f t="shared" si="387"/>
        <v xml:space="preserve"> </v>
      </c>
      <c r="GO174" s="10" t="str">
        <f t="shared" si="387"/>
        <v xml:space="preserve"> </v>
      </c>
      <c r="GP174" s="10" t="str">
        <f t="shared" si="387"/>
        <v xml:space="preserve"> </v>
      </c>
      <c r="GQ174" s="10" t="str">
        <f t="shared" si="387"/>
        <v xml:space="preserve"> </v>
      </c>
      <c r="GT174" s="10" t="str">
        <f t="shared" si="388"/>
        <v xml:space="preserve"> </v>
      </c>
      <c r="GU174" s="10" t="str">
        <f t="shared" si="388"/>
        <v xml:space="preserve"> </v>
      </c>
      <c r="GV174" s="10" t="str">
        <f t="shared" si="388"/>
        <v xml:space="preserve"> </v>
      </c>
      <c r="GW174" s="10" t="str">
        <f t="shared" si="388"/>
        <v xml:space="preserve"> </v>
      </c>
      <c r="GX174" s="10" t="str">
        <f t="shared" si="388"/>
        <v xml:space="preserve"> </v>
      </c>
      <c r="HA174" s="10" t="str">
        <f t="shared" si="389"/>
        <v xml:space="preserve"> </v>
      </c>
      <c r="HB174" s="10" t="str">
        <f t="shared" si="389"/>
        <v xml:space="preserve"> </v>
      </c>
      <c r="HC174" s="10" t="str">
        <f t="shared" si="389"/>
        <v xml:space="preserve"> </v>
      </c>
      <c r="HD174" s="10" t="str">
        <f t="shared" si="389"/>
        <v xml:space="preserve"> </v>
      </c>
      <c r="HE174" s="10" t="str">
        <f t="shared" si="389"/>
        <v xml:space="preserve"> </v>
      </c>
      <c r="HH174" s="10" t="str">
        <f t="shared" si="390"/>
        <v xml:space="preserve"> </v>
      </c>
      <c r="HI174" s="10" t="str">
        <f t="shared" si="390"/>
        <v xml:space="preserve"> </v>
      </c>
      <c r="HJ174" s="10" t="str">
        <f t="shared" si="390"/>
        <v xml:space="preserve"> </v>
      </c>
      <c r="HK174" s="10" t="str">
        <f t="shared" si="390"/>
        <v xml:space="preserve"> </v>
      </c>
      <c r="HL174" s="10" t="str">
        <f t="shared" si="390"/>
        <v xml:space="preserve"> </v>
      </c>
      <c r="HO174" s="10" t="str">
        <f t="shared" si="391"/>
        <v xml:space="preserve"> </v>
      </c>
      <c r="HP174" s="10" t="str">
        <f t="shared" si="391"/>
        <v xml:space="preserve"> </v>
      </c>
      <c r="HQ174" s="10" t="str">
        <f t="shared" si="391"/>
        <v xml:space="preserve"> </v>
      </c>
      <c r="HR174" s="10" t="str">
        <f t="shared" si="391"/>
        <v xml:space="preserve"> </v>
      </c>
      <c r="HS174" s="10" t="str">
        <f t="shared" si="391"/>
        <v xml:space="preserve"> </v>
      </c>
      <c r="HV174" s="10" t="str">
        <f t="shared" si="392"/>
        <v xml:space="preserve"> </v>
      </c>
      <c r="HW174" s="10" t="str">
        <f t="shared" si="392"/>
        <v xml:space="preserve"> </v>
      </c>
      <c r="HX174" s="10" t="str">
        <f t="shared" si="392"/>
        <v xml:space="preserve"> </v>
      </c>
      <c r="HY174" s="10" t="str">
        <f t="shared" si="392"/>
        <v xml:space="preserve"> </v>
      </c>
      <c r="HZ174" s="10" t="str">
        <f t="shared" si="392"/>
        <v xml:space="preserve"> </v>
      </c>
      <c r="IC174" s="10" t="str">
        <f t="shared" si="393"/>
        <v xml:space="preserve"> </v>
      </c>
      <c r="ID174" s="10" t="str">
        <f t="shared" si="393"/>
        <v xml:space="preserve"> </v>
      </c>
      <c r="IE174" s="10" t="str">
        <f t="shared" si="393"/>
        <v xml:space="preserve"> </v>
      </c>
      <c r="IF174" s="10" t="str">
        <f t="shared" si="393"/>
        <v xml:space="preserve"> </v>
      </c>
      <c r="IG174" s="10" t="str">
        <f t="shared" si="393"/>
        <v xml:space="preserve"> </v>
      </c>
      <c r="IJ174" s="10" t="str">
        <f t="shared" si="394"/>
        <v xml:space="preserve"> </v>
      </c>
      <c r="IK174" s="10" t="str">
        <f t="shared" si="394"/>
        <v xml:space="preserve"> </v>
      </c>
      <c r="IL174" s="10" t="str">
        <f t="shared" si="394"/>
        <v xml:space="preserve"> </v>
      </c>
      <c r="IM174" s="10" t="str">
        <f t="shared" si="394"/>
        <v xml:space="preserve"> </v>
      </c>
      <c r="IN174" s="10" t="str">
        <f t="shared" si="394"/>
        <v xml:space="preserve"> </v>
      </c>
      <c r="IQ174" s="10" t="str">
        <f t="shared" si="395"/>
        <v xml:space="preserve"> </v>
      </c>
      <c r="IR174" s="10" t="str">
        <f t="shared" si="395"/>
        <v xml:space="preserve"> </v>
      </c>
      <c r="IS174" s="10" t="str">
        <f t="shared" si="395"/>
        <v xml:space="preserve"> </v>
      </c>
      <c r="IT174" s="10" t="str">
        <f t="shared" si="395"/>
        <v xml:space="preserve"> </v>
      </c>
      <c r="IU174" s="10" t="str">
        <f t="shared" si="395"/>
        <v xml:space="preserve"> </v>
      </c>
      <c r="IX174" s="10" t="str">
        <f t="shared" si="396"/>
        <v xml:space="preserve"> </v>
      </c>
      <c r="IY174" s="10" t="str">
        <f t="shared" si="396"/>
        <v xml:space="preserve"> </v>
      </c>
      <c r="IZ174" s="10" t="str">
        <f t="shared" si="396"/>
        <v xml:space="preserve"> </v>
      </c>
      <c r="JA174" s="10" t="str">
        <f t="shared" si="396"/>
        <v xml:space="preserve"> </v>
      </c>
      <c r="JB174" s="10" t="str">
        <f t="shared" si="396"/>
        <v xml:space="preserve"> </v>
      </c>
      <c r="JE174" s="10" t="str">
        <f t="shared" si="397"/>
        <v xml:space="preserve"> </v>
      </c>
      <c r="JF174" s="10" t="str">
        <f t="shared" si="397"/>
        <v xml:space="preserve"> </v>
      </c>
      <c r="JG174" s="10" t="str">
        <f t="shared" si="397"/>
        <v xml:space="preserve"> </v>
      </c>
      <c r="JH174" s="10" t="str">
        <f t="shared" si="397"/>
        <v xml:space="preserve"> </v>
      </c>
      <c r="JI174" s="10" t="str">
        <f t="shared" si="397"/>
        <v xml:space="preserve"> </v>
      </c>
    </row>
    <row r="175" spans="13:269">
      <c r="M175" s="10" t="str">
        <f t="shared" si="361"/>
        <v xml:space="preserve"> </v>
      </c>
      <c r="N175" s="10" t="str">
        <f t="shared" si="361"/>
        <v xml:space="preserve"> </v>
      </c>
      <c r="O175" s="10" t="str">
        <f t="shared" si="361"/>
        <v xml:space="preserve"> </v>
      </c>
      <c r="P175" s="10" t="str">
        <f t="shared" si="361"/>
        <v xml:space="preserve"> </v>
      </c>
      <c r="Q175" s="10" t="str">
        <f t="shared" si="361"/>
        <v xml:space="preserve"> </v>
      </c>
      <c r="R175" s="14"/>
      <c r="S175" s="14"/>
      <c r="T175" s="10" t="str">
        <f t="shared" si="362"/>
        <v xml:space="preserve"> </v>
      </c>
      <c r="U175" s="10" t="str">
        <f t="shared" si="362"/>
        <v xml:space="preserve"> </v>
      </c>
      <c r="V175" s="10" t="str">
        <f t="shared" si="362"/>
        <v xml:space="preserve"> </v>
      </c>
      <c r="W175" s="10" t="str">
        <f t="shared" si="362"/>
        <v xml:space="preserve"> </v>
      </c>
      <c r="X175" s="10" t="str">
        <f t="shared" si="362"/>
        <v xml:space="preserve"> </v>
      </c>
      <c r="Y175" s="14"/>
      <c r="Z175" s="14"/>
      <c r="AA175" s="10" t="str">
        <f t="shared" si="363"/>
        <v xml:space="preserve"> </v>
      </c>
      <c r="AB175" s="10" t="str">
        <f t="shared" si="363"/>
        <v xml:space="preserve"> </v>
      </c>
      <c r="AC175" s="10" t="str">
        <f t="shared" si="363"/>
        <v xml:space="preserve"> </v>
      </c>
      <c r="AD175" s="10" t="str">
        <f t="shared" si="363"/>
        <v xml:space="preserve"> </v>
      </c>
      <c r="AE175" s="10" t="str">
        <f t="shared" si="363"/>
        <v xml:space="preserve"> </v>
      </c>
      <c r="AF175" s="14"/>
      <c r="AG175" s="14"/>
      <c r="AH175" s="10" t="str">
        <f t="shared" si="364"/>
        <v xml:space="preserve"> </v>
      </c>
      <c r="AI175" s="10" t="str">
        <f t="shared" si="364"/>
        <v xml:space="preserve"> </v>
      </c>
      <c r="AJ175" s="10" t="str">
        <f t="shared" si="364"/>
        <v xml:space="preserve"> </v>
      </c>
      <c r="AK175" s="10" t="str">
        <f t="shared" si="364"/>
        <v xml:space="preserve"> </v>
      </c>
      <c r="AL175" s="10" t="str">
        <f t="shared" si="364"/>
        <v xml:space="preserve"> </v>
      </c>
      <c r="AM175" s="14"/>
      <c r="AN175" s="14"/>
      <c r="AO175" s="10" t="str">
        <f t="shared" si="365"/>
        <v xml:space="preserve"> </v>
      </c>
      <c r="AP175" s="10" t="str">
        <f t="shared" si="365"/>
        <v xml:space="preserve"> </v>
      </c>
      <c r="AQ175" s="10" t="str">
        <f t="shared" si="365"/>
        <v xml:space="preserve"> </v>
      </c>
      <c r="AR175" s="10" t="str">
        <f t="shared" si="365"/>
        <v xml:space="preserve"> </v>
      </c>
      <c r="AS175" s="10" t="str">
        <f t="shared" si="365"/>
        <v xml:space="preserve"> </v>
      </c>
      <c r="AT175" s="14"/>
      <c r="AU175" s="14"/>
      <c r="AV175" s="10" t="str">
        <f t="shared" si="366"/>
        <v xml:space="preserve"> </v>
      </c>
      <c r="AW175" s="10" t="str">
        <f t="shared" si="366"/>
        <v xml:space="preserve"> </v>
      </c>
      <c r="AX175" s="10" t="str">
        <f t="shared" si="366"/>
        <v xml:space="preserve"> </v>
      </c>
      <c r="AY175" s="10" t="str">
        <f t="shared" si="366"/>
        <v xml:space="preserve"> </v>
      </c>
      <c r="AZ175" s="10" t="str">
        <f t="shared" si="366"/>
        <v xml:space="preserve"> </v>
      </c>
      <c r="BA175" s="14"/>
      <c r="BB175" s="14"/>
      <c r="BC175" s="10" t="str">
        <f t="shared" si="367"/>
        <v xml:space="preserve"> </v>
      </c>
      <c r="BD175" s="10" t="str">
        <f t="shared" si="367"/>
        <v xml:space="preserve"> </v>
      </c>
      <c r="BE175" s="10" t="str">
        <f t="shared" si="367"/>
        <v xml:space="preserve"> </v>
      </c>
      <c r="BF175" s="10" t="str">
        <f t="shared" si="367"/>
        <v xml:space="preserve"> </v>
      </c>
      <c r="BG175" s="10" t="str">
        <f t="shared" si="367"/>
        <v xml:space="preserve"> </v>
      </c>
      <c r="BH175" s="14"/>
      <c r="BI175" s="14"/>
      <c r="BJ175" s="10" t="str">
        <f t="shared" si="368"/>
        <v xml:space="preserve"> </v>
      </c>
      <c r="BK175" s="10" t="str">
        <f t="shared" si="368"/>
        <v xml:space="preserve"> </v>
      </c>
      <c r="BL175" s="10" t="str">
        <f t="shared" si="368"/>
        <v xml:space="preserve"> </v>
      </c>
      <c r="BM175" s="10" t="str">
        <f t="shared" si="368"/>
        <v xml:space="preserve"> </v>
      </c>
      <c r="BN175" s="10" t="str">
        <f t="shared" si="368"/>
        <v xml:space="preserve"> </v>
      </c>
      <c r="BO175" s="14"/>
      <c r="BP175" s="14"/>
      <c r="BQ175" s="10" t="str">
        <f t="shared" si="369"/>
        <v xml:space="preserve"> </v>
      </c>
      <c r="BR175" s="10" t="str">
        <f t="shared" si="369"/>
        <v xml:space="preserve"> </v>
      </c>
      <c r="BS175" s="10" t="str">
        <f t="shared" si="369"/>
        <v xml:space="preserve"> </v>
      </c>
      <c r="BT175" s="10" t="str">
        <f t="shared" si="369"/>
        <v xml:space="preserve"> </v>
      </c>
      <c r="BU175" s="10" t="str">
        <f t="shared" si="369"/>
        <v xml:space="preserve"> </v>
      </c>
      <c r="BV175" s="14"/>
      <c r="BW175" s="14"/>
      <c r="BX175" s="10" t="str">
        <f t="shared" si="370"/>
        <v xml:space="preserve"> </v>
      </c>
      <c r="BY175" s="10" t="str">
        <f t="shared" si="370"/>
        <v xml:space="preserve"> </v>
      </c>
      <c r="BZ175" s="10" t="str">
        <f t="shared" si="370"/>
        <v xml:space="preserve"> </v>
      </c>
      <c r="CA175" s="10" t="str">
        <f t="shared" si="370"/>
        <v xml:space="preserve"> </v>
      </c>
      <c r="CB175" s="10" t="str">
        <f t="shared" si="370"/>
        <v xml:space="preserve"> </v>
      </c>
      <c r="CC175" s="14"/>
      <c r="CD175" s="14"/>
      <c r="CE175" s="10" t="str">
        <f t="shared" si="371"/>
        <v xml:space="preserve"> </v>
      </c>
      <c r="CF175" s="10" t="str">
        <f t="shared" si="371"/>
        <v xml:space="preserve"> </v>
      </c>
      <c r="CG175" s="10" t="str">
        <f t="shared" si="371"/>
        <v xml:space="preserve"> </v>
      </c>
      <c r="CH175" s="10" t="str">
        <f t="shared" si="371"/>
        <v xml:space="preserve"> </v>
      </c>
      <c r="CI175" s="10" t="str">
        <f t="shared" si="371"/>
        <v xml:space="preserve"> </v>
      </c>
      <c r="CJ175" s="14"/>
      <c r="CK175" s="14"/>
      <c r="CL175" s="10" t="str">
        <f t="shared" si="372"/>
        <v xml:space="preserve"> </v>
      </c>
      <c r="CM175" s="10" t="str">
        <f t="shared" si="372"/>
        <v xml:space="preserve"> </v>
      </c>
      <c r="CN175" s="10" t="str">
        <f t="shared" si="372"/>
        <v xml:space="preserve"> </v>
      </c>
      <c r="CO175" s="10" t="str">
        <f t="shared" si="372"/>
        <v xml:space="preserve"> </v>
      </c>
      <c r="CP175" s="10" t="str">
        <f t="shared" si="372"/>
        <v xml:space="preserve"> </v>
      </c>
      <c r="CQ175" s="14"/>
      <c r="CR175" s="14"/>
      <c r="CS175" s="10" t="str">
        <f t="shared" si="373"/>
        <v xml:space="preserve"> </v>
      </c>
      <c r="CT175" s="10" t="str">
        <f t="shared" si="373"/>
        <v xml:space="preserve"> </v>
      </c>
      <c r="CU175" s="10" t="str">
        <f t="shared" si="373"/>
        <v xml:space="preserve"> </v>
      </c>
      <c r="CV175" s="10" t="str">
        <f t="shared" si="373"/>
        <v xml:space="preserve"> </v>
      </c>
      <c r="CW175" s="10" t="str">
        <f t="shared" si="373"/>
        <v xml:space="preserve"> </v>
      </c>
      <c r="CZ175" s="10" t="str">
        <f t="shared" si="374"/>
        <v xml:space="preserve"> </v>
      </c>
      <c r="DA175" s="10" t="str">
        <f t="shared" si="374"/>
        <v xml:space="preserve"> </v>
      </c>
      <c r="DB175" s="10" t="str">
        <f t="shared" si="374"/>
        <v xml:space="preserve"> </v>
      </c>
      <c r="DC175" s="10" t="str">
        <f t="shared" si="374"/>
        <v xml:space="preserve"> </v>
      </c>
      <c r="DD175" s="10" t="str">
        <f t="shared" si="374"/>
        <v xml:space="preserve"> </v>
      </c>
      <c r="DG175" s="10" t="str">
        <f t="shared" si="375"/>
        <v xml:space="preserve"> </v>
      </c>
      <c r="DH175" s="10" t="str">
        <f t="shared" si="375"/>
        <v xml:space="preserve"> </v>
      </c>
      <c r="DI175" s="10" t="str">
        <f t="shared" si="375"/>
        <v xml:space="preserve"> </v>
      </c>
      <c r="DJ175" s="10" t="str">
        <f t="shared" si="375"/>
        <v xml:space="preserve"> </v>
      </c>
      <c r="DK175" s="10" t="str">
        <f t="shared" si="375"/>
        <v xml:space="preserve"> </v>
      </c>
      <c r="DN175" s="10" t="str">
        <f t="shared" si="376"/>
        <v xml:space="preserve"> </v>
      </c>
      <c r="DO175" s="10" t="str">
        <f t="shared" si="376"/>
        <v xml:space="preserve"> </v>
      </c>
      <c r="DP175" s="10" t="str">
        <f t="shared" si="376"/>
        <v xml:space="preserve"> </v>
      </c>
      <c r="DQ175" s="10" t="str">
        <f t="shared" si="376"/>
        <v xml:space="preserve"> </v>
      </c>
      <c r="DR175" s="10" t="str">
        <f t="shared" si="376"/>
        <v xml:space="preserve"> </v>
      </c>
      <c r="DU175" s="10" t="str">
        <f t="shared" si="377"/>
        <v xml:space="preserve"> </v>
      </c>
      <c r="DV175" s="10" t="str">
        <f t="shared" si="377"/>
        <v xml:space="preserve"> </v>
      </c>
      <c r="DW175" s="10" t="str">
        <f t="shared" si="377"/>
        <v xml:space="preserve"> </v>
      </c>
      <c r="DX175" s="10" t="str">
        <f t="shared" si="377"/>
        <v xml:space="preserve"> </v>
      </c>
      <c r="DY175" s="10" t="str">
        <f t="shared" si="377"/>
        <v xml:space="preserve"> </v>
      </c>
      <c r="EB175" s="10" t="str">
        <f t="shared" si="378"/>
        <v xml:space="preserve"> </v>
      </c>
      <c r="EC175" s="10" t="str">
        <f t="shared" si="378"/>
        <v xml:space="preserve"> </v>
      </c>
      <c r="ED175" s="10" t="str">
        <f t="shared" si="378"/>
        <v xml:space="preserve"> </v>
      </c>
      <c r="EE175" s="10" t="str">
        <f t="shared" si="378"/>
        <v xml:space="preserve"> </v>
      </c>
      <c r="EF175" s="10" t="str">
        <f t="shared" si="378"/>
        <v xml:space="preserve"> </v>
      </c>
      <c r="EI175" s="10" t="str">
        <f t="shared" si="379"/>
        <v xml:space="preserve"> </v>
      </c>
      <c r="EJ175" s="10" t="str">
        <f t="shared" si="379"/>
        <v xml:space="preserve"> </v>
      </c>
      <c r="EK175" s="10" t="str">
        <f t="shared" si="379"/>
        <v xml:space="preserve"> </v>
      </c>
      <c r="EL175" s="10" t="str">
        <f t="shared" si="379"/>
        <v xml:space="preserve"> </v>
      </c>
      <c r="EM175" s="10" t="str">
        <f t="shared" si="379"/>
        <v xml:space="preserve"> </v>
      </c>
      <c r="EP175" s="10" t="str">
        <f t="shared" si="380"/>
        <v xml:space="preserve"> </v>
      </c>
      <c r="EQ175" s="10" t="str">
        <f t="shared" si="380"/>
        <v xml:space="preserve"> </v>
      </c>
      <c r="ER175" s="10" t="str">
        <f t="shared" si="380"/>
        <v xml:space="preserve"> </v>
      </c>
      <c r="ES175" s="10" t="str">
        <f t="shared" si="380"/>
        <v xml:space="preserve"> </v>
      </c>
      <c r="ET175" s="10" t="str">
        <f t="shared" si="380"/>
        <v xml:space="preserve"> </v>
      </c>
      <c r="EW175" s="10" t="str">
        <f t="shared" si="381"/>
        <v xml:space="preserve"> </v>
      </c>
      <c r="EX175" s="10" t="str">
        <f t="shared" si="381"/>
        <v xml:space="preserve"> </v>
      </c>
      <c r="EY175" s="10" t="str">
        <f t="shared" si="381"/>
        <v xml:space="preserve"> </v>
      </c>
      <c r="EZ175" s="10" t="str">
        <f t="shared" si="381"/>
        <v xml:space="preserve"> </v>
      </c>
      <c r="FA175" s="10" t="str">
        <f t="shared" si="381"/>
        <v xml:space="preserve"> </v>
      </c>
      <c r="FD175" s="10" t="str">
        <f t="shared" si="382"/>
        <v xml:space="preserve"> </v>
      </c>
      <c r="FE175" s="10" t="str">
        <f t="shared" si="382"/>
        <v xml:space="preserve"> </v>
      </c>
      <c r="FF175" s="10" t="str">
        <f t="shared" si="382"/>
        <v xml:space="preserve"> </v>
      </c>
      <c r="FG175" s="10" t="str">
        <f t="shared" si="382"/>
        <v xml:space="preserve"> </v>
      </c>
      <c r="FH175" s="10" t="str">
        <f t="shared" si="382"/>
        <v xml:space="preserve"> </v>
      </c>
      <c r="FK175" s="10" t="str">
        <f t="shared" si="383"/>
        <v xml:space="preserve"> </v>
      </c>
      <c r="FL175" s="10" t="str">
        <f t="shared" si="383"/>
        <v xml:space="preserve"> </v>
      </c>
      <c r="FM175" s="10" t="str">
        <f t="shared" si="383"/>
        <v xml:space="preserve"> </v>
      </c>
      <c r="FN175" s="10" t="str">
        <f t="shared" si="383"/>
        <v xml:space="preserve"> </v>
      </c>
      <c r="FO175" s="10" t="str">
        <f t="shared" si="383"/>
        <v xml:space="preserve"> </v>
      </c>
      <c r="FR175" s="10" t="str">
        <f t="shared" si="384"/>
        <v xml:space="preserve"> </v>
      </c>
      <c r="FS175" s="10" t="str">
        <f t="shared" si="384"/>
        <v xml:space="preserve"> </v>
      </c>
      <c r="FT175" s="10" t="str">
        <f t="shared" si="384"/>
        <v xml:space="preserve"> </v>
      </c>
      <c r="FU175" s="10" t="str">
        <f t="shared" si="384"/>
        <v xml:space="preserve"> </v>
      </c>
      <c r="FV175" s="10" t="str">
        <f t="shared" si="384"/>
        <v xml:space="preserve"> </v>
      </c>
      <c r="FY175" s="10" t="str">
        <f t="shared" si="385"/>
        <v xml:space="preserve"> </v>
      </c>
      <c r="FZ175" s="10" t="str">
        <f t="shared" si="385"/>
        <v xml:space="preserve"> </v>
      </c>
      <c r="GA175" s="10" t="str">
        <f t="shared" si="385"/>
        <v xml:space="preserve"> </v>
      </c>
      <c r="GB175" s="10" t="str">
        <f t="shared" si="385"/>
        <v xml:space="preserve"> </v>
      </c>
      <c r="GC175" s="10" t="str">
        <f t="shared" si="385"/>
        <v xml:space="preserve"> </v>
      </c>
      <c r="GF175" s="10" t="str">
        <f t="shared" si="386"/>
        <v xml:space="preserve"> </v>
      </c>
      <c r="GG175" s="10" t="str">
        <f t="shared" si="386"/>
        <v xml:space="preserve"> </v>
      </c>
      <c r="GH175" s="10" t="str">
        <f t="shared" si="386"/>
        <v xml:space="preserve"> </v>
      </c>
      <c r="GI175" s="10" t="str">
        <f t="shared" si="386"/>
        <v xml:space="preserve"> </v>
      </c>
      <c r="GJ175" s="10" t="str">
        <f t="shared" si="386"/>
        <v xml:space="preserve"> </v>
      </c>
      <c r="GM175" s="10" t="str">
        <f t="shared" si="387"/>
        <v xml:space="preserve"> </v>
      </c>
      <c r="GN175" s="10" t="str">
        <f t="shared" si="387"/>
        <v xml:space="preserve"> </v>
      </c>
      <c r="GO175" s="10" t="str">
        <f t="shared" si="387"/>
        <v xml:space="preserve"> </v>
      </c>
      <c r="GP175" s="10" t="str">
        <f t="shared" si="387"/>
        <v xml:space="preserve"> </v>
      </c>
      <c r="GQ175" s="10" t="str">
        <f t="shared" si="387"/>
        <v xml:space="preserve"> </v>
      </c>
      <c r="GT175" s="10" t="str">
        <f t="shared" si="388"/>
        <v xml:space="preserve"> </v>
      </c>
      <c r="GU175" s="10" t="str">
        <f t="shared" si="388"/>
        <v xml:space="preserve"> </v>
      </c>
      <c r="GV175" s="10" t="str">
        <f t="shared" si="388"/>
        <v xml:space="preserve"> </v>
      </c>
      <c r="GW175" s="10" t="str">
        <f t="shared" si="388"/>
        <v xml:space="preserve"> </v>
      </c>
      <c r="GX175" s="10" t="str">
        <f t="shared" si="388"/>
        <v xml:space="preserve"> </v>
      </c>
      <c r="HA175" s="10" t="str">
        <f t="shared" si="389"/>
        <v xml:space="preserve"> </v>
      </c>
      <c r="HB175" s="10" t="str">
        <f t="shared" si="389"/>
        <v xml:space="preserve"> </v>
      </c>
      <c r="HC175" s="10" t="str">
        <f t="shared" si="389"/>
        <v xml:space="preserve"> </v>
      </c>
      <c r="HD175" s="10" t="str">
        <f t="shared" si="389"/>
        <v xml:space="preserve"> </v>
      </c>
      <c r="HE175" s="10" t="str">
        <f t="shared" si="389"/>
        <v xml:space="preserve"> </v>
      </c>
      <c r="HH175" s="10" t="str">
        <f t="shared" si="390"/>
        <v xml:space="preserve"> </v>
      </c>
      <c r="HI175" s="10" t="str">
        <f t="shared" si="390"/>
        <v xml:space="preserve"> </v>
      </c>
      <c r="HJ175" s="10" t="str">
        <f t="shared" si="390"/>
        <v xml:space="preserve"> </v>
      </c>
      <c r="HK175" s="10" t="str">
        <f t="shared" si="390"/>
        <v xml:space="preserve"> </v>
      </c>
      <c r="HL175" s="10" t="str">
        <f t="shared" si="390"/>
        <v xml:space="preserve"> </v>
      </c>
      <c r="HO175" s="10" t="str">
        <f t="shared" si="391"/>
        <v xml:space="preserve"> </v>
      </c>
      <c r="HP175" s="10" t="str">
        <f t="shared" si="391"/>
        <v xml:space="preserve"> </v>
      </c>
      <c r="HQ175" s="10" t="str">
        <f t="shared" si="391"/>
        <v xml:space="preserve"> </v>
      </c>
      <c r="HR175" s="10" t="str">
        <f t="shared" si="391"/>
        <v xml:space="preserve"> </v>
      </c>
      <c r="HS175" s="10" t="str">
        <f t="shared" si="391"/>
        <v xml:space="preserve"> </v>
      </c>
      <c r="HV175" s="10" t="str">
        <f t="shared" si="392"/>
        <v xml:space="preserve"> </v>
      </c>
      <c r="HW175" s="10" t="str">
        <f t="shared" si="392"/>
        <v xml:space="preserve"> </v>
      </c>
      <c r="HX175" s="10" t="str">
        <f t="shared" si="392"/>
        <v xml:space="preserve"> </v>
      </c>
      <c r="HY175" s="10" t="str">
        <f t="shared" si="392"/>
        <v xml:space="preserve"> </v>
      </c>
      <c r="HZ175" s="10" t="str">
        <f t="shared" si="392"/>
        <v xml:space="preserve"> </v>
      </c>
      <c r="IC175" s="10" t="str">
        <f t="shared" si="393"/>
        <v xml:space="preserve"> </v>
      </c>
      <c r="ID175" s="10" t="str">
        <f t="shared" si="393"/>
        <v xml:space="preserve"> </v>
      </c>
      <c r="IE175" s="10" t="str">
        <f t="shared" si="393"/>
        <v xml:space="preserve"> </v>
      </c>
      <c r="IF175" s="10" t="str">
        <f t="shared" si="393"/>
        <v xml:space="preserve"> </v>
      </c>
      <c r="IG175" s="10" t="str">
        <f t="shared" si="393"/>
        <v xml:space="preserve"> </v>
      </c>
      <c r="IJ175" s="10" t="str">
        <f t="shared" si="394"/>
        <v xml:space="preserve"> </v>
      </c>
      <c r="IK175" s="10" t="str">
        <f t="shared" si="394"/>
        <v xml:space="preserve"> </v>
      </c>
      <c r="IL175" s="10" t="str">
        <f t="shared" si="394"/>
        <v xml:space="preserve"> </v>
      </c>
      <c r="IM175" s="10" t="str">
        <f t="shared" si="394"/>
        <v xml:space="preserve"> </v>
      </c>
      <c r="IN175" s="10" t="str">
        <f t="shared" si="394"/>
        <v xml:space="preserve"> </v>
      </c>
      <c r="IQ175" s="10" t="str">
        <f t="shared" si="395"/>
        <v xml:space="preserve"> </v>
      </c>
      <c r="IR175" s="10" t="str">
        <f t="shared" si="395"/>
        <v xml:space="preserve"> </v>
      </c>
      <c r="IS175" s="10" t="str">
        <f t="shared" si="395"/>
        <v xml:space="preserve"> </v>
      </c>
      <c r="IT175" s="10" t="str">
        <f t="shared" si="395"/>
        <v xml:space="preserve"> </v>
      </c>
      <c r="IU175" s="10" t="str">
        <f t="shared" si="395"/>
        <v xml:space="preserve"> </v>
      </c>
      <c r="IX175" s="10" t="str">
        <f t="shared" si="396"/>
        <v xml:space="preserve"> </v>
      </c>
      <c r="IY175" s="10" t="str">
        <f t="shared" si="396"/>
        <v xml:space="preserve"> </v>
      </c>
      <c r="IZ175" s="10" t="str">
        <f t="shared" si="396"/>
        <v xml:space="preserve"> </v>
      </c>
      <c r="JA175" s="10" t="str">
        <f t="shared" si="396"/>
        <v xml:space="preserve"> </v>
      </c>
      <c r="JB175" s="10" t="str">
        <f t="shared" si="396"/>
        <v xml:space="preserve"> </v>
      </c>
      <c r="JE175" s="10" t="str">
        <f t="shared" si="397"/>
        <v xml:space="preserve"> </v>
      </c>
      <c r="JF175" s="10" t="str">
        <f t="shared" si="397"/>
        <v xml:space="preserve"> </v>
      </c>
      <c r="JG175" s="10" t="str">
        <f t="shared" si="397"/>
        <v xml:space="preserve"> </v>
      </c>
      <c r="JH175" s="10" t="str">
        <f t="shared" si="397"/>
        <v xml:space="preserve"> </v>
      </c>
      <c r="JI175" s="10" t="str">
        <f t="shared" si="397"/>
        <v xml:space="preserve"> </v>
      </c>
    </row>
    <row r="176" spans="13:269">
      <c r="M176" s="10" t="str">
        <f t="shared" si="361"/>
        <v xml:space="preserve"> </v>
      </c>
      <c r="N176" s="10" t="str">
        <f t="shared" si="361"/>
        <v xml:space="preserve"> </v>
      </c>
      <c r="O176" s="10" t="str">
        <f t="shared" si="361"/>
        <v xml:space="preserve"> </v>
      </c>
      <c r="P176" s="10" t="str">
        <f t="shared" si="361"/>
        <v xml:space="preserve"> </v>
      </c>
      <c r="Q176" s="10" t="str">
        <f t="shared" si="361"/>
        <v xml:space="preserve"> </v>
      </c>
      <c r="R176" s="14"/>
      <c r="S176" s="14"/>
      <c r="T176" s="10" t="str">
        <f t="shared" si="362"/>
        <v xml:space="preserve"> </v>
      </c>
      <c r="U176" s="10" t="str">
        <f t="shared" si="362"/>
        <v xml:space="preserve"> </v>
      </c>
      <c r="V176" s="10" t="str">
        <f t="shared" si="362"/>
        <v xml:space="preserve"> </v>
      </c>
      <c r="W176" s="10" t="str">
        <f t="shared" si="362"/>
        <v xml:space="preserve"> </v>
      </c>
      <c r="X176" s="10" t="str">
        <f t="shared" si="362"/>
        <v xml:space="preserve"> </v>
      </c>
      <c r="Y176" s="14"/>
      <c r="Z176" s="14"/>
      <c r="AA176" s="10" t="str">
        <f t="shared" si="363"/>
        <v xml:space="preserve"> </v>
      </c>
      <c r="AB176" s="10" t="str">
        <f t="shared" si="363"/>
        <v xml:space="preserve"> </v>
      </c>
      <c r="AC176" s="10" t="str">
        <f t="shared" si="363"/>
        <v xml:space="preserve"> </v>
      </c>
      <c r="AD176" s="10" t="str">
        <f t="shared" si="363"/>
        <v xml:space="preserve"> </v>
      </c>
      <c r="AE176" s="10" t="str">
        <f t="shared" si="363"/>
        <v xml:space="preserve"> </v>
      </c>
      <c r="AF176" s="14"/>
      <c r="AG176" s="14"/>
      <c r="AH176" s="10" t="str">
        <f t="shared" si="364"/>
        <v xml:space="preserve"> </v>
      </c>
      <c r="AI176" s="10" t="str">
        <f t="shared" si="364"/>
        <v xml:space="preserve"> </v>
      </c>
      <c r="AJ176" s="10" t="str">
        <f t="shared" si="364"/>
        <v xml:space="preserve"> </v>
      </c>
      <c r="AK176" s="10" t="str">
        <f t="shared" si="364"/>
        <v xml:space="preserve"> </v>
      </c>
      <c r="AL176" s="10" t="str">
        <f t="shared" si="364"/>
        <v xml:space="preserve"> </v>
      </c>
      <c r="AM176" s="14"/>
      <c r="AN176" s="14"/>
      <c r="AO176" s="10" t="str">
        <f t="shared" si="365"/>
        <v xml:space="preserve"> </v>
      </c>
      <c r="AP176" s="10" t="str">
        <f t="shared" si="365"/>
        <v xml:space="preserve"> </v>
      </c>
      <c r="AQ176" s="10" t="str">
        <f t="shared" si="365"/>
        <v xml:space="preserve"> </v>
      </c>
      <c r="AR176" s="10" t="str">
        <f t="shared" si="365"/>
        <v xml:space="preserve"> </v>
      </c>
      <c r="AS176" s="10" t="str">
        <f t="shared" si="365"/>
        <v xml:space="preserve"> </v>
      </c>
      <c r="AT176" s="14"/>
      <c r="AU176" s="14"/>
      <c r="AV176" s="10" t="str">
        <f t="shared" si="366"/>
        <v xml:space="preserve"> </v>
      </c>
      <c r="AW176" s="10" t="str">
        <f t="shared" si="366"/>
        <v xml:space="preserve"> </v>
      </c>
      <c r="AX176" s="10" t="str">
        <f t="shared" si="366"/>
        <v xml:space="preserve"> </v>
      </c>
      <c r="AY176" s="10" t="str">
        <f t="shared" si="366"/>
        <v xml:space="preserve"> </v>
      </c>
      <c r="AZ176" s="10" t="str">
        <f t="shared" si="366"/>
        <v xml:space="preserve"> </v>
      </c>
      <c r="BA176" s="14"/>
      <c r="BB176" s="14"/>
      <c r="BC176" s="10" t="str">
        <f t="shared" si="367"/>
        <v xml:space="preserve"> </v>
      </c>
      <c r="BD176" s="10" t="str">
        <f t="shared" si="367"/>
        <v xml:space="preserve"> </v>
      </c>
      <c r="BE176" s="10" t="str">
        <f t="shared" si="367"/>
        <v xml:space="preserve"> </v>
      </c>
      <c r="BF176" s="10" t="str">
        <f t="shared" si="367"/>
        <v xml:space="preserve"> </v>
      </c>
      <c r="BG176" s="10" t="str">
        <f t="shared" si="367"/>
        <v xml:space="preserve"> </v>
      </c>
      <c r="BH176" s="14"/>
      <c r="BI176" s="14"/>
      <c r="BJ176" s="10" t="str">
        <f t="shared" si="368"/>
        <v xml:space="preserve"> </v>
      </c>
      <c r="BK176" s="10" t="str">
        <f t="shared" si="368"/>
        <v xml:space="preserve"> </v>
      </c>
      <c r="BL176" s="10" t="str">
        <f t="shared" si="368"/>
        <v xml:space="preserve"> </v>
      </c>
      <c r="BM176" s="10" t="str">
        <f t="shared" si="368"/>
        <v xml:space="preserve"> </v>
      </c>
      <c r="BN176" s="10" t="str">
        <f t="shared" si="368"/>
        <v xml:space="preserve"> </v>
      </c>
      <c r="BO176" s="14"/>
      <c r="BP176" s="14"/>
      <c r="BQ176" s="10" t="str">
        <f t="shared" si="369"/>
        <v xml:space="preserve"> </v>
      </c>
      <c r="BR176" s="10" t="str">
        <f t="shared" si="369"/>
        <v xml:space="preserve"> </v>
      </c>
      <c r="BS176" s="10" t="str">
        <f t="shared" si="369"/>
        <v xml:space="preserve"> </v>
      </c>
      <c r="BT176" s="10" t="str">
        <f t="shared" si="369"/>
        <v xml:space="preserve"> </v>
      </c>
      <c r="BU176" s="10" t="str">
        <f t="shared" si="369"/>
        <v xml:space="preserve"> </v>
      </c>
      <c r="BV176" s="14"/>
      <c r="BW176" s="14"/>
      <c r="BX176" s="10" t="str">
        <f t="shared" si="370"/>
        <v xml:space="preserve"> </v>
      </c>
      <c r="BY176" s="10" t="str">
        <f t="shared" si="370"/>
        <v xml:space="preserve"> </v>
      </c>
      <c r="BZ176" s="10" t="str">
        <f t="shared" si="370"/>
        <v xml:space="preserve"> </v>
      </c>
      <c r="CA176" s="10" t="str">
        <f t="shared" si="370"/>
        <v xml:space="preserve"> </v>
      </c>
      <c r="CB176" s="10" t="str">
        <f t="shared" si="370"/>
        <v xml:space="preserve"> </v>
      </c>
      <c r="CC176" s="14"/>
      <c r="CD176" s="14"/>
      <c r="CE176" s="10" t="str">
        <f t="shared" si="371"/>
        <v xml:space="preserve"> </v>
      </c>
      <c r="CF176" s="10" t="str">
        <f t="shared" si="371"/>
        <v xml:space="preserve"> </v>
      </c>
      <c r="CG176" s="10" t="str">
        <f t="shared" si="371"/>
        <v xml:space="preserve"> </v>
      </c>
      <c r="CH176" s="10" t="str">
        <f t="shared" si="371"/>
        <v xml:space="preserve"> </v>
      </c>
      <c r="CI176" s="10" t="str">
        <f t="shared" si="371"/>
        <v xml:space="preserve"> </v>
      </c>
      <c r="CJ176" s="14"/>
      <c r="CK176" s="14"/>
      <c r="CL176" s="10" t="str">
        <f t="shared" si="372"/>
        <v xml:space="preserve"> </v>
      </c>
      <c r="CM176" s="10" t="str">
        <f t="shared" si="372"/>
        <v xml:space="preserve"> </v>
      </c>
      <c r="CN176" s="10" t="str">
        <f t="shared" si="372"/>
        <v xml:space="preserve"> </v>
      </c>
      <c r="CO176" s="10" t="str">
        <f t="shared" si="372"/>
        <v xml:space="preserve"> </v>
      </c>
      <c r="CP176" s="10" t="str">
        <f t="shared" si="372"/>
        <v xml:space="preserve"> </v>
      </c>
      <c r="CQ176" s="14"/>
      <c r="CR176" s="14"/>
      <c r="CS176" s="10" t="str">
        <f t="shared" si="373"/>
        <v xml:space="preserve"> </v>
      </c>
      <c r="CT176" s="10" t="str">
        <f t="shared" si="373"/>
        <v xml:space="preserve"> </v>
      </c>
      <c r="CU176" s="10" t="str">
        <f t="shared" si="373"/>
        <v xml:space="preserve"> </v>
      </c>
      <c r="CV176" s="10" t="str">
        <f t="shared" si="373"/>
        <v xml:space="preserve"> </v>
      </c>
      <c r="CW176" s="10" t="str">
        <f t="shared" si="373"/>
        <v xml:space="preserve"> </v>
      </c>
      <c r="CZ176" s="10" t="str">
        <f t="shared" si="374"/>
        <v xml:space="preserve"> </v>
      </c>
      <c r="DA176" s="10" t="str">
        <f t="shared" si="374"/>
        <v xml:space="preserve"> </v>
      </c>
      <c r="DB176" s="10" t="str">
        <f t="shared" si="374"/>
        <v xml:space="preserve"> </v>
      </c>
      <c r="DC176" s="10" t="str">
        <f t="shared" si="374"/>
        <v xml:space="preserve"> </v>
      </c>
      <c r="DD176" s="10" t="str">
        <f t="shared" si="374"/>
        <v xml:space="preserve"> </v>
      </c>
      <c r="DG176" s="10" t="str">
        <f t="shared" si="375"/>
        <v xml:space="preserve"> </v>
      </c>
      <c r="DH176" s="10" t="str">
        <f t="shared" si="375"/>
        <v xml:space="preserve"> </v>
      </c>
      <c r="DI176" s="10" t="str">
        <f t="shared" si="375"/>
        <v xml:space="preserve"> </v>
      </c>
      <c r="DJ176" s="10" t="str">
        <f t="shared" si="375"/>
        <v xml:space="preserve"> </v>
      </c>
      <c r="DK176" s="10" t="str">
        <f t="shared" si="375"/>
        <v xml:space="preserve"> </v>
      </c>
      <c r="DN176" s="10" t="str">
        <f t="shared" si="376"/>
        <v xml:space="preserve"> </v>
      </c>
      <c r="DO176" s="10" t="str">
        <f t="shared" si="376"/>
        <v xml:space="preserve"> </v>
      </c>
      <c r="DP176" s="10" t="str">
        <f t="shared" si="376"/>
        <v xml:space="preserve"> </v>
      </c>
      <c r="DQ176" s="10" t="str">
        <f t="shared" si="376"/>
        <v xml:space="preserve"> </v>
      </c>
      <c r="DR176" s="10" t="str">
        <f t="shared" si="376"/>
        <v xml:space="preserve"> </v>
      </c>
      <c r="DU176" s="10" t="str">
        <f t="shared" si="377"/>
        <v xml:space="preserve"> </v>
      </c>
      <c r="DV176" s="10" t="str">
        <f t="shared" si="377"/>
        <v xml:space="preserve"> </v>
      </c>
      <c r="DW176" s="10" t="str">
        <f t="shared" si="377"/>
        <v xml:space="preserve"> </v>
      </c>
      <c r="DX176" s="10" t="str">
        <f t="shared" si="377"/>
        <v xml:space="preserve"> </v>
      </c>
      <c r="DY176" s="10" t="str">
        <f t="shared" si="377"/>
        <v xml:space="preserve"> </v>
      </c>
      <c r="EB176" s="10" t="str">
        <f t="shared" si="378"/>
        <v xml:space="preserve"> </v>
      </c>
      <c r="EC176" s="10" t="str">
        <f t="shared" si="378"/>
        <v xml:space="preserve"> </v>
      </c>
      <c r="ED176" s="10" t="str">
        <f t="shared" si="378"/>
        <v xml:space="preserve"> </v>
      </c>
      <c r="EE176" s="10" t="str">
        <f t="shared" si="378"/>
        <v xml:space="preserve"> </v>
      </c>
      <c r="EF176" s="10" t="str">
        <f t="shared" si="378"/>
        <v xml:space="preserve"> </v>
      </c>
      <c r="EI176" s="10" t="str">
        <f t="shared" si="379"/>
        <v xml:space="preserve"> </v>
      </c>
      <c r="EJ176" s="10" t="str">
        <f t="shared" si="379"/>
        <v xml:space="preserve"> </v>
      </c>
      <c r="EK176" s="10" t="str">
        <f t="shared" si="379"/>
        <v xml:space="preserve"> </v>
      </c>
      <c r="EL176" s="10" t="str">
        <f t="shared" si="379"/>
        <v xml:space="preserve"> </v>
      </c>
      <c r="EM176" s="10" t="str">
        <f t="shared" si="379"/>
        <v xml:space="preserve"> </v>
      </c>
      <c r="EP176" s="10" t="str">
        <f t="shared" si="380"/>
        <v xml:space="preserve"> </v>
      </c>
      <c r="EQ176" s="10" t="str">
        <f t="shared" si="380"/>
        <v xml:space="preserve"> </v>
      </c>
      <c r="ER176" s="10" t="str">
        <f t="shared" si="380"/>
        <v xml:space="preserve"> </v>
      </c>
      <c r="ES176" s="10" t="str">
        <f t="shared" si="380"/>
        <v xml:space="preserve"> </v>
      </c>
      <c r="ET176" s="10" t="str">
        <f t="shared" si="380"/>
        <v xml:space="preserve"> </v>
      </c>
      <c r="EW176" s="10" t="str">
        <f t="shared" si="381"/>
        <v xml:space="preserve"> </v>
      </c>
      <c r="EX176" s="10" t="str">
        <f t="shared" si="381"/>
        <v xml:space="preserve"> </v>
      </c>
      <c r="EY176" s="10" t="str">
        <f t="shared" si="381"/>
        <v xml:space="preserve"> </v>
      </c>
      <c r="EZ176" s="10" t="str">
        <f t="shared" si="381"/>
        <v xml:space="preserve"> </v>
      </c>
      <c r="FA176" s="10" t="str">
        <f t="shared" si="381"/>
        <v xml:space="preserve"> </v>
      </c>
      <c r="FD176" s="10" t="str">
        <f t="shared" si="382"/>
        <v xml:space="preserve"> </v>
      </c>
      <c r="FE176" s="10" t="str">
        <f t="shared" si="382"/>
        <v xml:space="preserve"> </v>
      </c>
      <c r="FF176" s="10" t="str">
        <f t="shared" si="382"/>
        <v xml:space="preserve"> </v>
      </c>
      <c r="FG176" s="10" t="str">
        <f t="shared" si="382"/>
        <v xml:space="preserve"> </v>
      </c>
      <c r="FH176" s="10" t="str">
        <f t="shared" si="382"/>
        <v xml:space="preserve"> </v>
      </c>
      <c r="FK176" s="10" t="str">
        <f t="shared" si="383"/>
        <v xml:space="preserve"> </v>
      </c>
      <c r="FL176" s="10" t="str">
        <f t="shared" si="383"/>
        <v xml:space="preserve"> </v>
      </c>
      <c r="FM176" s="10" t="str">
        <f t="shared" si="383"/>
        <v xml:space="preserve"> </v>
      </c>
      <c r="FN176" s="10" t="str">
        <f t="shared" si="383"/>
        <v xml:space="preserve"> </v>
      </c>
      <c r="FO176" s="10" t="str">
        <f t="shared" si="383"/>
        <v xml:space="preserve"> </v>
      </c>
      <c r="FR176" s="10" t="str">
        <f t="shared" si="384"/>
        <v xml:space="preserve"> </v>
      </c>
      <c r="FS176" s="10" t="str">
        <f t="shared" si="384"/>
        <v xml:space="preserve"> </v>
      </c>
      <c r="FT176" s="10" t="str">
        <f t="shared" si="384"/>
        <v xml:space="preserve"> </v>
      </c>
      <c r="FU176" s="10" t="str">
        <f t="shared" si="384"/>
        <v xml:space="preserve"> </v>
      </c>
      <c r="FV176" s="10" t="str">
        <f t="shared" si="384"/>
        <v xml:space="preserve"> </v>
      </c>
      <c r="FY176" s="10" t="str">
        <f t="shared" si="385"/>
        <v xml:space="preserve"> </v>
      </c>
      <c r="FZ176" s="10" t="str">
        <f t="shared" si="385"/>
        <v xml:space="preserve"> </v>
      </c>
      <c r="GA176" s="10" t="str">
        <f t="shared" si="385"/>
        <v xml:space="preserve"> </v>
      </c>
      <c r="GB176" s="10" t="str">
        <f t="shared" si="385"/>
        <v xml:space="preserve"> </v>
      </c>
      <c r="GC176" s="10" t="str">
        <f t="shared" si="385"/>
        <v xml:space="preserve"> </v>
      </c>
      <c r="GF176" s="10" t="str">
        <f t="shared" si="386"/>
        <v xml:space="preserve"> </v>
      </c>
      <c r="GG176" s="10" t="str">
        <f t="shared" si="386"/>
        <v xml:space="preserve"> </v>
      </c>
      <c r="GH176" s="10" t="str">
        <f t="shared" si="386"/>
        <v xml:space="preserve"> </v>
      </c>
      <c r="GI176" s="10" t="str">
        <f t="shared" si="386"/>
        <v xml:space="preserve"> </v>
      </c>
      <c r="GJ176" s="10" t="str">
        <f t="shared" si="386"/>
        <v xml:space="preserve"> </v>
      </c>
      <c r="GM176" s="10" t="str">
        <f t="shared" si="387"/>
        <v xml:space="preserve"> </v>
      </c>
      <c r="GN176" s="10" t="str">
        <f t="shared" si="387"/>
        <v xml:space="preserve"> </v>
      </c>
      <c r="GO176" s="10" t="str">
        <f t="shared" si="387"/>
        <v xml:space="preserve"> </v>
      </c>
      <c r="GP176" s="10" t="str">
        <f t="shared" si="387"/>
        <v xml:space="preserve"> </v>
      </c>
      <c r="GQ176" s="10" t="str">
        <f t="shared" si="387"/>
        <v xml:space="preserve"> </v>
      </c>
      <c r="GT176" s="10" t="str">
        <f t="shared" si="388"/>
        <v xml:space="preserve"> </v>
      </c>
      <c r="GU176" s="10" t="str">
        <f t="shared" si="388"/>
        <v xml:space="preserve"> </v>
      </c>
      <c r="GV176" s="10" t="str">
        <f t="shared" si="388"/>
        <v xml:space="preserve"> </v>
      </c>
      <c r="GW176" s="10" t="str">
        <f t="shared" si="388"/>
        <v xml:space="preserve"> </v>
      </c>
      <c r="GX176" s="10" t="str">
        <f t="shared" si="388"/>
        <v xml:space="preserve"> </v>
      </c>
      <c r="HA176" s="10" t="str">
        <f t="shared" si="389"/>
        <v xml:space="preserve"> </v>
      </c>
      <c r="HB176" s="10" t="str">
        <f t="shared" si="389"/>
        <v xml:space="preserve"> </v>
      </c>
      <c r="HC176" s="10" t="str">
        <f t="shared" si="389"/>
        <v xml:space="preserve"> </v>
      </c>
      <c r="HD176" s="10" t="str">
        <f t="shared" si="389"/>
        <v xml:space="preserve"> </v>
      </c>
      <c r="HE176" s="10" t="str">
        <f t="shared" si="389"/>
        <v xml:space="preserve"> </v>
      </c>
      <c r="HH176" s="10" t="str">
        <f t="shared" si="390"/>
        <v xml:space="preserve"> </v>
      </c>
      <c r="HI176" s="10" t="str">
        <f t="shared" si="390"/>
        <v xml:space="preserve"> </v>
      </c>
      <c r="HJ176" s="10" t="str">
        <f t="shared" si="390"/>
        <v xml:space="preserve"> </v>
      </c>
      <c r="HK176" s="10" t="str">
        <f t="shared" si="390"/>
        <v xml:space="preserve"> </v>
      </c>
      <c r="HL176" s="10" t="str">
        <f t="shared" si="390"/>
        <v xml:space="preserve"> </v>
      </c>
      <c r="HO176" s="10" t="str">
        <f t="shared" si="391"/>
        <v xml:space="preserve"> </v>
      </c>
      <c r="HP176" s="10" t="str">
        <f t="shared" si="391"/>
        <v xml:space="preserve"> </v>
      </c>
      <c r="HQ176" s="10" t="str">
        <f t="shared" si="391"/>
        <v xml:space="preserve"> </v>
      </c>
      <c r="HR176" s="10" t="str">
        <f t="shared" si="391"/>
        <v xml:space="preserve"> </v>
      </c>
      <c r="HS176" s="10" t="str">
        <f t="shared" si="391"/>
        <v xml:space="preserve"> </v>
      </c>
      <c r="HV176" s="10" t="str">
        <f t="shared" si="392"/>
        <v xml:space="preserve"> </v>
      </c>
      <c r="HW176" s="10" t="str">
        <f t="shared" si="392"/>
        <v xml:space="preserve"> </v>
      </c>
      <c r="HX176" s="10" t="str">
        <f t="shared" si="392"/>
        <v xml:space="preserve"> </v>
      </c>
      <c r="HY176" s="10" t="str">
        <f t="shared" si="392"/>
        <v xml:space="preserve"> </v>
      </c>
      <c r="HZ176" s="10" t="str">
        <f t="shared" si="392"/>
        <v xml:space="preserve"> </v>
      </c>
      <c r="IC176" s="10" t="str">
        <f t="shared" si="393"/>
        <v xml:space="preserve"> </v>
      </c>
      <c r="ID176" s="10" t="str">
        <f t="shared" si="393"/>
        <v xml:space="preserve"> </v>
      </c>
      <c r="IE176" s="10" t="str">
        <f t="shared" si="393"/>
        <v xml:space="preserve"> </v>
      </c>
      <c r="IF176" s="10" t="str">
        <f t="shared" si="393"/>
        <v xml:space="preserve"> </v>
      </c>
      <c r="IG176" s="10" t="str">
        <f t="shared" si="393"/>
        <v xml:space="preserve"> </v>
      </c>
      <c r="IJ176" s="10" t="str">
        <f t="shared" si="394"/>
        <v xml:space="preserve"> </v>
      </c>
      <c r="IK176" s="10" t="str">
        <f t="shared" si="394"/>
        <v xml:space="preserve"> </v>
      </c>
      <c r="IL176" s="10" t="str">
        <f t="shared" si="394"/>
        <v xml:space="preserve"> </v>
      </c>
      <c r="IM176" s="10" t="str">
        <f t="shared" si="394"/>
        <v xml:space="preserve"> </v>
      </c>
      <c r="IN176" s="10" t="str">
        <f t="shared" si="394"/>
        <v xml:space="preserve"> </v>
      </c>
      <c r="IQ176" s="10" t="str">
        <f t="shared" si="395"/>
        <v xml:space="preserve"> </v>
      </c>
      <c r="IR176" s="10" t="str">
        <f t="shared" si="395"/>
        <v xml:space="preserve"> </v>
      </c>
      <c r="IS176" s="10" t="str">
        <f t="shared" si="395"/>
        <v xml:space="preserve"> </v>
      </c>
      <c r="IT176" s="10" t="str">
        <f t="shared" si="395"/>
        <v xml:space="preserve"> </v>
      </c>
      <c r="IU176" s="10" t="str">
        <f t="shared" si="395"/>
        <v xml:space="preserve"> </v>
      </c>
      <c r="IX176" s="10" t="str">
        <f t="shared" si="396"/>
        <v xml:space="preserve"> </v>
      </c>
      <c r="IY176" s="10" t="str">
        <f t="shared" si="396"/>
        <v xml:space="preserve"> </v>
      </c>
      <c r="IZ176" s="10" t="str">
        <f t="shared" si="396"/>
        <v xml:space="preserve"> </v>
      </c>
      <c r="JA176" s="10" t="str">
        <f t="shared" si="396"/>
        <v xml:space="preserve"> </v>
      </c>
      <c r="JB176" s="10" t="str">
        <f t="shared" si="396"/>
        <v xml:space="preserve"> </v>
      </c>
      <c r="JE176" s="10" t="str">
        <f t="shared" si="397"/>
        <v xml:space="preserve"> </v>
      </c>
      <c r="JF176" s="10" t="str">
        <f t="shared" si="397"/>
        <v xml:space="preserve"> </v>
      </c>
      <c r="JG176" s="10" t="str">
        <f t="shared" si="397"/>
        <v xml:space="preserve"> </v>
      </c>
      <c r="JH176" s="10" t="str">
        <f t="shared" si="397"/>
        <v xml:space="preserve"> </v>
      </c>
      <c r="JI176" s="10" t="str">
        <f t="shared" si="397"/>
        <v xml:space="preserve"> </v>
      </c>
    </row>
    <row r="177" spans="13:269">
      <c r="M177" s="10" t="str">
        <f t="shared" si="361"/>
        <v xml:space="preserve"> </v>
      </c>
      <c r="N177" s="10" t="str">
        <f t="shared" si="361"/>
        <v xml:space="preserve"> </v>
      </c>
      <c r="O177" s="10" t="str">
        <f t="shared" si="361"/>
        <v xml:space="preserve"> </v>
      </c>
      <c r="P177" s="10" t="str">
        <f t="shared" si="361"/>
        <v xml:space="preserve"> </v>
      </c>
      <c r="Q177" s="10" t="str">
        <f t="shared" si="361"/>
        <v xml:space="preserve"> </v>
      </c>
      <c r="R177" s="14"/>
      <c r="S177" s="14"/>
      <c r="T177" s="10" t="str">
        <f t="shared" si="362"/>
        <v xml:space="preserve"> </v>
      </c>
      <c r="U177" s="10" t="str">
        <f t="shared" si="362"/>
        <v xml:space="preserve"> </v>
      </c>
      <c r="V177" s="10" t="str">
        <f t="shared" si="362"/>
        <v xml:space="preserve"> </v>
      </c>
      <c r="W177" s="10" t="str">
        <f t="shared" si="362"/>
        <v xml:space="preserve"> </v>
      </c>
      <c r="X177" s="10" t="str">
        <f t="shared" si="362"/>
        <v xml:space="preserve"> </v>
      </c>
      <c r="Y177" s="14"/>
      <c r="Z177" s="14"/>
      <c r="AA177" s="10" t="str">
        <f t="shared" si="363"/>
        <v xml:space="preserve"> </v>
      </c>
      <c r="AB177" s="10" t="str">
        <f t="shared" si="363"/>
        <v xml:space="preserve"> </v>
      </c>
      <c r="AC177" s="10" t="str">
        <f t="shared" si="363"/>
        <v xml:space="preserve"> </v>
      </c>
      <c r="AD177" s="10" t="str">
        <f t="shared" si="363"/>
        <v xml:space="preserve"> </v>
      </c>
      <c r="AE177" s="10" t="str">
        <f t="shared" si="363"/>
        <v xml:space="preserve"> </v>
      </c>
      <c r="AF177" s="14"/>
      <c r="AG177" s="14"/>
      <c r="AH177" s="10" t="str">
        <f t="shared" si="364"/>
        <v xml:space="preserve"> </v>
      </c>
      <c r="AI177" s="10" t="str">
        <f t="shared" si="364"/>
        <v xml:space="preserve"> </v>
      </c>
      <c r="AJ177" s="10" t="str">
        <f t="shared" si="364"/>
        <v xml:space="preserve"> </v>
      </c>
      <c r="AK177" s="10" t="str">
        <f t="shared" si="364"/>
        <v xml:space="preserve"> </v>
      </c>
      <c r="AL177" s="10" t="str">
        <f t="shared" si="364"/>
        <v xml:space="preserve"> </v>
      </c>
      <c r="AM177" s="14"/>
      <c r="AN177" s="14"/>
      <c r="AO177" s="10" t="str">
        <f t="shared" si="365"/>
        <v xml:space="preserve"> </v>
      </c>
      <c r="AP177" s="10" t="str">
        <f t="shared" si="365"/>
        <v xml:space="preserve"> </v>
      </c>
      <c r="AQ177" s="10" t="str">
        <f t="shared" si="365"/>
        <v xml:space="preserve"> </v>
      </c>
      <c r="AR177" s="10" t="str">
        <f t="shared" si="365"/>
        <v xml:space="preserve"> </v>
      </c>
      <c r="AS177" s="10" t="str">
        <f t="shared" si="365"/>
        <v xml:space="preserve"> </v>
      </c>
      <c r="AT177" s="14"/>
      <c r="AU177" s="14"/>
      <c r="AV177" s="10" t="str">
        <f t="shared" si="366"/>
        <v xml:space="preserve"> </v>
      </c>
      <c r="AW177" s="10" t="str">
        <f t="shared" si="366"/>
        <v xml:space="preserve"> </v>
      </c>
      <c r="AX177" s="10" t="str">
        <f t="shared" si="366"/>
        <v xml:space="preserve"> </v>
      </c>
      <c r="AY177" s="10" t="str">
        <f t="shared" si="366"/>
        <v xml:space="preserve"> </v>
      </c>
      <c r="AZ177" s="10" t="str">
        <f t="shared" si="366"/>
        <v xml:space="preserve"> </v>
      </c>
      <c r="BA177" s="14"/>
      <c r="BB177" s="14"/>
      <c r="BC177" s="10" t="str">
        <f t="shared" si="367"/>
        <v xml:space="preserve"> </v>
      </c>
      <c r="BD177" s="10" t="str">
        <f t="shared" si="367"/>
        <v xml:space="preserve"> </v>
      </c>
      <c r="BE177" s="10" t="str">
        <f t="shared" si="367"/>
        <v xml:space="preserve"> </v>
      </c>
      <c r="BF177" s="10" t="str">
        <f t="shared" si="367"/>
        <v xml:space="preserve"> </v>
      </c>
      <c r="BG177" s="10" t="str">
        <f t="shared" si="367"/>
        <v xml:space="preserve"> </v>
      </c>
      <c r="BH177" s="14"/>
      <c r="BI177" s="14"/>
      <c r="BJ177" s="10" t="str">
        <f t="shared" si="368"/>
        <v xml:space="preserve"> </v>
      </c>
      <c r="BK177" s="10" t="str">
        <f t="shared" si="368"/>
        <v xml:space="preserve"> </v>
      </c>
      <c r="BL177" s="10" t="str">
        <f t="shared" si="368"/>
        <v xml:space="preserve"> </v>
      </c>
      <c r="BM177" s="10" t="str">
        <f t="shared" si="368"/>
        <v xml:space="preserve"> </v>
      </c>
      <c r="BN177" s="10" t="str">
        <f t="shared" si="368"/>
        <v xml:space="preserve"> </v>
      </c>
      <c r="BO177" s="14"/>
      <c r="BP177" s="14"/>
      <c r="BQ177" s="10" t="str">
        <f t="shared" si="369"/>
        <v xml:space="preserve"> </v>
      </c>
      <c r="BR177" s="10" t="str">
        <f t="shared" si="369"/>
        <v xml:space="preserve"> </v>
      </c>
      <c r="BS177" s="10" t="str">
        <f t="shared" si="369"/>
        <v xml:space="preserve"> </v>
      </c>
      <c r="BT177" s="10" t="str">
        <f t="shared" si="369"/>
        <v xml:space="preserve"> </v>
      </c>
      <c r="BU177" s="10" t="str">
        <f t="shared" si="369"/>
        <v xml:space="preserve"> </v>
      </c>
      <c r="BV177" s="14"/>
      <c r="BW177" s="14"/>
      <c r="BX177" s="10" t="str">
        <f t="shared" si="370"/>
        <v xml:space="preserve"> </v>
      </c>
      <c r="BY177" s="10" t="str">
        <f t="shared" si="370"/>
        <v xml:space="preserve"> </v>
      </c>
      <c r="BZ177" s="10" t="str">
        <f t="shared" si="370"/>
        <v xml:space="preserve"> </v>
      </c>
      <c r="CA177" s="10" t="str">
        <f t="shared" si="370"/>
        <v xml:space="preserve"> </v>
      </c>
      <c r="CB177" s="10" t="str">
        <f t="shared" si="370"/>
        <v xml:space="preserve"> </v>
      </c>
      <c r="CC177" s="14"/>
      <c r="CD177" s="14"/>
      <c r="CE177" s="10" t="str">
        <f t="shared" si="371"/>
        <v xml:space="preserve"> </v>
      </c>
      <c r="CF177" s="10" t="str">
        <f t="shared" si="371"/>
        <v xml:space="preserve"> </v>
      </c>
      <c r="CG177" s="10" t="str">
        <f t="shared" si="371"/>
        <v xml:space="preserve"> </v>
      </c>
      <c r="CH177" s="10" t="str">
        <f t="shared" si="371"/>
        <v xml:space="preserve"> </v>
      </c>
      <c r="CI177" s="10" t="str">
        <f t="shared" si="371"/>
        <v xml:space="preserve"> </v>
      </c>
      <c r="CJ177" s="14"/>
      <c r="CK177" s="14"/>
      <c r="CL177" s="10" t="str">
        <f t="shared" si="372"/>
        <v xml:space="preserve"> </v>
      </c>
      <c r="CM177" s="10" t="str">
        <f t="shared" si="372"/>
        <v xml:space="preserve"> </v>
      </c>
      <c r="CN177" s="10" t="str">
        <f t="shared" si="372"/>
        <v xml:space="preserve"> </v>
      </c>
      <c r="CO177" s="10" t="str">
        <f t="shared" si="372"/>
        <v xml:space="preserve"> </v>
      </c>
      <c r="CP177" s="10" t="str">
        <f t="shared" si="372"/>
        <v xml:space="preserve"> </v>
      </c>
      <c r="CQ177" s="14"/>
      <c r="CR177" s="14"/>
      <c r="CS177" s="10" t="str">
        <f t="shared" si="373"/>
        <v xml:space="preserve"> </v>
      </c>
      <c r="CT177" s="10" t="str">
        <f t="shared" si="373"/>
        <v xml:space="preserve"> </v>
      </c>
      <c r="CU177" s="10" t="str">
        <f t="shared" si="373"/>
        <v xml:space="preserve"> </v>
      </c>
      <c r="CV177" s="10" t="str">
        <f t="shared" si="373"/>
        <v xml:space="preserve"> </v>
      </c>
      <c r="CW177" s="10" t="str">
        <f t="shared" si="373"/>
        <v xml:space="preserve"> </v>
      </c>
      <c r="CZ177" s="10" t="str">
        <f t="shared" si="374"/>
        <v xml:space="preserve"> </v>
      </c>
      <c r="DA177" s="10" t="str">
        <f t="shared" si="374"/>
        <v xml:space="preserve"> </v>
      </c>
      <c r="DB177" s="10" t="str">
        <f t="shared" si="374"/>
        <v xml:space="preserve"> </v>
      </c>
      <c r="DC177" s="10" t="str">
        <f t="shared" si="374"/>
        <v xml:space="preserve"> </v>
      </c>
      <c r="DD177" s="10" t="str">
        <f t="shared" si="374"/>
        <v xml:space="preserve"> </v>
      </c>
      <c r="DG177" s="10" t="str">
        <f t="shared" si="375"/>
        <v xml:space="preserve"> </v>
      </c>
      <c r="DH177" s="10" t="str">
        <f t="shared" si="375"/>
        <v xml:space="preserve"> </v>
      </c>
      <c r="DI177" s="10" t="str">
        <f t="shared" si="375"/>
        <v xml:space="preserve"> </v>
      </c>
      <c r="DJ177" s="10" t="str">
        <f t="shared" si="375"/>
        <v xml:space="preserve"> </v>
      </c>
      <c r="DK177" s="10" t="str">
        <f t="shared" si="375"/>
        <v xml:space="preserve"> </v>
      </c>
      <c r="DN177" s="10" t="str">
        <f t="shared" si="376"/>
        <v xml:space="preserve"> </v>
      </c>
      <c r="DO177" s="10" t="str">
        <f t="shared" si="376"/>
        <v xml:space="preserve"> </v>
      </c>
      <c r="DP177" s="10" t="str">
        <f t="shared" si="376"/>
        <v xml:space="preserve"> </v>
      </c>
      <c r="DQ177" s="10" t="str">
        <f t="shared" si="376"/>
        <v xml:space="preserve"> </v>
      </c>
      <c r="DR177" s="10" t="str">
        <f t="shared" si="376"/>
        <v xml:space="preserve"> </v>
      </c>
      <c r="DU177" s="10" t="str">
        <f t="shared" si="377"/>
        <v xml:space="preserve"> </v>
      </c>
      <c r="DV177" s="10" t="str">
        <f t="shared" si="377"/>
        <v xml:space="preserve"> </v>
      </c>
      <c r="DW177" s="10" t="str">
        <f t="shared" si="377"/>
        <v xml:space="preserve"> </v>
      </c>
      <c r="DX177" s="10" t="str">
        <f t="shared" si="377"/>
        <v xml:space="preserve"> </v>
      </c>
      <c r="DY177" s="10" t="str">
        <f t="shared" si="377"/>
        <v xml:space="preserve"> </v>
      </c>
      <c r="EB177" s="10" t="str">
        <f t="shared" si="378"/>
        <v xml:space="preserve"> </v>
      </c>
      <c r="EC177" s="10" t="str">
        <f t="shared" si="378"/>
        <v xml:space="preserve"> </v>
      </c>
      <c r="ED177" s="10" t="str">
        <f t="shared" si="378"/>
        <v xml:space="preserve"> </v>
      </c>
      <c r="EE177" s="10" t="str">
        <f t="shared" si="378"/>
        <v xml:space="preserve"> </v>
      </c>
      <c r="EF177" s="10" t="str">
        <f t="shared" si="378"/>
        <v xml:space="preserve"> </v>
      </c>
      <c r="EI177" s="10" t="str">
        <f t="shared" si="379"/>
        <v xml:space="preserve"> </v>
      </c>
      <c r="EJ177" s="10" t="str">
        <f t="shared" si="379"/>
        <v xml:space="preserve"> </v>
      </c>
      <c r="EK177" s="10" t="str">
        <f t="shared" si="379"/>
        <v xml:space="preserve"> </v>
      </c>
      <c r="EL177" s="10" t="str">
        <f t="shared" si="379"/>
        <v xml:space="preserve"> </v>
      </c>
      <c r="EM177" s="10" t="str">
        <f t="shared" si="379"/>
        <v xml:space="preserve"> </v>
      </c>
      <c r="EP177" s="10" t="str">
        <f t="shared" si="380"/>
        <v xml:space="preserve"> </v>
      </c>
      <c r="EQ177" s="10" t="str">
        <f t="shared" si="380"/>
        <v xml:space="preserve"> </v>
      </c>
      <c r="ER177" s="10" t="str">
        <f t="shared" si="380"/>
        <v xml:space="preserve"> </v>
      </c>
      <c r="ES177" s="10" t="str">
        <f t="shared" si="380"/>
        <v xml:space="preserve"> </v>
      </c>
      <c r="ET177" s="10" t="str">
        <f t="shared" si="380"/>
        <v xml:space="preserve"> </v>
      </c>
      <c r="EW177" s="10" t="str">
        <f t="shared" si="381"/>
        <v xml:space="preserve"> </v>
      </c>
      <c r="EX177" s="10" t="str">
        <f t="shared" si="381"/>
        <v xml:space="preserve"> </v>
      </c>
      <c r="EY177" s="10" t="str">
        <f t="shared" si="381"/>
        <v xml:space="preserve"> </v>
      </c>
      <c r="EZ177" s="10" t="str">
        <f t="shared" si="381"/>
        <v xml:space="preserve"> </v>
      </c>
      <c r="FA177" s="10" t="str">
        <f t="shared" si="381"/>
        <v xml:space="preserve"> </v>
      </c>
      <c r="FD177" s="10" t="str">
        <f t="shared" si="382"/>
        <v xml:space="preserve"> </v>
      </c>
      <c r="FE177" s="10" t="str">
        <f t="shared" si="382"/>
        <v xml:space="preserve"> </v>
      </c>
      <c r="FF177" s="10" t="str">
        <f t="shared" si="382"/>
        <v xml:space="preserve"> </v>
      </c>
      <c r="FG177" s="10" t="str">
        <f t="shared" si="382"/>
        <v xml:space="preserve"> </v>
      </c>
      <c r="FH177" s="10" t="str">
        <f t="shared" si="382"/>
        <v xml:space="preserve"> </v>
      </c>
      <c r="FK177" s="10" t="str">
        <f t="shared" si="383"/>
        <v xml:space="preserve"> </v>
      </c>
      <c r="FL177" s="10" t="str">
        <f t="shared" si="383"/>
        <v xml:space="preserve"> </v>
      </c>
      <c r="FM177" s="10" t="str">
        <f t="shared" si="383"/>
        <v xml:space="preserve"> </v>
      </c>
      <c r="FN177" s="10" t="str">
        <f t="shared" si="383"/>
        <v xml:space="preserve"> </v>
      </c>
      <c r="FO177" s="10" t="str">
        <f t="shared" si="383"/>
        <v xml:space="preserve"> </v>
      </c>
      <c r="FR177" s="10" t="str">
        <f t="shared" si="384"/>
        <v xml:space="preserve"> </v>
      </c>
      <c r="FS177" s="10" t="str">
        <f t="shared" si="384"/>
        <v xml:space="preserve"> </v>
      </c>
      <c r="FT177" s="10" t="str">
        <f t="shared" si="384"/>
        <v xml:space="preserve"> </v>
      </c>
      <c r="FU177" s="10" t="str">
        <f t="shared" si="384"/>
        <v xml:space="preserve"> </v>
      </c>
      <c r="FV177" s="10" t="str">
        <f t="shared" si="384"/>
        <v xml:space="preserve"> </v>
      </c>
      <c r="FY177" s="10" t="str">
        <f t="shared" si="385"/>
        <v xml:space="preserve"> </v>
      </c>
      <c r="FZ177" s="10" t="str">
        <f t="shared" si="385"/>
        <v xml:space="preserve"> </v>
      </c>
      <c r="GA177" s="10" t="str">
        <f t="shared" si="385"/>
        <v xml:space="preserve"> </v>
      </c>
      <c r="GB177" s="10" t="str">
        <f t="shared" si="385"/>
        <v xml:space="preserve"> </v>
      </c>
      <c r="GC177" s="10" t="str">
        <f t="shared" si="385"/>
        <v xml:space="preserve"> </v>
      </c>
      <c r="GF177" s="10" t="str">
        <f t="shared" si="386"/>
        <v xml:space="preserve"> </v>
      </c>
      <c r="GG177" s="10" t="str">
        <f t="shared" si="386"/>
        <v xml:space="preserve"> </v>
      </c>
      <c r="GH177" s="10" t="str">
        <f t="shared" si="386"/>
        <v xml:space="preserve"> </v>
      </c>
      <c r="GI177" s="10" t="str">
        <f t="shared" si="386"/>
        <v xml:space="preserve"> </v>
      </c>
      <c r="GJ177" s="10" t="str">
        <f t="shared" si="386"/>
        <v xml:space="preserve"> </v>
      </c>
      <c r="GM177" s="10" t="str">
        <f t="shared" si="387"/>
        <v xml:space="preserve"> </v>
      </c>
      <c r="GN177" s="10" t="str">
        <f t="shared" si="387"/>
        <v xml:space="preserve"> </v>
      </c>
      <c r="GO177" s="10" t="str">
        <f t="shared" si="387"/>
        <v xml:space="preserve"> </v>
      </c>
      <c r="GP177" s="10" t="str">
        <f t="shared" si="387"/>
        <v xml:space="preserve"> </v>
      </c>
      <c r="GQ177" s="10" t="str">
        <f t="shared" si="387"/>
        <v xml:space="preserve"> </v>
      </c>
      <c r="GT177" s="10" t="str">
        <f t="shared" si="388"/>
        <v xml:space="preserve"> </v>
      </c>
      <c r="GU177" s="10" t="str">
        <f t="shared" si="388"/>
        <v xml:space="preserve"> </v>
      </c>
      <c r="GV177" s="10" t="str">
        <f t="shared" si="388"/>
        <v xml:space="preserve"> </v>
      </c>
      <c r="GW177" s="10" t="str">
        <f t="shared" si="388"/>
        <v xml:space="preserve"> </v>
      </c>
      <c r="GX177" s="10" t="str">
        <f t="shared" si="388"/>
        <v xml:space="preserve"> </v>
      </c>
      <c r="HA177" s="10" t="str">
        <f t="shared" si="389"/>
        <v xml:space="preserve"> </v>
      </c>
      <c r="HB177" s="10" t="str">
        <f t="shared" si="389"/>
        <v xml:space="preserve"> </v>
      </c>
      <c r="HC177" s="10" t="str">
        <f t="shared" si="389"/>
        <v xml:space="preserve"> </v>
      </c>
      <c r="HD177" s="10" t="str">
        <f t="shared" si="389"/>
        <v xml:space="preserve"> </v>
      </c>
      <c r="HE177" s="10" t="str">
        <f t="shared" si="389"/>
        <v xml:space="preserve"> </v>
      </c>
      <c r="HH177" s="10" t="str">
        <f t="shared" si="390"/>
        <v xml:space="preserve"> </v>
      </c>
      <c r="HI177" s="10" t="str">
        <f t="shared" si="390"/>
        <v xml:space="preserve"> </v>
      </c>
      <c r="HJ177" s="10" t="str">
        <f t="shared" si="390"/>
        <v xml:space="preserve"> </v>
      </c>
      <c r="HK177" s="10" t="str">
        <f t="shared" si="390"/>
        <v xml:space="preserve"> </v>
      </c>
      <c r="HL177" s="10" t="str">
        <f t="shared" si="390"/>
        <v xml:space="preserve"> </v>
      </c>
      <c r="HO177" s="10" t="str">
        <f t="shared" si="391"/>
        <v xml:space="preserve"> </v>
      </c>
      <c r="HP177" s="10" t="str">
        <f t="shared" si="391"/>
        <v xml:space="preserve"> </v>
      </c>
      <c r="HQ177" s="10" t="str">
        <f t="shared" si="391"/>
        <v xml:space="preserve"> </v>
      </c>
      <c r="HR177" s="10" t="str">
        <f t="shared" si="391"/>
        <v xml:space="preserve"> </v>
      </c>
      <c r="HS177" s="10" t="str">
        <f t="shared" si="391"/>
        <v xml:space="preserve"> </v>
      </c>
      <c r="HV177" s="10" t="str">
        <f t="shared" si="392"/>
        <v xml:space="preserve"> </v>
      </c>
      <c r="HW177" s="10" t="str">
        <f t="shared" si="392"/>
        <v xml:space="preserve"> </v>
      </c>
      <c r="HX177" s="10" t="str">
        <f t="shared" si="392"/>
        <v xml:space="preserve"> </v>
      </c>
      <c r="HY177" s="10" t="str">
        <f t="shared" si="392"/>
        <v xml:space="preserve"> </v>
      </c>
      <c r="HZ177" s="10" t="str">
        <f t="shared" si="392"/>
        <v xml:space="preserve"> </v>
      </c>
      <c r="IC177" s="10" t="str">
        <f t="shared" si="393"/>
        <v xml:space="preserve"> </v>
      </c>
      <c r="ID177" s="10" t="str">
        <f t="shared" si="393"/>
        <v xml:space="preserve"> </v>
      </c>
      <c r="IE177" s="10" t="str">
        <f t="shared" si="393"/>
        <v xml:space="preserve"> </v>
      </c>
      <c r="IF177" s="10" t="str">
        <f t="shared" si="393"/>
        <v xml:space="preserve"> </v>
      </c>
      <c r="IG177" s="10" t="str">
        <f t="shared" si="393"/>
        <v xml:space="preserve"> </v>
      </c>
      <c r="IJ177" s="10" t="str">
        <f t="shared" si="394"/>
        <v xml:space="preserve"> </v>
      </c>
      <c r="IK177" s="10" t="str">
        <f t="shared" si="394"/>
        <v xml:space="preserve"> </v>
      </c>
      <c r="IL177" s="10" t="str">
        <f t="shared" si="394"/>
        <v xml:space="preserve"> </v>
      </c>
      <c r="IM177" s="10" t="str">
        <f t="shared" si="394"/>
        <v xml:space="preserve"> </v>
      </c>
      <c r="IN177" s="10" t="str">
        <f t="shared" si="394"/>
        <v xml:space="preserve"> </v>
      </c>
      <c r="IQ177" s="10" t="str">
        <f t="shared" si="395"/>
        <v xml:space="preserve"> </v>
      </c>
      <c r="IR177" s="10" t="str">
        <f t="shared" si="395"/>
        <v xml:space="preserve"> </v>
      </c>
      <c r="IS177" s="10" t="str">
        <f t="shared" si="395"/>
        <v xml:space="preserve"> </v>
      </c>
      <c r="IT177" s="10" t="str">
        <f t="shared" si="395"/>
        <v xml:space="preserve"> </v>
      </c>
      <c r="IU177" s="10" t="str">
        <f t="shared" si="395"/>
        <v xml:space="preserve"> </v>
      </c>
      <c r="IX177" s="10" t="str">
        <f t="shared" si="396"/>
        <v xml:space="preserve"> </v>
      </c>
      <c r="IY177" s="10" t="str">
        <f t="shared" si="396"/>
        <v xml:space="preserve"> </v>
      </c>
      <c r="IZ177" s="10" t="str">
        <f t="shared" si="396"/>
        <v xml:space="preserve"> </v>
      </c>
      <c r="JA177" s="10" t="str">
        <f t="shared" si="396"/>
        <v xml:space="preserve"> </v>
      </c>
      <c r="JB177" s="10" t="str">
        <f t="shared" si="396"/>
        <v xml:space="preserve"> </v>
      </c>
      <c r="JE177" s="10" t="str">
        <f t="shared" si="397"/>
        <v xml:space="preserve"> </v>
      </c>
      <c r="JF177" s="10" t="str">
        <f t="shared" si="397"/>
        <v xml:space="preserve"> </v>
      </c>
      <c r="JG177" s="10" t="str">
        <f t="shared" si="397"/>
        <v xml:space="preserve"> </v>
      </c>
      <c r="JH177" s="10" t="str">
        <f t="shared" si="397"/>
        <v xml:space="preserve"> </v>
      </c>
      <c r="JI177" s="10" t="str">
        <f t="shared" si="397"/>
        <v xml:space="preserve"> </v>
      </c>
    </row>
    <row r="178" spans="13:269">
      <c r="M178" s="10" t="str">
        <f t="shared" si="361"/>
        <v xml:space="preserve"> </v>
      </c>
      <c r="N178" s="10" t="str">
        <f t="shared" si="361"/>
        <v xml:space="preserve"> </v>
      </c>
      <c r="O178" s="10" t="str">
        <f t="shared" si="361"/>
        <v xml:space="preserve"> </v>
      </c>
      <c r="P178" s="10" t="str">
        <f t="shared" si="361"/>
        <v xml:space="preserve"> </v>
      </c>
      <c r="Q178" s="10" t="str">
        <f t="shared" si="361"/>
        <v xml:space="preserve"> </v>
      </c>
      <c r="R178" s="14"/>
      <c r="S178" s="14"/>
      <c r="T178" s="10" t="str">
        <f t="shared" si="362"/>
        <v xml:space="preserve"> </v>
      </c>
      <c r="U178" s="10" t="str">
        <f t="shared" si="362"/>
        <v xml:space="preserve"> </v>
      </c>
      <c r="V178" s="10" t="str">
        <f t="shared" si="362"/>
        <v xml:space="preserve"> </v>
      </c>
      <c r="W178" s="10" t="str">
        <f t="shared" si="362"/>
        <v xml:space="preserve"> </v>
      </c>
      <c r="X178" s="10" t="str">
        <f t="shared" si="362"/>
        <v xml:space="preserve"> </v>
      </c>
      <c r="Y178" s="14"/>
      <c r="Z178" s="14"/>
      <c r="AA178" s="10" t="str">
        <f t="shared" si="363"/>
        <v xml:space="preserve"> </v>
      </c>
      <c r="AB178" s="10" t="str">
        <f t="shared" si="363"/>
        <v xml:space="preserve"> </v>
      </c>
      <c r="AC178" s="10" t="str">
        <f t="shared" si="363"/>
        <v xml:space="preserve"> </v>
      </c>
      <c r="AD178" s="10" t="str">
        <f t="shared" si="363"/>
        <v xml:space="preserve"> </v>
      </c>
      <c r="AE178" s="10" t="str">
        <f t="shared" si="363"/>
        <v xml:space="preserve"> </v>
      </c>
      <c r="AF178" s="14"/>
      <c r="AG178" s="14"/>
      <c r="AH178" s="10" t="str">
        <f t="shared" si="364"/>
        <v xml:space="preserve"> </v>
      </c>
      <c r="AI178" s="10" t="str">
        <f t="shared" si="364"/>
        <v xml:space="preserve"> </v>
      </c>
      <c r="AJ178" s="10" t="str">
        <f t="shared" si="364"/>
        <v xml:space="preserve"> </v>
      </c>
      <c r="AK178" s="10" t="str">
        <f t="shared" si="364"/>
        <v xml:space="preserve"> </v>
      </c>
      <c r="AL178" s="10" t="str">
        <f t="shared" si="364"/>
        <v xml:space="preserve"> </v>
      </c>
      <c r="AM178" s="14"/>
      <c r="AN178" s="14"/>
      <c r="AO178" s="10" t="str">
        <f t="shared" si="365"/>
        <v xml:space="preserve"> </v>
      </c>
      <c r="AP178" s="10" t="str">
        <f t="shared" si="365"/>
        <v xml:space="preserve"> </v>
      </c>
      <c r="AQ178" s="10" t="str">
        <f t="shared" si="365"/>
        <v xml:space="preserve"> </v>
      </c>
      <c r="AR178" s="10" t="str">
        <f t="shared" si="365"/>
        <v xml:space="preserve"> </v>
      </c>
      <c r="AS178" s="10" t="str">
        <f t="shared" si="365"/>
        <v xml:space="preserve"> </v>
      </c>
      <c r="AT178" s="14"/>
      <c r="AU178" s="14"/>
      <c r="AV178" s="10" t="str">
        <f t="shared" si="366"/>
        <v xml:space="preserve"> </v>
      </c>
      <c r="AW178" s="10" t="str">
        <f t="shared" si="366"/>
        <v xml:space="preserve"> </v>
      </c>
      <c r="AX178" s="10" t="str">
        <f t="shared" si="366"/>
        <v xml:space="preserve"> </v>
      </c>
      <c r="AY178" s="10" t="str">
        <f t="shared" si="366"/>
        <v xml:space="preserve"> </v>
      </c>
      <c r="AZ178" s="10" t="str">
        <f t="shared" si="366"/>
        <v xml:space="preserve"> </v>
      </c>
      <c r="BA178" s="14"/>
      <c r="BB178" s="14"/>
      <c r="BC178" s="10" t="str">
        <f t="shared" si="367"/>
        <v xml:space="preserve"> </v>
      </c>
      <c r="BD178" s="10" t="str">
        <f t="shared" si="367"/>
        <v xml:space="preserve"> </v>
      </c>
      <c r="BE178" s="10" t="str">
        <f t="shared" si="367"/>
        <v xml:space="preserve"> </v>
      </c>
      <c r="BF178" s="10" t="str">
        <f t="shared" si="367"/>
        <v xml:space="preserve"> </v>
      </c>
      <c r="BG178" s="10" t="str">
        <f t="shared" si="367"/>
        <v xml:space="preserve"> </v>
      </c>
      <c r="BH178" s="14"/>
      <c r="BI178" s="14"/>
      <c r="BJ178" s="10" t="str">
        <f t="shared" si="368"/>
        <v xml:space="preserve"> </v>
      </c>
      <c r="BK178" s="10" t="str">
        <f t="shared" si="368"/>
        <v xml:space="preserve"> </v>
      </c>
      <c r="BL178" s="10" t="str">
        <f t="shared" si="368"/>
        <v xml:space="preserve"> </v>
      </c>
      <c r="BM178" s="10" t="str">
        <f t="shared" si="368"/>
        <v xml:space="preserve"> </v>
      </c>
      <c r="BN178" s="10" t="str">
        <f t="shared" si="368"/>
        <v xml:space="preserve"> </v>
      </c>
      <c r="BO178" s="14"/>
      <c r="BP178" s="14"/>
      <c r="BQ178" s="10" t="str">
        <f t="shared" si="369"/>
        <v xml:space="preserve"> </v>
      </c>
      <c r="BR178" s="10" t="str">
        <f t="shared" si="369"/>
        <v xml:space="preserve"> </v>
      </c>
      <c r="BS178" s="10" t="str">
        <f t="shared" si="369"/>
        <v xml:space="preserve"> </v>
      </c>
      <c r="BT178" s="10" t="str">
        <f t="shared" si="369"/>
        <v xml:space="preserve"> </v>
      </c>
      <c r="BU178" s="10" t="str">
        <f t="shared" si="369"/>
        <v xml:space="preserve"> </v>
      </c>
      <c r="BV178" s="14"/>
      <c r="BW178" s="14"/>
      <c r="BX178" s="10" t="str">
        <f t="shared" si="370"/>
        <v xml:space="preserve"> </v>
      </c>
      <c r="BY178" s="10" t="str">
        <f t="shared" si="370"/>
        <v xml:space="preserve"> </v>
      </c>
      <c r="BZ178" s="10" t="str">
        <f t="shared" si="370"/>
        <v xml:space="preserve"> </v>
      </c>
      <c r="CA178" s="10" t="str">
        <f t="shared" si="370"/>
        <v xml:space="preserve"> </v>
      </c>
      <c r="CB178" s="10" t="str">
        <f t="shared" si="370"/>
        <v xml:space="preserve"> </v>
      </c>
      <c r="CC178" s="14"/>
      <c r="CD178" s="14"/>
      <c r="CE178" s="10" t="str">
        <f t="shared" si="371"/>
        <v xml:space="preserve"> </v>
      </c>
      <c r="CF178" s="10" t="str">
        <f t="shared" si="371"/>
        <v xml:space="preserve"> </v>
      </c>
      <c r="CG178" s="10" t="str">
        <f t="shared" si="371"/>
        <v xml:space="preserve"> </v>
      </c>
      <c r="CH178" s="10" t="str">
        <f t="shared" si="371"/>
        <v xml:space="preserve"> </v>
      </c>
      <c r="CI178" s="10" t="str">
        <f t="shared" si="371"/>
        <v xml:space="preserve"> </v>
      </c>
      <c r="CJ178" s="14"/>
      <c r="CK178" s="14"/>
      <c r="CL178" s="10" t="str">
        <f t="shared" si="372"/>
        <v xml:space="preserve"> </v>
      </c>
      <c r="CM178" s="10" t="str">
        <f t="shared" si="372"/>
        <v xml:space="preserve"> </v>
      </c>
      <c r="CN178" s="10" t="str">
        <f t="shared" si="372"/>
        <v xml:space="preserve"> </v>
      </c>
      <c r="CO178" s="10" t="str">
        <f t="shared" si="372"/>
        <v xml:space="preserve"> </v>
      </c>
      <c r="CP178" s="10" t="str">
        <f t="shared" si="372"/>
        <v xml:space="preserve"> </v>
      </c>
      <c r="CQ178" s="14"/>
      <c r="CR178" s="14"/>
      <c r="CS178" s="10" t="str">
        <f t="shared" si="373"/>
        <v xml:space="preserve"> </v>
      </c>
      <c r="CT178" s="10" t="str">
        <f t="shared" si="373"/>
        <v xml:space="preserve"> </v>
      </c>
      <c r="CU178" s="10" t="str">
        <f t="shared" si="373"/>
        <v xml:space="preserve"> </v>
      </c>
      <c r="CV178" s="10" t="str">
        <f t="shared" si="373"/>
        <v xml:space="preserve"> </v>
      </c>
      <c r="CW178" s="10" t="str">
        <f t="shared" si="373"/>
        <v xml:space="preserve"> </v>
      </c>
      <c r="CZ178" s="10" t="str">
        <f t="shared" si="374"/>
        <v xml:space="preserve"> </v>
      </c>
      <c r="DA178" s="10" t="str">
        <f t="shared" si="374"/>
        <v xml:space="preserve"> </v>
      </c>
      <c r="DB178" s="10" t="str">
        <f t="shared" si="374"/>
        <v xml:space="preserve"> </v>
      </c>
      <c r="DC178" s="10" t="str">
        <f t="shared" si="374"/>
        <v xml:space="preserve"> </v>
      </c>
      <c r="DD178" s="10" t="str">
        <f t="shared" si="374"/>
        <v xml:space="preserve"> </v>
      </c>
      <c r="DG178" s="10" t="str">
        <f t="shared" si="375"/>
        <v xml:space="preserve"> </v>
      </c>
      <c r="DH178" s="10" t="str">
        <f t="shared" si="375"/>
        <v xml:space="preserve"> </v>
      </c>
      <c r="DI178" s="10" t="str">
        <f t="shared" si="375"/>
        <v xml:space="preserve"> </v>
      </c>
      <c r="DJ178" s="10" t="str">
        <f t="shared" si="375"/>
        <v xml:space="preserve"> </v>
      </c>
      <c r="DK178" s="10" t="str">
        <f t="shared" si="375"/>
        <v xml:space="preserve"> </v>
      </c>
      <c r="DN178" s="10" t="str">
        <f t="shared" si="376"/>
        <v xml:space="preserve"> </v>
      </c>
      <c r="DO178" s="10" t="str">
        <f t="shared" si="376"/>
        <v xml:space="preserve"> </v>
      </c>
      <c r="DP178" s="10" t="str">
        <f t="shared" si="376"/>
        <v xml:space="preserve"> </v>
      </c>
      <c r="DQ178" s="10" t="str">
        <f t="shared" si="376"/>
        <v xml:space="preserve"> </v>
      </c>
      <c r="DR178" s="10" t="str">
        <f t="shared" si="376"/>
        <v xml:space="preserve"> </v>
      </c>
      <c r="DU178" s="10" t="str">
        <f t="shared" si="377"/>
        <v xml:space="preserve"> </v>
      </c>
      <c r="DV178" s="10" t="str">
        <f t="shared" si="377"/>
        <v xml:space="preserve"> </v>
      </c>
      <c r="DW178" s="10" t="str">
        <f t="shared" si="377"/>
        <v xml:space="preserve"> </v>
      </c>
      <c r="DX178" s="10" t="str">
        <f t="shared" si="377"/>
        <v xml:space="preserve"> </v>
      </c>
      <c r="DY178" s="10" t="str">
        <f t="shared" si="377"/>
        <v xml:space="preserve"> </v>
      </c>
      <c r="EB178" s="10" t="str">
        <f t="shared" si="378"/>
        <v xml:space="preserve"> </v>
      </c>
      <c r="EC178" s="10" t="str">
        <f t="shared" si="378"/>
        <v xml:space="preserve"> </v>
      </c>
      <c r="ED178" s="10" t="str">
        <f t="shared" si="378"/>
        <v xml:space="preserve"> </v>
      </c>
      <c r="EE178" s="10" t="str">
        <f t="shared" si="378"/>
        <v xml:space="preserve"> </v>
      </c>
      <c r="EF178" s="10" t="str">
        <f t="shared" si="378"/>
        <v xml:space="preserve"> </v>
      </c>
      <c r="EI178" s="10" t="str">
        <f t="shared" si="379"/>
        <v xml:space="preserve"> </v>
      </c>
      <c r="EJ178" s="10" t="str">
        <f t="shared" si="379"/>
        <v xml:space="preserve"> </v>
      </c>
      <c r="EK178" s="10" t="str">
        <f t="shared" si="379"/>
        <v xml:space="preserve"> </v>
      </c>
      <c r="EL178" s="10" t="str">
        <f t="shared" si="379"/>
        <v xml:space="preserve"> </v>
      </c>
      <c r="EM178" s="10" t="str">
        <f t="shared" si="379"/>
        <v xml:space="preserve"> </v>
      </c>
      <c r="EP178" s="10" t="str">
        <f t="shared" si="380"/>
        <v xml:space="preserve"> </v>
      </c>
      <c r="EQ178" s="10" t="str">
        <f t="shared" si="380"/>
        <v xml:space="preserve"> </v>
      </c>
      <c r="ER178" s="10" t="str">
        <f t="shared" si="380"/>
        <v xml:space="preserve"> </v>
      </c>
      <c r="ES178" s="10" t="str">
        <f t="shared" si="380"/>
        <v xml:space="preserve"> </v>
      </c>
      <c r="ET178" s="10" t="str">
        <f t="shared" si="380"/>
        <v xml:space="preserve"> </v>
      </c>
      <c r="EW178" s="10" t="str">
        <f t="shared" si="381"/>
        <v xml:space="preserve"> </v>
      </c>
      <c r="EX178" s="10" t="str">
        <f t="shared" si="381"/>
        <v xml:space="preserve"> </v>
      </c>
      <c r="EY178" s="10" t="str">
        <f t="shared" si="381"/>
        <v xml:space="preserve"> </v>
      </c>
      <c r="EZ178" s="10" t="str">
        <f t="shared" si="381"/>
        <v xml:space="preserve"> </v>
      </c>
      <c r="FA178" s="10" t="str">
        <f t="shared" si="381"/>
        <v xml:space="preserve"> </v>
      </c>
      <c r="FD178" s="10" t="str">
        <f t="shared" si="382"/>
        <v xml:space="preserve"> </v>
      </c>
      <c r="FE178" s="10" t="str">
        <f t="shared" si="382"/>
        <v xml:space="preserve"> </v>
      </c>
      <c r="FF178" s="10" t="str">
        <f t="shared" si="382"/>
        <v xml:space="preserve"> </v>
      </c>
      <c r="FG178" s="10" t="str">
        <f t="shared" si="382"/>
        <v xml:space="preserve"> </v>
      </c>
      <c r="FH178" s="10" t="str">
        <f t="shared" si="382"/>
        <v xml:space="preserve"> </v>
      </c>
      <c r="FK178" s="10" t="str">
        <f t="shared" si="383"/>
        <v xml:space="preserve"> </v>
      </c>
      <c r="FL178" s="10" t="str">
        <f t="shared" si="383"/>
        <v xml:space="preserve"> </v>
      </c>
      <c r="FM178" s="10" t="str">
        <f t="shared" si="383"/>
        <v xml:space="preserve"> </v>
      </c>
      <c r="FN178" s="10" t="str">
        <f t="shared" si="383"/>
        <v xml:space="preserve"> </v>
      </c>
      <c r="FO178" s="10" t="str">
        <f t="shared" si="383"/>
        <v xml:space="preserve"> </v>
      </c>
      <c r="FR178" s="10" t="str">
        <f t="shared" si="384"/>
        <v xml:space="preserve"> </v>
      </c>
      <c r="FS178" s="10" t="str">
        <f t="shared" si="384"/>
        <v xml:space="preserve"> </v>
      </c>
      <c r="FT178" s="10" t="str">
        <f t="shared" si="384"/>
        <v xml:space="preserve"> </v>
      </c>
      <c r="FU178" s="10" t="str">
        <f t="shared" si="384"/>
        <v xml:space="preserve"> </v>
      </c>
      <c r="FV178" s="10" t="str">
        <f t="shared" si="384"/>
        <v xml:space="preserve"> </v>
      </c>
      <c r="FY178" s="10" t="str">
        <f t="shared" si="385"/>
        <v xml:space="preserve"> </v>
      </c>
      <c r="FZ178" s="10" t="str">
        <f t="shared" si="385"/>
        <v xml:space="preserve"> </v>
      </c>
      <c r="GA178" s="10" t="str">
        <f t="shared" si="385"/>
        <v xml:space="preserve"> </v>
      </c>
      <c r="GB178" s="10" t="str">
        <f t="shared" si="385"/>
        <v xml:space="preserve"> </v>
      </c>
      <c r="GC178" s="10" t="str">
        <f t="shared" si="385"/>
        <v xml:space="preserve"> </v>
      </c>
      <c r="GF178" s="10" t="str">
        <f t="shared" si="386"/>
        <v xml:space="preserve"> </v>
      </c>
      <c r="GG178" s="10" t="str">
        <f t="shared" si="386"/>
        <v xml:space="preserve"> </v>
      </c>
      <c r="GH178" s="10" t="str">
        <f t="shared" si="386"/>
        <v xml:space="preserve"> </v>
      </c>
      <c r="GI178" s="10" t="str">
        <f t="shared" si="386"/>
        <v xml:space="preserve"> </v>
      </c>
      <c r="GJ178" s="10" t="str">
        <f t="shared" si="386"/>
        <v xml:space="preserve"> </v>
      </c>
      <c r="GM178" s="10" t="str">
        <f t="shared" si="387"/>
        <v xml:space="preserve"> </v>
      </c>
      <c r="GN178" s="10" t="str">
        <f t="shared" si="387"/>
        <v xml:space="preserve"> </v>
      </c>
      <c r="GO178" s="10" t="str">
        <f t="shared" si="387"/>
        <v xml:space="preserve"> </v>
      </c>
      <c r="GP178" s="10" t="str">
        <f t="shared" si="387"/>
        <v xml:space="preserve"> </v>
      </c>
      <c r="GQ178" s="10" t="str">
        <f t="shared" si="387"/>
        <v xml:space="preserve"> </v>
      </c>
      <c r="GT178" s="10" t="str">
        <f t="shared" si="388"/>
        <v xml:space="preserve"> </v>
      </c>
      <c r="GU178" s="10" t="str">
        <f t="shared" si="388"/>
        <v xml:space="preserve"> </v>
      </c>
      <c r="GV178" s="10" t="str">
        <f t="shared" si="388"/>
        <v xml:space="preserve"> </v>
      </c>
      <c r="GW178" s="10" t="str">
        <f t="shared" si="388"/>
        <v xml:space="preserve"> </v>
      </c>
      <c r="GX178" s="10" t="str">
        <f t="shared" si="388"/>
        <v xml:space="preserve"> </v>
      </c>
      <c r="HA178" s="10" t="str">
        <f t="shared" si="389"/>
        <v xml:space="preserve"> </v>
      </c>
      <c r="HB178" s="10" t="str">
        <f t="shared" si="389"/>
        <v xml:space="preserve"> </v>
      </c>
      <c r="HC178" s="10" t="str">
        <f t="shared" si="389"/>
        <v xml:space="preserve"> </v>
      </c>
      <c r="HD178" s="10" t="str">
        <f t="shared" si="389"/>
        <v xml:space="preserve"> </v>
      </c>
      <c r="HE178" s="10" t="str">
        <f t="shared" si="389"/>
        <v xml:space="preserve"> </v>
      </c>
      <c r="HH178" s="10" t="str">
        <f t="shared" si="390"/>
        <v xml:space="preserve"> </v>
      </c>
      <c r="HI178" s="10" t="str">
        <f t="shared" si="390"/>
        <v xml:space="preserve"> </v>
      </c>
      <c r="HJ178" s="10" t="str">
        <f t="shared" si="390"/>
        <v xml:space="preserve"> </v>
      </c>
      <c r="HK178" s="10" t="str">
        <f t="shared" si="390"/>
        <v xml:space="preserve"> </v>
      </c>
      <c r="HL178" s="10" t="str">
        <f t="shared" si="390"/>
        <v xml:space="preserve"> </v>
      </c>
      <c r="HO178" s="10" t="str">
        <f t="shared" si="391"/>
        <v xml:space="preserve"> </v>
      </c>
      <c r="HP178" s="10" t="str">
        <f t="shared" si="391"/>
        <v xml:space="preserve"> </v>
      </c>
      <c r="HQ178" s="10" t="str">
        <f t="shared" si="391"/>
        <v xml:space="preserve"> </v>
      </c>
      <c r="HR178" s="10" t="str">
        <f t="shared" si="391"/>
        <v xml:space="preserve"> </v>
      </c>
      <c r="HS178" s="10" t="str">
        <f t="shared" si="391"/>
        <v xml:space="preserve"> </v>
      </c>
      <c r="HV178" s="10" t="str">
        <f t="shared" si="392"/>
        <v xml:space="preserve"> </v>
      </c>
      <c r="HW178" s="10" t="str">
        <f t="shared" si="392"/>
        <v xml:space="preserve"> </v>
      </c>
      <c r="HX178" s="10" t="str">
        <f t="shared" si="392"/>
        <v xml:space="preserve"> </v>
      </c>
      <c r="HY178" s="10" t="str">
        <f t="shared" si="392"/>
        <v xml:space="preserve"> </v>
      </c>
      <c r="HZ178" s="10" t="str">
        <f t="shared" si="392"/>
        <v xml:space="preserve"> </v>
      </c>
      <c r="IC178" s="10" t="str">
        <f t="shared" si="393"/>
        <v xml:space="preserve"> </v>
      </c>
      <c r="ID178" s="10" t="str">
        <f t="shared" si="393"/>
        <v xml:space="preserve"> </v>
      </c>
      <c r="IE178" s="10" t="str">
        <f t="shared" si="393"/>
        <v xml:space="preserve"> </v>
      </c>
      <c r="IF178" s="10" t="str">
        <f t="shared" si="393"/>
        <v xml:space="preserve"> </v>
      </c>
      <c r="IG178" s="10" t="str">
        <f t="shared" si="393"/>
        <v xml:space="preserve"> </v>
      </c>
      <c r="IJ178" s="10" t="str">
        <f t="shared" si="394"/>
        <v xml:space="preserve"> </v>
      </c>
      <c r="IK178" s="10" t="str">
        <f t="shared" si="394"/>
        <v xml:space="preserve"> </v>
      </c>
      <c r="IL178" s="10" t="str">
        <f t="shared" si="394"/>
        <v xml:space="preserve"> </v>
      </c>
      <c r="IM178" s="10" t="str">
        <f t="shared" si="394"/>
        <v xml:space="preserve"> </v>
      </c>
      <c r="IN178" s="10" t="str">
        <f t="shared" si="394"/>
        <v xml:space="preserve"> </v>
      </c>
      <c r="IQ178" s="10" t="str">
        <f t="shared" si="395"/>
        <v xml:space="preserve"> </v>
      </c>
      <c r="IR178" s="10" t="str">
        <f t="shared" si="395"/>
        <v xml:space="preserve"> </v>
      </c>
      <c r="IS178" s="10" t="str">
        <f t="shared" si="395"/>
        <v xml:space="preserve"> </v>
      </c>
      <c r="IT178" s="10" t="str">
        <f t="shared" si="395"/>
        <v xml:space="preserve"> </v>
      </c>
      <c r="IU178" s="10" t="str">
        <f t="shared" si="395"/>
        <v xml:space="preserve"> </v>
      </c>
      <c r="IX178" s="10" t="str">
        <f t="shared" si="396"/>
        <v xml:space="preserve"> </v>
      </c>
      <c r="IY178" s="10" t="str">
        <f t="shared" si="396"/>
        <v xml:space="preserve"> </v>
      </c>
      <c r="IZ178" s="10" t="str">
        <f t="shared" si="396"/>
        <v xml:space="preserve"> </v>
      </c>
      <c r="JA178" s="10" t="str">
        <f t="shared" si="396"/>
        <v xml:space="preserve"> </v>
      </c>
      <c r="JB178" s="10" t="str">
        <f t="shared" si="396"/>
        <v xml:space="preserve"> </v>
      </c>
      <c r="JE178" s="10" t="str">
        <f t="shared" si="397"/>
        <v xml:space="preserve"> </v>
      </c>
      <c r="JF178" s="10" t="str">
        <f t="shared" si="397"/>
        <v xml:space="preserve"> </v>
      </c>
      <c r="JG178" s="10" t="str">
        <f t="shared" si="397"/>
        <v xml:space="preserve"> </v>
      </c>
      <c r="JH178" s="10" t="str">
        <f t="shared" si="397"/>
        <v xml:space="preserve"> </v>
      </c>
      <c r="JI178" s="10" t="str">
        <f t="shared" si="397"/>
        <v xml:space="preserve"> </v>
      </c>
    </row>
    <row r="179" spans="13:269">
      <c r="M179" s="10" t="str">
        <f t="shared" si="361"/>
        <v xml:space="preserve"> </v>
      </c>
      <c r="N179" s="10" t="str">
        <f t="shared" si="361"/>
        <v xml:space="preserve"> </v>
      </c>
      <c r="O179" s="10" t="str">
        <f t="shared" si="361"/>
        <v xml:space="preserve"> </v>
      </c>
      <c r="P179" s="10" t="str">
        <f t="shared" si="361"/>
        <v xml:space="preserve"> </v>
      </c>
      <c r="Q179" s="10" t="str">
        <f t="shared" si="361"/>
        <v xml:space="preserve"> </v>
      </c>
      <c r="R179" s="14"/>
      <c r="S179" s="14"/>
      <c r="T179" s="10" t="str">
        <f t="shared" si="362"/>
        <v xml:space="preserve"> </v>
      </c>
      <c r="U179" s="10" t="str">
        <f t="shared" si="362"/>
        <v xml:space="preserve"> </v>
      </c>
      <c r="V179" s="10" t="str">
        <f t="shared" si="362"/>
        <v xml:space="preserve"> </v>
      </c>
      <c r="W179" s="10" t="str">
        <f t="shared" si="362"/>
        <v xml:space="preserve"> </v>
      </c>
      <c r="X179" s="10" t="str">
        <f t="shared" si="362"/>
        <v xml:space="preserve"> </v>
      </c>
      <c r="Y179" s="14"/>
      <c r="Z179" s="14"/>
      <c r="AA179" s="10" t="str">
        <f t="shared" si="363"/>
        <v xml:space="preserve"> </v>
      </c>
      <c r="AB179" s="10" t="str">
        <f t="shared" si="363"/>
        <v xml:space="preserve"> </v>
      </c>
      <c r="AC179" s="10" t="str">
        <f t="shared" si="363"/>
        <v xml:space="preserve"> </v>
      </c>
      <c r="AD179" s="10" t="str">
        <f t="shared" si="363"/>
        <v xml:space="preserve"> </v>
      </c>
      <c r="AE179" s="10" t="str">
        <f t="shared" si="363"/>
        <v xml:space="preserve"> </v>
      </c>
      <c r="AF179" s="14"/>
      <c r="AG179" s="14"/>
      <c r="AH179" s="10" t="str">
        <f t="shared" si="364"/>
        <v xml:space="preserve"> </v>
      </c>
      <c r="AI179" s="10" t="str">
        <f t="shared" si="364"/>
        <v xml:space="preserve"> </v>
      </c>
      <c r="AJ179" s="10" t="str">
        <f t="shared" si="364"/>
        <v xml:space="preserve"> </v>
      </c>
      <c r="AK179" s="10" t="str">
        <f t="shared" si="364"/>
        <v xml:space="preserve"> </v>
      </c>
      <c r="AL179" s="10" t="str">
        <f t="shared" si="364"/>
        <v xml:space="preserve"> </v>
      </c>
      <c r="AM179" s="14"/>
      <c r="AN179" s="14"/>
      <c r="AO179" s="10" t="str">
        <f t="shared" si="365"/>
        <v xml:space="preserve"> </v>
      </c>
      <c r="AP179" s="10" t="str">
        <f t="shared" si="365"/>
        <v xml:space="preserve"> </v>
      </c>
      <c r="AQ179" s="10" t="str">
        <f t="shared" si="365"/>
        <v xml:space="preserve"> </v>
      </c>
      <c r="AR179" s="10" t="str">
        <f t="shared" si="365"/>
        <v xml:space="preserve"> </v>
      </c>
      <c r="AS179" s="10" t="str">
        <f t="shared" si="365"/>
        <v xml:space="preserve"> </v>
      </c>
      <c r="AT179" s="14"/>
      <c r="AU179" s="14"/>
      <c r="AV179" s="10" t="str">
        <f t="shared" si="366"/>
        <v xml:space="preserve"> </v>
      </c>
      <c r="AW179" s="10" t="str">
        <f t="shared" si="366"/>
        <v xml:space="preserve"> </v>
      </c>
      <c r="AX179" s="10" t="str">
        <f t="shared" si="366"/>
        <v xml:space="preserve"> </v>
      </c>
      <c r="AY179" s="10" t="str">
        <f t="shared" si="366"/>
        <v xml:space="preserve"> </v>
      </c>
      <c r="AZ179" s="10" t="str">
        <f t="shared" si="366"/>
        <v xml:space="preserve"> </v>
      </c>
      <c r="BA179" s="14"/>
      <c r="BB179" s="14"/>
      <c r="BC179" s="10" t="str">
        <f t="shared" si="367"/>
        <v xml:space="preserve"> </v>
      </c>
      <c r="BD179" s="10" t="str">
        <f t="shared" si="367"/>
        <v xml:space="preserve"> </v>
      </c>
      <c r="BE179" s="10" t="str">
        <f t="shared" si="367"/>
        <v xml:space="preserve"> </v>
      </c>
      <c r="BF179" s="10" t="str">
        <f t="shared" si="367"/>
        <v xml:space="preserve"> </v>
      </c>
      <c r="BG179" s="10" t="str">
        <f t="shared" si="367"/>
        <v xml:space="preserve"> </v>
      </c>
      <c r="BH179" s="14"/>
      <c r="BI179" s="14"/>
      <c r="BJ179" s="10" t="str">
        <f t="shared" si="368"/>
        <v xml:space="preserve"> </v>
      </c>
      <c r="BK179" s="10" t="str">
        <f t="shared" si="368"/>
        <v xml:space="preserve"> </v>
      </c>
      <c r="BL179" s="10" t="str">
        <f t="shared" si="368"/>
        <v xml:space="preserve"> </v>
      </c>
      <c r="BM179" s="10" t="str">
        <f t="shared" si="368"/>
        <v xml:space="preserve"> </v>
      </c>
      <c r="BN179" s="10" t="str">
        <f t="shared" si="368"/>
        <v xml:space="preserve"> </v>
      </c>
      <c r="BO179" s="14"/>
      <c r="BP179" s="14"/>
      <c r="BQ179" s="10" t="str">
        <f t="shared" si="369"/>
        <v xml:space="preserve"> </v>
      </c>
      <c r="BR179" s="10" t="str">
        <f t="shared" si="369"/>
        <v xml:space="preserve"> </v>
      </c>
      <c r="BS179" s="10" t="str">
        <f t="shared" si="369"/>
        <v xml:space="preserve"> </v>
      </c>
      <c r="BT179" s="10" t="str">
        <f t="shared" si="369"/>
        <v xml:space="preserve"> </v>
      </c>
      <c r="BU179" s="10" t="str">
        <f t="shared" si="369"/>
        <v xml:space="preserve"> </v>
      </c>
      <c r="BV179" s="14"/>
      <c r="BW179" s="14"/>
      <c r="BX179" s="10" t="str">
        <f t="shared" si="370"/>
        <v xml:space="preserve"> </v>
      </c>
      <c r="BY179" s="10" t="str">
        <f t="shared" si="370"/>
        <v xml:space="preserve"> </v>
      </c>
      <c r="BZ179" s="10" t="str">
        <f t="shared" si="370"/>
        <v xml:space="preserve"> </v>
      </c>
      <c r="CA179" s="10" t="str">
        <f t="shared" si="370"/>
        <v xml:space="preserve"> </v>
      </c>
      <c r="CB179" s="10" t="str">
        <f t="shared" si="370"/>
        <v xml:space="preserve"> </v>
      </c>
      <c r="CC179" s="14"/>
      <c r="CD179" s="14"/>
      <c r="CE179" s="10" t="str">
        <f t="shared" si="371"/>
        <v xml:space="preserve"> </v>
      </c>
      <c r="CF179" s="10" t="str">
        <f t="shared" si="371"/>
        <v xml:space="preserve"> </v>
      </c>
      <c r="CG179" s="10" t="str">
        <f t="shared" si="371"/>
        <v xml:space="preserve"> </v>
      </c>
      <c r="CH179" s="10" t="str">
        <f t="shared" si="371"/>
        <v xml:space="preserve"> </v>
      </c>
      <c r="CI179" s="10" t="str">
        <f t="shared" si="371"/>
        <v xml:space="preserve"> </v>
      </c>
      <c r="CJ179" s="14"/>
      <c r="CK179" s="14"/>
      <c r="CL179" s="10" t="str">
        <f t="shared" si="372"/>
        <v xml:space="preserve"> </v>
      </c>
      <c r="CM179" s="10" t="str">
        <f t="shared" si="372"/>
        <v xml:space="preserve"> </v>
      </c>
      <c r="CN179" s="10" t="str">
        <f t="shared" si="372"/>
        <v xml:space="preserve"> </v>
      </c>
      <c r="CO179" s="10" t="str">
        <f t="shared" si="372"/>
        <v xml:space="preserve"> </v>
      </c>
      <c r="CP179" s="10" t="str">
        <f t="shared" si="372"/>
        <v xml:space="preserve"> </v>
      </c>
      <c r="CQ179" s="14"/>
      <c r="CR179" s="14"/>
      <c r="CS179" s="10" t="str">
        <f t="shared" si="373"/>
        <v xml:space="preserve"> </v>
      </c>
      <c r="CT179" s="10" t="str">
        <f t="shared" si="373"/>
        <v xml:space="preserve"> </v>
      </c>
      <c r="CU179" s="10" t="str">
        <f t="shared" si="373"/>
        <v xml:space="preserve"> </v>
      </c>
      <c r="CV179" s="10" t="str">
        <f t="shared" si="373"/>
        <v xml:space="preserve"> </v>
      </c>
      <c r="CW179" s="10" t="str">
        <f t="shared" si="373"/>
        <v xml:space="preserve"> </v>
      </c>
      <c r="CZ179" s="10" t="str">
        <f t="shared" si="374"/>
        <v xml:space="preserve"> </v>
      </c>
      <c r="DA179" s="10" t="str">
        <f t="shared" si="374"/>
        <v xml:space="preserve"> </v>
      </c>
      <c r="DB179" s="10" t="str">
        <f t="shared" si="374"/>
        <v xml:space="preserve"> </v>
      </c>
      <c r="DC179" s="10" t="str">
        <f t="shared" si="374"/>
        <v xml:space="preserve"> </v>
      </c>
      <c r="DD179" s="10" t="str">
        <f t="shared" si="374"/>
        <v xml:space="preserve"> </v>
      </c>
      <c r="DG179" s="10" t="str">
        <f t="shared" si="375"/>
        <v xml:space="preserve"> </v>
      </c>
      <c r="DH179" s="10" t="str">
        <f t="shared" si="375"/>
        <v xml:space="preserve"> </v>
      </c>
      <c r="DI179" s="10" t="str">
        <f t="shared" si="375"/>
        <v xml:space="preserve"> </v>
      </c>
      <c r="DJ179" s="10" t="str">
        <f t="shared" si="375"/>
        <v xml:space="preserve"> </v>
      </c>
      <c r="DK179" s="10" t="str">
        <f t="shared" si="375"/>
        <v xml:space="preserve"> </v>
      </c>
      <c r="DN179" s="10" t="str">
        <f t="shared" si="376"/>
        <v xml:space="preserve"> </v>
      </c>
      <c r="DO179" s="10" t="str">
        <f t="shared" si="376"/>
        <v xml:space="preserve"> </v>
      </c>
      <c r="DP179" s="10" t="str">
        <f t="shared" si="376"/>
        <v xml:space="preserve"> </v>
      </c>
      <c r="DQ179" s="10" t="str">
        <f t="shared" si="376"/>
        <v xml:space="preserve"> </v>
      </c>
      <c r="DR179" s="10" t="str">
        <f t="shared" si="376"/>
        <v xml:space="preserve"> </v>
      </c>
      <c r="DU179" s="10" t="str">
        <f t="shared" si="377"/>
        <v xml:space="preserve"> </v>
      </c>
      <c r="DV179" s="10" t="str">
        <f t="shared" si="377"/>
        <v xml:space="preserve"> </v>
      </c>
      <c r="DW179" s="10" t="str">
        <f t="shared" si="377"/>
        <v xml:space="preserve"> </v>
      </c>
      <c r="DX179" s="10" t="str">
        <f t="shared" si="377"/>
        <v xml:space="preserve"> </v>
      </c>
      <c r="DY179" s="10" t="str">
        <f t="shared" si="377"/>
        <v xml:space="preserve"> </v>
      </c>
      <c r="EB179" s="10" t="str">
        <f t="shared" si="378"/>
        <v xml:space="preserve"> </v>
      </c>
      <c r="EC179" s="10" t="str">
        <f t="shared" si="378"/>
        <v xml:space="preserve"> </v>
      </c>
      <c r="ED179" s="10" t="str">
        <f t="shared" si="378"/>
        <v xml:space="preserve"> </v>
      </c>
      <c r="EE179" s="10" t="str">
        <f t="shared" si="378"/>
        <v xml:space="preserve"> </v>
      </c>
      <c r="EF179" s="10" t="str">
        <f t="shared" si="378"/>
        <v xml:space="preserve"> </v>
      </c>
      <c r="EI179" s="10" t="str">
        <f t="shared" si="379"/>
        <v xml:space="preserve"> </v>
      </c>
      <c r="EJ179" s="10" t="str">
        <f t="shared" si="379"/>
        <v xml:space="preserve"> </v>
      </c>
      <c r="EK179" s="10" t="str">
        <f t="shared" si="379"/>
        <v xml:space="preserve"> </v>
      </c>
      <c r="EL179" s="10" t="str">
        <f t="shared" si="379"/>
        <v xml:space="preserve"> </v>
      </c>
      <c r="EM179" s="10" t="str">
        <f t="shared" si="379"/>
        <v xml:space="preserve"> </v>
      </c>
      <c r="EP179" s="10" t="str">
        <f t="shared" si="380"/>
        <v xml:space="preserve"> </v>
      </c>
      <c r="EQ179" s="10" t="str">
        <f t="shared" si="380"/>
        <v xml:space="preserve"> </v>
      </c>
      <c r="ER179" s="10" t="str">
        <f t="shared" si="380"/>
        <v xml:space="preserve"> </v>
      </c>
      <c r="ES179" s="10" t="str">
        <f t="shared" si="380"/>
        <v xml:space="preserve"> </v>
      </c>
      <c r="ET179" s="10" t="str">
        <f t="shared" si="380"/>
        <v xml:space="preserve"> </v>
      </c>
      <c r="EW179" s="10" t="str">
        <f t="shared" si="381"/>
        <v xml:space="preserve"> </v>
      </c>
      <c r="EX179" s="10" t="str">
        <f t="shared" si="381"/>
        <v xml:space="preserve"> </v>
      </c>
      <c r="EY179" s="10" t="str">
        <f t="shared" si="381"/>
        <v xml:space="preserve"> </v>
      </c>
      <c r="EZ179" s="10" t="str">
        <f t="shared" si="381"/>
        <v xml:space="preserve"> </v>
      </c>
      <c r="FA179" s="10" t="str">
        <f t="shared" si="381"/>
        <v xml:space="preserve"> </v>
      </c>
      <c r="FD179" s="10" t="str">
        <f t="shared" si="382"/>
        <v xml:space="preserve"> </v>
      </c>
      <c r="FE179" s="10" t="str">
        <f t="shared" si="382"/>
        <v xml:space="preserve"> </v>
      </c>
      <c r="FF179" s="10" t="str">
        <f t="shared" si="382"/>
        <v xml:space="preserve"> </v>
      </c>
      <c r="FG179" s="10" t="str">
        <f t="shared" si="382"/>
        <v xml:space="preserve"> </v>
      </c>
      <c r="FH179" s="10" t="str">
        <f t="shared" si="382"/>
        <v xml:space="preserve"> </v>
      </c>
      <c r="FK179" s="10" t="str">
        <f t="shared" si="383"/>
        <v xml:space="preserve"> </v>
      </c>
      <c r="FL179" s="10" t="str">
        <f t="shared" si="383"/>
        <v xml:space="preserve"> </v>
      </c>
      <c r="FM179" s="10" t="str">
        <f t="shared" si="383"/>
        <v xml:space="preserve"> </v>
      </c>
      <c r="FN179" s="10" t="str">
        <f t="shared" si="383"/>
        <v xml:space="preserve"> </v>
      </c>
      <c r="FO179" s="10" t="str">
        <f t="shared" si="383"/>
        <v xml:space="preserve"> </v>
      </c>
      <c r="FR179" s="10" t="str">
        <f t="shared" si="384"/>
        <v xml:space="preserve"> </v>
      </c>
      <c r="FS179" s="10" t="str">
        <f t="shared" si="384"/>
        <v xml:space="preserve"> </v>
      </c>
      <c r="FT179" s="10" t="str">
        <f t="shared" si="384"/>
        <v xml:space="preserve"> </v>
      </c>
      <c r="FU179" s="10" t="str">
        <f t="shared" si="384"/>
        <v xml:space="preserve"> </v>
      </c>
      <c r="FV179" s="10" t="str">
        <f t="shared" si="384"/>
        <v xml:space="preserve"> </v>
      </c>
      <c r="FY179" s="10" t="str">
        <f t="shared" si="385"/>
        <v xml:space="preserve"> </v>
      </c>
      <c r="FZ179" s="10" t="str">
        <f t="shared" si="385"/>
        <v xml:space="preserve"> </v>
      </c>
      <c r="GA179" s="10" t="str">
        <f t="shared" si="385"/>
        <v xml:space="preserve"> </v>
      </c>
      <c r="GB179" s="10" t="str">
        <f t="shared" si="385"/>
        <v xml:space="preserve"> </v>
      </c>
      <c r="GC179" s="10" t="str">
        <f t="shared" si="385"/>
        <v xml:space="preserve"> </v>
      </c>
      <c r="GF179" s="10" t="str">
        <f t="shared" si="386"/>
        <v xml:space="preserve"> </v>
      </c>
      <c r="GG179" s="10" t="str">
        <f t="shared" si="386"/>
        <v xml:space="preserve"> </v>
      </c>
      <c r="GH179" s="10" t="str">
        <f t="shared" si="386"/>
        <v xml:space="preserve"> </v>
      </c>
      <c r="GI179" s="10" t="str">
        <f t="shared" si="386"/>
        <v xml:space="preserve"> </v>
      </c>
      <c r="GJ179" s="10" t="str">
        <f t="shared" si="386"/>
        <v xml:space="preserve"> </v>
      </c>
      <c r="GM179" s="10" t="str">
        <f t="shared" si="387"/>
        <v xml:space="preserve"> </v>
      </c>
      <c r="GN179" s="10" t="str">
        <f t="shared" si="387"/>
        <v xml:space="preserve"> </v>
      </c>
      <c r="GO179" s="10" t="str">
        <f t="shared" si="387"/>
        <v xml:space="preserve"> </v>
      </c>
      <c r="GP179" s="10" t="str">
        <f t="shared" si="387"/>
        <v xml:space="preserve"> </v>
      </c>
      <c r="GQ179" s="10" t="str">
        <f t="shared" si="387"/>
        <v xml:space="preserve"> </v>
      </c>
      <c r="GT179" s="10" t="str">
        <f t="shared" si="388"/>
        <v xml:space="preserve"> </v>
      </c>
      <c r="GU179" s="10" t="str">
        <f t="shared" si="388"/>
        <v xml:space="preserve"> </v>
      </c>
      <c r="GV179" s="10" t="str">
        <f t="shared" si="388"/>
        <v xml:space="preserve"> </v>
      </c>
      <c r="GW179" s="10" t="str">
        <f t="shared" si="388"/>
        <v xml:space="preserve"> </v>
      </c>
      <c r="GX179" s="10" t="str">
        <f t="shared" si="388"/>
        <v xml:space="preserve"> </v>
      </c>
      <c r="HA179" s="10" t="str">
        <f t="shared" si="389"/>
        <v xml:space="preserve"> </v>
      </c>
      <c r="HB179" s="10" t="str">
        <f t="shared" si="389"/>
        <v xml:space="preserve"> </v>
      </c>
      <c r="HC179" s="10" t="str">
        <f t="shared" si="389"/>
        <v xml:space="preserve"> </v>
      </c>
      <c r="HD179" s="10" t="str">
        <f t="shared" si="389"/>
        <v xml:space="preserve"> </v>
      </c>
      <c r="HE179" s="10" t="str">
        <f t="shared" si="389"/>
        <v xml:space="preserve"> </v>
      </c>
      <c r="HH179" s="10" t="str">
        <f t="shared" si="390"/>
        <v xml:space="preserve"> </v>
      </c>
      <c r="HI179" s="10" t="str">
        <f t="shared" si="390"/>
        <v xml:space="preserve"> </v>
      </c>
      <c r="HJ179" s="10" t="str">
        <f t="shared" si="390"/>
        <v xml:space="preserve"> </v>
      </c>
      <c r="HK179" s="10" t="str">
        <f t="shared" si="390"/>
        <v xml:space="preserve"> </v>
      </c>
      <c r="HL179" s="10" t="str">
        <f t="shared" si="390"/>
        <v xml:space="preserve"> </v>
      </c>
      <c r="HO179" s="10" t="str">
        <f t="shared" si="391"/>
        <v xml:space="preserve"> </v>
      </c>
      <c r="HP179" s="10" t="str">
        <f t="shared" si="391"/>
        <v xml:space="preserve"> </v>
      </c>
      <c r="HQ179" s="10" t="str">
        <f t="shared" si="391"/>
        <v xml:space="preserve"> </v>
      </c>
      <c r="HR179" s="10" t="str">
        <f t="shared" si="391"/>
        <v xml:space="preserve"> </v>
      </c>
      <c r="HS179" s="10" t="str">
        <f t="shared" si="391"/>
        <v xml:space="preserve"> </v>
      </c>
      <c r="HV179" s="10" t="str">
        <f t="shared" si="392"/>
        <v xml:space="preserve"> </v>
      </c>
      <c r="HW179" s="10" t="str">
        <f t="shared" si="392"/>
        <v xml:space="preserve"> </v>
      </c>
      <c r="HX179" s="10" t="str">
        <f t="shared" si="392"/>
        <v xml:space="preserve"> </v>
      </c>
      <c r="HY179" s="10" t="str">
        <f t="shared" si="392"/>
        <v xml:space="preserve"> </v>
      </c>
      <c r="HZ179" s="10" t="str">
        <f t="shared" si="392"/>
        <v xml:space="preserve"> </v>
      </c>
      <c r="IC179" s="10" t="str">
        <f t="shared" si="393"/>
        <v xml:space="preserve"> </v>
      </c>
      <c r="ID179" s="10" t="str">
        <f t="shared" si="393"/>
        <v xml:space="preserve"> </v>
      </c>
      <c r="IE179" s="10" t="str">
        <f t="shared" si="393"/>
        <v xml:space="preserve"> </v>
      </c>
      <c r="IF179" s="10" t="str">
        <f t="shared" si="393"/>
        <v xml:space="preserve"> </v>
      </c>
      <c r="IG179" s="10" t="str">
        <f t="shared" si="393"/>
        <v xml:space="preserve"> </v>
      </c>
      <c r="IJ179" s="10" t="str">
        <f t="shared" si="394"/>
        <v xml:space="preserve"> </v>
      </c>
      <c r="IK179" s="10" t="str">
        <f t="shared" si="394"/>
        <v xml:space="preserve"> </v>
      </c>
      <c r="IL179" s="10" t="str">
        <f t="shared" si="394"/>
        <v xml:space="preserve"> </v>
      </c>
      <c r="IM179" s="10" t="str">
        <f t="shared" si="394"/>
        <v xml:space="preserve"> </v>
      </c>
      <c r="IN179" s="10" t="str">
        <f t="shared" si="394"/>
        <v xml:space="preserve"> </v>
      </c>
      <c r="IQ179" s="10" t="str">
        <f t="shared" si="395"/>
        <v xml:space="preserve"> </v>
      </c>
      <c r="IR179" s="10" t="str">
        <f t="shared" si="395"/>
        <v xml:space="preserve"> </v>
      </c>
      <c r="IS179" s="10" t="str">
        <f t="shared" si="395"/>
        <v xml:space="preserve"> </v>
      </c>
      <c r="IT179" s="10" t="str">
        <f t="shared" si="395"/>
        <v xml:space="preserve"> </v>
      </c>
      <c r="IU179" s="10" t="str">
        <f t="shared" si="395"/>
        <v xml:space="preserve"> </v>
      </c>
      <c r="IX179" s="10" t="str">
        <f t="shared" si="396"/>
        <v xml:space="preserve"> </v>
      </c>
      <c r="IY179" s="10" t="str">
        <f t="shared" si="396"/>
        <v xml:space="preserve"> </v>
      </c>
      <c r="IZ179" s="10" t="str">
        <f t="shared" si="396"/>
        <v xml:space="preserve"> </v>
      </c>
      <c r="JA179" s="10" t="str">
        <f t="shared" si="396"/>
        <v xml:space="preserve"> </v>
      </c>
      <c r="JB179" s="10" t="str">
        <f t="shared" si="396"/>
        <v xml:space="preserve"> </v>
      </c>
      <c r="JE179" s="10" t="str">
        <f t="shared" si="397"/>
        <v xml:space="preserve"> </v>
      </c>
      <c r="JF179" s="10" t="str">
        <f t="shared" si="397"/>
        <v xml:space="preserve"> </v>
      </c>
      <c r="JG179" s="10" t="str">
        <f t="shared" si="397"/>
        <v xml:space="preserve"> </v>
      </c>
      <c r="JH179" s="10" t="str">
        <f t="shared" si="397"/>
        <v xml:space="preserve"> </v>
      </c>
      <c r="JI179" s="10" t="str">
        <f t="shared" si="397"/>
        <v xml:space="preserve"> </v>
      </c>
    </row>
    <row r="180" spans="13:269">
      <c r="M180" s="10" t="str">
        <f t="shared" si="361"/>
        <v xml:space="preserve"> </v>
      </c>
      <c r="N180" s="10" t="str">
        <f t="shared" si="361"/>
        <v xml:space="preserve"> </v>
      </c>
      <c r="O180" s="10" t="str">
        <f t="shared" si="361"/>
        <v xml:space="preserve"> </v>
      </c>
      <c r="P180" s="10" t="str">
        <f t="shared" si="361"/>
        <v xml:space="preserve"> </v>
      </c>
      <c r="Q180" s="10" t="str">
        <f t="shared" si="361"/>
        <v xml:space="preserve"> </v>
      </c>
      <c r="R180" s="14"/>
      <c r="S180" s="14"/>
      <c r="T180" s="10" t="str">
        <f t="shared" si="362"/>
        <v xml:space="preserve"> </v>
      </c>
      <c r="U180" s="10" t="str">
        <f t="shared" si="362"/>
        <v xml:space="preserve"> </v>
      </c>
      <c r="V180" s="10" t="str">
        <f t="shared" si="362"/>
        <v xml:space="preserve"> </v>
      </c>
      <c r="W180" s="10" t="str">
        <f t="shared" si="362"/>
        <v xml:space="preserve"> </v>
      </c>
      <c r="X180" s="10" t="str">
        <f t="shared" si="362"/>
        <v xml:space="preserve"> </v>
      </c>
      <c r="Y180" s="14"/>
      <c r="Z180" s="14"/>
      <c r="AA180" s="10" t="str">
        <f t="shared" si="363"/>
        <v xml:space="preserve"> </v>
      </c>
      <c r="AB180" s="10" t="str">
        <f t="shared" si="363"/>
        <v xml:space="preserve"> </v>
      </c>
      <c r="AC180" s="10" t="str">
        <f t="shared" si="363"/>
        <v xml:space="preserve"> </v>
      </c>
      <c r="AD180" s="10" t="str">
        <f t="shared" si="363"/>
        <v xml:space="preserve"> </v>
      </c>
      <c r="AE180" s="10" t="str">
        <f t="shared" si="363"/>
        <v xml:space="preserve"> </v>
      </c>
      <c r="AF180" s="14"/>
      <c r="AG180" s="14"/>
      <c r="AH180" s="10" t="str">
        <f t="shared" si="364"/>
        <v xml:space="preserve"> </v>
      </c>
      <c r="AI180" s="10" t="str">
        <f t="shared" si="364"/>
        <v xml:space="preserve"> </v>
      </c>
      <c r="AJ180" s="10" t="str">
        <f t="shared" si="364"/>
        <v xml:space="preserve"> </v>
      </c>
      <c r="AK180" s="10" t="str">
        <f t="shared" si="364"/>
        <v xml:space="preserve"> </v>
      </c>
      <c r="AL180" s="10" t="str">
        <f t="shared" si="364"/>
        <v xml:space="preserve"> </v>
      </c>
      <c r="AM180" s="14"/>
      <c r="AN180" s="14"/>
      <c r="AO180" s="10" t="str">
        <f t="shared" si="365"/>
        <v xml:space="preserve"> </v>
      </c>
      <c r="AP180" s="10" t="str">
        <f t="shared" si="365"/>
        <v xml:space="preserve"> </v>
      </c>
      <c r="AQ180" s="10" t="str">
        <f t="shared" si="365"/>
        <v xml:space="preserve"> </v>
      </c>
      <c r="AR180" s="10" t="str">
        <f t="shared" si="365"/>
        <v xml:space="preserve"> </v>
      </c>
      <c r="AS180" s="10" t="str">
        <f t="shared" si="365"/>
        <v xml:space="preserve"> </v>
      </c>
      <c r="AT180" s="14"/>
      <c r="AU180" s="14"/>
      <c r="AV180" s="10" t="str">
        <f t="shared" si="366"/>
        <v xml:space="preserve"> </v>
      </c>
      <c r="AW180" s="10" t="str">
        <f t="shared" si="366"/>
        <v xml:space="preserve"> </v>
      </c>
      <c r="AX180" s="10" t="str">
        <f t="shared" si="366"/>
        <v xml:space="preserve"> </v>
      </c>
      <c r="AY180" s="10" t="str">
        <f t="shared" si="366"/>
        <v xml:space="preserve"> </v>
      </c>
      <c r="AZ180" s="10" t="str">
        <f t="shared" si="366"/>
        <v xml:space="preserve"> </v>
      </c>
      <c r="BA180" s="14"/>
      <c r="BB180" s="14"/>
      <c r="BC180" s="10" t="str">
        <f t="shared" si="367"/>
        <v xml:space="preserve"> </v>
      </c>
      <c r="BD180" s="10" t="str">
        <f t="shared" si="367"/>
        <v xml:space="preserve"> </v>
      </c>
      <c r="BE180" s="10" t="str">
        <f t="shared" si="367"/>
        <v xml:space="preserve"> </v>
      </c>
      <c r="BF180" s="10" t="str">
        <f t="shared" si="367"/>
        <v xml:space="preserve"> </v>
      </c>
      <c r="BG180" s="10" t="str">
        <f t="shared" si="367"/>
        <v xml:space="preserve"> </v>
      </c>
      <c r="BH180" s="14"/>
      <c r="BI180" s="14"/>
      <c r="BJ180" s="10" t="str">
        <f t="shared" si="368"/>
        <v xml:space="preserve"> </v>
      </c>
      <c r="BK180" s="10" t="str">
        <f t="shared" si="368"/>
        <v xml:space="preserve"> </v>
      </c>
      <c r="BL180" s="10" t="str">
        <f t="shared" si="368"/>
        <v xml:space="preserve"> </v>
      </c>
      <c r="BM180" s="10" t="str">
        <f t="shared" si="368"/>
        <v xml:space="preserve"> </v>
      </c>
      <c r="BN180" s="10" t="str">
        <f t="shared" si="368"/>
        <v xml:space="preserve"> </v>
      </c>
      <c r="BO180" s="14"/>
      <c r="BP180" s="14"/>
      <c r="BQ180" s="10" t="str">
        <f t="shared" si="369"/>
        <v xml:space="preserve"> </v>
      </c>
      <c r="BR180" s="10" t="str">
        <f t="shared" si="369"/>
        <v xml:space="preserve"> </v>
      </c>
      <c r="BS180" s="10" t="str">
        <f t="shared" si="369"/>
        <v xml:space="preserve"> </v>
      </c>
      <c r="BT180" s="10" t="str">
        <f t="shared" si="369"/>
        <v xml:space="preserve"> </v>
      </c>
      <c r="BU180" s="10" t="str">
        <f t="shared" si="369"/>
        <v xml:space="preserve"> </v>
      </c>
      <c r="BV180" s="14"/>
      <c r="BW180" s="14"/>
      <c r="BX180" s="10" t="str">
        <f t="shared" si="370"/>
        <v xml:space="preserve"> </v>
      </c>
      <c r="BY180" s="10" t="str">
        <f t="shared" si="370"/>
        <v xml:space="preserve"> </v>
      </c>
      <c r="BZ180" s="10" t="str">
        <f t="shared" si="370"/>
        <v xml:space="preserve"> </v>
      </c>
      <c r="CA180" s="10" t="str">
        <f t="shared" si="370"/>
        <v xml:space="preserve"> </v>
      </c>
      <c r="CB180" s="10" t="str">
        <f t="shared" si="370"/>
        <v xml:space="preserve"> </v>
      </c>
      <c r="CC180" s="14"/>
      <c r="CD180" s="14"/>
      <c r="CE180" s="10" t="str">
        <f t="shared" si="371"/>
        <v xml:space="preserve"> </v>
      </c>
      <c r="CF180" s="10" t="str">
        <f t="shared" si="371"/>
        <v xml:space="preserve"> </v>
      </c>
      <c r="CG180" s="10" t="str">
        <f t="shared" si="371"/>
        <v xml:space="preserve"> </v>
      </c>
      <c r="CH180" s="10" t="str">
        <f t="shared" si="371"/>
        <v xml:space="preserve"> </v>
      </c>
      <c r="CI180" s="10" t="str">
        <f t="shared" si="371"/>
        <v xml:space="preserve"> </v>
      </c>
      <c r="CJ180" s="14"/>
      <c r="CK180" s="14"/>
      <c r="CL180" s="10" t="str">
        <f t="shared" si="372"/>
        <v xml:space="preserve"> </v>
      </c>
      <c r="CM180" s="10" t="str">
        <f t="shared" si="372"/>
        <v xml:space="preserve"> </v>
      </c>
      <c r="CN180" s="10" t="str">
        <f t="shared" si="372"/>
        <v xml:space="preserve"> </v>
      </c>
      <c r="CO180" s="10" t="str">
        <f t="shared" si="372"/>
        <v xml:space="preserve"> </v>
      </c>
      <c r="CP180" s="10" t="str">
        <f t="shared" si="372"/>
        <v xml:space="preserve"> </v>
      </c>
      <c r="CQ180" s="14"/>
      <c r="CR180" s="14"/>
      <c r="CS180" s="10" t="str">
        <f t="shared" si="373"/>
        <v xml:space="preserve"> </v>
      </c>
      <c r="CT180" s="10" t="str">
        <f t="shared" si="373"/>
        <v xml:space="preserve"> </v>
      </c>
      <c r="CU180" s="10" t="str">
        <f t="shared" si="373"/>
        <v xml:space="preserve"> </v>
      </c>
      <c r="CV180" s="10" t="str">
        <f t="shared" si="373"/>
        <v xml:space="preserve"> </v>
      </c>
      <c r="CW180" s="10" t="str">
        <f t="shared" si="373"/>
        <v xml:space="preserve"> </v>
      </c>
      <c r="CZ180" s="10" t="str">
        <f t="shared" si="374"/>
        <v xml:space="preserve"> </v>
      </c>
      <c r="DA180" s="10" t="str">
        <f t="shared" si="374"/>
        <v xml:space="preserve"> </v>
      </c>
      <c r="DB180" s="10" t="str">
        <f t="shared" si="374"/>
        <v xml:space="preserve"> </v>
      </c>
      <c r="DC180" s="10" t="str">
        <f t="shared" si="374"/>
        <v xml:space="preserve"> </v>
      </c>
      <c r="DD180" s="10" t="str">
        <f t="shared" si="374"/>
        <v xml:space="preserve"> </v>
      </c>
      <c r="DG180" s="10" t="str">
        <f t="shared" si="375"/>
        <v xml:space="preserve"> </v>
      </c>
      <c r="DH180" s="10" t="str">
        <f t="shared" si="375"/>
        <v xml:space="preserve"> </v>
      </c>
      <c r="DI180" s="10" t="str">
        <f t="shared" si="375"/>
        <v xml:space="preserve"> </v>
      </c>
      <c r="DJ180" s="10" t="str">
        <f t="shared" si="375"/>
        <v xml:space="preserve"> </v>
      </c>
      <c r="DK180" s="10" t="str">
        <f t="shared" si="375"/>
        <v xml:space="preserve"> </v>
      </c>
      <c r="DN180" s="10" t="str">
        <f t="shared" si="376"/>
        <v xml:space="preserve"> </v>
      </c>
      <c r="DO180" s="10" t="str">
        <f t="shared" si="376"/>
        <v xml:space="preserve"> </v>
      </c>
      <c r="DP180" s="10" t="str">
        <f t="shared" si="376"/>
        <v xml:space="preserve"> </v>
      </c>
      <c r="DQ180" s="10" t="str">
        <f t="shared" si="376"/>
        <v xml:space="preserve"> </v>
      </c>
      <c r="DR180" s="10" t="str">
        <f t="shared" si="376"/>
        <v xml:space="preserve"> </v>
      </c>
      <c r="DU180" s="10" t="str">
        <f t="shared" si="377"/>
        <v xml:space="preserve"> </v>
      </c>
      <c r="DV180" s="10" t="str">
        <f t="shared" si="377"/>
        <v xml:space="preserve"> </v>
      </c>
      <c r="DW180" s="10" t="str">
        <f t="shared" si="377"/>
        <v xml:space="preserve"> </v>
      </c>
      <c r="DX180" s="10" t="str">
        <f t="shared" si="377"/>
        <v xml:space="preserve"> </v>
      </c>
      <c r="DY180" s="10" t="str">
        <f t="shared" si="377"/>
        <v xml:space="preserve"> </v>
      </c>
      <c r="EB180" s="10" t="str">
        <f t="shared" si="378"/>
        <v xml:space="preserve"> </v>
      </c>
      <c r="EC180" s="10" t="str">
        <f t="shared" si="378"/>
        <v xml:space="preserve"> </v>
      </c>
      <c r="ED180" s="10" t="str">
        <f t="shared" si="378"/>
        <v xml:space="preserve"> </v>
      </c>
      <c r="EE180" s="10" t="str">
        <f t="shared" si="378"/>
        <v xml:space="preserve"> </v>
      </c>
      <c r="EF180" s="10" t="str">
        <f t="shared" si="378"/>
        <v xml:space="preserve"> </v>
      </c>
      <c r="EI180" s="10" t="str">
        <f t="shared" si="379"/>
        <v xml:space="preserve"> </v>
      </c>
      <c r="EJ180" s="10" t="str">
        <f t="shared" si="379"/>
        <v xml:space="preserve"> </v>
      </c>
      <c r="EK180" s="10" t="str">
        <f t="shared" si="379"/>
        <v xml:space="preserve"> </v>
      </c>
      <c r="EL180" s="10" t="str">
        <f t="shared" si="379"/>
        <v xml:space="preserve"> </v>
      </c>
      <c r="EM180" s="10" t="str">
        <f t="shared" si="379"/>
        <v xml:space="preserve"> </v>
      </c>
      <c r="EP180" s="10" t="str">
        <f t="shared" si="380"/>
        <v xml:space="preserve"> </v>
      </c>
      <c r="EQ180" s="10" t="str">
        <f t="shared" si="380"/>
        <v xml:space="preserve"> </v>
      </c>
      <c r="ER180" s="10" t="str">
        <f t="shared" si="380"/>
        <v xml:space="preserve"> </v>
      </c>
      <c r="ES180" s="10" t="str">
        <f t="shared" si="380"/>
        <v xml:space="preserve"> </v>
      </c>
      <c r="ET180" s="10" t="str">
        <f t="shared" si="380"/>
        <v xml:space="preserve"> </v>
      </c>
      <c r="EW180" s="10" t="str">
        <f t="shared" si="381"/>
        <v xml:space="preserve"> </v>
      </c>
      <c r="EX180" s="10" t="str">
        <f t="shared" si="381"/>
        <v xml:space="preserve"> </v>
      </c>
      <c r="EY180" s="10" t="str">
        <f t="shared" si="381"/>
        <v xml:space="preserve"> </v>
      </c>
      <c r="EZ180" s="10" t="str">
        <f t="shared" si="381"/>
        <v xml:space="preserve"> </v>
      </c>
      <c r="FA180" s="10" t="str">
        <f t="shared" si="381"/>
        <v xml:space="preserve"> </v>
      </c>
      <c r="FD180" s="10" t="str">
        <f t="shared" si="382"/>
        <v xml:space="preserve"> </v>
      </c>
      <c r="FE180" s="10" t="str">
        <f t="shared" si="382"/>
        <v xml:space="preserve"> </v>
      </c>
      <c r="FF180" s="10" t="str">
        <f t="shared" si="382"/>
        <v xml:space="preserve"> </v>
      </c>
      <c r="FG180" s="10" t="str">
        <f t="shared" si="382"/>
        <v xml:space="preserve"> </v>
      </c>
      <c r="FH180" s="10" t="str">
        <f t="shared" si="382"/>
        <v xml:space="preserve"> </v>
      </c>
      <c r="FK180" s="10" t="str">
        <f t="shared" si="383"/>
        <v xml:space="preserve"> </v>
      </c>
      <c r="FL180" s="10" t="str">
        <f t="shared" si="383"/>
        <v xml:space="preserve"> </v>
      </c>
      <c r="FM180" s="10" t="str">
        <f t="shared" si="383"/>
        <v xml:space="preserve"> </v>
      </c>
      <c r="FN180" s="10" t="str">
        <f t="shared" si="383"/>
        <v xml:space="preserve"> </v>
      </c>
      <c r="FO180" s="10" t="str">
        <f t="shared" si="383"/>
        <v xml:space="preserve"> </v>
      </c>
      <c r="FR180" s="10" t="str">
        <f t="shared" si="384"/>
        <v xml:space="preserve"> </v>
      </c>
      <c r="FS180" s="10" t="str">
        <f t="shared" si="384"/>
        <v xml:space="preserve"> </v>
      </c>
      <c r="FT180" s="10" t="str">
        <f t="shared" si="384"/>
        <v xml:space="preserve"> </v>
      </c>
      <c r="FU180" s="10" t="str">
        <f t="shared" si="384"/>
        <v xml:space="preserve"> </v>
      </c>
      <c r="FV180" s="10" t="str">
        <f t="shared" si="384"/>
        <v xml:space="preserve"> </v>
      </c>
      <c r="FY180" s="10" t="str">
        <f t="shared" si="385"/>
        <v xml:space="preserve"> </v>
      </c>
      <c r="FZ180" s="10" t="str">
        <f t="shared" si="385"/>
        <v xml:space="preserve"> </v>
      </c>
      <c r="GA180" s="10" t="str">
        <f t="shared" si="385"/>
        <v xml:space="preserve"> </v>
      </c>
      <c r="GB180" s="10" t="str">
        <f t="shared" si="385"/>
        <v xml:space="preserve"> </v>
      </c>
      <c r="GC180" s="10" t="str">
        <f t="shared" si="385"/>
        <v xml:space="preserve"> </v>
      </c>
      <c r="GF180" s="10" t="str">
        <f t="shared" si="386"/>
        <v xml:space="preserve"> </v>
      </c>
      <c r="GG180" s="10" t="str">
        <f t="shared" si="386"/>
        <v xml:space="preserve"> </v>
      </c>
      <c r="GH180" s="10" t="str">
        <f t="shared" si="386"/>
        <v xml:space="preserve"> </v>
      </c>
      <c r="GI180" s="10" t="str">
        <f t="shared" si="386"/>
        <v xml:space="preserve"> </v>
      </c>
      <c r="GJ180" s="10" t="str">
        <f t="shared" si="386"/>
        <v xml:space="preserve"> </v>
      </c>
      <c r="GM180" s="10" t="str">
        <f t="shared" si="387"/>
        <v xml:space="preserve"> </v>
      </c>
      <c r="GN180" s="10" t="str">
        <f t="shared" si="387"/>
        <v xml:space="preserve"> </v>
      </c>
      <c r="GO180" s="10" t="str">
        <f t="shared" si="387"/>
        <v xml:space="preserve"> </v>
      </c>
      <c r="GP180" s="10" t="str">
        <f t="shared" si="387"/>
        <v xml:space="preserve"> </v>
      </c>
      <c r="GQ180" s="10" t="str">
        <f t="shared" si="387"/>
        <v xml:space="preserve"> </v>
      </c>
      <c r="GT180" s="10" t="str">
        <f t="shared" si="388"/>
        <v xml:space="preserve"> </v>
      </c>
      <c r="GU180" s="10" t="str">
        <f t="shared" si="388"/>
        <v xml:space="preserve"> </v>
      </c>
      <c r="GV180" s="10" t="str">
        <f t="shared" si="388"/>
        <v xml:space="preserve"> </v>
      </c>
      <c r="GW180" s="10" t="str">
        <f t="shared" si="388"/>
        <v xml:space="preserve"> </v>
      </c>
      <c r="GX180" s="10" t="str">
        <f t="shared" si="388"/>
        <v xml:space="preserve"> </v>
      </c>
      <c r="HA180" s="10" t="str">
        <f t="shared" si="389"/>
        <v xml:space="preserve"> </v>
      </c>
      <c r="HB180" s="10" t="str">
        <f t="shared" si="389"/>
        <v xml:space="preserve"> </v>
      </c>
      <c r="HC180" s="10" t="str">
        <f t="shared" si="389"/>
        <v xml:space="preserve"> </v>
      </c>
      <c r="HD180" s="10" t="str">
        <f t="shared" si="389"/>
        <v xml:space="preserve"> </v>
      </c>
      <c r="HE180" s="10" t="str">
        <f t="shared" si="389"/>
        <v xml:space="preserve"> </v>
      </c>
      <c r="HH180" s="10" t="str">
        <f t="shared" si="390"/>
        <v xml:space="preserve"> </v>
      </c>
      <c r="HI180" s="10" t="str">
        <f t="shared" si="390"/>
        <v xml:space="preserve"> </v>
      </c>
      <c r="HJ180" s="10" t="str">
        <f t="shared" si="390"/>
        <v xml:space="preserve"> </v>
      </c>
      <c r="HK180" s="10" t="str">
        <f t="shared" si="390"/>
        <v xml:space="preserve"> </v>
      </c>
      <c r="HL180" s="10" t="str">
        <f t="shared" si="390"/>
        <v xml:space="preserve"> </v>
      </c>
      <c r="HO180" s="10" t="str">
        <f t="shared" si="391"/>
        <v xml:space="preserve"> </v>
      </c>
      <c r="HP180" s="10" t="str">
        <f t="shared" si="391"/>
        <v xml:space="preserve"> </v>
      </c>
      <c r="HQ180" s="10" t="str">
        <f t="shared" si="391"/>
        <v xml:space="preserve"> </v>
      </c>
      <c r="HR180" s="10" t="str">
        <f t="shared" si="391"/>
        <v xml:space="preserve"> </v>
      </c>
      <c r="HS180" s="10" t="str">
        <f t="shared" si="391"/>
        <v xml:space="preserve"> </v>
      </c>
      <c r="HV180" s="10" t="str">
        <f t="shared" si="392"/>
        <v xml:space="preserve"> </v>
      </c>
      <c r="HW180" s="10" t="str">
        <f t="shared" si="392"/>
        <v xml:space="preserve"> </v>
      </c>
      <c r="HX180" s="10" t="str">
        <f t="shared" si="392"/>
        <v xml:space="preserve"> </v>
      </c>
      <c r="HY180" s="10" t="str">
        <f t="shared" si="392"/>
        <v xml:space="preserve"> </v>
      </c>
      <c r="HZ180" s="10" t="str">
        <f t="shared" si="392"/>
        <v xml:space="preserve"> </v>
      </c>
      <c r="IC180" s="10" t="str">
        <f t="shared" si="393"/>
        <v xml:space="preserve"> </v>
      </c>
      <c r="ID180" s="10" t="str">
        <f t="shared" si="393"/>
        <v xml:space="preserve"> </v>
      </c>
      <c r="IE180" s="10" t="str">
        <f t="shared" si="393"/>
        <v xml:space="preserve"> </v>
      </c>
      <c r="IF180" s="10" t="str">
        <f t="shared" si="393"/>
        <v xml:space="preserve"> </v>
      </c>
      <c r="IG180" s="10" t="str">
        <f t="shared" si="393"/>
        <v xml:space="preserve"> </v>
      </c>
      <c r="IJ180" s="10" t="str">
        <f t="shared" si="394"/>
        <v xml:space="preserve"> </v>
      </c>
      <c r="IK180" s="10" t="str">
        <f t="shared" si="394"/>
        <v xml:space="preserve"> </v>
      </c>
      <c r="IL180" s="10" t="str">
        <f t="shared" si="394"/>
        <v xml:space="preserve"> </v>
      </c>
      <c r="IM180" s="10" t="str">
        <f t="shared" si="394"/>
        <v xml:space="preserve"> </v>
      </c>
      <c r="IN180" s="10" t="str">
        <f t="shared" si="394"/>
        <v xml:space="preserve"> </v>
      </c>
      <c r="IQ180" s="10" t="str">
        <f t="shared" si="395"/>
        <v xml:space="preserve"> </v>
      </c>
      <c r="IR180" s="10" t="str">
        <f t="shared" si="395"/>
        <v xml:space="preserve"> </v>
      </c>
      <c r="IS180" s="10" t="str">
        <f t="shared" si="395"/>
        <v xml:space="preserve"> </v>
      </c>
      <c r="IT180" s="10" t="str">
        <f t="shared" si="395"/>
        <v xml:space="preserve"> </v>
      </c>
      <c r="IU180" s="10" t="str">
        <f t="shared" si="395"/>
        <v xml:space="preserve"> </v>
      </c>
      <c r="IX180" s="10" t="str">
        <f t="shared" si="396"/>
        <v xml:space="preserve"> </v>
      </c>
      <c r="IY180" s="10" t="str">
        <f t="shared" si="396"/>
        <v xml:space="preserve"> </v>
      </c>
      <c r="IZ180" s="10" t="str">
        <f t="shared" si="396"/>
        <v xml:space="preserve"> </v>
      </c>
      <c r="JA180" s="10" t="str">
        <f t="shared" si="396"/>
        <v xml:space="preserve"> </v>
      </c>
      <c r="JB180" s="10" t="str">
        <f t="shared" si="396"/>
        <v xml:space="preserve"> </v>
      </c>
      <c r="JE180" s="10" t="str">
        <f t="shared" si="397"/>
        <v xml:space="preserve"> </v>
      </c>
      <c r="JF180" s="10" t="str">
        <f t="shared" si="397"/>
        <v xml:space="preserve"> </v>
      </c>
      <c r="JG180" s="10" t="str">
        <f t="shared" si="397"/>
        <v xml:space="preserve"> </v>
      </c>
      <c r="JH180" s="10" t="str">
        <f t="shared" si="397"/>
        <v xml:space="preserve"> </v>
      </c>
      <c r="JI180" s="10" t="str">
        <f t="shared" si="397"/>
        <v xml:space="preserve"> </v>
      </c>
    </row>
    <row r="181" spans="13:269">
      <c r="M181" s="10" t="str">
        <f t="shared" si="361"/>
        <v xml:space="preserve"> </v>
      </c>
      <c r="N181" s="10" t="str">
        <f t="shared" si="361"/>
        <v xml:space="preserve"> </v>
      </c>
      <c r="O181" s="10" t="str">
        <f t="shared" si="361"/>
        <v xml:space="preserve"> </v>
      </c>
      <c r="P181" s="10" t="str">
        <f t="shared" si="361"/>
        <v xml:space="preserve"> </v>
      </c>
      <c r="Q181" s="10" t="str">
        <f t="shared" si="361"/>
        <v xml:space="preserve"> </v>
      </c>
      <c r="R181" s="14"/>
      <c r="S181" s="14"/>
      <c r="T181" s="10" t="str">
        <f t="shared" si="362"/>
        <v xml:space="preserve"> </v>
      </c>
      <c r="U181" s="10" t="str">
        <f t="shared" si="362"/>
        <v xml:space="preserve"> </v>
      </c>
      <c r="V181" s="10" t="str">
        <f t="shared" si="362"/>
        <v xml:space="preserve"> </v>
      </c>
      <c r="W181" s="10" t="str">
        <f t="shared" si="362"/>
        <v xml:space="preserve"> </v>
      </c>
      <c r="X181" s="10" t="str">
        <f t="shared" si="362"/>
        <v xml:space="preserve"> </v>
      </c>
      <c r="Y181" s="14"/>
      <c r="Z181" s="14"/>
      <c r="AA181" s="10" t="str">
        <f t="shared" si="363"/>
        <v xml:space="preserve"> </v>
      </c>
      <c r="AB181" s="10" t="str">
        <f t="shared" si="363"/>
        <v xml:space="preserve"> </v>
      </c>
      <c r="AC181" s="10" t="str">
        <f t="shared" si="363"/>
        <v xml:space="preserve"> </v>
      </c>
      <c r="AD181" s="10" t="str">
        <f t="shared" si="363"/>
        <v xml:space="preserve"> </v>
      </c>
      <c r="AE181" s="10" t="str">
        <f t="shared" si="363"/>
        <v xml:space="preserve"> </v>
      </c>
      <c r="AF181" s="14"/>
      <c r="AG181" s="14"/>
      <c r="AH181" s="10" t="str">
        <f t="shared" si="364"/>
        <v xml:space="preserve"> </v>
      </c>
      <c r="AI181" s="10" t="str">
        <f t="shared" si="364"/>
        <v xml:space="preserve"> </v>
      </c>
      <c r="AJ181" s="10" t="str">
        <f t="shared" si="364"/>
        <v xml:space="preserve"> </v>
      </c>
      <c r="AK181" s="10" t="str">
        <f t="shared" si="364"/>
        <v xml:space="preserve"> </v>
      </c>
      <c r="AL181" s="10" t="str">
        <f t="shared" si="364"/>
        <v xml:space="preserve"> </v>
      </c>
      <c r="AM181" s="14"/>
      <c r="AN181" s="14"/>
      <c r="AO181" s="10" t="str">
        <f t="shared" si="365"/>
        <v xml:space="preserve"> </v>
      </c>
      <c r="AP181" s="10" t="str">
        <f t="shared" si="365"/>
        <v xml:space="preserve"> </v>
      </c>
      <c r="AQ181" s="10" t="str">
        <f t="shared" si="365"/>
        <v xml:space="preserve"> </v>
      </c>
      <c r="AR181" s="10" t="str">
        <f t="shared" si="365"/>
        <v xml:space="preserve"> </v>
      </c>
      <c r="AS181" s="10" t="str">
        <f t="shared" si="365"/>
        <v xml:space="preserve"> </v>
      </c>
      <c r="AT181" s="14"/>
      <c r="AU181" s="14"/>
      <c r="AV181" s="10" t="str">
        <f t="shared" si="366"/>
        <v xml:space="preserve"> </v>
      </c>
      <c r="AW181" s="10" t="str">
        <f t="shared" si="366"/>
        <v xml:space="preserve"> </v>
      </c>
      <c r="AX181" s="10" t="str">
        <f t="shared" si="366"/>
        <v xml:space="preserve"> </v>
      </c>
      <c r="AY181" s="10" t="str">
        <f t="shared" si="366"/>
        <v xml:space="preserve"> </v>
      </c>
      <c r="AZ181" s="10" t="str">
        <f t="shared" si="366"/>
        <v xml:space="preserve"> </v>
      </c>
      <c r="BA181" s="14"/>
      <c r="BB181" s="14"/>
      <c r="BC181" s="10" t="str">
        <f t="shared" si="367"/>
        <v xml:space="preserve"> </v>
      </c>
      <c r="BD181" s="10" t="str">
        <f t="shared" si="367"/>
        <v xml:space="preserve"> </v>
      </c>
      <c r="BE181" s="10" t="str">
        <f t="shared" si="367"/>
        <v xml:space="preserve"> </v>
      </c>
      <c r="BF181" s="10" t="str">
        <f t="shared" si="367"/>
        <v xml:space="preserve"> </v>
      </c>
      <c r="BG181" s="10" t="str">
        <f t="shared" si="367"/>
        <v xml:space="preserve"> </v>
      </c>
      <c r="BH181" s="14"/>
      <c r="BI181" s="14"/>
      <c r="BJ181" s="10" t="str">
        <f t="shared" si="368"/>
        <v xml:space="preserve"> </v>
      </c>
      <c r="BK181" s="10" t="str">
        <f t="shared" si="368"/>
        <v xml:space="preserve"> </v>
      </c>
      <c r="BL181" s="10" t="str">
        <f t="shared" si="368"/>
        <v xml:space="preserve"> </v>
      </c>
      <c r="BM181" s="10" t="str">
        <f t="shared" si="368"/>
        <v xml:space="preserve"> </v>
      </c>
      <c r="BN181" s="10" t="str">
        <f t="shared" si="368"/>
        <v xml:space="preserve"> </v>
      </c>
      <c r="BO181" s="14"/>
      <c r="BP181" s="14"/>
      <c r="BQ181" s="10" t="str">
        <f t="shared" si="369"/>
        <v xml:space="preserve"> </v>
      </c>
      <c r="BR181" s="10" t="str">
        <f t="shared" si="369"/>
        <v xml:space="preserve"> </v>
      </c>
      <c r="BS181" s="10" t="str">
        <f t="shared" si="369"/>
        <v xml:space="preserve"> </v>
      </c>
      <c r="BT181" s="10" t="str">
        <f t="shared" si="369"/>
        <v xml:space="preserve"> </v>
      </c>
      <c r="BU181" s="10" t="str">
        <f t="shared" si="369"/>
        <v xml:space="preserve"> </v>
      </c>
      <c r="BV181" s="14"/>
      <c r="BW181" s="14"/>
      <c r="BX181" s="10" t="str">
        <f t="shared" si="370"/>
        <v xml:space="preserve"> </v>
      </c>
      <c r="BY181" s="10" t="str">
        <f t="shared" si="370"/>
        <v xml:space="preserve"> </v>
      </c>
      <c r="BZ181" s="10" t="str">
        <f t="shared" si="370"/>
        <v xml:space="preserve"> </v>
      </c>
      <c r="CA181" s="10" t="str">
        <f t="shared" si="370"/>
        <v xml:space="preserve"> </v>
      </c>
      <c r="CB181" s="10" t="str">
        <f t="shared" si="370"/>
        <v xml:space="preserve"> </v>
      </c>
      <c r="CC181" s="14"/>
      <c r="CD181" s="14"/>
      <c r="CE181" s="10" t="str">
        <f t="shared" si="371"/>
        <v xml:space="preserve"> </v>
      </c>
      <c r="CF181" s="10" t="str">
        <f t="shared" si="371"/>
        <v xml:space="preserve"> </v>
      </c>
      <c r="CG181" s="10" t="str">
        <f t="shared" si="371"/>
        <v xml:space="preserve"> </v>
      </c>
      <c r="CH181" s="10" t="str">
        <f t="shared" si="371"/>
        <v xml:space="preserve"> </v>
      </c>
      <c r="CI181" s="10" t="str">
        <f t="shared" si="371"/>
        <v xml:space="preserve"> </v>
      </c>
      <c r="CJ181" s="14"/>
      <c r="CK181" s="14"/>
      <c r="CL181" s="10" t="str">
        <f t="shared" si="372"/>
        <v xml:space="preserve"> </v>
      </c>
      <c r="CM181" s="10" t="str">
        <f t="shared" si="372"/>
        <v xml:space="preserve"> </v>
      </c>
      <c r="CN181" s="10" t="str">
        <f t="shared" si="372"/>
        <v xml:space="preserve"> </v>
      </c>
      <c r="CO181" s="10" t="str">
        <f t="shared" si="372"/>
        <v xml:space="preserve"> </v>
      </c>
      <c r="CP181" s="10" t="str">
        <f t="shared" si="372"/>
        <v xml:space="preserve"> </v>
      </c>
      <c r="CQ181" s="14"/>
      <c r="CR181" s="14"/>
      <c r="CS181" s="10" t="str">
        <f t="shared" si="373"/>
        <v xml:space="preserve"> </v>
      </c>
      <c r="CT181" s="10" t="str">
        <f t="shared" si="373"/>
        <v xml:space="preserve"> </v>
      </c>
      <c r="CU181" s="10" t="str">
        <f t="shared" si="373"/>
        <v xml:space="preserve"> </v>
      </c>
      <c r="CV181" s="10" t="str">
        <f t="shared" si="373"/>
        <v xml:space="preserve"> </v>
      </c>
      <c r="CW181" s="10" t="str">
        <f t="shared" si="373"/>
        <v xml:space="preserve"> </v>
      </c>
      <c r="CZ181" s="10" t="str">
        <f t="shared" si="374"/>
        <v xml:space="preserve"> </v>
      </c>
      <c r="DA181" s="10" t="str">
        <f t="shared" si="374"/>
        <v xml:space="preserve"> </v>
      </c>
      <c r="DB181" s="10" t="str">
        <f t="shared" si="374"/>
        <v xml:space="preserve"> </v>
      </c>
      <c r="DC181" s="10" t="str">
        <f t="shared" si="374"/>
        <v xml:space="preserve"> </v>
      </c>
      <c r="DD181" s="10" t="str">
        <f t="shared" si="374"/>
        <v xml:space="preserve"> </v>
      </c>
      <c r="DG181" s="10" t="str">
        <f t="shared" si="375"/>
        <v xml:space="preserve"> </v>
      </c>
      <c r="DH181" s="10" t="str">
        <f t="shared" si="375"/>
        <v xml:space="preserve"> </v>
      </c>
      <c r="DI181" s="10" t="str">
        <f t="shared" si="375"/>
        <v xml:space="preserve"> </v>
      </c>
      <c r="DJ181" s="10" t="str">
        <f t="shared" si="375"/>
        <v xml:space="preserve"> </v>
      </c>
      <c r="DK181" s="10" t="str">
        <f t="shared" si="375"/>
        <v xml:space="preserve"> </v>
      </c>
      <c r="DN181" s="10" t="str">
        <f t="shared" si="376"/>
        <v xml:space="preserve"> </v>
      </c>
      <c r="DO181" s="10" t="str">
        <f t="shared" si="376"/>
        <v xml:space="preserve"> </v>
      </c>
      <c r="DP181" s="10" t="str">
        <f t="shared" si="376"/>
        <v xml:space="preserve"> </v>
      </c>
      <c r="DQ181" s="10" t="str">
        <f t="shared" si="376"/>
        <v xml:space="preserve"> </v>
      </c>
      <c r="DR181" s="10" t="str">
        <f t="shared" si="376"/>
        <v xml:space="preserve"> </v>
      </c>
      <c r="DU181" s="10" t="str">
        <f t="shared" si="377"/>
        <v xml:space="preserve"> </v>
      </c>
      <c r="DV181" s="10" t="str">
        <f t="shared" si="377"/>
        <v xml:space="preserve"> </v>
      </c>
      <c r="DW181" s="10" t="str">
        <f t="shared" si="377"/>
        <v xml:space="preserve"> </v>
      </c>
      <c r="DX181" s="10" t="str">
        <f t="shared" si="377"/>
        <v xml:space="preserve"> </v>
      </c>
      <c r="DY181" s="10" t="str">
        <f t="shared" si="377"/>
        <v xml:space="preserve"> </v>
      </c>
      <c r="EB181" s="10" t="str">
        <f t="shared" si="378"/>
        <v xml:space="preserve"> </v>
      </c>
      <c r="EC181" s="10" t="str">
        <f t="shared" si="378"/>
        <v xml:space="preserve"> </v>
      </c>
      <c r="ED181" s="10" t="str">
        <f t="shared" si="378"/>
        <v xml:space="preserve"> </v>
      </c>
      <c r="EE181" s="10" t="str">
        <f t="shared" si="378"/>
        <v xml:space="preserve"> </v>
      </c>
      <c r="EF181" s="10" t="str">
        <f t="shared" si="378"/>
        <v xml:space="preserve"> </v>
      </c>
      <c r="EI181" s="10" t="str">
        <f t="shared" si="379"/>
        <v xml:space="preserve"> </v>
      </c>
      <c r="EJ181" s="10" t="str">
        <f t="shared" si="379"/>
        <v xml:space="preserve"> </v>
      </c>
      <c r="EK181" s="10" t="str">
        <f t="shared" si="379"/>
        <v xml:space="preserve"> </v>
      </c>
      <c r="EL181" s="10" t="str">
        <f t="shared" si="379"/>
        <v xml:space="preserve"> </v>
      </c>
      <c r="EM181" s="10" t="str">
        <f t="shared" si="379"/>
        <v xml:space="preserve"> </v>
      </c>
      <c r="EP181" s="10" t="str">
        <f t="shared" si="380"/>
        <v xml:space="preserve"> </v>
      </c>
      <c r="EQ181" s="10" t="str">
        <f t="shared" si="380"/>
        <v xml:space="preserve"> </v>
      </c>
      <c r="ER181" s="10" t="str">
        <f t="shared" si="380"/>
        <v xml:space="preserve"> </v>
      </c>
      <c r="ES181" s="10" t="str">
        <f t="shared" si="380"/>
        <v xml:space="preserve"> </v>
      </c>
      <c r="ET181" s="10" t="str">
        <f t="shared" si="380"/>
        <v xml:space="preserve"> </v>
      </c>
      <c r="EW181" s="10" t="str">
        <f t="shared" si="381"/>
        <v xml:space="preserve"> </v>
      </c>
      <c r="EX181" s="10" t="str">
        <f t="shared" si="381"/>
        <v xml:space="preserve"> </v>
      </c>
      <c r="EY181" s="10" t="str">
        <f t="shared" si="381"/>
        <v xml:space="preserve"> </v>
      </c>
      <c r="EZ181" s="10" t="str">
        <f t="shared" si="381"/>
        <v xml:space="preserve"> </v>
      </c>
      <c r="FA181" s="10" t="str">
        <f t="shared" si="381"/>
        <v xml:space="preserve"> </v>
      </c>
      <c r="FD181" s="10" t="str">
        <f t="shared" si="382"/>
        <v xml:space="preserve"> </v>
      </c>
      <c r="FE181" s="10" t="str">
        <f t="shared" si="382"/>
        <v xml:space="preserve"> </v>
      </c>
      <c r="FF181" s="10" t="str">
        <f t="shared" si="382"/>
        <v xml:space="preserve"> </v>
      </c>
      <c r="FG181" s="10" t="str">
        <f t="shared" si="382"/>
        <v xml:space="preserve"> </v>
      </c>
      <c r="FH181" s="10" t="str">
        <f t="shared" si="382"/>
        <v xml:space="preserve"> </v>
      </c>
      <c r="FK181" s="10" t="str">
        <f t="shared" si="383"/>
        <v xml:space="preserve"> </v>
      </c>
      <c r="FL181" s="10" t="str">
        <f t="shared" si="383"/>
        <v xml:space="preserve"> </v>
      </c>
      <c r="FM181" s="10" t="str">
        <f t="shared" si="383"/>
        <v xml:space="preserve"> </v>
      </c>
      <c r="FN181" s="10" t="str">
        <f t="shared" si="383"/>
        <v xml:space="preserve"> </v>
      </c>
      <c r="FO181" s="10" t="str">
        <f t="shared" si="383"/>
        <v xml:space="preserve"> </v>
      </c>
      <c r="FR181" s="10" t="str">
        <f t="shared" si="384"/>
        <v xml:space="preserve"> </v>
      </c>
      <c r="FS181" s="10" t="str">
        <f t="shared" si="384"/>
        <v xml:space="preserve"> </v>
      </c>
      <c r="FT181" s="10" t="str">
        <f t="shared" si="384"/>
        <v xml:space="preserve"> </v>
      </c>
      <c r="FU181" s="10" t="str">
        <f t="shared" si="384"/>
        <v xml:space="preserve"> </v>
      </c>
      <c r="FV181" s="10" t="str">
        <f t="shared" si="384"/>
        <v xml:space="preserve"> </v>
      </c>
      <c r="FY181" s="10" t="str">
        <f t="shared" si="385"/>
        <v xml:space="preserve"> </v>
      </c>
      <c r="FZ181" s="10" t="str">
        <f t="shared" si="385"/>
        <v xml:space="preserve"> </v>
      </c>
      <c r="GA181" s="10" t="str">
        <f t="shared" si="385"/>
        <v xml:space="preserve"> </v>
      </c>
      <c r="GB181" s="10" t="str">
        <f t="shared" si="385"/>
        <v xml:space="preserve"> </v>
      </c>
      <c r="GC181" s="10" t="str">
        <f t="shared" si="385"/>
        <v xml:space="preserve"> </v>
      </c>
      <c r="GF181" s="10" t="str">
        <f t="shared" si="386"/>
        <v xml:space="preserve"> </v>
      </c>
      <c r="GG181" s="10" t="str">
        <f t="shared" si="386"/>
        <v xml:space="preserve"> </v>
      </c>
      <c r="GH181" s="10" t="str">
        <f t="shared" si="386"/>
        <v xml:space="preserve"> </v>
      </c>
      <c r="GI181" s="10" t="str">
        <f t="shared" si="386"/>
        <v xml:space="preserve"> </v>
      </c>
      <c r="GJ181" s="10" t="str">
        <f t="shared" si="386"/>
        <v xml:space="preserve"> </v>
      </c>
      <c r="GM181" s="10" t="str">
        <f t="shared" si="387"/>
        <v xml:space="preserve"> </v>
      </c>
      <c r="GN181" s="10" t="str">
        <f t="shared" si="387"/>
        <v xml:space="preserve"> </v>
      </c>
      <c r="GO181" s="10" t="str">
        <f t="shared" si="387"/>
        <v xml:space="preserve"> </v>
      </c>
      <c r="GP181" s="10" t="str">
        <f t="shared" si="387"/>
        <v xml:space="preserve"> </v>
      </c>
      <c r="GQ181" s="10" t="str">
        <f t="shared" si="387"/>
        <v xml:space="preserve"> </v>
      </c>
      <c r="GT181" s="10" t="str">
        <f t="shared" si="388"/>
        <v xml:space="preserve"> </v>
      </c>
      <c r="GU181" s="10" t="str">
        <f t="shared" si="388"/>
        <v xml:space="preserve"> </v>
      </c>
      <c r="GV181" s="10" t="str">
        <f t="shared" si="388"/>
        <v xml:space="preserve"> </v>
      </c>
      <c r="GW181" s="10" t="str">
        <f t="shared" si="388"/>
        <v xml:space="preserve"> </v>
      </c>
      <c r="GX181" s="10" t="str">
        <f t="shared" si="388"/>
        <v xml:space="preserve"> </v>
      </c>
      <c r="HA181" s="10" t="str">
        <f t="shared" si="389"/>
        <v xml:space="preserve"> </v>
      </c>
      <c r="HB181" s="10" t="str">
        <f t="shared" si="389"/>
        <v xml:space="preserve"> </v>
      </c>
      <c r="HC181" s="10" t="str">
        <f t="shared" si="389"/>
        <v xml:space="preserve"> </v>
      </c>
      <c r="HD181" s="10" t="str">
        <f t="shared" si="389"/>
        <v xml:space="preserve"> </v>
      </c>
      <c r="HE181" s="10" t="str">
        <f t="shared" si="389"/>
        <v xml:space="preserve"> </v>
      </c>
      <c r="HH181" s="10" t="str">
        <f t="shared" si="390"/>
        <v xml:space="preserve"> </v>
      </c>
      <c r="HI181" s="10" t="str">
        <f t="shared" si="390"/>
        <v xml:space="preserve"> </v>
      </c>
      <c r="HJ181" s="10" t="str">
        <f t="shared" si="390"/>
        <v xml:space="preserve"> </v>
      </c>
      <c r="HK181" s="10" t="str">
        <f t="shared" si="390"/>
        <v xml:space="preserve"> </v>
      </c>
      <c r="HL181" s="10" t="str">
        <f t="shared" si="390"/>
        <v xml:space="preserve"> </v>
      </c>
      <c r="HO181" s="10" t="str">
        <f t="shared" si="391"/>
        <v xml:space="preserve"> </v>
      </c>
      <c r="HP181" s="10" t="str">
        <f t="shared" si="391"/>
        <v xml:space="preserve"> </v>
      </c>
      <c r="HQ181" s="10" t="str">
        <f t="shared" si="391"/>
        <v xml:space="preserve"> </v>
      </c>
      <c r="HR181" s="10" t="str">
        <f t="shared" si="391"/>
        <v xml:space="preserve"> </v>
      </c>
      <c r="HS181" s="10" t="str">
        <f t="shared" si="391"/>
        <v xml:space="preserve"> </v>
      </c>
      <c r="HV181" s="10" t="str">
        <f t="shared" si="392"/>
        <v xml:space="preserve"> </v>
      </c>
      <c r="HW181" s="10" t="str">
        <f t="shared" si="392"/>
        <v xml:space="preserve"> </v>
      </c>
      <c r="HX181" s="10" t="str">
        <f t="shared" si="392"/>
        <v xml:space="preserve"> </v>
      </c>
      <c r="HY181" s="10" t="str">
        <f t="shared" si="392"/>
        <v xml:space="preserve"> </v>
      </c>
      <c r="HZ181" s="10" t="str">
        <f t="shared" si="392"/>
        <v xml:space="preserve"> </v>
      </c>
      <c r="IC181" s="10" t="str">
        <f t="shared" si="393"/>
        <v xml:space="preserve"> </v>
      </c>
      <c r="ID181" s="10" t="str">
        <f t="shared" si="393"/>
        <v xml:space="preserve"> </v>
      </c>
      <c r="IE181" s="10" t="str">
        <f t="shared" si="393"/>
        <v xml:space="preserve"> </v>
      </c>
      <c r="IF181" s="10" t="str">
        <f t="shared" si="393"/>
        <v xml:space="preserve"> </v>
      </c>
      <c r="IG181" s="10" t="str">
        <f t="shared" si="393"/>
        <v xml:space="preserve"> </v>
      </c>
      <c r="IJ181" s="10" t="str">
        <f t="shared" si="394"/>
        <v xml:space="preserve"> </v>
      </c>
      <c r="IK181" s="10" t="str">
        <f t="shared" si="394"/>
        <v xml:space="preserve"> </v>
      </c>
      <c r="IL181" s="10" t="str">
        <f t="shared" si="394"/>
        <v xml:space="preserve"> </v>
      </c>
      <c r="IM181" s="10" t="str">
        <f t="shared" si="394"/>
        <v xml:space="preserve"> </v>
      </c>
      <c r="IN181" s="10" t="str">
        <f t="shared" si="394"/>
        <v xml:space="preserve"> </v>
      </c>
      <c r="IQ181" s="10" t="str">
        <f t="shared" si="395"/>
        <v xml:space="preserve"> </v>
      </c>
      <c r="IR181" s="10" t="str">
        <f t="shared" si="395"/>
        <v xml:space="preserve"> </v>
      </c>
      <c r="IS181" s="10" t="str">
        <f t="shared" si="395"/>
        <v xml:space="preserve"> </v>
      </c>
      <c r="IT181" s="10" t="str">
        <f t="shared" si="395"/>
        <v xml:space="preserve"> </v>
      </c>
      <c r="IU181" s="10" t="str">
        <f t="shared" si="395"/>
        <v xml:space="preserve"> </v>
      </c>
      <c r="IX181" s="10" t="str">
        <f t="shared" si="396"/>
        <v xml:space="preserve"> </v>
      </c>
      <c r="IY181" s="10" t="str">
        <f t="shared" si="396"/>
        <v xml:space="preserve"> </v>
      </c>
      <c r="IZ181" s="10" t="str">
        <f t="shared" si="396"/>
        <v xml:space="preserve"> </v>
      </c>
      <c r="JA181" s="10" t="str">
        <f t="shared" si="396"/>
        <v xml:space="preserve"> </v>
      </c>
      <c r="JB181" s="10" t="str">
        <f t="shared" si="396"/>
        <v xml:space="preserve"> </v>
      </c>
      <c r="JE181" s="10" t="str">
        <f t="shared" si="397"/>
        <v xml:space="preserve"> </v>
      </c>
      <c r="JF181" s="10" t="str">
        <f t="shared" si="397"/>
        <v xml:space="preserve"> </v>
      </c>
      <c r="JG181" s="10" t="str">
        <f t="shared" si="397"/>
        <v xml:space="preserve"> </v>
      </c>
      <c r="JH181" s="10" t="str">
        <f t="shared" si="397"/>
        <v xml:space="preserve"> </v>
      </c>
      <c r="JI181" s="10" t="str">
        <f t="shared" si="397"/>
        <v xml:space="preserve"> </v>
      </c>
    </row>
    <row r="182" spans="13:269">
      <c r="M182" s="10" t="str">
        <f t="shared" si="361"/>
        <v xml:space="preserve"> </v>
      </c>
      <c r="N182" s="10" t="str">
        <f t="shared" si="361"/>
        <v xml:space="preserve"> </v>
      </c>
      <c r="O182" s="10" t="str">
        <f t="shared" si="361"/>
        <v xml:space="preserve"> </v>
      </c>
      <c r="P182" s="10" t="str">
        <f t="shared" si="361"/>
        <v xml:space="preserve"> </v>
      </c>
      <c r="Q182" s="10" t="str">
        <f t="shared" si="361"/>
        <v xml:space="preserve"> </v>
      </c>
      <c r="R182" s="14"/>
      <c r="S182" s="14"/>
      <c r="T182" s="10" t="str">
        <f t="shared" si="362"/>
        <v xml:space="preserve"> </v>
      </c>
      <c r="U182" s="10" t="str">
        <f t="shared" si="362"/>
        <v xml:space="preserve"> </v>
      </c>
      <c r="V182" s="10" t="str">
        <f t="shared" si="362"/>
        <v xml:space="preserve"> </v>
      </c>
      <c r="W182" s="10" t="str">
        <f t="shared" si="362"/>
        <v xml:space="preserve"> </v>
      </c>
      <c r="X182" s="10" t="str">
        <f t="shared" si="362"/>
        <v xml:space="preserve"> </v>
      </c>
      <c r="Y182" s="14"/>
      <c r="Z182" s="14"/>
      <c r="AA182" s="10" t="str">
        <f t="shared" si="363"/>
        <v xml:space="preserve"> </v>
      </c>
      <c r="AB182" s="10" t="str">
        <f t="shared" si="363"/>
        <v xml:space="preserve"> </v>
      </c>
      <c r="AC182" s="10" t="str">
        <f t="shared" si="363"/>
        <v xml:space="preserve"> </v>
      </c>
      <c r="AD182" s="10" t="str">
        <f t="shared" si="363"/>
        <v xml:space="preserve"> </v>
      </c>
      <c r="AE182" s="10" t="str">
        <f t="shared" si="363"/>
        <v xml:space="preserve"> </v>
      </c>
      <c r="AF182" s="14"/>
      <c r="AG182" s="14"/>
      <c r="AH182" s="10" t="str">
        <f t="shared" si="364"/>
        <v xml:space="preserve"> </v>
      </c>
      <c r="AI182" s="10" t="str">
        <f t="shared" si="364"/>
        <v xml:space="preserve"> </v>
      </c>
      <c r="AJ182" s="10" t="str">
        <f t="shared" si="364"/>
        <v xml:space="preserve"> </v>
      </c>
      <c r="AK182" s="10" t="str">
        <f t="shared" si="364"/>
        <v xml:space="preserve"> </v>
      </c>
      <c r="AL182" s="10" t="str">
        <f t="shared" si="364"/>
        <v xml:space="preserve"> </v>
      </c>
      <c r="AM182" s="14"/>
      <c r="AN182" s="14"/>
      <c r="AO182" s="10" t="str">
        <f t="shared" si="365"/>
        <v xml:space="preserve"> </v>
      </c>
      <c r="AP182" s="10" t="str">
        <f t="shared" si="365"/>
        <v xml:space="preserve"> </v>
      </c>
      <c r="AQ182" s="10" t="str">
        <f t="shared" si="365"/>
        <v xml:space="preserve"> </v>
      </c>
      <c r="AR182" s="10" t="str">
        <f t="shared" si="365"/>
        <v xml:space="preserve"> </v>
      </c>
      <c r="AS182" s="10" t="str">
        <f t="shared" si="365"/>
        <v xml:space="preserve"> </v>
      </c>
      <c r="AT182" s="14"/>
      <c r="AU182" s="14"/>
      <c r="AV182" s="10" t="str">
        <f t="shared" si="366"/>
        <v xml:space="preserve"> </v>
      </c>
      <c r="AW182" s="10" t="str">
        <f t="shared" si="366"/>
        <v xml:space="preserve"> </v>
      </c>
      <c r="AX182" s="10" t="str">
        <f t="shared" si="366"/>
        <v xml:space="preserve"> </v>
      </c>
      <c r="AY182" s="10" t="str">
        <f t="shared" si="366"/>
        <v xml:space="preserve"> </v>
      </c>
      <c r="AZ182" s="10" t="str">
        <f t="shared" si="366"/>
        <v xml:space="preserve"> </v>
      </c>
      <c r="BA182" s="14"/>
      <c r="BB182" s="14"/>
      <c r="BC182" s="10" t="str">
        <f t="shared" si="367"/>
        <v xml:space="preserve"> </v>
      </c>
      <c r="BD182" s="10" t="str">
        <f t="shared" si="367"/>
        <v xml:space="preserve"> </v>
      </c>
      <c r="BE182" s="10" t="str">
        <f t="shared" si="367"/>
        <v xml:space="preserve"> </v>
      </c>
      <c r="BF182" s="10" t="str">
        <f t="shared" si="367"/>
        <v xml:space="preserve"> </v>
      </c>
      <c r="BG182" s="10" t="str">
        <f t="shared" si="367"/>
        <v xml:space="preserve"> </v>
      </c>
      <c r="BH182" s="14"/>
      <c r="BI182" s="14"/>
      <c r="BJ182" s="10" t="str">
        <f t="shared" si="368"/>
        <v xml:space="preserve"> </v>
      </c>
      <c r="BK182" s="10" t="str">
        <f t="shared" si="368"/>
        <v xml:space="preserve"> </v>
      </c>
      <c r="BL182" s="10" t="str">
        <f t="shared" si="368"/>
        <v xml:space="preserve"> </v>
      </c>
      <c r="BM182" s="10" t="str">
        <f t="shared" si="368"/>
        <v xml:space="preserve"> </v>
      </c>
      <c r="BN182" s="10" t="str">
        <f t="shared" si="368"/>
        <v xml:space="preserve"> </v>
      </c>
      <c r="BO182" s="14"/>
      <c r="BP182" s="14"/>
      <c r="BQ182" s="10" t="str">
        <f t="shared" si="369"/>
        <v xml:space="preserve"> </v>
      </c>
      <c r="BR182" s="10" t="str">
        <f t="shared" si="369"/>
        <v xml:space="preserve"> </v>
      </c>
      <c r="BS182" s="10" t="str">
        <f t="shared" si="369"/>
        <v xml:space="preserve"> </v>
      </c>
      <c r="BT182" s="10" t="str">
        <f t="shared" si="369"/>
        <v xml:space="preserve"> </v>
      </c>
      <c r="BU182" s="10" t="str">
        <f t="shared" si="369"/>
        <v xml:space="preserve"> </v>
      </c>
      <c r="BV182" s="14"/>
      <c r="BW182" s="14"/>
      <c r="BX182" s="10" t="str">
        <f t="shared" si="370"/>
        <v xml:space="preserve"> </v>
      </c>
      <c r="BY182" s="10" t="str">
        <f t="shared" si="370"/>
        <v xml:space="preserve"> </v>
      </c>
      <c r="BZ182" s="10" t="str">
        <f t="shared" si="370"/>
        <v xml:space="preserve"> </v>
      </c>
      <c r="CA182" s="10" t="str">
        <f t="shared" si="370"/>
        <v xml:space="preserve"> </v>
      </c>
      <c r="CB182" s="10" t="str">
        <f t="shared" si="370"/>
        <v xml:space="preserve"> </v>
      </c>
      <c r="CC182" s="14"/>
      <c r="CD182" s="14"/>
      <c r="CE182" s="10" t="str">
        <f t="shared" si="371"/>
        <v xml:space="preserve"> </v>
      </c>
      <c r="CF182" s="10" t="str">
        <f t="shared" si="371"/>
        <v xml:space="preserve"> </v>
      </c>
      <c r="CG182" s="10" t="str">
        <f t="shared" si="371"/>
        <v xml:space="preserve"> </v>
      </c>
      <c r="CH182" s="10" t="str">
        <f t="shared" si="371"/>
        <v xml:space="preserve"> </v>
      </c>
      <c r="CI182" s="10" t="str">
        <f t="shared" si="371"/>
        <v xml:space="preserve"> </v>
      </c>
      <c r="CJ182" s="14"/>
      <c r="CK182" s="14"/>
      <c r="CL182" s="10" t="str">
        <f t="shared" si="372"/>
        <v xml:space="preserve"> </v>
      </c>
      <c r="CM182" s="10" t="str">
        <f t="shared" si="372"/>
        <v xml:space="preserve"> </v>
      </c>
      <c r="CN182" s="10" t="str">
        <f t="shared" si="372"/>
        <v xml:space="preserve"> </v>
      </c>
      <c r="CO182" s="10" t="str">
        <f t="shared" si="372"/>
        <v xml:space="preserve"> </v>
      </c>
      <c r="CP182" s="10" t="str">
        <f t="shared" si="372"/>
        <v xml:space="preserve"> </v>
      </c>
      <c r="CQ182" s="14"/>
      <c r="CR182" s="14"/>
      <c r="CS182" s="10" t="str">
        <f t="shared" si="373"/>
        <v xml:space="preserve"> </v>
      </c>
      <c r="CT182" s="10" t="str">
        <f t="shared" si="373"/>
        <v xml:space="preserve"> </v>
      </c>
      <c r="CU182" s="10" t="str">
        <f t="shared" si="373"/>
        <v xml:space="preserve"> </v>
      </c>
      <c r="CV182" s="10" t="str">
        <f t="shared" si="373"/>
        <v xml:space="preserve"> </v>
      </c>
      <c r="CW182" s="10" t="str">
        <f t="shared" si="373"/>
        <v xml:space="preserve"> </v>
      </c>
      <c r="CZ182" s="10" t="str">
        <f t="shared" si="374"/>
        <v xml:space="preserve"> </v>
      </c>
      <c r="DA182" s="10" t="str">
        <f t="shared" si="374"/>
        <v xml:space="preserve"> </v>
      </c>
      <c r="DB182" s="10" t="str">
        <f t="shared" si="374"/>
        <v xml:space="preserve"> </v>
      </c>
      <c r="DC182" s="10" t="str">
        <f t="shared" si="374"/>
        <v xml:space="preserve"> </v>
      </c>
      <c r="DD182" s="10" t="str">
        <f t="shared" si="374"/>
        <v xml:space="preserve"> </v>
      </c>
      <c r="DG182" s="10" t="str">
        <f t="shared" si="375"/>
        <v xml:space="preserve"> </v>
      </c>
      <c r="DH182" s="10" t="str">
        <f t="shared" si="375"/>
        <v xml:space="preserve"> </v>
      </c>
      <c r="DI182" s="10" t="str">
        <f t="shared" si="375"/>
        <v xml:space="preserve"> </v>
      </c>
      <c r="DJ182" s="10" t="str">
        <f t="shared" si="375"/>
        <v xml:space="preserve"> </v>
      </c>
      <c r="DK182" s="10" t="str">
        <f t="shared" si="375"/>
        <v xml:space="preserve"> </v>
      </c>
      <c r="DN182" s="10" t="str">
        <f t="shared" si="376"/>
        <v xml:space="preserve"> </v>
      </c>
      <c r="DO182" s="10" t="str">
        <f t="shared" si="376"/>
        <v xml:space="preserve"> </v>
      </c>
      <c r="DP182" s="10" t="str">
        <f t="shared" si="376"/>
        <v xml:space="preserve"> </v>
      </c>
      <c r="DQ182" s="10" t="str">
        <f t="shared" si="376"/>
        <v xml:space="preserve"> </v>
      </c>
      <c r="DR182" s="10" t="str">
        <f t="shared" si="376"/>
        <v xml:space="preserve"> </v>
      </c>
      <c r="DU182" s="10" t="str">
        <f t="shared" si="377"/>
        <v xml:space="preserve"> </v>
      </c>
      <c r="DV182" s="10" t="str">
        <f t="shared" si="377"/>
        <v xml:space="preserve"> </v>
      </c>
      <c r="DW182" s="10" t="str">
        <f t="shared" si="377"/>
        <v xml:space="preserve"> </v>
      </c>
      <c r="DX182" s="10" t="str">
        <f t="shared" si="377"/>
        <v xml:space="preserve"> </v>
      </c>
      <c r="DY182" s="10" t="str">
        <f t="shared" si="377"/>
        <v xml:space="preserve"> </v>
      </c>
      <c r="EB182" s="10" t="str">
        <f t="shared" si="378"/>
        <v xml:space="preserve"> </v>
      </c>
      <c r="EC182" s="10" t="str">
        <f t="shared" si="378"/>
        <v xml:space="preserve"> </v>
      </c>
      <c r="ED182" s="10" t="str">
        <f t="shared" si="378"/>
        <v xml:space="preserve"> </v>
      </c>
      <c r="EE182" s="10" t="str">
        <f t="shared" si="378"/>
        <v xml:space="preserve"> </v>
      </c>
      <c r="EF182" s="10" t="str">
        <f t="shared" si="378"/>
        <v xml:space="preserve"> </v>
      </c>
      <c r="EI182" s="10" t="str">
        <f t="shared" si="379"/>
        <v xml:space="preserve"> </v>
      </c>
      <c r="EJ182" s="10" t="str">
        <f t="shared" si="379"/>
        <v xml:space="preserve"> </v>
      </c>
      <c r="EK182" s="10" t="str">
        <f t="shared" si="379"/>
        <v xml:space="preserve"> </v>
      </c>
      <c r="EL182" s="10" t="str">
        <f t="shared" si="379"/>
        <v xml:space="preserve"> </v>
      </c>
      <c r="EM182" s="10" t="str">
        <f t="shared" si="379"/>
        <v xml:space="preserve"> </v>
      </c>
      <c r="EP182" s="10" t="str">
        <f t="shared" si="380"/>
        <v xml:space="preserve"> </v>
      </c>
      <c r="EQ182" s="10" t="str">
        <f t="shared" si="380"/>
        <v xml:space="preserve"> </v>
      </c>
      <c r="ER182" s="10" t="str">
        <f t="shared" si="380"/>
        <v xml:space="preserve"> </v>
      </c>
      <c r="ES182" s="10" t="str">
        <f t="shared" si="380"/>
        <v xml:space="preserve"> </v>
      </c>
      <c r="ET182" s="10" t="str">
        <f t="shared" si="380"/>
        <v xml:space="preserve"> </v>
      </c>
      <c r="EW182" s="10" t="str">
        <f t="shared" si="381"/>
        <v xml:space="preserve"> </v>
      </c>
      <c r="EX182" s="10" t="str">
        <f t="shared" si="381"/>
        <v xml:space="preserve"> </v>
      </c>
      <c r="EY182" s="10" t="str">
        <f t="shared" si="381"/>
        <v xml:space="preserve"> </v>
      </c>
      <c r="EZ182" s="10" t="str">
        <f t="shared" si="381"/>
        <v xml:space="preserve"> </v>
      </c>
      <c r="FA182" s="10" t="str">
        <f t="shared" si="381"/>
        <v xml:space="preserve"> </v>
      </c>
      <c r="FD182" s="10" t="str">
        <f t="shared" si="382"/>
        <v xml:space="preserve"> </v>
      </c>
      <c r="FE182" s="10" t="str">
        <f t="shared" si="382"/>
        <v xml:space="preserve"> </v>
      </c>
      <c r="FF182" s="10" t="str">
        <f t="shared" si="382"/>
        <v xml:space="preserve"> </v>
      </c>
      <c r="FG182" s="10" t="str">
        <f t="shared" si="382"/>
        <v xml:space="preserve"> </v>
      </c>
      <c r="FH182" s="10" t="str">
        <f t="shared" si="382"/>
        <v xml:space="preserve"> </v>
      </c>
      <c r="FK182" s="10" t="str">
        <f t="shared" si="383"/>
        <v xml:space="preserve"> </v>
      </c>
      <c r="FL182" s="10" t="str">
        <f t="shared" si="383"/>
        <v xml:space="preserve"> </v>
      </c>
      <c r="FM182" s="10" t="str">
        <f t="shared" si="383"/>
        <v xml:space="preserve"> </v>
      </c>
      <c r="FN182" s="10" t="str">
        <f t="shared" si="383"/>
        <v xml:space="preserve"> </v>
      </c>
      <c r="FO182" s="10" t="str">
        <f t="shared" si="383"/>
        <v xml:space="preserve"> </v>
      </c>
      <c r="FR182" s="10" t="str">
        <f t="shared" si="384"/>
        <v xml:space="preserve"> </v>
      </c>
      <c r="FS182" s="10" t="str">
        <f t="shared" si="384"/>
        <v xml:space="preserve"> </v>
      </c>
      <c r="FT182" s="10" t="str">
        <f t="shared" si="384"/>
        <v xml:space="preserve"> </v>
      </c>
      <c r="FU182" s="10" t="str">
        <f t="shared" si="384"/>
        <v xml:space="preserve"> </v>
      </c>
      <c r="FV182" s="10" t="str">
        <f t="shared" si="384"/>
        <v xml:space="preserve"> </v>
      </c>
      <c r="FY182" s="10" t="str">
        <f t="shared" si="385"/>
        <v xml:space="preserve"> </v>
      </c>
      <c r="FZ182" s="10" t="str">
        <f t="shared" si="385"/>
        <v xml:space="preserve"> </v>
      </c>
      <c r="GA182" s="10" t="str">
        <f t="shared" si="385"/>
        <v xml:space="preserve"> </v>
      </c>
      <c r="GB182" s="10" t="str">
        <f t="shared" si="385"/>
        <v xml:space="preserve"> </v>
      </c>
      <c r="GC182" s="10" t="str">
        <f t="shared" si="385"/>
        <v xml:space="preserve"> </v>
      </c>
      <c r="GF182" s="10" t="str">
        <f t="shared" si="386"/>
        <v xml:space="preserve"> </v>
      </c>
      <c r="GG182" s="10" t="str">
        <f t="shared" si="386"/>
        <v xml:space="preserve"> </v>
      </c>
      <c r="GH182" s="10" t="str">
        <f t="shared" si="386"/>
        <v xml:space="preserve"> </v>
      </c>
      <c r="GI182" s="10" t="str">
        <f t="shared" si="386"/>
        <v xml:space="preserve"> </v>
      </c>
      <c r="GJ182" s="10" t="str">
        <f t="shared" si="386"/>
        <v xml:space="preserve"> </v>
      </c>
      <c r="GM182" s="10" t="str">
        <f t="shared" si="387"/>
        <v xml:space="preserve"> </v>
      </c>
      <c r="GN182" s="10" t="str">
        <f t="shared" si="387"/>
        <v xml:space="preserve"> </v>
      </c>
      <c r="GO182" s="10" t="str">
        <f t="shared" si="387"/>
        <v xml:space="preserve"> </v>
      </c>
      <c r="GP182" s="10" t="str">
        <f t="shared" si="387"/>
        <v xml:space="preserve"> </v>
      </c>
      <c r="GQ182" s="10" t="str">
        <f t="shared" si="387"/>
        <v xml:space="preserve"> </v>
      </c>
      <c r="GT182" s="10" t="str">
        <f t="shared" si="388"/>
        <v xml:space="preserve"> </v>
      </c>
      <c r="GU182" s="10" t="str">
        <f t="shared" si="388"/>
        <v xml:space="preserve"> </v>
      </c>
      <c r="GV182" s="10" t="str">
        <f t="shared" si="388"/>
        <v xml:space="preserve"> </v>
      </c>
      <c r="GW182" s="10" t="str">
        <f t="shared" si="388"/>
        <v xml:space="preserve"> </v>
      </c>
      <c r="GX182" s="10" t="str">
        <f t="shared" si="388"/>
        <v xml:space="preserve"> </v>
      </c>
      <c r="HA182" s="10" t="str">
        <f t="shared" si="389"/>
        <v xml:space="preserve"> </v>
      </c>
      <c r="HB182" s="10" t="str">
        <f t="shared" si="389"/>
        <v xml:space="preserve"> </v>
      </c>
      <c r="HC182" s="10" t="str">
        <f t="shared" si="389"/>
        <v xml:space="preserve"> </v>
      </c>
      <c r="HD182" s="10" t="str">
        <f t="shared" si="389"/>
        <v xml:space="preserve"> </v>
      </c>
      <c r="HE182" s="10" t="str">
        <f t="shared" si="389"/>
        <v xml:space="preserve"> </v>
      </c>
      <c r="HH182" s="10" t="str">
        <f t="shared" si="390"/>
        <v xml:space="preserve"> </v>
      </c>
      <c r="HI182" s="10" t="str">
        <f t="shared" si="390"/>
        <v xml:space="preserve"> </v>
      </c>
      <c r="HJ182" s="10" t="str">
        <f t="shared" si="390"/>
        <v xml:space="preserve"> </v>
      </c>
      <c r="HK182" s="10" t="str">
        <f t="shared" si="390"/>
        <v xml:space="preserve"> </v>
      </c>
      <c r="HL182" s="10" t="str">
        <f t="shared" si="390"/>
        <v xml:space="preserve"> </v>
      </c>
      <c r="HO182" s="10" t="str">
        <f t="shared" si="391"/>
        <v xml:space="preserve"> </v>
      </c>
      <c r="HP182" s="10" t="str">
        <f t="shared" si="391"/>
        <v xml:space="preserve"> </v>
      </c>
      <c r="HQ182" s="10" t="str">
        <f t="shared" si="391"/>
        <v xml:space="preserve"> </v>
      </c>
      <c r="HR182" s="10" t="str">
        <f t="shared" si="391"/>
        <v xml:space="preserve"> </v>
      </c>
      <c r="HS182" s="10" t="str">
        <f t="shared" si="391"/>
        <v xml:space="preserve"> </v>
      </c>
      <c r="HV182" s="10" t="str">
        <f t="shared" si="392"/>
        <v xml:space="preserve"> </v>
      </c>
      <c r="HW182" s="10" t="str">
        <f t="shared" si="392"/>
        <v xml:space="preserve"> </v>
      </c>
      <c r="HX182" s="10" t="str">
        <f t="shared" si="392"/>
        <v xml:space="preserve"> </v>
      </c>
      <c r="HY182" s="10" t="str">
        <f t="shared" si="392"/>
        <v xml:space="preserve"> </v>
      </c>
      <c r="HZ182" s="10" t="str">
        <f t="shared" si="392"/>
        <v xml:space="preserve"> </v>
      </c>
      <c r="IC182" s="10" t="str">
        <f t="shared" si="393"/>
        <v xml:space="preserve"> </v>
      </c>
      <c r="ID182" s="10" t="str">
        <f t="shared" si="393"/>
        <v xml:space="preserve"> </v>
      </c>
      <c r="IE182" s="10" t="str">
        <f t="shared" si="393"/>
        <v xml:space="preserve"> </v>
      </c>
      <c r="IF182" s="10" t="str">
        <f t="shared" si="393"/>
        <v xml:space="preserve"> </v>
      </c>
      <c r="IG182" s="10" t="str">
        <f t="shared" si="393"/>
        <v xml:space="preserve"> </v>
      </c>
      <c r="IJ182" s="10" t="str">
        <f t="shared" si="394"/>
        <v xml:space="preserve"> </v>
      </c>
      <c r="IK182" s="10" t="str">
        <f t="shared" si="394"/>
        <v xml:space="preserve"> </v>
      </c>
      <c r="IL182" s="10" t="str">
        <f t="shared" si="394"/>
        <v xml:space="preserve"> </v>
      </c>
      <c r="IM182" s="10" t="str">
        <f t="shared" si="394"/>
        <v xml:space="preserve"> </v>
      </c>
      <c r="IN182" s="10" t="str">
        <f t="shared" si="394"/>
        <v xml:space="preserve"> </v>
      </c>
      <c r="IQ182" s="10" t="str">
        <f t="shared" si="395"/>
        <v xml:space="preserve"> </v>
      </c>
      <c r="IR182" s="10" t="str">
        <f t="shared" si="395"/>
        <v xml:space="preserve"> </v>
      </c>
      <c r="IS182" s="10" t="str">
        <f t="shared" si="395"/>
        <v xml:space="preserve"> </v>
      </c>
      <c r="IT182" s="10" t="str">
        <f t="shared" si="395"/>
        <v xml:space="preserve"> </v>
      </c>
      <c r="IU182" s="10" t="str">
        <f t="shared" si="395"/>
        <v xml:space="preserve"> </v>
      </c>
      <c r="IX182" s="10" t="str">
        <f t="shared" si="396"/>
        <v xml:space="preserve"> </v>
      </c>
      <c r="IY182" s="10" t="str">
        <f t="shared" si="396"/>
        <v xml:space="preserve"> </v>
      </c>
      <c r="IZ182" s="10" t="str">
        <f t="shared" si="396"/>
        <v xml:space="preserve"> </v>
      </c>
      <c r="JA182" s="10" t="str">
        <f t="shared" si="396"/>
        <v xml:space="preserve"> </v>
      </c>
      <c r="JB182" s="10" t="str">
        <f t="shared" si="396"/>
        <v xml:space="preserve"> </v>
      </c>
      <c r="JE182" s="10" t="str">
        <f t="shared" si="397"/>
        <v xml:space="preserve"> </v>
      </c>
      <c r="JF182" s="10" t="str">
        <f t="shared" si="397"/>
        <v xml:space="preserve"> </v>
      </c>
      <c r="JG182" s="10" t="str">
        <f t="shared" si="397"/>
        <v xml:space="preserve"> </v>
      </c>
      <c r="JH182" s="10" t="str">
        <f t="shared" si="397"/>
        <v xml:space="preserve"> </v>
      </c>
      <c r="JI182" s="10" t="str">
        <f t="shared" si="397"/>
        <v xml:space="preserve"> </v>
      </c>
    </row>
    <row r="183" spans="13:269">
      <c r="M183" s="10" t="str">
        <f t="shared" si="361"/>
        <v xml:space="preserve"> </v>
      </c>
      <c r="N183" s="10" t="str">
        <f t="shared" si="361"/>
        <v xml:space="preserve"> </v>
      </c>
      <c r="O183" s="10" t="str">
        <f t="shared" si="361"/>
        <v xml:space="preserve"> </v>
      </c>
      <c r="P183" s="10" t="str">
        <f t="shared" si="361"/>
        <v xml:space="preserve"> </v>
      </c>
      <c r="Q183" s="10" t="str">
        <f t="shared" si="361"/>
        <v xml:space="preserve"> </v>
      </c>
      <c r="R183" s="14"/>
      <c r="S183" s="14"/>
      <c r="T183" s="10" t="str">
        <f t="shared" si="362"/>
        <v xml:space="preserve"> </v>
      </c>
      <c r="U183" s="10" t="str">
        <f t="shared" si="362"/>
        <v xml:space="preserve"> </v>
      </c>
      <c r="V183" s="10" t="str">
        <f t="shared" si="362"/>
        <v xml:space="preserve"> </v>
      </c>
      <c r="W183" s="10" t="str">
        <f t="shared" si="362"/>
        <v xml:space="preserve"> </v>
      </c>
      <c r="X183" s="10" t="str">
        <f t="shared" si="362"/>
        <v xml:space="preserve"> </v>
      </c>
      <c r="Y183" s="14"/>
      <c r="Z183" s="14"/>
      <c r="AA183" s="10" t="str">
        <f t="shared" si="363"/>
        <v xml:space="preserve"> </v>
      </c>
      <c r="AB183" s="10" t="str">
        <f t="shared" si="363"/>
        <v xml:space="preserve"> </v>
      </c>
      <c r="AC183" s="10" t="str">
        <f t="shared" si="363"/>
        <v xml:space="preserve"> </v>
      </c>
      <c r="AD183" s="10" t="str">
        <f t="shared" si="363"/>
        <v xml:space="preserve"> </v>
      </c>
      <c r="AE183" s="10" t="str">
        <f t="shared" si="363"/>
        <v xml:space="preserve"> </v>
      </c>
      <c r="AF183" s="14"/>
      <c r="AG183" s="14"/>
      <c r="AH183" s="10" t="str">
        <f t="shared" si="364"/>
        <v xml:space="preserve"> </v>
      </c>
      <c r="AI183" s="10" t="str">
        <f t="shared" si="364"/>
        <v xml:space="preserve"> </v>
      </c>
      <c r="AJ183" s="10" t="str">
        <f t="shared" si="364"/>
        <v xml:space="preserve"> </v>
      </c>
      <c r="AK183" s="10" t="str">
        <f t="shared" si="364"/>
        <v xml:space="preserve"> </v>
      </c>
      <c r="AL183" s="10" t="str">
        <f t="shared" si="364"/>
        <v xml:space="preserve"> </v>
      </c>
      <c r="AM183" s="14"/>
      <c r="AN183" s="14"/>
      <c r="AO183" s="10" t="str">
        <f t="shared" si="365"/>
        <v xml:space="preserve"> </v>
      </c>
      <c r="AP183" s="10" t="str">
        <f t="shared" si="365"/>
        <v xml:space="preserve"> </v>
      </c>
      <c r="AQ183" s="10" t="str">
        <f t="shared" si="365"/>
        <v xml:space="preserve"> </v>
      </c>
      <c r="AR183" s="10" t="str">
        <f t="shared" si="365"/>
        <v xml:space="preserve"> </v>
      </c>
      <c r="AS183" s="10" t="str">
        <f t="shared" si="365"/>
        <v xml:space="preserve"> </v>
      </c>
      <c r="AT183" s="14"/>
      <c r="AU183" s="14"/>
      <c r="AV183" s="10" t="str">
        <f t="shared" si="366"/>
        <v xml:space="preserve"> </v>
      </c>
      <c r="AW183" s="10" t="str">
        <f t="shared" si="366"/>
        <v xml:space="preserve"> </v>
      </c>
      <c r="AX183" s="10" t="str">
        <f t="shared" si="366"/>
        <v xml:space="preserve"> </v>
      </c>
      <c r="AY183" s="10" t="str">
        <f t="shared" si="366"/>
        <v xml:space="preserve"> </v>
      </c>
      <c r="AZ183" s="10" t="str">
        <f t="shared" si="366"/>
        <v xml:space="preserve"> </v>
      </c>
      <c r="BA183" s="14"/>
      <c r="BB183" s="14"/>
      <c r="BC183" s="10" t="str">
        <f t="shared" si="367"/>
        <v xml:space="preserve"> </v>
      </c>
      <c r="BD183" s="10" t="str">
        <f t="shared" si="367"/>
        <v xml:space="preserve"> </v>
      </c>
      <c r="BE183" s="10" t="str">
        <f t="shared" si="367"/>
        <v xml:space="preserve"> </v>
      </c>
      <c r="BF183" s="10" t="str">
        <f t="shared" si="367"/>
        <v xml:space="preserve"> </v>
      </c>
      <c r="BG183" s="10" t="str">
        <f t="shared" si="367"/>
        <v xml:space="preserve"> </v>
      </c>
      <c r="BH183" s="14"/>
      <c r="BI183" s="14"/>
      <c r="BJ183" s="10" t="str">
        <f t="shared" si="368"/>
        <v xml:space="preserve"> </v>
      </c>
      <c r="BK183" s="10" t="str">
        <f t="shared" si="368"/>
        <v xml:space="preserve"> </v>
      </c>
      <c r="BL183" s="10" t="str">
        <f t="shared" si="368"/>
        <v xml:space="preserve"> </v>
      </c>
      <c r="BM183" s="10" t="str">
        <f t="shared" si="368"/>
        <v xml:space="preserve"> </v>
      </c>
      <c r="BN183" s="10" t="str">
        <f t="shared" si="368"/>
        <v xml:space="preserve"> </v>
      </c>
      <c r="BO183" s="14"/>
      <c r="BP183" s="14"/>
      <c r="BQ183" s="10" t="str">
        <f t="shared" si="369"/>
        <v xml:space="preserve"> </v>
      </c>
      <c r="BR183" s="10" t="str">
        <f t="shared" si="369"/>
        <v xml:space="preserve"> </v>
      </c>
      <c r="BS183" s="10" t="str">
        <f t="shared" si="369"/>
        <v xml:space="preserve"> </v>
      </c>
      <c r="BT183" s="10" t="str">
        <f t="shared" si="369"/>
        <v xml:space="preserve"> </v>
      </c>
      <c r="BU183" s="10" t="str">
        <f t="shared" si="369"/>
        <v xml:space="preserve"> </v>
      </c>
      <c r="BV183" s="14"/>
      <c r="BW183" s="14"/>
      <c r="BX183" s="10" t="str">
        <f t="shared" si="370"/>
        <v xml:space="preserve"> </v>
      </c>
      <c r="BY183" s="10" t="str">
        <f t="shared" si="370"/>
        <v xml:space="preserve"> </v>
      </c>
      <c r="BZ183" s="10" t="str">
        <f t="shared" si="370"/>
        <v xml:space="preserve"> </v>
      </c>
      <c r="CA183" s="10" t="str">
        <f t="shared" si="370"/>
        <v xml:space="preserve"> </v>
      </c>
      <c r="CB183" s="10" t="str">
        <f t="shared" si="370"/>
        <v xml:space="preserve"> </v>
      </c>
      <c r="CC183" s="14"/>
      <c r="CD183" s="14"/>
      <c r="CE183" s="10" t="str">
        <f t="shared" si="371"/>
        <v xml:space="preserve"> </v>
      </c>
      <c r="CF183" s="10" t="str">
        <f t="shared" si="371"/>
        <v xml:space="preserve"> </v>
      </c>
      <c r="CG183" s="10" t="str">
        <f t="shared" si="371"/>
        <v xml:space="preserve"> </v>
      </c>
      <c r="CH183" s="10" t="str">
        <f t="shared" si="371"/>
        <v xml:space="preserve"> </v>
      </c>
      <c r="CI183" s="10" t="str">
        <f t="shared" si="371"/>
        <v xml:space="preserve"> </v>
      </c>
      <c r="CJ183" s="14"/>
      <c r="CK183" s="14"/>
      <c r="CL183" s="10" t="str">
        <f t="shared" si="372"/>
        <v xml:space="preserve"> </v>
      </c>
      <c r="CM183" s="10" t="str">
        <f t="shared" si="372"/>
        <v xml:space="preserve"> </v>
      </c>
      <c r="CN183" s="10" t="str">
        <f t="shared" si="372"/>
        <v xml:space="preserve"> </v>
      </c>
      <c r="CO183" s="10" t="str">
        <f t="shared" si="372"/>
        <v xml:space="preserve"> </v>
      </c>
      <c r="CP183" s="10" t="str">
        <f t="shared" si="372"/>
        <v xml:space="preserve"> </v>
      </c>
      <c r="CQ183" s="14"/>
      <c r="CR183" s="14"/>
      <c r="CS183" s="10" t="str">
        <f t="shared" si="373"/>
        <v xml:space="preserve"> </v>
      </c>
      <c r="CT183" s="10" t="str">
        <f t="shared" si="373"/>
        <v xml:space="preserve"> </v>
      </c>
      <c r="CU183" s="10" t="str">
        <f t="shared" si="373"/>
        <v xml:space="preserve"> </v>
      </c>
      <c r="CV183" s="10" t="str">
        <f t="shared" si="373"/>
        <v xml:space="preserve"> </v>
      </c>
      <c r="CW183" s="10" t="str">
        <f t="shared" si="373"/>
        <v xml:space="preserve"> </v>
      </c>
      <c r="CZ183" s="10" t="str">
        <f t="shared" si="374"/>
        <v xml:space="preserve"> </v>
      </c>
      <c r="DA183" s="10" t="str">
        <f t="shared" si="374"/>
        <v xml:space="preserve"> </v>
      </c>
      <c r="DB183" s="10" t="str">
        <f t="shared" si="374"/>
        <v xml:space="preserve"> </v>
      </c>
      <c r="DC183" s="10" t="str">
        <f t="shared" si="374"/>
        <v xml:space="preserve"> </v>
      </c>
      <c r="DD183" s="10" t="str">
        <f t="shared" si="374"/>
        <v xml:space="preserve"> </v>
      </c>
      <c r="DG183" s="10" t="str">
        <f t="shared" si="375"/>
        <v xml:space="preserve"> </v>
      </c>
      <c r="DH183" s="10" t="str">
        <f t="shared" si="375"/>
        <v xml:space="preserve"> </v>
      </c>
      <c r="DI183" s="10" t="str">
        <f t="shared" si="375"/>
        <v xml:space="preserve"> </v>
      </c>
      <c r="DJ183" s="10" t="str">
        <f t="shared" si="375"/>
        <v xml:space="preserve"> </v>
      </c>
      <c r="DK183" s="10" t="str">
        <f t="shared" si="375"/>
        <v xml:space="preserve"> </v>
      </c>
      <c r="DN183" s="10" t="str">
        <f t="shared" si="376"/>
        <v xml:space="preserve"> </v>
      </c>
      <c r="DO183" s="10" t="str">
        <f t="shared" si="376"/>
        <v xml:space="preserve"> </v>
      </c>
      <c r="DP183" s="10" t="str">
        <f t="shared" si="376"/>
        <v xml:space="preserve"> </v>
      </c>
      <c r="DQ183" s="10" t="str">
        <f t="shared" si="376"/>
        <v xml:space="preserve"> </v>
      </c>
      <c r="DR183" s="10" t="str">
        <f t="shared" si="376"/>
        <v xml:space="preserve"> </v>
      </c>
      <c r="DU183" s="10" t="str">
        <f t="shared" si="377"/>
        <v xml:space="preserve"> </v>
      </c>
      <c r="DV183" s="10" t="str">
        <f t="shared" si="377"/>
        <v xml:space="preserve"> </v>
      </c>
      <c r="DW183" s="10" t="str">
        <f t="shared" si="377"/>
        <v xml:space="preserve"> </v>
      </c>
      <c r="DX183" s="10" t="str">
        <f t="shared" si="377"/>
        <v xml:space="preserve"> </v>
      </c>
      <c r="DY183" s="10" t="str">
        <f t="shared" si="377"/>
        <v xml:space="preserve"> </v>
      </c>
      <c r="EB183" s="10" t="str">
        <f t="shared" si="378"/>
        <v xml:space="preserve"> </v>
      </c>
      <c r="EC183" s="10" t="str">
        <f t="shared" si="378"/>
        <v xml:space="preserve"> </v>
      </c>
      <c r="ED183" s="10" t="str">
        <f t="shared" si="378"/>
        <v xml:space="preserve"> </v>
      </c>
      <c r="EE183" s="10" t="str">
        <f t="shared" si="378"/>
        <v xml:space="preserve"> </v>
      </c>
      <c r="EF183" s="10" t="str">
        <f t="shared" si="378"/>
        <v xml:space="preserve"> </v>
      </c>
      <c r="EI183" s="10" t="str">
        <f t="shared" si="379"/>
        <v xml:space="preserve"> </v>
      </c>
      <c r="EJ183" s="10" t="str">
        <f t="shared" si="379"/>
        <v xml:space="preserve"> </v>
      </c>
      <c r="EK183" s="10" t="str">
        <f t="shared" si="379"/>
        <v xml:space="preserve"> </v>
      </c>
      <c r="EL183" s="10" t="str">
        <f t="shared" si="379"/>
        <v xml:space="preserve"> </v>
      </c>
      <c r="EM183" s="10" t="str">
        <f t="shared" si="379"/>
        <v xml:space="preserve"> </v>
      </c>
      <c r="EP183" s="10" t="str">
        <f t="shared" si="380"/>
        <v xml:space="preserve"> </v>
      </c>
      <c r="EQ183" s="10" t="str">
        <f t="shared" si="380"/>
        <v xml:space="preserve"> </v>
      </c>
      <c r="ER183" s="10" t="str">
        <f t="shared" si="380"/>
        <v xml:space="preserve"> </v>
      </c>
      <c r="ES183" s="10" t="str">
        <f t="shared" si="380"/>
        <v xml:space="preserve"> </v>
      </c>
      <c r="ET183" s="10" t="str">
        <f t="shared" si="380"/>
        <v xml:space="preserve"> </v>
      </c>
      <c r="EW183" s="10" t="str">
        <f t="shared" si="381"/>
        <v xml:space="preserve"> </v>
      </c>
      <c r="EX183" s="10" t="str">
        <f t="shared" si="381"/>
        <v xml:space="preserve"> </v>
      </c>
      <c r="EY183" s="10" t="str">
        <f t="shared" si="381"/>
        <v xml:space="preserve"> </v>
      </c>
      <c r="EZ183" s="10" t="str">
        <f t="shared" si="381"/>
        <v xml:space="preserve"> </v>
      </c>
      <c r="FA183" s="10" t="str">
        <f t="shared" si="381"/>
        <v xml:space="preserve"> </v>
      </c>
      <c r="FD183" s="10" t="str">
        <f t="shared" si="382"/>
        <v xml:space="preserve"> </v>
      </c>
      <c r="FE183" s="10" t="str">
        <f t="shared" si="382"/>
        <v xml:space="preserve"> </v>
      </c>
      <c r="FF183" s="10" t="str">
        <f t="shared" si="382"/>
        <v xml:space="preserve"> </v>
      </c>
      <c r="FG183" s="10" t="str">
        <f t="shared" si="382"/>
        <v xml:space="preserve"> </v>
      </c>
      <c r="FH183" s="10" t="str">
        <f t="shared" si="382"/>
        <v xml:space="preserve"> </v>
      </c>
      <c r="FK183" s="10" t="str">
        <f t="shared" si="383"/>
        <v xml:space="preserve"> </v>
      </c>
      <c r="FL183" s="10" t="str">
        <f t="shared" si="383"/>
        <v xml:space="preserve"> </v>
      </c>
      <c r="FM183" s="10" t="str">
        <f t="shared" si="383"/>
        <v xml:space="preserve"> </v>
      </c>
      <c r="FN183" s="10" t="str">
        <f t="shared" si="383"/>
        <v xml:space="preserve"> </v>
      </c>
      <c r="FO183" s="10" t="str">
        <f t="shared" si="383"/>
        <v xml:space="preserve"> </v>
      </c>
      <c r="FR183" s="10" t="str">
        <f t="shared" si="384"/>
        <v xml:space="preserve"> </v>
      </c>
      <c r="FS183" s="10" t="str">
        <f t="shared" si="384"/>
        <v xml:space="preserve"> </v>
      </c>
      <c r="FT183" s="10" t="str">
        <f t="shared" si="384"/>
        <v xml:space="preserve"> </v>
      </c>
      <c r="FU183" s="10" t="str">
        <f t="shared" si="384"/>
        <v xml:space="preserve"> </v>
      </c>
      <c r="FV183" s="10" t="str">
        <f t="shared" si="384"/>
        <v xml:space="preserve"> </v>
      </c>
      <c r="FY183" s="10" t="str">
        <f t="shared" si="385"/>
        <v xml:space="preserve"> </v>
      </c>
      <c r="FZ183" s="10" t="str">
        <f t="shared" si="385"/>
        <v xml:space="preserve"> </v>
      </c>
      <c r="GA183" s="10" t="str">
        <f t="shared" si="385"/>
        <v xml:space="preserve"> </v>
      </c>
      <c r="GB183" s="10" t="str">
        <f t="shared" si="385"/>
        <v xml:space="preserve"> </v>
      </c>
      <c r="GC183" s="10" t="str">
        <f t="shared" si="385"/>
        <v xml:space="preserve"> </v>
      </c>
      <c r="GF183" s="10" t="str">
        <f t="shared" si="386"/>
        <v xml:space="preserve"> </v>
      </c>
      <c r="GG183" s="10" t="str">
        <f t="shared" si="386"/>
        <v xml:space="preserve"> </v>
      </c>
      <c r="GH183" s="10" t="str">
        <f t="shared" si="386"/>
        <v xml:space="preserve"> </v>
      </c>
      <c r="GI183" s="10" t="str">
        <f t="shared" si="386"/>
        <v xml:space="preserve"> </v>
      </c>
      <c r="GJ183" s="10" t="str">
        <f t="shared" si="386"/>
        <v xml:space="preserve"> </v>
      </c>
      <c r="GM183" s="10" t="str">
        <f t="shared" si="387"/>
        <v xml:space="preserve"> </v>
      </c>
      <c r="GN183" s="10" t="str">
        <f t="shared" si="387"/>
        <v xml:space="preserve"> </v>
      </c>
      <c r="GO183" s="10" t="str">
        <f t="shared" si="387"/>
        <v xml:space="preserve"> </v>
      </c>
      <c r="GP183" s="10" t="str">
        <f t="shared" si="387"/>
        <v xml:space="preserve"> </v>
      </c>
      <c r="GQ183" s="10" t="str">
        <f t="shared" si="387"/>
        <v xml:space="preserve"> </v>
      </c>
      <c r="GT183" s="10" t="str">
        <f t="shared" si="388"/>
        <v xml:space="preserve"> </v>
      </c>
      <c r="GU183" s="10" t="str">
        <f t="shared" si="388"/>
        <v xml:space="preserve"> </v>
      </c>
      <c r="GV183" s="10" t="str">
        <f t="shared" si="388"/>
        <v xml:space="preserve"> </v>
      </c>
      <c r="GW183" s="10" t="str">
        <f t="shared" si="388"/>
        <v xml:space="preserve"> </v>
      </c>
      <c r="GX183" s="10" t="str">
        <f t="shared" si="388"/>
        <v xml:space="preserve"> </v>
      </c>
      <c r="HA183" s="10" t="str">
        <f t="shared" si="389"/>
        <v xml:space="preserve"> </v>
      </c>
      <c r="HB183" s="10" t="str">
        <f t="shared" si="389"/>
        <v xml:space="preserve"> </v>
      </c>
      <c r="HC183" s="10" t="str">
        <f t="shared" si="389"/>
        <v xml:space="preserve"> </v>
      </c>
      <c r="HD183" s="10" t="str">
        <f t="shared" si="389"/>
        <v xml:space="preserve"> </v>
      </c>
      <c r="HE183" s="10" t="str">
        <f t="shared" si="389"/>
        <v xml:space="preserve"> </v>
      </c>
      <c r="HH183" s="10" t="str">
        <f t="shared" si="390"/>
        <v xml:space="preserve"> </v>
      </c>
      <c r="HI183" s="10" t="str">
        <f t="shared" si="390"/>
        <v xml:space="preserve"> </v>
      </c>
      <c r="HJ183" s="10" t="str">
        <f t="shared" si="390"/>
        <v xml:space="preserve"> </v>
      </c>
      <c r="HK183" s="10" t="str">
        <f t="shared" si="390"/>
        <v xml:space="preserve"> </v>
      </c>
      <c r="HL183" s="10" t="str">
        <f t="shared" si="390"/>
        <v xml:space="preserve"> </v>
      </c>
      <c r="HO183" s="10" t="str">
        <f t="shared" si="391"/>
        <v xml:space="preserve"> </v>
      </c>
      <c r="HP183" s="10" t="str">
        <f t="shared" si="391"/>
        <v xml:space="preserve"> </v>
      </c>
      <c r="HQ183" s="10" t="str">
        <f t="shared" si="391"/>
        <v xml:space="preserve"> </v>
      </c>
      <c r="HR183" s="10" t="str">
        <f t="shared" si="391"/>
        <v xml:space="preserve"> </v>
      </c>
      <c r="HS183" s="10" t="str">
        <f t="shared" si="391"/>
        <v xml:space="preserve"> </v>
      </c>
      <c r="HV183" s="10" t="str">
        <f t="shared" si="392"/>
        <v xml:space="preserve"> </v>
      </c>
      <c r="HW183" s="10" t="str">
        <f t="shared" si="392"/>
        <v xml:space="preserve"> </v>
      </c>
      <c r="HX183" s="10" t="str">
        <f t="shared" si="392"/>
        <v xml:space="preserve"> </v>
      </c>
      <c r="HY183" s="10" t="str">
        <f t="shared" si="392"/>
        <v xml:space="preserve"> </v>
      </c>
      <c r="HZ183" s="10" t="str">
        <f t="shared" si="392"/>
        <v xml:space="preserve"> </v>
      </c>
      <c r="IC183" s="10" t="str">
        <f t="shared" si="393"/>
        <v xml:space="preserve"> </v>
      </c>
      <c r="ID183" s="10" t="str">
        <f t="shared" si="393"/>
        <v xml:space="preserve"> </v>
      </c>
      <c r="IE183" s="10" t="str">
        <f t="shared" si="393"/>
        <v xml:space="preserve"> </v>
      </c>
      <c r="IF183" s="10" t="str">
        <f t="shared" si="393"/>
        <v xml:space="preserve"> </v>
      </c>
      <c r="IG183" s="10" t="str">
        <f t="shared" si="393"/>
        <v xml:space="preserve"> </v>
      </c>
      <c r="IJ183" s="10" t="str">
        <f t="shared" si="394"/>
        <v xml:space="preserve"> </v>
      </c>
      <c r="IK183" s="10" t="str">
        <f t="shared" si="394"/>
        <v xml:space="preserve"> </v>
      </c>
      <c r="IL183" s="10" t="str">
        <f t="shared" si="394"/>
        <v xml:space="preserve"> </v>
      </c>
      <c r="IM183" s="10" t="str">
        <f t="shared" si="394"/>
        <v xml:space="preserve"> </v>
      </c>
      <c r="IN183" s="10" t="str">
        <f t="shared" si="394"/>
        <v xml:space="preserve"> </v>
      </c>
      <c r="IQ183" s="10" t="str">
        <f t="shared" si="395"/>
        <v xml:space="preserve"> </v>
      </c>
      <c r="IR183" s="10" t="str">
        <f t="shared" si="395"/>
        <v xml:space="preserve"> </v>
      </c>
      <c r="IS183" s="10" t="str">
        <f t="shared" si="395"/>
        <v xml:space="preserve"> </v>
      </c>
      <c r="IT183" s="10" t="str">
        <f t="shared" si="395"/>
        <v xml:space="preserve"> </v>
      </c>
      <c r="IU183" s="10" t="str">
        <f t="shared" si="395"/>
        <v xml:space="preserve"> </v>
      </c>
      <c r="IX183" s="10" t="str">
        <f t="shared" si="396"/>
        <v xml:space="preserve"> </v>
      </c>
      <c r="IY183" s="10" t="str">
        <f t="shared" si="396"/>
        <v xml:space="preserve"> </v>
      </c>
      <c r="IZ183" s="10" t="str">
        <f t="shared" si="396"/>
        <v xml:space="preserve"> </v>
      </c>
      <c r="JA183" s="10" t="str">
        <f t="shared" si="396"/>
        <v xml:space="preserve"> </v>
      </c>
      <c r="JB183" s="10" t="str">
        <f t="shared" si="396"/>
        <v xml:space="preserve"> </v>
      </c>
      <c r="JE183" s="10" t="str">
        <f t="shared" si="397"/>
        <v xml:space="preserve"> </v>
      </c>
      <c r="JF183" s="10" t="str">
        <f t="shared" si="397"/>
        <v xml:space="preserve"> </v>
      </c>
      <c r="JG183" s="10" t="str">
        <f t="shared" si="397"/>
        <v xml:space="preserve"> </v>
      </c>
      <c r="JH183" s="10" t="str">
        <f t="shared" si="397"/>
        <v xml:space="preserve"> </v>
      </c>
      <c r="JI183" s="10" t="str">
        <f t="shared" si="397"/>
        <v xml:space="preserve"> </v>
      </c>
    </row>
    <row r="184" spans="13:269">
      <c r="M184" s="10" t="str">
        <f t="shared" si="361"/>
        <v xml:space="preserve"> </v>
      </c>
      <c r="N184" s="10" t="str">
        <f t="shared" si="361"/>
        <v xml:space="preserve"> </v>
      </c>
      <c r="O184" s="10" t="str">
        <f t="shared" si="361"/>
        <v xml:space="preserve"> </v>
      </c>
      <c r="P184" s="10" t="str">
        <f t="shared" si="361"/>
        <v xml:space="preserve"> </v>
      </c>
      <c r="Q184" s="10" t="str">
        <f t="shared" si="361"/>
        <v xml:space="preserve"> </v>
      </c>
      <c r="R184" s="14"/>
      <c r="S184" s="14"/>
      <c r="T184" s="10" t="str">
        <f t="shared" si="362"/>
        <v xml:space="preserve"> </v>
      </c>
      <c r="U184" s="10" t="str">
        <f t="shared" si="362"/>
        <v xml:space="preserve"> </v>
      </c>
      <c r="V184" s="10" t="str">
        <f t="shared" si="362"/>
        <v xml:space="preserve"> </v>
      </c>
      <c r="W184" s="10" t="str">
        <f t="shared" si="362"/>
        <v xml:space="preserve"> </v>
      </c>
      <c r="X184" s="10" t="str">
        <f t="shared" si="362"/>
        <v xml:space="preserve"> </v>
      </c>
      <c r="Y184" s="14"/>
      <c r="Z184" s="14"/>
      <c r="AA184" s="10" t="str">
        <f t="shared" si="363"/>
        <v xml:space="preserve"> </v>
      </c>
      <c r="AB184" s="10" t="str">
        <f t="shared" si="363"/>
        <v xml:space="preserve"> </v>
      </c>
      <c r="AC184" s="10" t="str">
        <f t="shared" si="363"/>
        <v xml:space="preserve"> </v>
      </c>
      <c r="AD184" s="10" t="str">
        <f t="shared" si="363"/>
        <v xml:space="preserve"> </v>
      </c>
      <c r="AE184" s="10" t="str">
        <f t="shared" si="363"/>
        <v xml:space="preserve"> </v>
      </c>
      <c r="AF184" s="14"/>
      <c r="AG184" s="14"/>
      <c r="AH184" s="10" t="str">
        <f t="shared" si="364"/>
        <v xml:space="preserve"> </v>
      </c>
      <c r="AI184" s="10" t="str">
        <f t="shared" si="364"/>
        <v xml:space="preserve"> </v>
      </c>
      <c r="AJ184" s="10" t="str">
        <f t="shared" si="364"/>
        <v xml:space="preserve"> </v>
      </c>
      <c r="AK184" s="10" t="str">
        <f t="shared" si="364"/>
        <v xml:space="preserve"> </v>
      </c>
      <c r="AL184" s="10" t="str">
        <f t="shared" si="364"/>
        <v xml:space="preserve"> </v>
      </c>
      <c r="AM184" s="14"/>
      <c r="AN184" s="14"/>
      <c r="AO184" s="10" t="str">
        <f t="shared" si="365"/>
        <v xml:space="preserve"> </v>
      </c>
      <c r="AP184" s="10" t="str">
        <f t="shared" si="365"/>
        <v xml:space="preserve"> </v>
      </c>
      <c r="AQ184" s="10" t="str">
        <f t="shared" si="365"/>
        <v xml:space="preserve"> </v>
      </c>
      <c r="AR184" s="10" t="str">
        <f t="shared" si="365"/>
        <v xml:space="preserve"> </v>
      </c>
      <c r="AS184" s="10" t="str">
        <f t="shared" si="365"/>
        <v xml:space="preserve"> </v>
      </c>
      <c r="AT184" s="14"/>
      <c r="AU184" s="14"/>
      <c r="AV184" s="10" t="str">
        <f t="shared" si="366"/>
        <v xml:space="preserve"> </v>
      </c>
      <c r="AW184" s="10" t="str">
        <f t="shared" si="366"/>
        <v xml:space="preserve"> </v>
      </c>
      <c r="AX184" s="10" t="str">
        <f t="shared" si="366"/>
        <v xml:space="preserve"> </v>
      </c>
      <c r="AY184" s="10" t="str">
        <f t="shared" si="366"/>
        <v xml:space="preserve"> </v>
      </c>
      <c r="AZ184" s="10" t="str">
        <f t="shared" si="366"/>
        <v xml:space="preserve"> </v>
      </c>
      <c r="BA184" s="14"/>
      <c r="BB184" s="14"/>
      <c r="BC184" s="10" t="str">
        <f t="shared" si="367"/>
        <v xml:space="preserve"> </v>
      </c>
      <c r="BD184" s="10" t="str">
        <f t="shared" si="367"/>
        <v xml:space="preserve"> </v>
      </c>
      <c r="BE184" s="10" t="str">
        <f t="shared" si="367"/>
        <v xml:space="preserve"> </v>
      </c>
      <c r="BF184" s="10" t="str">
        <f t="shared" si="367"/>
        <v xml:space="preserve"> </v>
      </c>
      <c r="BG184" s="10" t="str">
        <f t="shared" si="367"/>
        <v xml:space="preserve"> </v>
      </c>
      <c r="BH184" s="14"/>
      <c r="BI184" s="14"/>
      <c r="BJ184" s="10" t="str">
        <f t="shared" si="368"/>
        <v xml:space="preserve"> </v>
      </c>
      <c r="BK184" s="10" t="str">
        <f t="shared" si="368"/>
        <v xml:space="preserve"> </v>
      </c>
      <c r="BL184" s="10" t="str">
        <f t="shared" si="368"/>
        <v xml:space="preserve"> </v>
      </c>
      <c r="BM184" s="10" t="str">
        <f t="shared" si="368"/>
        <v xml:space="preserve"> </v>
      </c>
      <c r="BN184" s="10" t="str">
        <f t="shared" si="368"/>
        <v xml:space="preserve"> </v>
      </c>
      <c r="BO184" s="14"/>
      <c r="BP184" s="14"/>
      <c r="BQ184" s="10" t="str">
        <f t="shared" si="369"/>
        <v xml:space="preserve"> </v>
      </c>
      <c r="BR184" s="10" t="str">
        <f t="shared" si="369"/>
        <v xml:space="preserve"> </v>
      </c>
      <c r="BS184" s="10" t="str">
        <f t="shared" si="369"/>
        <v xml:space="preserve"> </v>
      </c>
      <c r="BT184" s="10" t="str">
        <f t="shared" si="369"/>
        <v xml:space="preserve"> </v>
      </c>
      <c r="BU184" s="10" t="str">
        <f t="shared" si="369"/>
        <v xml:space="preserve"> </v>
      </c>
      <c r="BV184" s="14"/>
      <c r="BW184" s="14"/>
      <c r="BX184" s="10" t="str">
        <f t="shared" si="370"/>
        <v xml:space="preserve"> </v>
      </c>
      <c r="BY184" s="10" t="str">
        <f t="shared" si="370"/>
        <v xml:space="preserve"> </v>
      </c>
      <c r="BZ184" s="10" t="str">
        <f t="shared" si="370"/>
        <v xml:space="preserve"> </v>
      </c>
      <c r="CA184" s="10" t="str">
        <f t="shared" si="370"/>
        <v xml:space="preserve"> </v>
      </c>
      <c r="CB184" s="10" t="str">
        <f t="shared" si="370"/>
        <v xml:space="preserve"> </v>
      </c>
      <c r="CC184" s="14"/>
      <c r="CD184" s="14"/>
      <c r="CE184" s="10" t="str">
        <f t="shared" si="371"/>
        <v xml:space="preserve"> </v>
      </c>
      <c r="CF184" s="10" t="str">
        <f t="shared" si="371"/>
        <v xml:space="preserve"> </v>
      </c>
      <c r="CG184" s="10" t="str">
        <f t="shared" si="371"/>
        <v xml:space="preserve"> </v>
      </c>
      <c r="CH184" s="10" t="str">
        <f t="shared" si="371"/>
        <v xml:space="preserve"> </v>
      </c>
      <c r="CI184" s="10" t="str">
        <f t="shared" si="371"/>
        <v xml:space="preserve"> </v>
      </c>
      <c r="CJ184" s="14"/>
      <c r="CK184" s="14"/>
      <c r="CL184" s="10" t="str">
        <f t="shared" si="372"/>
        <v xml:space="preserve"> </v>
      </c>
      <c r="CM184" s="10" t="str">
        <f t="shared" si="372"/>
        <v xml:space="preserve"> </v>
      </c>
      <c r="CN184" s="10" t="str">
        <f t="shared" si="372"/>
        <v xml:space="preserve"> </v>
      </c>
      <c r="CO184" s="10" t="str">
        <f t="shared" si="372"/>
        <v xml:space="preserve"> </v>
      </c>
      <c r="CP184" s="10" t="str">
        <f t="shared" si="372"/>
        <v xml:space="preserve"> </v>
      </c>
      <c r="CQ184" s="14"/>
      <c r="CR184" s="14"/>
      <c r="CS184" s="10" t="str">
        <f t="shared" si="373"/>
        <v xml:space="preserve"> </v>
      </c>
      <c r="CT184" s="10" t="str">
        <f t="shared" si="373"/>
        <v xml:space="preserve"> </v>
      </c>
      <c r="CU184" s="10" t="str">
        <f t="shared" si="373"/>
        <v xml:space="preserve"> </v>
      </c>
      <c r="CV184" s="10" t="str">
        <f t="shared" si="373"/>
        <v xml:space="preserve"> </v>
      </c>
      <c r="CW184" s="10" t="str">
        <f t="shared" si="373"/>
        <v xml:space="preserve"> </v>
      </c>
      <c r="CZ184" s="10" t="str">
        <f t="shared" si="374"/>
        <v xml:space="preserve"> </v>
      </c>
      <c r="DA184" s="10" t="str">
        <f t="shared" si="374"/>
        <v xml:space="preserve"> </v>
      </c>
      <c r="DB184" s="10" t="str">
        <f t="shared" si="374"/>
        <v xml:space="preserve"> </v>
      </c>
      <c r="DC184" s="10" t="str">
        <f t="shared" si="374"/>
        <v xml:space="preserve"> </v>
      </c>
      <c r="DD184" s="10" t="str">
        <f t="shared" si="374"/>
        <v xml:space="preserve"> </v>
      </c>
      <c r="DG184" s="10" t="str">
        <f t="shared" si="375"/>
        <v xml:space="preserve"> </v>
      </c>
      <c r="DH184" s="10" t="str">
        <f t="shared" si="375"/>
        <v xml:space="preserve"> </v>
      </c>
      <c r="DI184" s="10" t="str">
        <f t="shared" si="375"/>
        <v xml:space="preserve"> </v>
      </c>
      <c r="DJ184" s="10" t="str">
        <f t="shared" si="375"/>
        <v xml:space="preserve"> </v>
      </c>
      <c r="DK184" s="10" t="str">
        <f t="shared" si="375"/>
        <v xml:space="preserve"> </v>
      </c>
      <c r="DN184" s="10" t="str">
        <f t="shared" si="376"/>
        <v xml:space="preserve"> </v>
      </c>
      <c r="DO184" s="10" t="str">
        <f t="shared" si="376"/>
        <v xml:space="preserve"> </v>
      </c>
      <c r="DP184" s="10" t="str">
        <f t="shared" si="376"/>
        <v xml:space="preserve"> </v>
      </c>
      <c r="DQ184" s="10" t="str">
        <f t="shared" si="376"/>
        <v xml:space="preserve"> </v>
      </c>
      <c r="DR184" s="10" t="str">
        <f t="shared" si="376"/>
        <v xml:space="preserve"> </v>
      </c>
      <c r="DU184" s="10" t="str">
        <f t="shared" si="377"/>
        <v xml:space="preserve"> </v>
      </c>
      <c r="DV184" s="10" t="str">
        <f t="shared" si="377"/>
        <v xml:space="preserve"> </v>
      </c>
      <c r="DW184" s="10" t="str">
        <f t="shared" si="377"/>
        <v xml:space="preserve"> </v>
      </c>
      <c r="DX184" s="10" t="str">
        <f t="shared" si="377"/>
        <v xml:space="preserve"> </v>
      </c>
      <c r="DY184" s="10" t="str">
        <f t="shared" si="377"/>
        <v xml:space="preserve"> </v>
      </c>
      <c r="EB184" s="10" t="str">
        <f t="shared" si="378"/>
        <v xml:space="preserve"> </v>
      </c>
      <c r="EC184" s="10" t="str">
        <f t="shared" si="378"/>
        <v xml:space="preserve"> </v>
      </c>
      <c r="ED184" s="10" t="str">
        <f t="shared" si="378"/>
        <v xml:space="preserve"> </v>
      </c>
      <c r="EE184" s="10" t="str">
        <f t="shared" si="378"/>
        <v xml:space="preserve"> </v>
      </c>
      <c r="EF184" s="10" t="str">
        <f t="shared" si="378"/>
        <v xml:space="preserve"> </v>
      </c>
      <c r="EI184" s="10" t="str">
        <f t="shared" si="379"/>
        <v xml:space="preserve"> </v>
      </c>
      <c r="EJ184" s="10" t="str">
        <f t="shared" si="379"/>
        <v xml:space="preserve"> </v>
      </c>
      <c r="EK184" s="10" t="str">
        <f t="shared" si="379"/>
        <v xml:space="preserve"> </v>
      </c>
      <c r="EL184" s="10" t="str">
        <f t="shared" si="379"/>
        <v xml:space="preserve"> </v>
      </c>
      <c r="EM184" s="10" t="str">
        <f t="shared" si="379"/>
        <v xml:space="preserve"> </v>
      </c>
      <c r="EP184" s="10" t="str">
        <f t="shared" si="380"/>
        <v xml:space="preserve"> </v>
      </c>
      <c r="EQ184" s="10" t="str">
        <f t="shared" si="380"/>
        <v xml:space="preserve"> </v>
      </c>
      <c r="ER184" s="10" t="str">
        <f t="shared" si="380"/>
        <v xml:space="preserve"> </v>
      </c>
      <c r="ES184" s="10" t="str">
        <f t="shared" si="380"/>
        <v xml:space="preserve"> </v>
      </c>
      <c r="ET184" s="10" t="str">
        <f t="shared" si="380"/>
        <v xml:space="preserve"> </v>
      </c>
      <c r="EW184" s="10" t="str">
        <f t="shared" si="381"/>
        <v xml:space="preserve"> </v>
      </c>
      <c r="EX184" s="10" t="str">
        <f t="shared" si="381"/>
        <v xml:space="preserve"> </v>
      </c>
      <c r="EY184" s="10" t="str">
        <f t="shared" si="381"/>
        <v xml:space="preserve"> </v>
      </c>
      <c r="EZ184" s="10" t="str">
        <f t="shared" si="381"/>
        <v xml:space="preserve"> </v>
      </c>
      <c r="FA184" s="10" t="str">
        <f t="shared" si="381"/>
        <v xml:space="preserve"> </v>
      </c>
      <c r="FD184" s="10" t="str">
        <f t="shared" si="382"/>
        <v xml:space="preserve"> </v>
      </c>
      <c r="FE184" s="10" t="str">
        <f t="shared" si="382"/>
        <v xml:space="preserve"> </v>
      </c>
      <c r="FF184" s="10" t="str">
        <f t="shared" si="382"/>
        <v xml:space="preserve"> </v>
      </c>
      <c r="FG184" s="10" t="str">
        <f t="shared" si="382"/>
        <v xml:space="preserve"> </v>
      </c>
      <c r="FH184" s="10" t="str">
        <f t="shared" si="382"/>
        <v xml:space="preserve"> </v>
      </c>
      <c r="FK184" s="10" t="str">
        <f t="shared" si="383"/>
        <v xml:space="preserve"> </v>
      </c>
      <c r="FL184" s="10" t="str">
        <f t="shared" si="383"/>
        <v xml:space="preserve"> </v>
      </c>
      <c r="FM184" s="10" t="str">
        <f t="shared" si="383"/>
        <v xml:space="preserve"> </v>
      </c>
      <c r="FN184" s="10" t="str">
        <f t="shared" si="383"/>
        <v xml:space="preserve"> </v>
      </c>
      <c r="FO184" s="10" t="str">
        <f t="shared" si="383"/>
        <v xml:space="preserve"> </v>
      </c>
      <c r="FR184" s="10" t="str">
        <f t="shared" si="384"/>
        <v xml:space="preserve"> </v>
      </c>
      <c r="FS184" s="10" t="str">
        <f t="shared" si="384"/>
        <v xml:space="preserve"> </v>
      </c>
      <c r="FT184" s="10" t="str">
        <f t="shared" si="384"/>
        <v xml:space="preserve"> </v>
      </c>
      <c r="FU184" s="10" t="str">
        <f t="shared" si="384"/>
        <v xml:space="preserve"> </v>
      </c>
      <c r="FV184" s="10" t="str">
        <f t="shared" si="384"/>
        <v xml:space="preserve"> </v>
      </c>
      <c r="FY184" s="10" t="str">
        <f t="shared" si="385"/>
        <v xml:space="preserve"> </v>
      </c>
      <c r="FZ184" s="10" t="str">
        <f t="shared" si="385"/>
        <v xml:space="preserve"> </v>
      </c>
      <c r="GA184" s="10" t="str">
        <f t="shared" si="385"/>
        <v xml:space="preserve"> </v>
      </c>
      <c r="GB184" s="10" t="str">
        <f t="shared" si="385"/>
        <v xml:space="preserve"> </v>
      </c>
      <c r="GC184" s="10" t="str">
        <f t="shared" si="385"/>
        <v xml:space="preserve"> </v>
      </c>
      <c r="GF184" s="10" t="str">
        <f t="shared" si="386"/>
        <v xml:space="preserve"> </v>
      </c>
      <c r="GG184" s="10" t="str">
        <f t="shared" si="386"/>
        <v xml:space="preserve"> </v>
      </c>
      <c r="GH184" s="10" t="str">
        <f t="shared" si="386"/>
        <v xml:space="preserve"> </v>
      </c>
      <c r="GI184" s="10" t="str">
        <f t="shared" si="386"/>
        <v xml:space="preserve"> </v>
      </c>
      <c r="GJ184" s="10" t="str">
        <f t="shared" si="386"/>
        <v xml:space="preserve"> </v>
      </c>
      <c r="GM184" s="10" t="str">
        <f t="shared" si="387"/>
        <v xml:space="preserve"> </v>
      </c>
      <c r="GN184" s="10" t="str">
        <f t="shared" si="387"/>
        <v xml:space="preserve"> </v>
      </c>
      <c r="GO184" s="10" t="str">
        <f t="shared" si="387"/>
        <v xml:space="preserve"> </v>
      </c>
      <c r="GP184" s="10" t="str">
        <f t="shared" si="387"/>
        <v xml:space="preserve"> </v>
      </c>
      <c r="GQ184" s="10" t="str">
        <f t="shared" si="387"/>
        <v xml:space="preserve"> </v>
      </c>
      <c r="GT184" s="10" t="str">
        <f t="shared" si="388"/>
        <v xml:space="preserve"> </v>
      </c>
      <c r="GU184" s="10" t="str">
        <f t="shared" si="388"/>
        <v xml:space="preserve"> </v>
      </c>
      <c r="GV184" s="10" t="str">
        <f t="shared" si="388"/>
        <v xml:space="preserve"> </v>
      </c>
      <c r="GW184" s="10" t="str">
        <f t="shared" si="388"/>
        <v xml:space="preserve"> </v>
      </c>
      <c r="GX184" s="10" t="str">
        <f t="shared" si="388"/>
        <v xml:space="preserve"> </v>
      </c>
      <c r="HA184" s="10" t="str">
        <f t="shared" si="389"/>
        <v xml:space="preserve"> </v>
      </c>
      <c r="HB184" s="10" t="str">
        <f t="shared" si="389"/>
        <v xml:space="preserve"> </v>
      </c>
      <c r="HC184" s="10" t="str">
        <f t="shared" si="389"/>
        <v xml:space="preserve"> </v>
      </c>
      <c r="HD184" s="10" t="str">
        <f t="shared" si="389"/>
        <v xml:space="preserve"> </v>
      </c>
      <c r="HE184" s="10" t="str">
        <f t="shared" si="389"/>
        <v xml:space="preserve"> </v>
      </c>
      <c r="HH184" s="10" t="str">
        <f t="shared" si="390"/>
        <v xml:space="preserve"> </v>
      </c>
      <c r="HI184" s="10" t="str">
        <f t="shared" si="390"/>
        <v xml:space="preserve"> </v>
      </c>
      <c r="HJ184" s="10" t="str">
        <f t="shared" si="390"/>
        <v xml:space="preserve"> </v>
      </c>
      <c r="HK184" s="10" t="str">
        <f t="shared" si="390"/>
        <v xml:space="preserve"> </v>
      </c>
      <c r="HL184" s="10" t="str">
        <f t="shared" si="390"/>
        <v xml:space="preserve"> </v>
      </c>
      <c r="HO184" s="10" t="str">
        <f t="shared" si="391"/>
        <v xml:space="preserve"> </v>
      </c>
      <c r="HP184" s="10" t="str">
        <f t="shared" si="391"/>
        <v xml:space="preserve"> </v>
      </c>
      <c r="HQ184" s="10" t="str">
        <f t="shared" si="391"/>
        <v xml:space="preserve"> </v>
      </c>
      <c r="HR184" s="10" t="str">
        <f t="shared" si="391"/>
        <v xml:space="preserve"> </v>
      </c>
      <c r="HS184" s="10" t="str">
        <f t="shared" si="391"/>
        <v xml:space="preserve"> </v>
      </c>
      <c r="HV184" s="10" t="str">
        <f t="shared" si="392"/>
        <v xml:space="preserve"> </v>
      </c>
      <c r="HW184" s="10" t="str">
        <f t="shared" si="392"/>
        <v xml:space="preserve"> </v>
      </c>
      <c r="HX184" s="10" t="str">
        <f t="shared" si="392"/>
        <v xml:space="preserve"> </v>
      </c>
      <c r="HY184" s="10" t="str">
        <f t="shared" si="392"/>
        <v xml:space="preserve"> </v>
      </c>
      <c r="HZ184" s="10" t="str">
        <f t="shared" si="392"/>
        <v xml:space="preserve"> </v>
      </c>
      <c r="IC184" s="10" t="str">
        <f t="shared" si="393"/>
        <v xml:space="preserve"> </v>
      </c>
      <c r="ID184" s="10" t="str">
        <f t="shared" si="393"/>
        <v xml:space="preserve"> </v>
      </c>
      <c r="IE184" s="10" t="str">
        <f t="shared" si="393"/>
        <v xml:space="preserve"> </v>
      </c>
      <c r="IF184" s="10" t="str">
        <f t="shared" si="393"/>
        <v xml:space="preserve"> </v>
      </c>
      <c r="IG184" s="10" t="str">
        <f t="shared" si="393"/>
        <v xml:space="preserve"> </v>
      </c>
      <c r="IJ184" s="10" t="str">
        <f t="shared" si="394"/>
        <v xml:space="preserve"> </v>
      </c>
      <c r="IK184" s="10" t="str">
        <f t="shared" si="394"/>
        <v xml:space="preserve"> </v>
      </c>
      <c r="IL184" s="10" t="str">
        <f t="shared" si="394"/>
        <v xml:space="preserve"> </v>
      </c>
      <c r="IM184" s="10" t="str">
        <f t="shared" si="394"/>
        <v xml:space="preserve"> </v>
      </c>
      <c r="IN184" s="10" t="str">
        <f t="shared" si="394"/>
        <v xml:space="preserve"> </v>
      </c>
      <c r="IQ184" s="10" t="str">
        <f t="shared" si="395"/>
        <v xml:space="preserve"> </v>
      </c>
      <c r="IR184" s="10" t="str">
        <f t="shared" si="395"/>
        <v xml:space="preserve"> </v>
      </c>
      <c r="IS184" s="10" t="str">
        <f t="shared" si="395"/>
        <v xml:space="preserve"> </v>
      </c>
      <c r="IT184" s="10" t="str">
        <f t="shared" si="395"/>
        <v xml:space="preserve"> </v>
      </c>
      <c r="IU184" s="10" t="str">
        <f t="shared" si="395"/>
        <v xml:space="preserve"> </v>
      </c>
      <c r="IX184" s="10" t="str">
        <f t="shared" si="396"/>
        <v xml:space="preserve"> </v>
      </c>
      <c r="IY184" s="10" t="str">
        <f t="shared" si="396"/>
        <v xml:space="preserve"> </v>
      </c>
      <c r="IZ184" s="10" t="str">
        <f t="shared" si="396"/>
        <v xml:space="preserve"> </v>
      </c>
      <c r="JA184" s="10" t="str">
        <f t="shared" si="396"/>
        <v xml:space="preserve"> </v>
      </c>
      <c r="JB184" s="10" t="str">
        <f t="shared" si="396"/>
        <v xml:space="preserve"> </v>
      </c>
      <c r="JE184" s="10" t="str">
        <f t="shared" si="397"/>
        <v xml:space="preserve"> </v>
      </c>
      <c r="JF184" s="10" t="str">
        <f t="shared" si="397"/>
        <v xml:space="preserve"> </v>
      </c>
      <c r="JG184" s="10" t="str">
        <f t="shared" si="397"/>
        <v xml:space="preserve"> </v>
      </c>
      <c r="JH184" s="10" t="str">
        <f t="shared" si="397"/>
        <v xml:space="preserve"> </v>
      </c>
      <c r="JI184" s="10" t="str">
        <f t="shared" si="397"/>
        <v xml:space="preserve"> </v>
      </c>
    </row>
    <row r="185" spans="13:269">
      <c r="M185" s="10" t="str">
        <f t="shared" ref="M185:Q213" si="398">IF(AND(M$6&gt;=$F185,M$6&lt;=$G185),"."," ")</f>
        <v xml:space="preserve"> </v>
      </c>
      <c r="N185" s="10" t="str">
        <f t="shared" si="398"/>
        <v xml:space="preserve"> </v>
      </c>
      <c r="O185" s="10" t="str">
        <f t="shared" si="398"/>
        <v xml:space="preserve"> </v>
      </c>
      <c r="P185" s="10" t="str">
        <f t="shared" si="398"/>
        <v xml:space="preserve"> </v>
      </c>
      <c r="Q185" s="10" t="str">
        <f t="shared" si="398"/>
        <v xml:space="preserve"> </v>
      </c>
      <c r="R185" s="14"/>
      <c r="S185" s="14"/>
      <c r="T185" s="10" t="str">
        <f t="shared" si="362"/>
        <v xml:space="preserve"> </v>
      </c>
      <c r="U185" s="10" t="str">
        <f t="shared" si="362"/>
        <v xml:space="preserve"> </v>
      </c>
      <c r="V185" s="10" t="str">
        <f t="shared" si="362"/>
        <v xml:space="preserve"> </v>
      </c>
      <c r="W185" s="10" t="str">
        <f t="shared" si="362"/>
        <v xml:space="preserve"> </v>
      </c>
      <c r="X185" s="10" t="str">
        <f t="shared" si="362"/>
        <v xml:space="preserve"> </v>
      </c>
      <c r="Y185" s="14"/>
      <c r="Z185" s="14"/>
      <c r="AA185" s="10" t="str">
        <f t="shared" si="363"/>
        <v xml:space="preserve"> </v>
      </c>
      <c r="AB185" s="10" t="str">
        <f t="shared" si="363"/>
        <v xml:space="preserve"> </v>
      </c>
      <c r="AC185" s="10" t="str">
        <f t="shared" si="363"/>
        <v xml:space="preserve"> </v>
      </c>
      <c r="AD185" s="10" t="str">
        <f t="shared" si="363"/>
        <v xml:space="preserve"> </v>
      </c>
      <c r="AE185" s="10" t="str">
        <f t="shared" si="363"/>
        <v xml:space="preserve"> </v>
      </c>
      <c r="AF185" s="14"/>
      <c r="AG185" s="14"/>
      <c r="AH185" s="10" t="str">
        <f t="shared" si="364"/>
        <v xml:space="preserve"> </v>
      </c>
      <c r="AI185" s="10" t="str">
        <f t="shared" si="364"/>
        <v xml:space="preserve"> </v>
      </c>
      <c r="AJ185" s="10" t="str">
        <f t="shared" si="364"/>
        <v xml:space="preserve"> </v>
      </c>
      <c r="AK185" s="10" t="str">
        <f t="shared" si="364"/>
        <v xml:space="preserve"> </v>
      </c>
      <c r="AL185" s="10" t="str">
        <f t="shared" si="364"/>
        <v xml:space="preserve"> </v>
      </c>
      <c r="AM185" s="14"/>
      <c r="AN185" s="14"/>
      <c r="AO185" s="10" t="str">
        <f t="shared" si="365"/>
        <v xml:space="preserve"> </v>
      </c>
      <c r="AP185" s="10" t="str">
        <f t="shared" si="365"/>
        <v xml:space="preserve"> </v>
      </c>
      <c r="AQ185" s="10" t="str">
        <f t="shared" si="365"/>
        <v xml:space="preserve"> </v>
      </c>
      <c r="AR185" s="10" t="str">
        <f t="shared" si="365"/>
        <v xml:space="preserve"> </v>
      </c>
      <c r="AS185" s="10" t="str">
        <f t="shared" si="365"/>
        <v xml:space="preserve"> </v>
      </c>
      <c r="AT185" s="14"/>
      <c r="AU185" s="14"/>
      <c r="AV185" s="10" t="str">
        <f t="shared" si="366"/>
        <v xml:space="preserve"> </v>
      </c>
      <c r="AW185" s="10" t="str">
        <f t="shared" si="366"/>
        <v xml:space="preserve"> </v>
      </c>
      <c r="AX185" s="10" t="str">
        <f t="shared" si="366"/>
        <v xml:space="preserve"> </v>
      </c>
      <c r="AY185" s="10" t="str">
        <f t="shared" si="366"/>
        <v xml:space="preserve"> </v>
      </c>
      <c r="AZ185" s="10" t="str">
        <f t="shared" si="366"/>
        <v xml:space="preserve"> </v>
      </c>
      <c r="BA185" s="14"/>
      <c r="BB185" s="14"/>
      <c r="BC185" s="10" t="str">
        <f t="shared" si="367"/>
        <v xml:space="preserve"> </v>
      </c>
      <c r="BD185" s="10" t="str">
        <f t="shared" si="367"/>
        <v xml:space="preserve"> </v>
      </c>
      <c r="BE185" s="10" t="str">
        <f t="shared" si="367"/>
        <v xml:space="preserve"> </v>
      </c>
      <c r="BF185" s="10" t="str">
        <f t="shared" si="367"/>
        <v xml:space="preserve"> </v>
      </c>
      <c r="BG185" s="10" t="str">
        <f t="shared" si="367"/>
        <v xml:space="preserve"> </v>
      </c>
      <c r="BH185" s="14"/>
      <c r="BI185" s="14"/>
      <c r="BJ185" s="10" t="str">
        <f t="shared" si="368"/>
        <v xml:space="preserve"> </v>
      </c>
      <c r="BK185" s="10" t="str">
        <f t="shared" si="368"/>
        <v xml:space="preserve"> </v>
      </c>
      <c r="BL185" s="10" t="str">
        <f t="shared" si="368"/>
        <v xml:space="preserve"> </v>
      </c>
      <c r="BM185" s="10" t="str">
        <f t="shared" si="368"/>
        <v xml:space="preserve"> </v>
      </c>
      <c r="BN185" s="10" t="str">
        <f t="shared" si="368"/>
        <v xml:space="preserve"> </v>
      </c>
      <c r="BO185" s="14"/>
      <c r="BP185" s="14"/>
      <c r="BQ185" s="10" t="str">
        <f t="shared" si="369"/>
        <v xml:space="preserve"> </v>
      </c>
      <c r="BR185" s="10" t="str">
        <f t="shared" si="369"/>
        <v xml:space="preserve"> </v>
      </c>
      <c r="BS185" s="10" t="str">
        <f t="shared" si="369"/>
        <v xml:space="preserve"> </v>
      </c>
      <c r="BT185" s="10" t="str">
        <f t="shared" si="369"/>
        <v xml:space="preserve"> </v>
      </c>
      <c r="BU185" s="10" t="str">
        <f t="shared" si="369"/>
        <v xml:space="preserve"> </v>
      </c>
      <c r="BV185" s="14"/>
      <c r="BW185" s="14"/>
      <c r="BX185" s="10" t="str">
        <f t="shared" si="370"/>
        <v xml:space="preserve"> </v>
      </c>
      <c r="BY185" s="10" t="str">
        <f t="shared" si="370"/>
        <v xml:space="preserve"> </v>
      </c>
      <c r="BZ185" s="10" t="str">
        <f t="shared" si="370"/>
        <v xml:space="preserve"> </v>
      </c>
      <c r="CA185" s="10" t="str">
        <f t="shared" si="370"/>
        <v xml:space="preserve"> </v>
      </c>
      <c r="CB185" s="10" t="str">
        <f t="shared" si="370"/>
        <v xml:space="preserve"> </v>
      </c>
      <c r="CC185" s="14"/>
      <c r="CD185" s="14"/>
      <c r="CE185" s="10" t="str">
        <f t="shared" si="371"/>
        <v xml:space="preserve"> </v>
      </c>
      <c r="CF185" s="10" t="str">
        <f t="shared" si="371"/>
        <v xml:space="preserve"> </v>
      </c>
      <c r="CG185" s="10" t="str">
        <f t="shared" si="371"/>
        <v xml:space="preserve"> </v>
      </c>
      <c r="CH185" s="10" t="str">
        <f t="shared" si="371"/>
        <v xml:space="preserve"> </v>
      </c>
      <c r="CI185" s="10" t="str">
        <f t="shared" si="371"/>
        <v xml:space="preserve"> </v>
      </c>
      <c r="CJ185" s="14"/>
      <c r="CK185" s="14"/>
      <c r="CL185" s="10" t="str">
        <f t="shared" si="372"/>
        <v xml:space="preserve"> </v>
      </c>
      <c r="CM185" s="10" t="str">
        <f t="shared" si="372"/>
        <v xml:space="preserve"> </v>
      </c>
      <c r="CN185" s="10" t="str">
        <f t="shared" si="372"/>
        <v xml:space="preserve"> </v>
      </c>
      <c r="CO185" s="10" t="str">
        <f t="shared" si="372"/>
        <v xml:space="preserve"> </v>
      </c>
      <c r="CP185" s="10" t="str">
        <f t="shared" si="372"/>
        <v xml:space="preserve"> </v>
      </c>
      <c r="CQ185" s="14"/>
      <c r="CR185" s="14"/>
      <c r="CS185" s="10" t="str">
        <f t="shared" si="373"/>
        <v xml:space="preserve"> </v>
      </c>
      <c r="CT185" s="10" t="str">
        <f t="shared" si="373"/>
        <v xml:space="preserve"> </v>
      </c>
      <c r="CU185" s="10" t="str">
        <f t="shared" si="373"/>
        <v xml:space="preserve"> </v>
      </c>
      <c r="CV185" s="10" t="str">
        <f t="shared" si="373"/>
        <v xml:space="preserve"> </v>
      </c>
      <c r="CW185" s="10" t="str">
        <f t="shared" si="373"/>
        <v xml:space="preserve"> </v>
      </c>
      <c r="CZ185" s="10" t="str">
        <f t="shared" si="374"/>
        <v xml:space="preserve"> </v>
      </c>
      <c r="DA185" s="10" t="str">
        <f t="shared" si="374"/>
        <v xml:space="preserve"> </v>
      </c>
      <c r="DB185" s="10" t="str">
        <f t="shared" si="374"/>
        <v xml:space="preserve"> </v>
      </c>
      <c r="DC185" s="10" t="str">
        <f t="shared" si="374"/>
        <v xml:space="preserve"> </v>
      </c>
      <c r="DD185" s="10" t="str">
        <f t="shared" si="374"/>
        <v xml:space="preserve"> </v>
      </c>
      <c r="DG185" s="10" t="str">
        <f t="shared" si="375"/>
        <v xml:space="preserve"> </v>
      </c>
      <c r="DH185" s="10" t="str">
        <f t="shared" si="375"/>
        <v xml:space="preserve"> </v>
      </c>
      <c r="DI185" s="10" t="str">
        <f t="shared" si="375"/>
        <v xml:space="preserve"> </v>
      </c>
      <c r="DJ185" s="10" t="str">
        <f t="shared" si="375"/>
        <v xml:space="preserve"> </v>
      </c>
      <c r="DK185" s="10" t="str">
        <f t="shared" si="375"/>
        <v xml:space="preserve"> </v>
      </c>
      <c r="DN185" s="10" t="str">
        <f t="shared" si="376"/>
        <v xml:space="preserve"> </v>
      </c>
      <c r="DO185" s="10" t="str">
        <f t="shared" si="376"/>
        <v xml:space="preserve"> </v>
      </c>
      <c r="DP185" s="10" t="str">
        <f t="shared" si="376"/>
        <v xml:space="preserve"> </v>
      </c>
      <c r="DQ185" s="10" t="str">
        <f t="shared" si="376"/>
        <v xml:space="preserve"> </v>
      </c>
      <c r="DR185" s="10" t="str">
        <f t="shared" si="376"/>
        <v xml:space="preserve"> </v>
      </c>
      <c r="DU185" s="10" t="str">
        <f t="shared" si="377"/>
        <v xml:space="preserve"> </v>
      </c>
      <c r="DV185" s="10" t="str">
        <f t="shared" si="377"/>
        <v xml:space="preserve"> </v>
      </c>
      <c r="DW185" s="10" t="str">
        <f t="shared" si="377"/>
        <v xml:space="preserve"> </v>
      </c>
      <c r="DX185" s="10" t="str">
        <f t="shared" si="377"/>
        <v xml:space="preserve"> </v>
      </c>
      <c r="DY185" s="10" t="str">
        <f t="shared" si="377"/>
        <v xml:space="preserve"> </v>
      </c>
      <c r="EB185" s="10" t="str">
        <f t="shared" si="378"/>
        <v xml:space="preserve"> </v>
      </c>
      <c r="EC185" s="10" t="str">
        <f t="shared" si="378"/>
        <v xml:space="preserve"> </v>
      </c>
      <c r="ED185" s="10" t="str">
        <f t="shared" si="378"/>
        <v xml:space="preserve"> </v>
      </c>
      <c r="EE185" s="10" t="str">
        <f t="shared" si="378"/>
        <v xml:space="preserve"> </v>
      </c>
      <c r="EF185" s="10" t="str">
        <f t="shared" si="378"/>
        <v xml:space="preserve"> </v>
      </c>
      <c r="EI185" s="10" t="str">
        <f t="shared" si="379"/>
        <v xml:space="preserve"> </v>
      </c>
      <c r="EJ185" s="10" t="str">
        <f t="shared" si="379"/>
        <v xml:space="preserve"> </v>
      </c>
      <c r="EK185" s="10" t="str">
        <f t="shared" si="379"/>
        <v xml:space="preserve"> </v>
      </c>
      <c r="EL185" s="10" t="str">
        <f t="shared" si="379"/>
        <v xml:space="preserve"> </v>
      </c>
      <c r="EM185" s="10" t="str">
        <f t="shared" si="379"/>
        <v xml:space="preserve"> </v>
      </c>
      <c r="EP185" s="10" t="str">
        <f t="shared" si="380"/>
        <v xml:space="preserve"> </v>
      </c>
      <c r="EQ185" s="10" t="str">
        <f t="shared" si="380"/>
        <v xml:space="preserve"> </v>
      </c>
      <c r="ER185" s="10" t="str">
        <f t="shared" si="380"/>
        <v xml:space="preserve"> </v>
      </c>
      <c r="ES185" s="10" t="str">
        <f t="shared" si="380"/>
        <v xml:space="preserve"> </v>
      </c>
      <c r="ET185" s="10" t="str">
        <f t="shared" si="380"/>
        <v xml:space="preserve"> </v>
      </c>
      <c r="EW185" s="10" t="str">
        <f t="shared" si="381"/>
        <v xml:space="preserve"> </v>
      </c>
      <c r="EX185" s="10" t="str">
        <f t="shared" si="381"/>
        <v xml:space="preserve"> </v>
      </c>
      <c r="EY185" s="10" t="str">
        <f t="shared" si="381"/>
        <v xml:space="preserve"> </v>
      </c>
      <c r="EZ185" s="10" t="str">
        <f t="shared" si="381"/>
        <v xml:space="preserve"> </v>
      </c>
      <c r="FA185" s="10" t="str">
        <f t="shared" si="381"/>
        <v xml:space="preserve"> </v>
      </c>
      <c r="FD185" s="10" t="str">
        <f t="shared" si="382"/>
        <v xml:space="preserve"> </v>
      </c>
      <c r="FE185" s="10" t="str">
        <f t="shared" si="382"/>
        <v xml:space="preserve"> </v>
      </c>
      <c r="FF185" s="10" t="str">
        <f t="shared" si="382"/>
        <v xml:space="preserve"> </v>
      </c>
      <c r="FG185" s="10" t="str">
        <f t="shared" si="382"/>
        <v xml:space="preserve"> </v>
      </c>
      <c r="FH185" s="10" t="str">
        <f t="shared" si="382"/>
        <v xml:space="preserve"> </v>
      </c>
      <c r="FK185" s="10" t="str">
        <f t="shared" si="383"/>
        <v xml:space="preserve"> </v>
      </c>
      <c r="FL185" s="10" t="str">
        <f t="shared" si="383"/>
        <v xml:space="preserve"> </v>
      </c>
      <c r="FM185" s="10" t="str">
        <f t="shared" si="383"/>
        <v xml:space="preserve"> </v>
      </c>
      <c r="FN185" s="10" t="str">
        <f t="shared" si="383"/>
        <v xml:space="preserve"> </v>
      </c>
      <c r="FO185" s="10" t="str">
        <f t="shared" si="383"/>
        <v xml:space="preserve"> </v>
      </c>
      <c r="FR185" s="10" t="str">
        <f t="shared" si="384"/>
        <v xml:space="preserve"> </v>
      </c>
      <c r="FS185" s="10" t="str">
        <f t="shared" si="384"/>
        <v xml:space="preserve"> </v>
      </c>
      <c r="FT185" s="10" t="str">
        <f t="shared" si="384"/>
        <v xml:space="preserve"> </v>
      </c>
      <c r="FU185" s="10" t="str">
        <f t="shared" si="384"/>
        <v xml:space="preserve"> </v>
      </c>
      <c r="FV185" s="10" t="str">
        <f t="shared" si="384"/>
        <v xml:space="preserve"> </v>
      </c>
      <c r="FY185" s="10" t="str">
        <f t="shared" si="385"/>
        <v xml:space="preserve"> </v>
      </c>
      <c r="FZ185" s="10" t="str">
        <f t="shared" si="385"/>
        <v xml:space="preserve"> </v>
      </c>
      <c r="GA185" s="10" t="str">
        <f t="shared" si="385"/>
        <v xml:space="preserve"> </v>
      </c>
      <c r="GB185" s="10" t="str">
        <f t="shared" si="385"/>
        <v xml:space="preserve"> </v>
      </c>
      <c r="GC185" s="10" t="str">
        <f t="shared" si="385"/>
        <v xml:space="preserve"> </v>
      </c>
      <c r="GF185" s="10" t="str">
        <f t="shared" si="386"/>
        <v xml:space="preserve"> </v>
      </c>
      <c r="GG185" s="10" t="str">
        <f t="shared" si="386"/>
        <v xml:space="preserve"> </v>
      </c>
      <c r="GH185" s="10" t="str">
        <f t="shared" si="386"/>
        <v xml:space="preserve"> </v>
      </c>
      <c r="GI185" s="10" t="str">
        <f t="shared" si="386"/>
        <v xml:space="preserve"> </v>
      </c>
      <c r="GJ185" s="10" t="str">
        <f t="shared" si="386"/>
        <v xml:space="preserve"> </v>
      </c>
      <c r="GM185" s="10" t="str">
        <f t="shared" si="387"/>
        <v xml:space="preserve"> </v>
      </c>
      <c r="GN185" s="10" t="str">
        <f t="shared" si="387"/>
        <v xml:space="preserve"> </v>
      </c>
      <c r="GO185" s="10" t="str">
        <f t="shared" si="387"/>
        <v xml:space="preserve"> </v>
      </c>
      <c r="GP185" s="10" t="str">
        <f t="shared" si="387"/>
        <v xml:space="preserve"> </v>
      </c>
      <c r="GQ185" s="10" t="str">
        <f t="shared" si="387"/>
        <v xml:space="preserve"> </v>
      </c>
      <c r="GT185" s="10" t="str">
        <f t="shared" si="388"/>
        <v xml:space="preserve"> </v>
      </c>
      <c r="GU185" s="10" t="str">
        <f t="shared" si="388"/>
        <v xml:space="preserve"> </v>
      </c>
      <c r="GV185" s="10" t="str">
        <f t="shared" si="388"/>
        <v xml:space="preserve"> </v>
      </c>
      <c r="GW185" s="10" t="str">
        <f t="shared" si="388"/>
        <v xml:space="preserve"> </v>
      </c>
      <c r="GX185" s="10" t="str">
        <f t="shared" si="388"/>
        <v xml:space="preserve"> </v>
      </c>
      <c r="HA185" s="10" t="str">
        <f t="shared" si="389"/>
        <v xml:space="preserve"> </v>
      </c>
      <c r="HB185" s="10" t="str">
        <f t="shared" si="389"/>
        <v xml:space="preserve"> </v>
      </c>
      <c r="HC185" s="10" t="str">
        <f t="shared" si="389"/>
        <v xml:space="preserve"> </v>
      </c>
      <c r="HD185" s="10" t="str">
        <f t="shared" si="389"/>
        <v xml:space="preserve"> </v>
      </c>
      <c r="HE185" s="10" t="str">
        <f t="shared" si="389"/>
        <v xml:space="preserve"> </v>
      </c>
      <c r="HH185" s="10" t="str">
        <f t="shared" si="390"/>
        <v xml:space="preserve"> </v>
      </c>
      <c r="HI185" s="10" t="str">
        <f t="shared" si="390"/>
        <v xml:space="preserve"> </v>
      </c>
      <c r="HJ185" s="10" t="str">
        <f t="shared" si="390"/>
        <v xml:space="preserve"> </v>
      </c>
      <c r="HK185" s="10" t="str">
        <f t="shared" si="390"/>
        <v xml:space="preserve"> </v>
      </c>
      <c r="HL185" s="10" t="str">
        <f t="shared" si="390"/>
        <v xml:space="preserve"> </v>
      </c>
      <c r="HO185" s="10" t="str">
        <f t="shared" si="391"/>
        <v xml:space="preserve"> </v>
      </c>
      <c r="HP185" s="10" t="str">
        <f t="shared" si="391"/>
        <v xml:space="preserve"> </v>
      </c>
      <c r="HQ185" s="10" t="str">
        <f t="shared" si="391"/>
        <v xml:space="preserve"> </v>
      </c>
      <c r="HR185" s="10" t="str">
        <f t="shared" si="391"/>
        <v xml:space="preserve"> </v>
      </c>
      <c r="HS185" s="10" t="str">
        <f t="shared" si="391"/>
        <v xml:space="preserve"> </v>
      </c>
      <c r="HV185" s="10" t="str">
        <f t="shared" si="392"/>
        <v xml:space="preserve"> </v>
      </c>
      <c r="HW185" s="10" t="str">
        <f t="shared" si="392"/>
        <v xml:space="preserve"> </v>
      </c>
      <c r="HX185" s="10" t="str">
        <f t="shared" si="392"/>
        <v xml:space="preserve"> </v>
      </c>
      <c r="HY185" s="10" t="str">
        <f t="shared" si="392"/>
        <v xml:space="preserve"> </v>
      </c>
      <c r="HZ185" s="10" t="str">
        <f t="shared" si="392"/>
        <v xml:space="preserve"> </v>
      </c>
      <c r="IC185" s="10" t="str">
        <f t="shared" si="393"/>
        <v xml:space="preserve"> </v>
      </c>
      <c r="ID185" s="10" t="str">
        <f t="shared" si="393"/>
        <v xml:space="preserve"> </v>
      </c>
      <c r="IE185" s="10" t="str">
        <f t="shared" si="393"/>
        <v xml:space="preserve"> </v>
      </c>
      <c r="IF185" s="10" t="str">
        <f t="shared" si="393"/>
        <v xml:space="preserve"> </v>
      </c>
      <c r="IG185" s="10" t="str">
        <f t="shared" si="393"/>
        <v xml:space="preserve"> </v>
      </c>
      <c r="IJ185" s="10" t="str">
        <f t="shared" si="394"/>
        <v xml:space="preserve"> </v>
      </c>
      <c r="IK185" s="10" t="str">
        <f t="shared" si="394"/>
        <v xml:space="preserve"> </v>
      </c>
      <c r="IL185" s="10" t="str">
        <f t="shared" si="394"/>
        <v xml:space="preserve"> </v>
      </c>
      <c r="IM185" s="10" t="str">
        <f t="shared" si="394"/>
        <v xml:space="preserve"> </v>
      </c>
      <c r="IN185" s="10" t="str">
        <f t="shared" si="394"/>
        <v xml:space="preserve"> </v>
      </c>
      <c r="IQ185" s="10" t="str">
        <f t="shared" si="395"/>
        <v xml:space="preserve"> </v>
      </c>
      <c r="IR185" s="10" t="str">
        <f t="shared" si="395"/>
        <v xml:space="preserve"> </v>
      </c>
      <c r="IS185" s="10" t="str">
        <f t="shared" si="395"/>
        <v xml:space="preserve"> </v>
      </c>
      <c r="IT185" s="10" t="str">
        <f t="shared" si="395"/>
        <v xml:space="preserve"> </v>
      </c>
      <c r="IU185" s="10" t="str">
        <f t="shared" si="395"/>
        <v xml:space="preserve"> </v>
      </c>
      <c r="IX185" s="10" t="str">
        <f t="shared" si="396"/>
        <v xml:space="preserve"> </v>
      </c>
      <c r="IY185" s="10" t="str">
        <f t="shared" si="396"/>
        <v xml:space="preserve"> </v>
      </c>
      <c r="IZ185" s="10" t="str">
        <f t="shared" si="396"/>
        <v xml:space="preserve"> </v>
      </c>
      <c r="JA185" s="10" t="str">
        <f t="shared" si="396"/>
        <v xml:space="preserve"> </v>
      </c>
      <c r="JB185" s="10" t="str">
        <f t="shared" si="396"/>
        <v xml:space="preserve"> </v>
      </c>
      <c r="JE185" s="10" t="str">
        <f t="shared" si="397"/>
        <v xml:space="preserve"> </v>
      </c>
      <c r="JF185" s="10" t="str">
        <f t="shared" si="397"/>
        <v xml:space="preserve"> </v>
      </c>
      <c r="JG185" s="10" t="str">
        <f t="shared" si="397"/>
        <v xml:space="preserve"> </v>
      </c>
      <c r="JH185" s="10" t="str">
        <f t="shared" si="397"/>
        <v xml:space="preserve"> </v>
      </c>
      <c r="JI185" s="10" t="str">
        <f t="shared" si="397"/>
        <v xml:space="preserve"> </v>
      </c>
    </row>
    <row r="186" spans="13:269">
      <c r="M186" s="10" t="str">
        <f t="shared" si="398"/>
        <v xml:space="preserve"> </v>
      </c>
      <c r="N186" s="10" t="str">
        <f t="shared" si="398"/>
        <v xml:space="preserve"> </v>
      </c>
      <c r="O186" s="10" t="str">
        <f t="shared" si="398"/>
        <v xml:space="preserve"> </v>
      </c>
      <c r="P186" s="10" t="str">
        <f t="shared" si="398"/>
        <v xml:space="preserve"> </v>
      </c>
      <c r="Q186" s="10" t="str">
        <f t="shared" si="398"/>
        <v xml:space="preserve"> </v>
      </c>
      <c r="R186" s="14"/>
      <c r="S186" s="14"/>
      <c r="T186" s="10" t="str">
        <f t="shared" si="362"/>
        <v xml:space="preserve"> </v>
      </c>
      <c r="U186" s="10" t="str">
        <f t="shared" si="362"/>
        <v xml:space="preserve"> </v>
      </c>
      <c r="V186" s="10" t="str">
        <f t="shared" si="362"/>
        <v xml:space="preserve"> </v>
      </c>
      <c r="W186" s="10" t="str">
        <f t="shared" si="362"/>
        <v xml:space="preserve"> </v>
      </c>
      <c r="X186" s="10" t="str">
        <f t="shared" si="362"/>
        <v xml:space="preserve"> </v>
      </c>
      <c r="Y186" s="14"/>
      <c r="Z186" s="14"/>
      <c r="AA186" s="10" t="str">
        <f t="shared" si="363"/>
        <v xml:space="preserve"> </v>
      </c>
      <c r="AB186" s="10" t="str">
        <f t="shared" si="363"/>
        <v xml:space="preserve"> </v>
      </c>
      <c r="AC186" s="10" t="str">
        <f t="shared" si="363"/>
        <v xml:space="preserve"> </v>
      </c>
      <c r="AD186" s="10" t="str">
        <f t="shared" si="363"/>
        <v xml:space="preserve"> </v>
      </c>
      <c r="AE186" s="10" t="str">
        <f t="shared" si="363"/>
        <v xml:space="preserve"> </v>
      </c>
      <c r="AF186" s="14"/>
      <c r="AG186" s="14"/>
      <c r="AH186" s="10" t="str">
        <f t="shared" si="364"/>
        <v xml:space="preserve"> </v>
      </c>
      <c r="AI186" s="10" t="str">
        <f t="shared" si="364"/>
        <v xml:space="preserve"> </v>
      </c>
      <c r="AJ186" s="10" t="str">
        <f t="shared" si="364"/>
        <v xml:space="preserve"> </v>
      </c>
      <c r="AK186" s="10" t="str">
        <f t="shared" si="364"/>
        <v xml:space="preserve"> </v>
      </c>
      <c r="AL186" s="10" t="str">
        <f t="shared" si="364"/>
        <v xml:space="preserve"> </v>
      </c>
      <c r="AM186" s="14"/>
      <c r="AN186" s="14"/>
      <c r="AO186" s="10" t="str">
        <f t="shared" si="365"/>
        <v xml:space="preserve"> </v>
      </c>
      <c r="AP186" s="10" t="str">
        <f t="shared" si="365"/>
        <v xml:space="preserve"> </v>
      </c>
      <c r="AQ186" s="10" t="str">
        <f t="shared" si="365"/>
        <v xml:space="preserve"> </v>
      </c>
      <c r="AR186" s="10" t="str">
        <f t="shared" si="365"/>
        <v xml:space="preserve"> </v>
      </c>
      <c r="AS186" s="10" t="str">
        <f t="shared" si="365"/>
        <v xml:space="preserve"> </v>
      </c>
      <c r="AT186" s="14"/>
      <c r="AU186" s="14"/>
      <c r="AV186" s="10" t="str">
        <f t="shared" si="366"/>
        <v xml:space="preserve"> </v>
      </c>
      <c r="AW186" s="10" t="str">
        <f t="shared" si="366"/>
        <v xml:space="preserve"> </v>
      </c>
      <c r="AX186" s="10" t="str">
        <f t="shared" si="366"/>
        <v xml:space="preserve"> </v>
      </c>
      <c r="AY186" s="10" t="str">
        <f t="shared" si="366"/>
        <v xml:space="preserve"> </v>
      </c>
      <c r="AZ186" s="10" t="str">
        <f t="shared" si="366"/>
        <v xml:space="preserve"> </v>
      </c>
      <c r="BA186" s="14"/>
      <c r="BB186" s="14"/>
      <c r="BC186" s="10" t="str">
        <f t="shared" si="367"/>
        <v xml:space="preserve"> </v>
      </c>
      <c r="BD186" s="10" t="str">
        <f t="shared" si="367"/>
        <v xml:space="preserve"> </v>
      </c>
      <c r="BE186" s="10" t="str">
        <f t="shared" si="367"/>
        <v xml:space="preserve"> </v>
      </c>
      <c r="BF186" s="10" t="str">
        <f t="shared" si="367"/>
        <v xml:space="preserve"> </v>
      </c>
      <c r="BG186" s="10" t="str">
        <f t="shared" si="367"/>
        <v xml:space="preserve"> </v>
      </c>
      <c r="BH186" s="14"/>
      <c r="BI186" s="14"/>
      <c r="BJ186" s="10" t="str">
        <f t="shared" si="368"/>
        <v xml:space="preserve"> </v>
      </c>
      <c r="BK186" s="10" t="str">
        <f t="shared" si="368"/>
        <v xml:space="preserve"> </v>
      </c>
      <c r="BL186" s="10" t="str">
        <f t="shared" si="368"/>
        <v xml:space="preserve"> </v>
      </c>
      <c r="BM186" s="10" t="str">
        <f t="shared" si="368"/>
        <v xml:space="preserve"> </v>
      </c>
      <c r="BN186" s="10" t="str">
        <f t="shared" si="368"/>
        <v xml:space="preserve"> </v>
      </c>
      <c r="BO186" s="14"/>
      <c r="BP186" s="14"/>
      <c r="BQ186" s="10" t="str">
        <f t="shared" si="369"/>
        <v xml:space="preserve"> </v>
      </c>
      <c r="BR186" s="10" t="str">
        <f t="shared" si="369"/>
        <v xml:space="preserve"> </v>
      </c>
      <c r="BS186" s="10" t="str">
        <f t="shared" si="369"/>
        <v xml:space="preserve"> </v>
      </c>
      <c r="BT186" s="10" t="str">
        <f t="shared" si="369"/>
        <v xml:space="preserve"> </v>
      </c>
      <c r="BU186" s="10" t="str">
        <f t="shared" si="369"/>
        <v xml:space="preserve"> </v>
      </c>
      <c r="BV186" s="14"/>
      <c r="BW186" s="14"/>
      <c r="BX186" s="10" t="str">
        <f t="shared" si="370"/>
        <v xml:space="preserve"> </v>
      </c>
      <c r="BY186" s="10" t="str">
        <f t="shared" si="370"/>
        <v xml:space="preserve"> </v>
      </c>
      <c r="BZ186" s="10" t="str">
        <f t="shared" si="370"/>
        <v xml:space="preserve"> </v>
      </c>
      <c r="CA186" s="10" t="str">
        <f t="shared" si="370"/>
        <v xml:space="preserve"> </v>
      </c>
      <c r="CB186" s="10" t="str">
        <f t="shared" si="370"/>
        <v xml:space="preserve"> </v>
      </c>
      <c r="CC186" s="14"/>
      <c r="CD186" s="14"/>
      <c r="CE186" s="10" t="str">
        <f t="shared" si="371"/>
        <v xml:space="preserve"> </v>
      </c>
      <c r="CF186" s="10" t="str">
        <f t="shared" si="371"/>
        <v xml:space="preserve"> </v>
      </c>
      <c r="CG186" s="10" t="str">
        <f t="shared" si="371"/>
        <v xml:space="preserve"> </v>
      </c>
      <c r="CH186" s="10" t="str">
        <f t="shared" si="371"/>
        <v xml:space="preserve"> </v>
      </c>
      <c r="CI186" s="10" t="str">
        <f t="shared" si="371"/>
        <v xml:space="preserve"> </v>
      </c>
      <c r="CJ186" s="14"/>
      <c r="CK186" s="14"/>
      <c r="CL186" s="10" t="str">
        <f t="shared" si="372"/>
        <v xml:space="preserve"> </v>
      </c>
      <c r="CM186" s="10" t="str">
        <f t="shared" si="372"/>
        <v xml:space="preserve"> </v>
      </c>
      <c r="CN186" s="10" t="str">
        <f t="shared" si="372"/>
        <v xml:space="preserve"> </v>
      </c>
      <c r="CO186" s="10" t="str">
        <f t="shared" si="372"/>
        <v xml:space="preserve"> </v>
      </c>
      <c r="CP186" s="10" t="str">
        <f t="shared" si="372"/>
        <v xml:space="preserve"> </v>
      </c>
      <c r="CQ186" s="14"/>
      <c r="CR186" s="14"/>
      <c r="CS186" s="10" t="str">
        <f t="shared" si="373"/>
        <v xml:space="preserve"> </v>
      </c>
      <c r="CT186" s="10" t="str">
        <f t="shared" si="373"/>
        <v xml:space="preserve"> </v>
      </c>
      <c r="CU186" s="10" t="str">
        <f t="shared" si="373"/>
        <v xml:space="preserve"> </v>
      </c>
      <c r="CV186" s="10" t="str">
        <f t="shared" si="373"/>
        <v xml:space="preserve"> </v>
      </c>
      <c r="CW186" s="10" t="str">
        <f t="shared" si="373"/>
        <v xml:space="preserve"> </v>
      </c>
      <c r="CZ186" s="10" t="str">
        <f t="shared" si="374"/>
        <v xml:space="preserve"> </v>
      </c>
      <c r="DA186" s="10" t="str">
        <f t="shared" si="374"/>
        <v xml:space="preserve"> </v>
      </c>
      <c r="DB186" s="10" t="str">
        <f t="shared" si="374"/>
        <v xml:space="preserve"> </v>
      </c>
      <c r="DC186" s="10" t="str">
        <f t="shared" si="374"/>
        <v xml:space="preserve"> </v>
      </c>
      <c r="DD186" s="10" t="str">
        <f t="shared" si="374"/>
        <v xml:space="preserve"> </v>
      </c>
      <c r="DG186" s="10" t="str">
        <f t="shared" si="375"/>
        <v xml:space="preserve"> </v>
      </c>
      <c r="DH186" s="10" t="str">
        <f t="shared" si="375"/>
        <v xml:space="preserve"> </v>
      </c>
      <c r="DI186" s="10" t="str">
        <f t="shared" si="375"/>
        <v xml:space="preserve"> </v>
      </c>
      <c r="DJ186" s="10" t="str">
        <f t="shared" si="375"/>
        <v xml:space="preserve"> </v>
      </c>
      <c r="DK186" s="10" t="str">
        <f t="shared" si="375"/>
        <v xml:space="preserve"> </v>
      </c>
      <c r="DN186" s="10" t="str">
        <f t="shared" si="376"/>
        <v xml:space="preserve"> </v>
      </c>
      <c r="DO186" s="10" t="str">
        <f t="shared" si="376"/>
        <v xml:space="preserve"> </v>
      </c>
      <c r="DP186" s="10" t="str">
        <f t="shared" si="376"/>
        <v xml:space="preserve"> </v>
      </c>
      <c r="DQ186" s="10" t="str">
        <f t="shared" si="376"/>
        <v xml:space="preserve"> </v>
      </c>
      <c r="DR186" s="10" t="str">
        <f t="shared" si="376"/>
        <v xml:space="preserve"> </v>
      </c>
      <c r="DU186" s="10" t="str">
        <f t="shared" si="377"/>
        <v xml:space="preserve"> </v>
      </c>
      <c r="DV186" s="10" t="str">
        <f t="shared" si="377"/>
        <v xml:space="preserve"> </v>
      </c>
      <c r="DW186" s="10" t="str">
        <f t="shared" si="377"/>
        <v xml:space="preserve"> </v>
      </c>
      <c r="DX186" s="10" t="str">
        <f t="shared" si="377"/>
        <v xml:space="preserve"> </v>
      </c>
      <c r="DY186" s="10" t="str">
        <f t="shared" si="377"/>
        <v xml:space="preserve"> </v>
      </c>
      <c r="EB186" s="10" t="str">
        <f t="shared" si="378"/>
        <v xml:space="preserve"> </v>
      </c>
      <c r="EC186" s="10" t="str">
        <f t="shared" si="378"/>
        <v xml:space="preserve"> </v>
      </c>
      <c r="ED186" s="10" t="str">
        <f t="shared" si="378"/>
        <v xml:space="preserve"> </v>
      </c>
      <c r="EE186" s="10" t="str">
        <f t="shared" si="378"/>
        <v xml:space="preserve"> </v>
      </c>
      <c r="EF186" s="10" t="str">
        <f t="shared" si="378"/>
        <v xml:space="preserve"> </v>
      </c>
      <c r="EI186" s="10" t="str">
        <f t="shared" si="379"/>
        <v xml:space="preserve"> </v>
      </c>
      <c r="EJ186" s="10" t="str">
        <f t="shared" si="379"/>
        <v xml:space="preserve"> </v>
      </c>
      <c r="EK186" s="10" t="str">
        <f t="shared" si="379"/>
        <v xml:space="preserve"> </v>
      </c>
      <c r="EL186" s="10" t="str">
        <f t="shared" si="379"/>
        <v xml:space="preserve"> </v>
      </c>
      <c r="EM186" s="10" t="str">
        <f t="shared" si="379"/>
        <v xml:space="preserve"> </v>
      </c>
      <c r="EP186" s="10" t="str">
        <f t="shared" si="380"/>
        <v xml:space="preserve"> </v>
      </c>
      <c r="EQ186" s="10" t="str">
        <f t="shared" si="380"/>
        <v xml:space="preserve"> </v>
      </c>
      <c r="ER186" s="10" t="str">
        <f t="shared" si="380"/>
        <v xml:space="preserve"> </v>
      </c>
      <c r="ES186" s="10" t="str">
        <f t="shared" si="380"/>
        <v xml:space="preserve"> </v>
      </c>
      <c r="ET186" s="10" t="str">
        <f t="shared" si="380"/>
        <v xml:space="preserve"> </v>
      </c>
      <c r="EW186" s="10" t="str">
        <f t="shared" si="381"/>
        <v xml:space="preserve"> </v>
      </c>
      <c r="EX186" s="10" t="str">
        <f t="shared" si="381"/>
        <v xml:space="preserve"> </v>
      </c>
      <c r="EY186" s="10" t="str">
        <f t="shared" si="381"/>
        <v xml:space="preserve"> </v>
      </c>
      <c r="EZ186" s="10" t="str">
        <f t="shared" si="381"/>
        <v xml:space="preserve"> </v>
      </c>
      <c r="FA186" s="10" t="str">
        <f t="shared" si="381"/>
        <v xml:space="preserve"> </v>
      </c>
      <c r="FD186" s="10" t="str">
        <f t="shared" si="382"/>
        <v xml:space="preserve"> </v>
      </c>
      <c r="FE186" s="10" t="str">
        <f t="shared" si="382"/>
        <v xml:space="preserve"> </v>
      </c>
      <c r="FF186" s="10" t="str">
        <f t="shared" si="382"/>
        <v xml:space="preserve"> </v>
      </c>
      <c r="FG186" s="10" t="str">
        <f t="shared" si="382"/>
        <v xml:space="preserve"> </v>
      </c>
      <c r="FH186" s="10" t="str">
        <f t="shared" si="382"/>
        <v xml:space="preserve"> </v>
      </c>
      <c r="FK186" s="10" t="str">
        <f t="shared" si="383"/>
        <v xml:space="preserve"> </v>
      </c>
      <c r="FL186" s="10" t="str">
        <f t="shared" si="383"/>
        <v xml:space="preserve"> </v>
      </c>
      <c r="FM186" s="10" t="str">
        <f t="shared" si="383"/>
        <v xml:space="preserve"> </v>
      </c>
      <c r="FN186" s="10" t="str">
        <f t="shared" si="383"/>
        <v xml:space="preserve"> </v>
      </c>
      <c r="FO186" s="10" t="str">
        <f t="shared" si="383"/>
        <v xml:space="preserve"> </v>
      </c>
      <c r="FR186" s="10" t="str">
        <f t="shared" si="384"/>
        <v xml:space="preserve"> </v>
      </c>
      <c r="FS186" s="10" t="str">
        <f t="shared" si="384"/>
        <v xml:space="preserve"> </v>
      </c>
      <c r="FT186" s="10" t="str">
        <f t="shared" si="384"/>
        <v xml:space="preserve"> </v>
      </c>
      <c r="FU186" s="10" t="str">
        <f t="shared" si="384"/>
        <v xml:space="preserve"> </v>
      </c>
      <c r="FV186" s="10" t="str">
        <f t="shared" si="384"/>
        <v xml:space="preserve"> </v>
      </c>
      <c r="FY186" s="10" t="str">
        <f t="shared" si="385"/>
        <v xml:space="preserve"> </v>
      </c>
      <c r="FZ186" s="10" t="str">
        <f t="shared" si="385"/>
        <v xml:space="preserve"> </v>
      </c>
      <c r="GA186" s="10" t="str">
        <f t="shared" si="385"/>
        <v xml:space="preserve"> </v>
      </c>
      <c r="GB186" s="10" t="str">
        <f t="shared" si="385"/>
        <v xml:space="preserve"> </v>
      </c>
      <c r="GC186" s="10" t="str">
        <f t="shared" si="385"/>
        <v xml:space="preserve"> </v>
      </c>
      <c r="GF186" s="10" t="str">
        <f t="shared" si="386"/>
        <v xml:space="preserve"> </v>
      </c>
      <c r="GG186" s="10" t="str">
        <f t="shared" si="386"/>
        <v xml:space="preserve"> </v>
      </c>
      <c r="GH186" s="10" t="str">
        <f t="shared" si="386"/>
        <v xml:space="preserve"> </v>
      </c>
      <c r="GI186" s="10" t="str">
        <f t="shared" si="386"/>
        <v xml:space="preserve"> </v>
      </c>
      <c r="GJ186" s="10" t="str">
        <f t="shared" si="386"/>
        <v xml:space="preserve"> </v>
      </c>
      <c r="GM186" s="10" t="str">
        <f t="shared" si="387"/>
        <v xml:space="preserve"> </v>
      </c>
      <c r="GN186" s="10" t="str">
        <f t="shared" si="387"/>
        <v xml:space="preserve"> </v>
      </c>
      <c r="GO186" s="10" t="str">
        <f t="shared" si="387"/>
        <v xml:space="preserve"> </v>
      </c>
      <c r="GP186" s="10" t="str">
        <f t="shared" si="387"/>
        <v xml:space="preserve"> </v>
      </c>
      <c r="GQ186" s="10" t="str">
        <f t="shared" si="387"/>
        <v xml:space="preserve"> </v>
      </c>
      <c r="GT186" s="10" t="str">
        <f t="shared" si="388"/>
        <v xml:space="preserve"> </v>
      </c>
      <c r="GU186" s="10" t="str">
        <f t="shared" si="388"/>
        <v xml:space="preserve"> </v>
      </c>
      <c r="GV186" s="10" t="str">
        <f t="shared" si="388"/>
        <v xml:space="preserve"> </v>
      </c>
      <c r="GW186" s="10" t="str">
        <f t="shared" si="388"/>
        <v xml:space="preserve"> </v>
      </c>
      <c r="GX186" s="10" t="str">
        <f t="shared" si="388"/>
        <v xml:space="preserve"> </v>
      </c>
      <c r="HA186" s="10" t="str">
        <f t="shared" si="389"/>
        <v xml:space="preserve"> </v>
      </c>
      <c r="HB186" s="10" t="str">
        <f t="shared" si="389"/>
        <v xml:space="preserve"> </v>
      </c>
      <c r="HC186" s="10" t="str">
        <f t="shared" si="389"/>
        <v xml:space="preserve"> </v>
      </c>
      <c r="HD186" s="10" t="str">
        <f t="shared" si="389"/>
        <v xml:space="preserve"> </v>
      </c>
      <c r="HE186" s="10" t="str">
        <f t="shared" si="389"/>
        <v xml:space="preserve"> </v>
      </c>
      <c r="HH186" s="10" t="str">
        <f t="shared" si="390"/>
        <v xml:space="preserve"> </v>
      </c>
      <c r="HI186" s="10" t="str">
        <f t="shared" si="390"/>
        <v xml:space="preserve"> </v>
      </c>
      <c r="HJ186" s="10" t="str">
        <f t="shared" si="390"/>
        <v xml:space="preserve"> </v>
      </c>
      <c r="HK186" s="10" t="str">
        <f t="shared" si="390"/>
        <v xml:space="preserve"> </v>
      </c>
      <c r="HL186" s="10" t="str">
        <f t="shared" si="390"/>
        <v xml:space="preserve"> </v>
      </c>
      <c r="HO186" s="10" t="str">
        <f t="shared" si="391"/>
        <v xml:space="preserve"> </v>
      </c>
      <c r="HP186" s="10" t="str">
        <f t="shared" si="391"/>
        <v xml:space="preserve"> </v>
      </c>
      <c r="HQ186" s="10" t="str">
        <f t="shared" si="391"/>
        <v xml:space="preserve"> </v>
      </c>
      <c r="HR186" s="10" t="str">
        <f t="shared" si="391"/>
        <v xml:space="preserve"> </v>
      </c>
      <c r="HS186" s="10" t="str">
        <f t="shared" si="391"/>
        <v xml:space="preserve"> </v>
      </c>
      <c r="HV186" s="10" t="str">
        <f t="shared" si="392"/>
        <v xml:space="preserve"> </v>
      </c>
      <c r="HW186" s="10" t="str">
        <f t="shared" si="392"/>
        <v xml:space="preserve"> </v>
      </c>
      <c r="HX186" s="10" t="str">
        <f t="shared" si="392"/>
        <v xml:space="preserve"> </v>
      </c>
      <c r="HY186" s="10" t="str">
        <f t="shared" si="392"/>
        <v xml:space="preserve"> </v>
      </c>
      <c r="HZ186" s="10" t="str">
        <f t="shared" si="392"/>
        <v xml:space="preserve"> </v>
      </c>
      <c r="IC186" s="10" t="str">
        <f t="shared" si="393"/>
        <v xml:space="preserve"> </v>
      </c>
      <c r="ID186" s="10" t="str">
        <f t="shared" si="393"/>
        <v xml:space="preserve"> </v>
      </c>
      <c r="IE186" s="10" t="str">
        <f t="shared" si="393"/>
        <v xml:space="preserve"> </v>
      </c>
      <c r="IF186" s="10" t="str">
        <f t="shared" si="393"/>
        <v xml:space="preserve"> </v>
      </c>
      <c r="IG186" s="10" t="str">
        <f t="shared" si="393"/>
        <v xml:space="preserve"> </v>
      </c>
      <c r="IJ186" s="10" t="str">
        <f t="shared" si="394"/>
        <v xml:space="preserve"> </v>
      </c>
      <c r="IK186" s="10" t="str">
        <f t="shared" si="394"/>
        <v xml:space="preserve"> </v>
      </c>
      <c r="IL186" s="10" t="str">
        <f t="shared" si="394"/>
        <v xml:space="preserve"> </v>
      </c>
      <c r="IM186" s="10" t="str">
        <f t="shared" si="394"/>
        <v xml:space="preserve"> </v>
      </c>
      <c r="IN186" s="10" t="str">
        <f t="shared" si="394"/>
        <v xml:space="preserve"> </v>
      </c>
      <c r="IQ186" s="10" t="str">
        <f t="shared" si="395"/>
        <v xml:space="preserve"> </v>
      </c>
      <c r="IR186" s="10" t="str">
        <f t="shared" si="395"/>
        <v xml:space="preserve"> </v>
      </c>
      <c r="IS186" s="10" t="str">
        <f t="shared" si="395"/>
        <v xml:space="preserve"> </v>
      </c>
      <c r="IT186" s="10" t="str">
        <f t="shared" si="395"/>
        <v xml:space="preserve"> </v>
      </c>
      <c r="IU186" s="10" t="str">
        <f t="shared" si="395"/>
        <v xml:space="preserve"> </v>
      </c>
      <c r="IX186" s="10" t="str">
        <f t="shared" si="396"/>
        <v xml:space="preserve"> </v>
      </c>
      <c r="IY186" s="10" t="str">
        <f t="shared" si="396"/>
        <v xml:space="preserve"> </v>
      </c>
      <c r="IZ186" s="10" t="str">
        <f t="shared" si="396"/>
        <v xml:space="preserve"> </v>
      </c>
      <c r="JA186" s="10" t="str">
        <f t="shared" si="396"/>
        <v xml:space="preserve"> </v>
      </c>
      <c r="JB186" s="10" t="str">
        <f t="shared" si="396"/>
        <v xml:space="preserve"> </v>
      </c>
      <c r="JE186" s="10" t="str">
        <f t="shared" si="397"/>
        <v xml:space="preserve"> </v>
      </c>
      <c r="JF186" s="10" t="str">
        <f t="shared" si="397"/>
        <v xml:space="preserve"> </v>
      </c>
      <c r="JG186" s="10" t="str">
        <f t="shared" si="397"/>
        <v xml:space="preserve"> </v>
      </c>
      <c r="JH186" s="10" t="str">
        <f t="shared" si="397"/>
        <v xml:space="preserve"> </v>
      </c>
      <c r="JI186" s="10" t="str">
        <f t="shared" si="397"/>
        <v xml:space="preserve"> </v>
      </c>
    </row>
    <row r="187" spans="13:269">
      <c r="M187" s="10" t="str">
        <f t="shared" si="398"/>
        <v xml:space="preserve"> </v>
      </c>
      <c r="N187" s="10" t="str">
        <f t="shared" si="398"/>
        <v xml:space="preserve"> </v>
      </c>
      <c r="O187" s="10" t="str">
        <f t="shared" si="398"/>
        <v xml:space="preserve"> </v>
      </c>
      <c r="P187" s="10" t="str">
        <f t="shared" si="398"/>
        <v xml:space="preserve"> </v>
      </c>
      <c r="Q187" s="10" t="str">
        <f t="shared" si="398"/>
        <v xml:space="preserve"> </v>
      </c>
      <c r="R187" s="14"/>
      <c r="S187" s="14"/>
      <c r="T187" s="10" t="str">
        <f t="shared" si="362"/>
        <v xml:space="preserve"> </v>
      </c>
      <c r="U187" s="10" t="str">
        <f t="shared" si="362"/>
        <v xml:space="preserve"> </v>
      </c>
      <c r="V187" s="10" t="str">
        <f t="shared" si="362"/>
        <v xml:space="preserve"> </v>
      </c>
      <c r="W187" s="10" t="str">
        <f t="shared" si="362"/>
        <v xml:space="preserve"> </v>
      </c>
      <c r="X187" s="10" t="str">
        <f t="shared" si="362"/>
        <v xml:space="preserve"> </v>
      </c>
      <c r="Y187" s="14"/>
      <c r="Z187" s="14"/>
      <c r="AA187" s="10" t="str">
        <f t="shared" si="363"/>
        <v xml:space="preserve"> </v>
      </c>
      <c r="AB187" s="10" t="str">
        <f t="shared" si="363"/>
        <v xml:space="preserve"> </v>
      </c>
      <c r="AC187" s="10" t="str">
        <f t="shared" si="363"/>
        <v xml:space="preserve"> </v>
      </c>
      <c r="AD187" s="10" t="str">
        <f t="shared" si="363"/>
        <v xml:space="preserve"> </v>
      </c>
      <c r="AE187" s="10" t="str">
        <f t="shared" si="363"/>
        <v xml:space="preserve"> </v>
      </c>
      <c r="AF187" s="14"/>
      <c r="AG187" s="14"/>
      <c r="AH187" s="10" t="str">
        <f t="shared" si="364"/>
        <v xml:space="preserve"> </v>
      </c>
      <c r="AI187" s="10" t="str">
        <f t="shared" si="364"/>
        <v xml:space="preserve"> </v>
      </c>
      <c r="AJ187" s="10" t="str">
        <f t="shared" si="364"/>
        <v xml:space="preserve"> </v>
      </c>
      <c r="AK187" s="10" t="str">
        <f t="shared" si="364"/>
        <v xml:space="preserve"> </v>
      </c>
      <c r="AL187" s="10" t="str">
        <f t="shared" si="364"/>
        <v xml:space="preserve"> </v>
      </c>
      <c r="AM187" s="14"/>
      <c r="AN187" s="14"/>
      <c r="AO187" s="10" t="str">
        <f t="shared" si="365"/>
        <v xml:space="preserve"> </v>
      </c>
      <c r="AP187" s="10" t="str">
        <f t="shared" si="365"/>
        <v xml:space="preserve"> </v>
      </c>
      <c r="AQ187" s="10" t="str">
        <f t="shared" si="365"/>
        <v xml:space="preserve"> </v>
      </c>
      <c r="AR187" s="10" t="str">
        <f t="shared" si="365"/>
        <v xml:space="preserve"> </v>
      </c>
      <c r="AS187" s="10" t="str">
        <f t="shared" si="365"/>
        <v xml:space="preserve"> </v>
      </c>
      <c r="AT187" s="14"/>
      <c r="AU187" s="14"/>
      <c r="AV187" s="10" t="str">
        <f t="shared" si="366"/>
        <v xml:space="preserve"> </v>
      </c>
      <c r="AW187" s="10" t="str">
        <f t="shared" si="366"/>
        <v xml:space="preserve"> </v>
      </c>
      <c r="AX187" s="10" t="str">
        <f t="shared" si="366"/>
        <v xml:space="preserve"> </v>
      </c>
      <c r="AY187" s="10" t="str">
        <f t="shared" si="366"/>
        <v xml:space="preserve"> </v>
      </c>
      <c r="AZ187" s="10" t="str">
        <f t="shared" si="366"/>
        <v xml:space="preserve"> </v>
      </c>
      <c r="BA187" s="14"/>
      <c r="BB187" s="14"/>
      <c r="BC187" s="10" t="str">
        <f t="shared" si="367"/>
        <v xml:space="preserve"> </v>
      </c>
      <c r="BD187" s="10" t="str">
        <f t="shared" si="367"/>
        <v xml:space="preserve"> </v>
      </c>
      <c r="BE187" s="10" t="str">
        <f t="shared" si="367"/>
        <v xml:space="preserve"> </v>
      </c>
      <c r="BF187" s="10" t="str">
        <f t="shared" si="367"/>
        <v xml:space="preserve"> </v>
      </c>
      <c r="BG187" s="10" t="str">
        <f t="shared" si="367"/>
        <v xml:space="preserve"> </v>
      </c>
      <c r="BH187" s="14"/>
      <c r="BI187" s="14"/>
      <c r="BJ187" s="10" t="str">
        <f t="shared" si="368"/>
        <v xml:space="preserve"> </v>
      </c>
      <c r="BK187" s="10" t="str">
        <f t="shared" si="368"/>
        <v xml:space="preserve"> </v>
      </c>
      <c r="BL187" s="10" t="str">
        <f t="shared" si="368"/>
        <v xml:space="preserve"> </v>
      </c>
      <c r="BM187" s="10" t="str">
        <f t="shared" si="368"/>
        <v xml:space="preserve"> </v>
      </c>
      <c r="BN187" s="10" t="str">
        <f t="shared" si="368"/>
        <v xml:space="preserve"> </v>
      </c>
      <c r="BO187" s="14"/>
      <c r="BP187" s="14"/>
      <c r="BQ187" s="10" t="str">
        <f t="shared" si="369"/>
        <v xml:space="preserve"> </v>
      </c>
      <c r="BR187" s="10" t="str">
        <f t="shared" si="369"/>
        <v xml:space="preserve"> </v>
      </c>
      <c r="BS187" s="10" t="str">
        <f t="shared" si="369"/>
        <v xml:space="preserve"> </v>
      </c>
      <c r="BT187" s="10" t="str">
        <f t="shared" si="369"/>
        <v xml:space="preserve"> </v>
      </c>
      <c r="BU187" s="10" t="str">
        <f t="shared" si="369"/>
        <v xml:space="preserve"> </v>
      </c>
      <c r="BV187" s="14"/>
      <c r="BW187" s="14"/>
      <c r="BX187" s="10" t="str">
        <f t="shared" si="370"/>
        <v xml:space="preserve"> </v>
      </c>
      <c r="BY187" s="10" t="str">
        <f t="shared" si="370"/>
        <v xml:space="preserve"> </v>
      </c>
      <c r="BZ187" s="10" t="str">
        <f t="shared" si="370"/>
        <v xml:space="preserve"> </v>
      </c>
      <c r="CA187" s="10" t="str">
        <f t="shared" si="370"/>
        <v xml:space="preserve"> </v>
      </c>
      <c r="CB187" s="10" t="str">
        <f t="shared" si="370"/>
        <v xml:space="preserve"> </v>
      </c>
      <c r="CC187" s="14"/>
      <c r="CD187" s="14"/>
      <c r="CE187" s="10" t="str">
        <f t="shared" si="371"/>
        <v xml:space="preserve"> </v>
      </c>
      <c r="CF187" s="10" t="str">
        <f t="shared" si="371"/>
        <v xml:space="preserve"> </v>
      </c>
      <c r="CG187" s="10" t="str">
        <f t="shared" si="371"/>
        <v xml:space="preserve"> </v>
      </c>
      <c r="CH187" s="10" t="str">
        <f t="shared" si="371"/>
        <v xml:space="preserve"> </v>
      </c>
      <c r="CI187" s="10" t="str">
        <f t="shared" si="371"/>
        <v xml:space="preserve"> </v>
      </c>
      <c r="CJ187" s="14"/>
      <c r="CK187" s="14"/>
      <c r="CL187" s="10" t="str">
        <f t="shared" si="372"/>
        <v xml:space="preserve"> </v>
      </c>
      <c r="CM187" s="10" t="str">
        <f t="shared" si="372"/>
        <v xml:space="preserve"> </v>
      </c>
      <c r="CN187" s="10" t="str">
        <f t="shared" si="372"/>
        <v xml:space="preserve"> </v>
      </c>
      <c r="CO187" s="10" t="str">
        <f t="shared" si="372"/>
        <v xml:space="preserve"> </v>
      </c>
      <c r="CP187" s="10" t="str">
        <f t="shared" si="372"/>
        <v xml:space="preserve"> </v>
      </c>
      <c r="CQ187" s="14"/>
      <c r="CR187" s="14"/>
      <c r="CS187" s="10" t="str">
        <f t="shared" si="373"/>
        <v xml:space="preserve"> </v>
      </c>
      <c r="CT187" s="10" t="str">
        <f t="shared" si="373"/>
        <v xml:space="preserve"> </v>
      </c>
      <c r="CU187" s="10" t="str">
        <f t="shared" si="373"/>
        <v xml:space="preserve"> </v>
      </c>
      <c r="CV187" s="10" t="str">
        <f t="shared" si="373"/>
        <v xml:space="preserve"> </v>
      </c>
      <c r="CW187" s="10" t="str">
        <f t="shared" si="373"/>
        <v xml:space="preserve"> </v>
      </c>
      <c r="CZ187" s="10" t="str">
        <f t="shared" si="374"/>
        <v xml:space="preserve"> </v>
      </c>
      <c r="DA187" s="10" t="str">
        <f t="shared" si="374"/>
        <v xml:space="preserve"> </v>
      </c>
      <c r="DB187" s="10" t="str">
        <f t="shared" si="374"/>
        <v xml:space="preserve"> </v>
      </c>
      <c r="DC187" s="10" t="str">
        <f t="shared" si="374"/>
        <v xml:space="preserve"> </v>
      </c>
      <c r="DD187" s="10" t="str">
        <f t="shared" si="374"/>
        <v xml:space="preserve"> </v>
      </c>
      <c r="DG187" s="10" t="str">
        <f t="shared" si="375"/>
        <v xml:space="preserve"> </v>
      </c>
      <c r="DH187" s="10" t="str">
        <f t="shared" si="375"/>
        <v xml:space="preserve"> </v>
      </c>
      <c r="DI187" s="10" t="str">
        <f t="shared" si="375"/>
        <v xml:space="preserve"> </v>
      </c>
      <c r="DJ187" s="10" t="str">
        <f t="shared" si="375"/>
        <v xml:space="preserve"> </v>
      </c>
      <c r="DK187" s="10" t="str">
        <f t="shared" si="375"/>
        <v xml:space="preserve"> </v>
      </c>
      <c r="DN187" s="10" t="str">
        <f t="shared" si="376"/>
        <v xml:space="preserve"> </v>
      </c>
      <c r="DO187" s="10" t="str">
        <f t="shared" si="376"/>
        <v xml:space="preserve"> </v>
      </c>
      <c r="DP187" s="10" t="str">
        <f t="shared" si="376"/>
        <v xml:space="preserve"> </v>
      </c>
      <c r="DQ187" s="10" t="str">
        <f t="shared" si="376"/>
        <v xml:space="preserve"> </v>
      </c>
      <c r="DR187" s="10" t="str">
        <f t="shared" si="376"/>
        <v xml:space="preserve"> </v>
      </c>
      <c r="DU187" s="10" t="str">
        <f t="shared" si="377"/>
        <v xml:space="preserve"> </v>
      </c>
      <c r="DV187" s="10" t="str">
        <f t="shared" si="377"/>
        <v xml:space="preserve"> </v>
      </c>
      <c r="DW187" s="10" t="str">
        <f t="shared" si="377"/>
        <v xml:space="preserve"> </v>
      </c>
      <c r="DX187" s="10" t="str">
        <f t="shared" si="377"/>
        <v xml:space="preserve"> </v>
      </c>
      <c r="DY187" s="10" t="str">
        <f t="shared" si="377"/>
        <v xml:space="preserve"> </v>
      </c>
      <c r="EB187" s="10" t="str">
        <f t="shared" si="378"/>
        <v xml:space="preserve"> </v>
      </c>
      <c r="EC187" s="10" t="str">
        <f t="shared" si="378"/>
        <v xml:space="preserve"> </v>
      </c>
      <c r="ED187" s="10" t="str">
        <f t="shared" si="378"/>
        <v xml:space="preserve"> </v>
      </c>
      <c r="EE187" s="10" t="str">
        <f t="shared" si="378"/>
        <v xml:space="preserve"> </v>
      </c>
      <c r="EF187" s="10" t="str">
        <f t="shared" si="378"/>
        <v xml:space="preserve"> </v>
      </c>
      <c r="EI187" s="10" t="str">
        <f t="shared" si="379"/>
        <v xml:space="preserve"> </v>
      </c>
      <c r="EJ187" s="10" t="str">
        <f t="shared" si="379"/>
        <v xml:space="preserve"> </v>
      </c>
      <c r="EK187" s="10" t="str">
        <f t="shared" si="379"/>
        <v xml:space="preserve"> </v>
      </c>
      <c r="EL187" s="10" t="str">
        <f t="shared" si="379"/>
        <v xml:space="preserve"> </v>
      </c>
      <c r="EM187" s="10" t="str">
        <f t="shared" si="379"/>
        <v xml:space="preserve"> </v>
      </c>
      <c r="EP187" s="10" t="str">
        <f t="shared" si="380"/>
        <v xml:space="preserve"> </v>
      </c>
      <c r="EQ187" s="10" t="str">
        <f t="shared" si="380"/>
        <v xml:space="preserve"> </v>
      </c>
      <c r="ER187" s="10" t="str">
        <f t="shared" si="380"/>
        <v xml:space="preserve"> </v>
      </c>
      <c r="ES187" s="10" t="str">
        <f t="shared" si="380"/>
        <v xml:space="preserve"> </v>
      </c>
      <c r="ET187" s="10" t="str">
        <f t="shared" si="380"/>
        <v xml:space="preserve"> </v>
      </c>
      <c r="EW187" s="10" t="str">
        <f t="shared" si="381"/>
        <v xml:space="preserve"> </v>
      </c>
      <c r="EX187" s="10" t="str">
        <f t="shared" si="381"/>
        <v xml:space="preserve"> </v>
      </c>
      <c r="EY187" s="10" t="str">
        <f t="shared" si="381"/>
        <v xml:space="preserve"> </v>
      </c>
      <c r="EZ187" s="10" t="str">
        <f t="shared" si="381"/>
        <v xml:space="preserve"> </v>
      </c>
      <c r="FA187" s="10" t="str">
        <f t="shared" si="381"/>
        <v xml:space="preserve"> </v>
      </c>
      <c r="FD187" s="10" t="str">
        <f t="shared" si="382"/>
        <v xml:space="preserve"> </v>
      </c>
      <c r="FE187" s="10" t="str">
        <f t="shared" si="382"/>
        <v xml:space="preserve"> </v>
      </c>
      <c r="FF187" s="10" t="str">
        <f t="shared" si="382"/>
        <v xml:space="preserve"> </v>
      </c>
      <c r="FG187" s="10" t="str">
        <f t="shared" si="382"/>
        <v xml:space="preserve"> </v>
      </c>
      <c r="FH187" s="10" t="str">
        <f t="shared" si="382"/>
        <v xml:space="preserve"> </v>
      </c>
      <c r="FK187" s="10" t="str">
        <f t="shared" si="383"/>
        <v xml:space="preserve"> </v>
      </c>
      <c r="FL187" s="10" t="str">
        <f t="shared" si="383"/>
        <v xml:space="preserve"> </v>
      </c>
      <c r="FM187" s="10" t="str">
        <f t="shared" si="383"/>
        <v xml:space="preserve"> </v>
      </c>
      <c r="FN187" s="10" t="str">
        <f t="shared" si="383"/>
        <v xml:space="preserve"> </v>
      </c>
      <c r="FO187" s="10" t="str">
        <f t="shared" si="383"/>
        <v xml:space="preserve"> </v>
      </c>
      <c r="FR187" s="10" t="str">
        <f t="shared" si="384"/>
        <v xml:space="preserve"> </v>
      </c>
      <c r="FS187" s="10" t="str">
        <f t="shared" si="384"/>
        <v xml:space="preserve"> </v>
      </c>
      <c r="FT187" s="10" t="str">
        <f t="shared" si="384"/>
        <v xml:space="preserve"> </v>
      </c>
      <c r="FU187" s="10" t="str">
        <f t="shared" si="384"/>
        <v xml:space="preserve"> </v>
      </c>
      <c r="FV187" s="10" t="str">
        <f t="shared" si="384"/>
        <v xml:space="preserve"> </v>
      </c>
      <c r="FY187" s="10" t="str">
        <f t="shared" si="385"/>
        <v xml:space="preserve"> </v>
      </c>
      <c r="FZ187" s="10" t="str">
        <f t="shared" si="385"/>
        <v xml:space="preserve"> </v>
      </c>
      <c r="GA187" s="10" t="str">
        <f t="shared" si="385"/>
        <v xml:space="preserve"> </v>
      </c>
      <c r="GB187" s="10" t="str">
        <f t="shared" si="385"/>
        <v xml:space="preserve"> </v>
      </c>
      <c r="GC187" s="10" t="str">
        <f t="shared" si="385"/>
        <v xml:space="preserve"> </v>
      </c>
      <c r="GF187" s="10" t="str">
        <f t="shared" si="386"/>
        <v xml:space="preserve"> </v>
      </c>
      <c r="GG187" s="10" t="str">
        <f t="shared" si="386"/>
        <v xml:space="preserve"> </v>
      </c>
      <c r="GH187" s="10" t="str">
        <f t="shared" si="386"/>
        <v xml:space="preserve"> </v>
      </c>
      <c r="GI187" s="10" t="str">
        <f t="shared" si="386"/>
        <v xml:space="preserve"> </v>
      </c>
      <c r="GJ187" s="10" t="str">
        <f t="shared" si="386"/>
        <v xml:space="preserve"> </v>
      </c>
      <c r="GM187" s="10" t="str">
        <f t="shared" si="387"/>
        <v xml:space="preserve"> </v>
      </c>
      <c r="GN187" s="10" t="str">
        <f t="shared" si="387"/>
        <v xml:space="preserve"> </v>
      </c>
      <c r="GO187" s="10" t="str">
        <f t="shared" si="387"/>
        <v xml:space="preserve"> </v>
      </c>
      <c r="GP187" s="10" t="str">
        <f t="shared" si="387"/>
        <v xml:space="preserve"> </v>
      </c>
      <c r="GQ187" s="10" t="str">
        <f t="shared" si="387"/>
        <v xml:space="preserve"> </v>
      </c>
      <c r="GT187" s="10" t="str">
        <f t="shared" si="388"/>
        <v xml:space="preserve"> </v>
      </c>
      <c r="GU187" s="10" t="str">
        <f t="shared" si="388"/>
        <v xml:space="preserve"> </v>
      </c>
      <c r="GV187" s="10" t="str">
        <f t="shared" si="388"/>
        <v xml:space="preserve"> </v>
      </c>
      <c r="GW187" s="10" t="str">
        <f t="shared" si="388"/>
        <v xml:space="preserve"> </v>
      </c>
      <c r="GX187" s="10" t="str">
        <f t="shared" si="388"/>
        <v xml:space="preserve"> </v>
      </c>
      <c r="HA187" s="10" t="str">
        <f t="shared" si="389"/>
        <v xml:space="preserve"> </v>
      </c>
      <c r="HB187" s="10" t="str">
        <f t="shared" si="389"/>
        <v xml:space="preserve"> </v>
      </c>
      <c r="HC187" s="10" t="str">
        <f t="shared" si="389"/>
        <v xml:space="preserve"> </v>
      </c>
      <c r="HD187" s="10" t="str">
        <f t="shared" si="389"/>
        <v xml:space="preserve"> </v>
      </c>
      <c r="HE187" s="10" t="str">
        <f t="shared" si="389"/>
        <v xml:space="preserve"> </v>
      </c>
      <c r="HH187" s="10" t="str">
        <f t="shared" si="390"/>
        <v xml:space="preserve"> </v>
      </c>
      <c r="HI187" s="10" t="str">
        <f t="shared" si="390"/>
        <v xml:space="preserve"> </v>
      </c>
      <c r="HJ187" s="10" t="str">
        <f t="shared" si="390"/>
        <v xml:space="preserve"> </v>
      </c>
      <c r="HK187" s="10" t="str">
        <f t="shared" si="390"/>
        <v xml:space="preserve"> </v>
      </c>
      <c r="HL187" s="10" t="str">
        <f t="shared" si="390"/>
        <v xml:space="preserve"> </v>
      </c>
      <c r="HO187" s="10" t="str">
        <f t="shared" si="391"/>
        <v xml:space="preserve"> </v>
      </c>
      <c r="HP187" s="10" t="str">
        <f t="shared" si="391"/>
        <v xml:space="preserve"> </v>
      </c>
      <c r="HQ187" s="10" t="str">
        <f t="shared" si="391"/>
        <v xml:space="preserve"> </v>
      </c>
      <c r="HR187" s="10" t="str">
        <f t="shared" si="391"/>
        <v xml:space="preserve"> </v>
      </c>
      <c r="HS187" s="10" t="str">
        <f t="shared" si="391"/>
        <v xml:space="preserve"> </v>
      </c>
      <c r="HV187" s="10" t="str">
        <f t="shared" si="392"/>
        <v xml:space="preserve"> </v>
      </c>
      <c r="HW187" s="10" t="str">
        <f t="shared" si="392"/>
        <v xml:space="preserve"> </v>
      </c>
      <c r="HX187" s="10" t="str">
        <f t="shared" si="392"/>
        <v xml:space="preserve"> </v>
      </c>
      <c r="HY187" s="10" t="str">
        <f t="shared" si="392"/>
        <v xml:space="preserve"> </v>
      </c>
      <c r="HZ187" s="10" t="str">
        <f t="shared" si="392"/>
        <v xml:space="preserve"> </v>
      </c>
      <c r="IC187" s="10" t="str">
        <f t="shared" si="393"/>
        <v xml:space="preserve"> </v>
      </c>
      <c r="ID187" s="10" t="str">
        <f t="shared" si="393"/>
        <v xml:space="preserve"> </v>
      </c>
      <c r="IE187" s="10" t="str">
        <f t="shared" si="393"/>
        <v xml:space="preserve"> </v>
      </c>
      <c r="IF187" s="10" t="str">
        <f t="shared" si="393"/>
        <v xml:space="preserve"> </v>
      </c>
      <c r="IG187" s="10" t="str">
        <f t="shared" si="393"/>
        <v xml:space="preserve"> </v>
      </c>
      <c r="IJ187" s="10" t="str">
        <f t="shared" si="394"/>
        <v xml:space="preserve"> </v>
      </c>
      <c r="IK187" s="10" t="str">
        <f t="shared" si="394"/>
        <v xml:space="preserve"> </v>
      </c>
      <c r="IL187" s="10" t="str">
        <f t="shared" si="394"/>
        <v xml:space="preserve"> </v>
      </c>
      <c r="IM187" s="10" t="str">
        <f t="shared" si="394"/>
        <v xml:space="preserve"> </v>
      </c>
      <c r="IN187" s="10" t="str">
        <f t="shared" si="394"/>
        <v xml:space="preserve"> </v>
      </c>
      <c r="IQ187" s="10" t="str">
        <f t="shared" si="395"/>
        <v xml:space="preserve"> </v>
      </c>
      <c r="IR187" s="10" t="str">
        <f t="shared" si="395"/>
        <v xml:space="preserve"> </v>
      </c>
      <c r="IS187" s="10" t="str">
        <f t="shared" si="395"/>
        <v xml:space="preserve"> </v>
      </c>
      <c r="IT187" s="10" t="str">
        <f t="shared" si="395"/>
        <v xml:space="preserve"> </v>
      </c>
      <c r="IU187" s="10" t="str">
        <f t="shared" si="395"/>
        <v xml:space="preserve"> </v>
      </c>
      <c r="IX187" s="10" t="str">
        <f t="shared" si="396"/>
        <v xml:space="preserve"> </v>
      </c>
      <c r="IY187" s="10" t="str">
        <f t="shared" si="396"/>
        <v xml:space="preserve"> </v>
      </c>
      <c r="IZ187" s="10" t="str">
        <f t="shared" si="396"/>
        <v xml:space="preserve"> </v>
      </c>
      <c r="JA187" s="10" t="str">
        <f t="shared" si="396"/>
        <v xml:space="preserve"> </v>
      </c>
      <c r="JB187" s="10" t="str">
        <f t="shared" si="396"/>
        <v xml:space="preserve"> </v>
      </c>
      <c r="JE187" s="10" t="str">
        <f t="shared" si="397"/>
        <v xml:space="preserve"> </v>
      </c>
      <c r="JF187" s="10" t="str">
        <f t="shared" si="397"/>
        <v xml:space="preserve"> </v>
      </c>
      <c r="JG187" s="10" t="str">
        <f t="shared" si="397"/>
        <v xml:space="preserve"> </v>
      </c>
      <c r="JH187" s="10" t="str">
        <f t="shared" si="397"/>
        <v xml:space="preserve"> </v>
      </c>
      <c r="JI187" s="10" t="str">
        <f t="shared" si="397"/>
        <v xml:space="preserve"> </v>
      </c>
    </row>
    <row r="188" spans="13:269">
      <c r="M188" s="10" t="str">
        <f t="shared" si="398"/>
        <v xml:space="preserve"> </v>
      </c>
      <c r="N188" s="10" t="str">
        <f t="shared" si="398"/>
        <v xml:space="preserve"> </v>
      </c>
      <c r="O188" s="10" t="str">
        <f t="shared" si="398"/>
        <v xml:space="preserve"> </v>
      </c>
      <c r="P188" s="10" t="str">
        <f t="shared" si="398"/>
        <v xml:space="preserve"> </v>
      </c>
      <c r="Q188" s="10" t="str">
        <f t="shared" si="398"/>
        <v xml:space="preserve"> </v>
      </c>
      <c r="R188" s="14"/>
      <c r="S188" s="14"/>
      <c r="T188" s="10" t="str">
        <f t="shared" si="362"/>
        <v xml:space="preserve"> </v>
      </c>
      <c r="U188" s="10" t="str">
        <f t="shared" si="362"/>
        <v xml:space="preserve"> </v>
      </c>
      <c r="V188" s="10" t="str">
        <f t="shared" si="362"/>
        <v xml:space="preserve"> </v>
      </c>
      <c r="W188" s="10" t="str">
        <f t="shared" si="362"/>
        <v xml:space="preserve"> </v>
      </c>
      <c r="X188" s="10" t="str">
        <f t="shared" si="362"/>
        <v xml:space="preserve"> </v>
      </c>
      <c r="Y188" s="14"/>
      <c r="Z188" s="14"/>
      <c r="AA188" s="10" t="str">
        <f t="shared" si="363"/>
        <v xml:space="preserve"> </v>
      </c>
      <c r="AB188" s="10" t="str">
        <f t="shared" si="363"/>
        <v xml:space="preserve"> </v>
      </c>
      <c r="AC188" s="10" t="str">
        <f t="shared" si="363"/>
        <v xml:space="preserve"> </v>
      </c>
      <c r="AD188" s="10" t="str">
        <f t="shared" si="363"/>
        <v xml:space="preserve"> </v>
      </c>
      <c r="AE188" s="10" t="str">
        <f t="shared" si="363"/>
        <v xml:space="preserve"> </v>
      </c>
      <c r="AF188" s="14"/>
      <c r="AG188" s="14"/>
      <c r="AH188" s="10" t="str">
        <f t="shared" si="364"/>
        <v xml:space="preserve"> </v>
      </c>
      <c r="AI188" s="10" t="str">
        <f t="shared" si="364"/>
        <v xml:space="preserve"> </v>
      </c>
      <c r="AJ188" s="10" t="str">
        <f t="shared" si="364"/>
        <v xml:space="preserve"> </v>
      </c>
      <c r="AK188" s="10" t="str">
        <f t="shared" si="364"/>
        <v xml:space="preserve"> </v>
      </c>
      <c r="AL188" s="10" t="str">
        <f t="shared" si="364"/>
        <v xml:space="preserve"> </v>
      </c>
      <c r="AM188" s="14"/>
      <c r="AN188" s="14"/>
      <c r="AO188" s="10" t="str">
        <f t="shared" si="365"/>
        <v xml:space="preserve"> </v>
      </c>
      <c r="AP188" s="10" t="str">
        <f t="shared" si="365"/>
        <v xml:space="preserve"> </v>
      </c>
      <c r="AQ188" s="10" t="str">
        <f t="shared" si="365"/>
        <v xml:space="preserve"> </v>
      </c>
      <c r="AR188" s="10" t="str">
        <f t="shared" si="365"/>
        <v xml:space="preserve"> </v>
      </c>
      <c r="AS188" s="10" t="str">
        <f t="shared" si="365"/>
        <v xml:space="preserve"> </v>
      </c>
      <c r="AT188" s="14"/>
      <c r="AU188" s="14"/>
      <c r="AV188" s="10" t="str">
        <f t="shared" si="366"/>
        <v xml:space="preserve"> </v>
      </c>
      <c r="AW188" s="10" t="str">
        <f t="shared" si="366"/>
        <v xml:space="preserve"> </v>
      </c>
      <c r="AX188" s="10" t="str">
        <f t="shared" si="366"/>
        <v xml:space="preserve"> </v>
      </c>
      <c r="AY188" s="10" t="str">
        <f t="shared" si="366"/>
        <v xml:space="preserve"> </v>
      </c>
      <c r="AZ188" s="10" t="str">
        <f t="shared" si="366"/>
        <v xml:space="preserve"> </v>
      </c>
      <c r="BA188" s="14"/>
      <c r="BB188" s="14"/>
      <c r="BC188" s="10" t="str">
        <f t="shared" si="367"/>
        <v xml:space="preserve"> </v>
      </c>
      <c r="BD188" s="10" t="str">
        <f t="shared" si="367"/>
        <v xml:space="preserve"> </v>
      </c>
      <c r="BE188" s="10" t="str">
        <f t="shared" si="367"/>
        <v xml:space="preserve"> </v>
      </c>
      <c r="BF188" s="10" t="str">
        <f t="shared" si="367"/>
        <v xml:space="preserve"> </v>
      </c>
      <c r="BG188" s="10" t="str">
        <f t="shared" si="367"/>
        <v xml:space="preserve"> </v>
      </c>
      <c r="BH188" s="14"/>
      <c r="BI188" s="14"/>
      <c r="BJ188" s="10" t="str">
        <f t="shared" si="368"/>
        <v xml:space="preserve"> </v>
      </c>
      <c r="BK188" s="10" t="str">
        <f t="shared" si="368"/>
        <v xml:space="preserve"> </v>
      </c>
      <c r="BL188" s="10" t="str">
        <f t="shared" si="368"/>
        <v xml:space="preserve"> </v>
      </c>
      <c r="BM188" s="10" t="str">
        <f t="shared" si="368"/>
        <v xml:space="preserve"> </v>
      </c>
      <c r="BN188" s="10" t="str">
        <f t="shared" si="368"/>
        <v xml:space="preserve"> </v>
      </c>
      <c r="BO188" s="14"/>
      <c r="BP188" s="14"/>
      <c r="BQ188" s="10" t="str">
        <f t="shared" si="369"/>
        <v xml:space="preserve"> </v>
      </c>
      <c r="BR188" s="10" t="str">
        <f t="shared" si="369"/>
        <v xml:space="preserve"> </v>
      </c>
      <c r="BS188" s="10" t="str">
        <f t="shared" si="369"/>
        <v xml:space="preserve"> </v>
      </c>
      <c r="BT188" s="10" t="str">
        <f t="shared" si="369"/>
        <v xml:space="preserve"> </v>
      </c>
      <c r="BU188" s="10" t="str">
        <f t="shared" si="369"/>
        <v xml:space="preserve"> </v>
      </c>
      <c r="BV188" s="14"/>
      <c r="BW188" s="14"/>
      <c r="BX188" s="10" t="str">
        <f t="shared" si="370"/>
        <v xml:space="preserve"> </v>
      </c>
      <c r="BY188" s="10" t="str">
        <f t="shared" si="370"/>
        <v xml:space="preserve"> </v>
      </c>
      <c r="BZ188" s="10" t="str">
        <f t="shared" si="370"/>
        <v xml:space="preserve"> </v>
      </c>
      <c r="CA188" s="10" t="str">
        <f t="shared" si="370"/>
        <v xml:space="preserve"> </v>
      </c>
      <c r="CB188" s="10" t="str">
        <f t="shared" si="370"/>
        <v xml:space="preserve"> </v>
      </c>
      <c r="CC188" s="14"/>
      <c r="CD188" s="14"/>
      <c r="CE188" s="10" t="str">
        <f t="shared" si="371"/>
        <v xml:space="preserve"> </v>
      </c>
      <c r="CF188" s="10" t="str">
        <f t="shared" si="371"/>
        <v xml:space="preserve"> </v>
      </c>
      <c r="CG188" s="10" t="str">
        <f t="shared" si="371"/>
        <v xml:space="preserve"> </v>
      </c>
      <c r="CH188" s="10" t="str">
        <f t="shared" si="371"/>
        <v xml:space="preserve"> </v>
      </c>
      <c r="CI188" s="10" t="str">
        <f t="shared" si="371"/>
        <v xml:space="preserve"> </v>
      </c>
      <c r="CJ188" s="14"/>
      <c r="CK188" s="14"/>
      <c r="CL188" s="10" t="str">
        <f t="shared" si="372"/>
        <v xml:space="preserve"> </v>
      </c>
      <c r="CM188" s="10" t="str">
        <f t="shared" si="372"/>
        <v xml:space="preserve"> </v>
      </c>
      <c r="CN188" s="10" t="str">
        <f t="shared" si="372"/>
        <v xml:space="preserve"> </v>
      </c>
      <c r="CO188" s="10" t="str">
        <f t="shared" si="372"/>
        <v xml:space="preserve"> </v>
      </c>
      <c r="CP188" s="10" t="str">
        <f t="shared" si="372"/>
        <v xml:space="preserve"> </v>
      </c>
      <c r="CQ188" s="14"/>
      <c r="CR188" s="14"/>
      <c r="CS188" s="10" t="str">
        <f t="shared" si="373"/>
        <v xml:space="preserve"> </v>
      </c>
      <c r="CT188" s="10" t="str">
        <f t="shared" si="373"/>
        <v xml:space="preserve"> </v>
      </c>
      <c r="CU188" s="10" t="str">
        <f t="shared" si="373"/>
        <v xml:space="preserve"> </v>
      </c>
      <c r="CV188" s="10" t="str">
        <f t="shared" si="373"/>
        <v xml:space="preserve"> </v>
      </c>
      <c r="CW188" s="10" t="str">
        <f t="shared" si="373"/>
        <v xml:space="preserve"> </v>
      </c>
      <c r="CZ188" s="10" t="str">
        <f t="shared" si="374"/>
        <v xml:space="preserve"> </v>
      </c>
      <c r="DA188" s="10" t="str">
        <f t="shared" si="374"/>
        <v xml:space="preserve"> </v>
      </c>
      <c r="DB188" s="10" t="str">
        <f t="shared" si="374"/>
        <v xml:space="preserve"> </v>
      </c>
      <c r="DC188" s="10" t="str">
        <f t="shared" si="374"/>
        <v xml:space="preserve"> </v>
      </c>
      <c r="DD188" s="10" t="str">
        <f t="shared" si="374"/>
        <v xml:space="preserve"> </v>
      </c>
      <c r="DG188" s="10" t="str">
        <f t="shared" si="375"/>
        <v xml:space="preserve"> </v>
      </c>
      <c r="DH188" s="10" t="str">
        <f t="shared" si="375"/>
        <v xml:space="preserve"> </v>
      </c>
      <c r="DI188" s="10" t="str">
        <f t="shared" si="375"/>
        <v xml:space="preserve"> </v>
      </c>
      <c r="DJ188" s="10" t="str">
        <f t="shared" si="375"/>
        <v xml:space="preserve"> </v>
      </c>
      <c r="DK188" s="10" t="str">
        <f t="shared" si="375"/>
        <v xml:space="preserve"> </v>
      </c>
      <c r="DN188" s="10" t="str">
        <f t="shared" si="376"/>
        <v xml:space="preserve"> </v>
      </c>
      <c r="DO188" s="10" t="str">
        <f t="shared" si="376"/>
        <v xml:space="preserve"> </v>
      </c>
      <c r="DP188" s="10" t="str">
        <f t="shared" si="376"/>
        <v xml:space="preserve"> </v>
      </c>
      <c r="DQ188" s="10" t="str">
        <f t="shared" si="376"/>
        <v xml:space="preserve"> </v>
      </c>
      <c r="DR188" s="10" t="str">
        <f t="shared" si="376"/>
        <v xml:space="preserve"> </v>
      </c>
      <c r="DU188" s="10" t="str">
        <f t="shared" si="377"/>
        <v xml:space="preserve"> </v>
      </c>
      <c r="DV188" s="10" t="str">
        <f t="shared" si="377"/>
        <v xml:space="preserve"> </v>
      </c>
      <c r="DW188" s="10" t="str">
        <f t="shared" si="377"/>
        <v xml:space="preserve"> </v>
      </c>
      <c r="DX188" s="10" t="str">
        <f t="shared" si="377"/>
        <v xml:space="preserve"> </v>
      </c>
      <c r="DY188" s="10" t="str">
        <f t="shared" si="377"/>
        <v xml:space="preserve"> </v>
      </c>
      <c r="EB188" s="10" t="str">
        <f t="shared" si="378"/>
        <v xml:space="preserve"> </v>
      </c>
      <c r="EC188" s="10" t="str">
        <f t="shared" si="378"/>
        <v xml:space="preserve"> </v>
      </c>
      <c r="ED188" s="10" t="str">
        <f t="shared" si="378"/>
        <v xml:space="preserve"> </v>
      </c>
      <c r="EE188" s="10" t="str">
        <f t="shared" si="378"/>
        <v xml:space="preserve"> </v>
      </c>
      <c r="EF188" s="10" t="str">
        <f t="shared" si="378"/>
        <v xml:space="preserve"> </v>
      </c>
      <c r="EI188" s="10" t="str">
        <f t="shared" si="379"/>
        <v xml:space="preserve"> </v>
      </c>
      <c r="EJ188" s="10" t="str">
        <f t="shared" si="379"/>
        <v xml:space="preserve"> </v>
      </c>
      <c r="EK188" s="10" t="str">
        <f t="shared" si="379"/>
        <v xml:space="preserve"> </v>
      </c>
      <c r="EL188" s="10" t="str">
        <f t="shared" si="379"/>
        <v xml:space="preserve"> </v>
      </c>
      <c r="EM188" s="10" t="str">
        <f t="shared" si="379"/>
        <v xml:space="preserve"> </v>
      </c>
      <c r="EP188" s="10" t="str">
        <f t="shared" si="380"/>
        <v xml:space="preserve"> </v>
      </c>
      <c r="EQ188" s="10" t="str">
        <f t="shared" si="380"/>
        <v xml:space="preserve"> </v>
      </c>
      <c r="ER188" s="10" t="str">
        <f t="shared" si="380"/>
        <v xml:space="preserve"> </v>
      </c>
      <c r="ES188" s="10" t="str">
        <f t="shared" si="380"/>
        <v xml:space="preserve"> </v>
      </c>
      <c r="ET188" s="10" t="str">
        <f t="shared" si="380"/>
        <v xml:space="preserve"> </v>
      </c>
      <c r="EW188" s="10" t="str">
        <f t="shared" si="381"/>
        <v xml:space="preserve"> </v>
      </c>
      <c r="EX188" s="10" t="str">
        <f t="shared" si="381"/>
        <v xml:space="preserve"> </v>
      </c>
      <c r="EY188" s="10" t="str">
        <f t="shared" si="381"/>
        <v xml:space="preserve"> </v>
      </c>
      <c r="EZ188" s="10" t="str">
        <f t="shared" si="381"/>
        <v xml:space="preserve"> </v>
      </c>
      <c r="FA188" s="10" t="str">
        <f t="shared" si="381"/>
        <v xml:space="preserve"> </v>
      </c>
      <c r="FD188" s="10" t="str">
        <f t="shared" si="382"/>
        <v xml:space="preserve"> </v>
      </c>
      <c r="FE188" s="10" t="str">
        <f t="shared" si="382"/>
        <v xml:space="preserve"> </v>
      </c>
      <c r="FF188" s="10" t="str">
        <f t="shared" si="382"/>
        <v xml:space="preserve"> </v>
      </c>
      <c r="FG188" s="10" t="str">
        <f t="shared" si="382"/>
        <v xml:space="preserve"> </v>
      </c>
      <c r="FH188" s="10" t="str">
        <f t="shared" si="382"/>
        <v xml:space="preserve"> </v>
      </c>
      <c r="FK188" s="10" t="str">
        <f t="shared" si="383"/>
        <v xml:space="preserve"> </v>
      </c>
      <c r="FL188" s="10" t="str">
        <f t="shared" si="383"/>
        <v xml:space="preserve"> </v>
      </c>
      <c r="FM188" s="10" t="str">
        <f t="shared" si="383"/>
        <v xml:space="preserve"> </v>
      </c>
      <c r="FN188" s="10" t="str">
        <f t="shared" si="383"/>
        <v xml:space="preserve"> </v>
      </c>
      <c r="FO188" s="10" t="str">
        <f t="shared" si="383"/>
        <v xml:space="preserve"> </v>
      </c>
      <c r="FR188" s="10" t="str">
        <f t="shared" si="384"/>
        <v xml:space="preserve"> </v>
      </c>
      <c r="FS188" s="10" t="str">
        <f t="shared" si="384"/>
        <v xml:space="preserve"> </v>
      </c>
      <c r="FT188" s="10" t="str">
        <f t="shared" si="384"/>
        <v xml:space="preserve"> </v>
      </c>
      <c r="FU188" s="10" t="str">
        <f t="shared" si="384"/>
        <v xml:space="preserve"> </v>
      </c>
      <c r="FV188" s="10" t="str">
        <f t="shared" si="384"/>
        <v xml:space="preserve"> </v>
      </c>
      <c r="FY188" s="10" t="str">
        <f t="shared" si="385"/>
        <v xml:space="preserve"> </v>
      </c>
      <c r="FZ188" s="10" t="str">
        <f t="shared" si="385"/>
        <v xml:space="preserve"> </v>
      </c>
      <c r="GA188" s="10" t="str">
        <f t="shared" si="385"/>
        <v xml:space="preserve"> </v>
      </c>
      <c r="GB188" s="10" t="str">
        <f t="shared" si="385"/>
        <v xml:space="preserve"> </v>
      </c>
      <c r="GC188" s="10" t="str">
        <f t="shared" si="385"/>
        <v xml:space="preserve"> </v>
      </c>
      <c r="GF188" s="10" t="str">
        <f t="shared" si="386"/>
        <v xml:space="preserve"> </v>
      </c>
      <c r="GG188" s="10" t="str">
        <f t="shared" si="386"/>
        <v xml:space="preserve"> </v>
      </c>
      <c r="GH188" s="10" t="str">
        <f t="shared" si="386"/>
        <v xml:space="preserve"> </v>
      </c>
      <c r="GI188" s="10" t="str">
        <f t="shared" si="386"/>
        <v xml:space="preserve"> </v>
      </c>
      <c r="GJ188" s="10" t="str">
        <f t="shared" si="386"/>
        <v xml:space="preserve"> </v>
      </c>
      <c r="GM188" s="10" t="str">
        <f t="shared" si="387"/>
        <v xml:space="preserve"> </v>
      </c>
      <c r="GN188" s="10" t="str">
        <f t="shared" si="387"/>
        <v xml:space="preserve"> </v>
      </c>
      <c r="GO188" s="10" t="str">
        <f t="shared" si="387"/>
        <v xml:space="preserve"> </v>
      </c>
      <c r="GP188" s="10" t="str">
        <f t="shared" si="387"/>
        <v xml:space="preserve"> </v>
      </c>
      <c r="GQ188" s="10" t="str">
        <f t="shared" si="387"/>
        <v xml:space="preserve"> </v>
      </c>
      <c r="GT188" s="10" t="str">
        <f t="shared" si="388"/>
        <v xml:space="preserve"> </v>
      </c>
      <c r="GU188" s="10" t="str">
        <f t="shared" si="388"/>
        <v xml:space="preserve"> </v>
      </c>
      <c r="GV188" s="10" t="str">
        <f t="shared" si="388"/>
        <v xml:space="preserve"> </v>
      </c>
      <c r="GW188" s="10" t="str">
        <f t="shared" si="388"/>
        <v xml:space="preserve"> </v>
      </c>
      <c r="GX188" s="10" t="str">
        <f t="shared" si="388"/>
        <v xml:space="preserve"> </v>
      </c>
      <c r="HA188" s="10" t="str">
        <f t="shared" si="389"/>
        <v xml:space="preserve"> </v>
      </c>
      <c r="HB188" s="10" t="str">
        <f t="shared" si="389"/>
        <v xml:space="preserve"> </v>
      </c>
      <c r="HC188" s="10" t="str">
        <f t="shared" si="389"/>
        <v xml:space="preserve"> </v>
      </c>
      <c r="HD188" s="10" t="str">
        <f t="shared" si="389"/>
        <v xml:space="preserve"> </v>
      </c>
      <c r="HE188" s="10" t="str">
        <f t="shared" si="389"/>
        <v xml:space="preserve"> </v>
      </c>
      <c r="HH188" s="10" t="str">
        <f t="shared" si="390"/>
        <v xml:space="preserve"> </v>
      </c>
      <c r="HI188" s="10" t="str">
        <f t="shared" si="390"/>
        <v xml:space="preserve"> </v>
      </c>
      <c r="HJ188" s="10" t="str">
        <f t="shared" si="390"/>
        <v xml:space="preserve"> </v>
      </c>
      <c r="HK188" s="10" t="str">
        <f t="shared" si="390"/>
        <v xml:space="preserve"> </v>
      </c>
      <c r="HL188" s="10" t="str">
        <f t="shared" si="390"/>
        <v xml:space="preserve"> </v>
      </c>
      <c r="HO188" s="10" t="str">
        <f t="shared" si="391"/>
        <v xml:space="preserve"> </v>
      </c>
      <c r="HP188" s="10" t="str">
        <f t="shared" si="391"/>
        <v xml:space="preserve"> </v>
      </c>
      <c r="HQ188" s="10" t="str">
        <f t="shared" si="391"/>
        <v xml:space="preserve"> </v>
      </c>
      <c r="HR188" s="10" t="str">
        <f t="shared" si="391"/>
        <v xml:space="preserve"> </v>
      </c>
      <c r="HS188" s="10" t="str">
        <f t="shared" si="391"/>
        <v xml:space="preserve"> </v>
      </c>
      <c r="HV188" s="10" t="str">
        <f t="shared" si="392"/>
        <v xml:space="preserve"> </v>
      </c>
      <c r="HW188" s="10" t="str">
        <f t="shared" si="392"/>
        <v xml:space="preserve"> </v>
      </c>
      <c r="HX188" s="10" t="str">
        <f t="shared" si="392"/>
        <v xml:space="preserve"> </v>
      </c>
      <c r="HY188" s="10" t="str">
        <f t="shared" si="392"/>
        <v xml:space="preserve"> </v>
      </c>
      <c r="HZ188" s="10" t="str">
        <f t="shared" si="392"/>
        <v xml:space="preserve"> </v>
      </c>
      <c r="IC188" s="10" t="str">
        <f t="shared" si="393"/>
        <v xml:space="preserve"> </v>
      </c>
      <c r="ID188" s="10" t="str">
        <f t="shared" si="393"/>
        <v xml:space="preserve"> </v>
      </c>
      <c r="IE188" s="10" t="str">
        <f t="shared" si="393"/>
        <v xml:space="preserve"> </v>
      </c>
      <c r="IF188" s="10" t="str">
        <f t="shared" si="393"/>
        <v xml:space="preserve"> </v>
      </c>
      <c r="IG188" s="10" t="str">
        <f t="shared" si="393"/>
        <v xml:space="preserve"> </v>
      </c>
      <c r="IJ188" s="10" t="str">
        <f t="shared" si="394"/>
        <v xml:space="preserve"> </v>
      </c>
      <c r="IK188" s="10" t="str">
        <f t="shared" si="394"/>
        <v xml:space="preserve"> </v>
      </c>
      <c r="IL188" s="10" t="str">
        <f t="shared" si="394"/>
        <v xml:space="preserve"> </v>
      </c>
      <c r="IM188" s="10" t="str">
        <f t="shared" si="394"/>
        <v xml:space="preserve"> </v>
      </c>
      <c r="IN188" s="10" t="str">
        <f t="shared" si="394"/>
        <v xml:space="preserve"> </v>
      </c>
      <c r="IQ188" s="10" t="str">
        <f t="shared" si="395"/>
        <v xml:space="preserve"> </v>
      </c>
      <c r="IR188" s="10" t="str">
        <f t="shared" si="395"/>
        <v xml:space="preserve"> </v>
      </c>
      <c r="IS188" s="10" t="str">
        <f t="shared" si="395"/>
        <v xml:space="preserve"> </v>
      </c>
      <c r="IT188" s="10" t="str">
        <f t="shared" si="395"/>
        <v xml:space="preserve"> </v>
      </c>
      <c r="IU188" s="10" t="str">
        <f t="shared" si="395"/>
        <v xml:space="preserve"> </v>
      </c>
      <c r="IX188" s="10" t="str">
        <f t="shared" si="396"/>
        <v xml:space="preserve"> </v>
      </c>
      <c r="IY188" s="10" t="str">
        <f t="shared" si="396"/>
        <v xml:space="preserve"> </v>
      </c>
      <c r="IZ188" s="10" t="str">
        <f t="shared" si="396"/>
        <v xml:space="preserve"> </v>
      </c>
      <c r="JA188" s="10" t="str">
        <f t="shared" si="396"/>
        <v xml:space="preserve"> </v>
      </c>
      <c r="JB188" s="10" t="str">
        <f t="shared" si="396"/>
        <v xml:space="preserve"> </v>
      </c>
      <c r="JE188" s="10" t="str">
        <f t="shared" si="397"/>
        <v xml:space="preserve"> </v>
      </c>
      <c r="JF188" s="10" t="str">
        <f t="shared" si="397"/>
        <v xml:space="preserve"> </v>
      </c>
      <c r="JG188" s="10" t="str">
        <f t="shared" si="397"/>
        <v xml:space="preserve"> </v>
      </c>
      <c r="JH188" s="10" t="str">
        <f t="shared" si="397"/>
        <v xml:space="preserve"> </v>
      </c>
      <c r="JI188" s="10" t="str">
        <f t="shared" si="397"/>
        <v xml:space="preserve"> </v>
      </c>
    </row>
    <row r="189" spans="13:269">
      <c r="M189" s="10" t="str">
        <f t="shared" si="398"/>
        <v xml:space="preserve"> </v>
      </c>
      <c r="N189" s="10" t="str">
        <f t="shared" si="398"/>
        <v xml:space="preserve"> </v>
      </c>
      <c r="O189" s="10" t="str">
        <f t="shared" si="398"/>
        <v xml:space="preserve"> </v>
      </c>
      <c r="P189" s="10" t="str">
        <f t="shared" si="398"/>
        <v xml:space="preserve"> </v>
      </c>
      <c r="Q189" s="10" t="str">
        <f t="shared" si="398"/>
        <v xml:space="preserve"> </v>
      </c>
      <c r="R189" s="14"/>
      <c r="S189" s="14"/>
      <c r="T189" s="10" t="str">
        <f t="shared" si="362"/>
        <v xml:space="preserve"> </v>
      </c>
      <c r="U189" s="10" t="str">
        <f t="shared" si="362"/>
        <v xml:space="preserve"> </v>
      </c>
      <c r="V189" s="10" t="str">
        <f t="shared" si="362"/>
        <v xml:space="preserve"> </v>
      </c>
      <c r="W189" s="10" t="str">
        <f t="shared" si="362"/>
        <v xml:space="preserve"> </v>
      </c>
      <c r="X189" s="10" t="str">
        <f t="shared" si="362"/>
        <v xml:space="preserve"> </v>
      </c>
      <c r="Y189" s="14"/>
      <c r="Z189" s="14"/>
      <c r="AA189" s="10" t="str">
        <f t="shared" si="363"/>
        <v xml:space="preserve"> </v>
      </c>
      <c r="AB189" s="10" t="str">
        <f t="shared" si="363"/>
        <v xml:space="preserve"> </v>
      </c>
      <c r="AC189" s="10" t="str">
        <f t="shared" si="363"/>
        <v xml:space="preserve"> </v>
      </c>
      <c r="AD189" s="10" t="str">
        <f t="shared" si="363"/>
        <v xml:space="preserve"> </v>
      </c>
      <c r="AE189" s="10" t="str">
        <f t="shared" si="363"/>
        <v xml:space="preserve"> </v>
      </c>
      <c r="AF189" s="14"/>
      <c r="AG189" s="14"/>
      <c r="AH189" s="10" t="str">
        <f t="shared" si="364"/>
        <v xml:space="preserve"> </v>
      </c>
      <c r="AI189" s="10" t="str">
        <f t="shared" si="364"/>
        <v xml:space="preserve"> </v>
      </c>
      <c r="AJ189" s="10" t="str">
        <f t="shared" si="364"/>
        <v xml:space="preserve"> </v>
      </c>
      <c r="AK189" s="10" t="str">
        <f t="shared" si="364"/>
        <v xml:space="preserve"> </v>
      </c>
      <c r="AL189" s="10" t="str">
        <f t="shared" si="364"/>
        <v xml:space="preserve"> </v>
      </c>
      <c r="AM189" s="14"/>
      <c r="AN189" s="14"/>
      <c r="AO189" s="10" t="str">
        <f t="shared" si="365"/>
        <v xml:space="preserve"> </v>
      </c>
      <c r="AP189" s="10" t="str">
        <f t="shared" si="365"/>
        <v xml:space="preserve"> </v>
      </c>
      <c r="AQ189" s="10" t="str">
        <f t="shared" si="365"/>
        <v xml:space="preserve"> </v>
      </c>
      <c r="AR189" s="10" t="str">
        <f t="shared" si="365"/>
        <v xml:space="preserve"> </v>
      </c>
      <c r="AS189" s="10" t="str">
        <f t="shared" si="365"/>
        <v xml:space="preserve"> </v>
      </c>
      <c r="AT189" s="14"/>
      <c r="AU189" s="14"/>
      <c r="AV189" s="10" t="str">
        <f t="shared" si="366"/>
        <v xml:space="preserve"> </v>
      </c>
      <c r="AW189" s="10" t="str">
        <f t="shared" si="366"/>
        <v xml:space="preserve"> </v>
      </c>
      <c r="AX189" s="10" t="str">
        <f t="shared" si="366"/>
        <v xml:space="preserve"> </v>
      </c>
      <c r="AY189" s="10" t="str">
        <f t="shared" si="366"/>
        <v xml:space="preserve"> </v>
      </c>
      <c r="AZ189" s="10" t="str">
        <f t="shared" si="366"/>
        <v xml:space="preserve"> </v>
      </c>
      <c r="BA189" s="14"/>
      <c r="BB189" s="14"/>
      <c r="BC189" s="10" t="str">
        <f t="shared" si="367"/>
        <v xml:space="preserve"> </v>
      </c>
      <c r="BD189" s="10" t="str">
        <f t="shared" si="367"/>
        <v xml:space="preserve"> </v>
      </c>
      <c r="BE189" s="10" t="str">
        <f t="shared" si="367"/>
        <v xml:space="preserve"> </v>
      </c>
      <c r="BF189" s="10" t="str">
        <f t="shared" si="367"/>
        <v xml:space="preserve"> </v>
      </c>
      <c r="BG189" s="10" t="str">
        <f t="shared" si="367"/>
        <v xml:space="preserve"> </v>
      </c>
      <c r="BH189" s="14"/>
      <c r="BI189" s="14"/>
      <c r="BJ189" s="10" t="str">
        <f t="shared" si="368"/>
        <v xml:space="preserve"> </v>
      </c>
      <c r="BK189" s="10" t="str">
        <f t="shared" si="368"/>
        <v xml:space="preserve"> </v>
      </c>
      <c r="BL189" s="10" t="str">
        <f t="shared" si="368"/>
        <v xml:space="preserve"> </v>
      </c>
      <c r="BM189" s="10" t="str">
        <f t="shared" si="368"/>
        <v xml:space="preserve"> </v>
      </c>
      <c r="BN189" s="10" t="str">
        <f t="shared" si="368"/>
        <v xml:space="preserve"> </v>
      </c>
      <c r="BO189" s="14"/>
      <c r="BP189" s="14"/>
      <c r="BQ189" s="10" t="str">
        <f t="shared" si="369"/>
        <v xml:space="preserve"> </v>
      </c>
      <c r="BR189" s="10" t="str">
        <f t="shared" si="369"/>
        <v xml:space="preserve"> </v>
      </c>
      <c r="BS189" s="10" t="str">
        <f t="shared" si="369"/>
        <v xml:space="preserve"> </v>
      </c>
      <c r="BT189" s="10" t="str">
        <f t="shared" si="369"/>
        <v xml:space="preserve"> </v>
      </c>
      <c r="BU189" s="10" t="str">
        <f t="shared" si="369"/>
        <v xml:space="preserve"> </v>
      </c>
      <c r="BV189" s="14"/>
      <c r="BW189" s="14"/>
      <c r="BX189" s="10" t="str">
        <f t="shared" si="370"/>
        <v xml:space="preserve"> </v>
      </c>
      <c r="BY189" s="10" t="str">
        <f t="shared" si="370"/>
        <v xml:space="preserve"> </v>
      </c>
      <c r="BZ189" s="10" t="str">
        <f t="shared" si="370"/>
        <v xml:space="preserve"> </v>
      </c>
      <c r="CA189" s="10" t="str">
        <f t="shared" si="370"/>
        <v xml:space="preserve"> </v>
      </c>
      <c r="CB189" s="10" t="str">
        <f t="shared" si="370"/>
        <v xml:space="preserve"> </v>
      </c>
      <c r="CC189" s="14"/>
      <c r="CD189" s="14"/>
      <c r="CE189" s="10" t="str">
        <f t="shared" si="371"/>
        <v xml:space="preserve"> </v>
      </c>
      <c r="CF189" s="10" t="str">
        <f t="shared" si="371"/>
        <v xml:space="preserve"> </v>
      </c>
      <c r="CG189" s="10" t="str">
        <f t="shared" si="371"/>
        <v xml:space="preserve"> </v>
      </c>
      <c r="CH189" s="10" t="str">
        <f t="shared" si="371"/>
        <v xml:space="preserve"> </v>
      </c>
      <c r="CI189" s="10" t="str">
        <f t="shared" si="371"/>
        <v xml:space="preserve"> </v>
      </c>
      <c r="CJ189" s="14"/>
      <c r="CK189" s="14"/>
      <c r="CL189" s="10" t="str">
        <f t="shared" si="372"/>
        <v xml:space="preserve"> </v>
      </c>
      <c r="CM189" s="10" t="str">
        <f t="shared" si="372"/>
        <v xml:space="preserve"> </v>
      </c>
      <c r="CN189" s="10" t="str">
        <f t="shared" si="372"/>
        <v xml:space="preserve"> </v>
      </c>
      <c r="CO189" s="10" t="str">
        <f t="shared" si="372"/>
        <v xml:space="preserve"> </v>
      </c>
      <c r="CP189" s="10" t="str">
        <f t="shared" si="372"/>
        <v xml:space="preserve"> </v>
      </c>
      <c r="CQ189" s="14"/>
      <c r="CR189" s="14"/>
      <c r="CS189" s="10" t="str">
        <f t="shared" si="373"/>
        <v xml:space="preserve"> </v>
      </c>
      <c r="CT189" s="10" t="str">
        <f t="shared" si="373"/>
        <v xml:space="preserve"> </v>
      </c>
      <c r="CU189" s="10" t="str">
        <f t="shared" si="373"/>
        <v xml:space="preserve"> </v>
      </c>
      <c r="CV189" s="10" t="str">
        <f t="shared" si="373"/>
        <v xml:space="preserve"> </v>
      </c>
      <c r="CW189" s="10" t="str">
        <f t="shared" si="373"/>
        <v xml:space="preserve"> </v>
      </c>
      <c r="CZ189" s="10" t="str">
        <f t="shared" si="374"/>
        <v xml:space="preserve"> </v>
      </c>
      <c r="DA189" s="10" t="str">
        <f t="shared" si="374"/>
        <v xml:space="preserve"> </v>
      </c>
      <c r="DB189" s="10" t="str">
        <f t="shared" si="374"/>
        <v xml:space="preserve"> </v>
      </c>
      <c r="DC189" s="10" t="str">
        <f t="shared" si="374"/>
        <v xml:space="preserve"> </v>
      </c>
      <c r="DD189" s="10" t="str">
        <f t="shared" si="374"/>
        <v xml:space="preserve"> </v>
      </c>
      <c r="DG189" s="10" t="str">
        <f t="shared" si="375"/>
        <v xml:space="preserve"> </v>
      </c>
      <c r="DH189" s="10" t="str">
        <f t="shared" si="375"/>
        <v xml:space="preserve"> </v>
      </c>
      <c r="DI189" s="10" t="str">
        <f t="shared" si="375"/>
        <v xml:space="preserve"> </v>
      </c>
      <c r="DJ189" s="10" t="str">
        <f t="shared" si="375"/>
        <v xml:space="preserve"> </v>
      </c>
      <c r="DK189" s="10" t="str">
        <f t="shared" si="375"/>
        <v xml:space="preserve"> </v>
      </c>
      <c r="DN189" s="10" t="str">
        <f t="shared" si="376"/>
        <v xml:space="preserve"> </v>
      </c>
      <c r="DO189" s="10" t="str">
        <f t="shared" si="376"/>
        <v xml:space="preserve"> </v>
      </c>
      <c r="DP189" s="10" t="str">
        <f t="shared" si="376"/>
        <v xml:space="preserve"> </v>
      </c>
      <c r="DQ189" s="10" t="str">
        <f t="shared" si="376"/>
        <v xml:space="preserve"> </v>
      </c>
      <c r="DR189" s="10" t="str">
        <f t="shared" si="376"/>
        <v xml:space="preserve"> </v>
      </c>
      <c r="DU189" s="10" t="str">
        <f t="shared" si="377"/>
        <v xml:space="preserve"> </v>
      </c>
      <c r="DV189" s="10" t="str">
        <f t="shared" si="377"/>
        <v xml:space="preserve"> </v>
      </c>
      <c r="DW189" s="10" t="str">
        <f t="shared" si="377"/>
        <v xml:space="preserve"> </v>
      </c>
      <c r="DX189" s="10" t="str">
        <f t="shared" si="377"/>
        <v xml:space="preserve"> </v>
      </c>
      <c r="DY189" s="10" t="str">
        <f t="shared" si="377"/>
        <v xml:space="preserve"> </v>
      </c>
      <c r="EB189" s="10" t="str">
        <f t="shared" si="378"/>
        <v xml:space="preserve"> </v>
      </c>
      <c r="EC189" s="10" t="str">
        <f t="shared" si="378"/>
        <v xml:space="preserve"> </v>
      </c>
      <c r="ED189" s="10" t="str">
        <f t="shared" si="378"/>
        <v xml:space="preserve"> </v>
      </c>
      <c r="EE189" s="10" t="str">
        <f t="shared" si="378"/>
        <v xml:space="preserve"> </v>
      </c>
      <c r="EF189" s="10" t="str">
        <f t="shared" si="378"/>
        <v xml:space="preserve"> </v>
      </c>
      <c r="EI189" s="10" t="str">
        <f t="shared" si="379"/>
        <v xml:space="preserve"> </v>
      </c>
      <c r="EJ189" s="10" t="str">
        <f t="shared" si="379"/>
        <v xml:space="preserve"> </v>
      </c>
      <c r="EK189" s="10" t="str">
        <f t="shared" si="379"/>
        <v xml:space="preserve"> </v>
      </c>
      <c r="EL189" s="10" t="str">
        <f t="shared" si="379"/>
        <v xml:space="preserve"> </v>
      </c>
      <c r="EM189" s="10" t="str">
        <f t="shared" si="379"/>
        <v xml:space="preserve"> </v>
      </c>
      <c r="EP189" s="10" t="str">
        <f t="shared" si="380"/>
        <v xml:space="preserve"> </v>
      </c>
      <c r="EQ189" s="10" t="str">
        <f t="shared" si="380"/>
        <v xml:space="preserve"> </v>
      </c>
      <c r="ER189" s="10" t="str">
        <f t="shared" si="380"/>
        <v xml:space="preserve"> </v>
      </c>
      <c r="ES189" s="10" t="str">
        <f t="shared" si="380"/>
        <v xml:space="preserve"> </v>
      </c>
      <c r="ET189" s="10" t="str">
        <f t="shared" si="380"/>
        <v xml:space="preserve"> </v>
      </c>
      <c r="EW189" s="10" t="str">
        <f t="shared" si="381"/>
        <v xml:space="preserve"> </v>
      </c>
      <c r="EX189" s="10" t="str">
        <f t="shared" si="381"/>
        <v xml:space="preserve"> </v>
      </c>
      <c r="EY189" s="10" t="str">
        <f t="shared" si="381"/>
        <v xml:space="preserve"> </v>
      </c>
      <c r="EZ189" s="10" t="str">
        <f t="shared" si="381"/>
        <v xml:space="preserve"> </v>
      </c>
      <c r="FA189" s="10" t="str">
        <f t="shared" si="381"/>
        <v xml:space="preserve"> </v>
      </c>
      <c r="FD189" s="10" t="str">
        <f t="shared" si="382"/>
        <v xml:space="preserve"> </v>
      </c>
      <c r="FE189" s="10" t="str">
        <f t="shared" si="382"/>
        <v xml:space="preserve"> </v>
      </c>
      <c r="FF189" s="10" t="str">
        <f t="shared" si="382"/>
        <v xml:space="preserve"> </v>
      </c>
      <c r="FG189" s="10" t="str">
        <f t="shared" si="382"/>
        <v xml:space="preserve"> </v>
      </c>
      <c r="FH189" s="10" t="str">
        <f t="shared" si="382"/>
        <v xml:space="preserve"> </v>
      </c>
      <c r="FK189" s="10" t="str">
        <f t="shared" si="383"/>
        <v xml:space="preserve"> </v>
      </c>
      <c r="FL189" s="10" t="str">
        <f t="shared" si="383"/>
        <v xml:space="preserve"> </v>
      </c>
      <c r="FM189" s="10" t="str">
        <f t="shared" si="383"/>
        <v xml:space="preserve"> </v>
      </c>
      <c r="FN189" s="10" t="str">
        <f t="shared" si="383"/>
        <v xml:space="preserve"> </v>
      </c>
      <c r="FO189" s="10" t="str">
        <f t="shared" si="383"/>
        <v xml:space="preserve"> </v>
      </c>
      <c r="FR189" s="10" t="str">
        <f t="shared" si="384"/>
        <v xml:space="preserve"> </v>
      </c>
      <c r="FS189" s="10" t="str">
        <f t="shared" si="384"/>
        <v xml:space="preserve"> </v>
      </c>
      <c r="FT189" s="10" t="str">
        <f t="shared" si="384"/>
        <v xml:space="preserve"> </v>
      </c>
      <c r="FU189" s="10" t="str">
        <f t="shared" si="384"/>
        <v xml:space="preserve"> </v>
      </c>
      <c r="FV189" s="10" t="str">
        <f t="shared" si="384"/>
        <v xml:space="preserve"> </v>
      </c>
      <c r="FY189" s="10" t="str">
        <f t="shared" si="385"/>
        <v xml:space="preserve"> </v>
      </c>
      <c r="FZ189" s="10" t="str">
        <f t="shared" si="385"/>
        <v xml:space="preserve"> </v>
      </c>
      <c r="GA189" s="10" t="str">
        <f t="shared" si="385"/>
        <v xml:space="preserve"> </v>
      </c>
      <c r="GB189" s="10" t="str">
        <f t="shared" si="385"/>
        <v xml:space="preserve"> </v>
      </c>
      <c r="GC189" s="10" t="str">
        <f t="shared" si="385"/>
        <v xml:space="preserve"> </v>
      </c>
      <c r="GF189" s="10" t="str">
        <f t="shared" si="386"/>
        <v xml:space="preserve"> </v>
      </c>
      <c r="GG189" s="10" t="str">
        <f t="shared" si="386"/>
        <v xml:space="preserve"> </v>
      </c>
      <c r="GH189" s="10" t="str">
        <f t="shared" si="386"/>
        <v xml:space="preserve"> </v>
      </c>
      <c r="GI189" s="10" t="str">
        <f t="shared" si="386"/>
        <v xml:space="preserve"> </v>
      </c>
      <c r="GJ189" s="10" t="str">
        <f t="shared" si="386"/>
        <v xml:space="preserve"> </v>
      </c>
      <c r="GM189" s="10" t="str">
        <f t="shared" si="387"/>
        <v xml:space="preserve"> </v>
      </c>
      <c r="GN189" s="10" t="str">
        <f t="shared" si="387"/>
        <v xml:space="preserve"> </v>
      </c>
      <c r="GO189" s="10" t="str">
        <f t="shared" si="387"/>
        <v xml:space="preserve"> </v>
      </c>
      <c r="GP189" s="10" t="str">
        <f t="shared" si="387"/>
        <v xml:space="preserve"> </v>
      </c>
      <c r="GQ189" s="10" t="str">
        <f t="shared" si="387"/>
        <v xml:space="preserve"> </v>
      </c>
      <c r="GT189" s="10" t="str">
        <f t="shared" si="388"/>
        <v xml:space="preserve"> </v>
      </c>
      <c r="GU189" s="10" t="str">
        <f t="shared" si="388"/>
        <v xml:space="preserve"> </v>
      </c>
      <c r="GV189" s="10" t="str">
        <f t="shared" si="388"/>
        <v xml:space="preserve"> </v>
      </c>
      <c r="GW189" s="10" t="str">
        <f t="shared" si="388"/>
        <v xml:space="preserve"> </v>
      </c>
      <c r="GX189" s="10" t="str">
        <f t="shared" si="388"/>
        <v xml:space="preserve"> </v>
      </c>
      <c r="HA189" s="10" t="str">
        <f t="shared" si="389"/>
        <v xml:space="preserve"> </v>
      </c>
      <c r="HB189" s="10" t="str">
        <f t="shared" si="389"/>
        <v xml:space="preserve"> </v>
      </c>
      <c r="HC189" s="10" t="str">
        <f t="shared" si="389"/>
        <v xml:space="preserve"> </v>
      </c>
      <c r="HD189" s="10" t="str">
        <f t="shared" si="389"/>
        <v xml:space="preserve"> </v>
      </c>
      <c r="HE189" s="10" t="str">
        <f t="shared" si="389"/>
        <v xml:space="preserve"> </v>
      </c>
      <c r="HH189" s="10" t="str">
        <f t="shared" si="390"/>
        <v xml:space="preserve"> </v>
      </c>
      <c r="HI189" s="10" t="str">
        <f t="shared" si="390"/>
        <v xml:space="preserve"> </v>
      </c>
      <c r="HJ189" s="10" t="str">
        <f t="shared" si="390"/>
        <v xml:space="preserve"> </v>
      </c>
      <c r="HK189" s="10" t="str">
        <f t="shared" si="390"/>
        <v xml:space="preserve"> </v>
      </c>
      <c r="HL189" s="10" t="str">
        <f t="shared" si="390"/>
        <v xml:space="preserve"> </v>
      </c>
      <c r="HO189" s="10" t="str">
        <f t="shared" si="391"/>
        <v xml:space="preserve"> </v>
      </c>
      <c r="HP189" s="10" t="str">
        <f t="shared" si="391"/>
        <v xml:space="preserve"> </v>
      </c>
      <c r="HQ189" s="10" t="str">
        <f t="shared" si="391"/>
        <v xml:space="preserve"> </v>
      </c>
      <c r="HR189" s="10" t="str">
        <f t="shared" si="391"/>
        <v xml:space="preserve"> </v>
      </c>
      <c r="HS189" s="10" t="str">
        <f t="shared" si="391"/>
        <v xml:space="preserve"> </v>
      </c>
      <c r="HV189" s="10" t="str">
        <f t="shared" si="392"/>
        <v xml:space="preserve"> </v>
      </c>
      <c r="HW189" s="10" t="str">
        <f t="shared" si="392"/>
        <v xml:space="preserve"> </v>
      </c>
      <c r="HX189" s="10" t="str">
        <f t="shared" si="392"/>
        <v xml:space="preserve"> </v>
      </c>
      <c r="HY189" s="10" t="str">
        <f t="shared" si="392"/>
        <v xml:space="preserve"> </v>
      </c>
      <c r="HZ189" s="10" t="str">
        <f t="shared" si="392"/>
        <v xml:space="preserve"> </v>
      </c>
      <c r="IC189" s="10" t="str">
        <f t="shared" si="393"/>
        <v xml:space="preserve"> </v>
      </c>
      <c r="ID189" s="10" t="str">
        <f t="shared" si="393"/>
        <v xml:space="preserve"> </v>
      </c>
      <c r="IE189" s="10" t="str">
        <f t="shared" si="393"/>
        <v xml:space="preserve"> </v>
      </c>
      <c r="IF189" s="10" t="str">
        <f t="shared" si="393"/>
        <v xml:space="preserve"> </v>
      </c>
      <c r="IG189" s="10" t="str">
        <f t="shared" si="393"/>
        <v xml:space="preserve"> </v>
      </c>
      <c r="IJ189" s="10" t="str">
        <f t="shared" si="394"/>
        <v xml:space="preserve"> </v>
      </c>
      <c r="IK189" s="10" t="str">
        <f t="shared" si="394"/>
        <v xml:space="preserve"> </v>
      </c>
      <c r="IL189" s="10" t="str">
        <f t="shared" si="394"/>
        <v xml:space="preserve"> </v>
      </c>
      <c r="IM189" s="10" t="str">
        <f t="shared" si="394"/>
        <v xml:space="preserve"> </v>
      </c>
      <c r="IN189" s="10" t="str">
        <f t="shared" si="394"/>
        <v xml:space="preserve"> </v>
      </c>
      <c r="IQ189" s="10" t="str">
        <f t="shared" si="395"/>
        <v xml:space="preserve"> </v>
      </c>
      <c r="IR189" s="10" t="str">
        <f t="shared" si="395"/>
        <v xml:space="preserve"> </v>
      </c>
      <c r="IS189" s="10" t="str">
        <f t="shared" si="395"/>
        <v xml:space="preserve"> </v>
      </c>
      <c r="IT189" s="10" t="str">
        <f t="shared" si="395"/>
        <v xml:space="preserve"> </v>
      </c>
      <c r="IU189" s="10" t="str">
        <f t="shared" si="395"/>
        <v xml:space="preserve"> </v>
      </c>
      <c r="IX189" s="10" t="str">
        <f t="shared" si="396"/>
        <v xml:space="preserve"> </v>
      </c>
      <c r="IY189" s="10" t="str">
        <f t="shared" si="396"/>
        <v xml:space="preserve"> </v>
      </c>
      <c r="IZ189" s="10" t="str">
        <f t="shared" si="396"/>
        <v xml:space="preserve"> </v>
      </c>
      <c r="JA189" s="10" t="str">
        <f t="shared" si="396"/>
        <v xml:space="preserve"> </v>
      </c>
      <c r="JB189" s="10" t="str">
        <f t="shared" si="396"/>
        <v xml:space="preserve"> </v>
      </c>
      <c r="JE189" s="10" t="str">
        <f t="shared" si="397"/>
        <v xml:space="preserve"> </v>
      </c>
      <c r="JF189" s="10" t="str">
        <f t="shared" si="397"/>
        <v xml:space="preserve"> </v>
      </c>
      <c r="JG189" s="10" t="str">
        <f t="shared" si="397"/>
        <v xml:space="preserve"> </v>
      </c>
      <c r="JH189" s="10" t="str">
        <f t="shared" si="397"/>
        <v xml:space="preserve"> </v>
      </c>
      <c r="JI189" s="10" t="str">
        <f t="shared" si="397"/>
        <v xml:space="preserve"> </v>
      </c>
    </row>
    <row r="190" spans="13:269">
      <c r="M190" s="10" t="str">
        <f t="shared" si="398"/>
        <v xml:space="preserve"> </v>
      </c>
      <c r="N190" s="10" t="str">
        <f t="shared" si="398"/>
        <v xml:space="preserve"> </v>
      </c>
      <c r="O190" s="10" t="str">
        <f t="shared" si="398"/>
        <v xml:space="preserve"> </v>
      </c>
      <c r="P190" s="10" t="str">
        <f t="shared" si="398"/>
        <v xml:space="preserve"> </v>
      </c>
      <c r="Q190" s="10" t="str">
        <f t="shared" si="398"/>
        <v xml:space="preserve"> </v>
      </c>
      <c r="R190" s="14"/>
      <c r="S190" s="14"/>
      <c r="T190" s="10" t="str">
        <f t="shared" si="362"/>
        <v xml:space="preserve"> </v>
      </c>
      <c r="U190" s="10" t="str">
        <f t="shared" si="362"/>
        <v xml:space="preserve"> </v>
      </c>
      <c r="V190" s="10" t="str">
        <f t="shared" si="362"/>
        <v xml:space="preserve"> </v>
      </c>
      <c r="W190" s="10" t="str">
        <f t="shared" si="362"/>
        <v xml:space="preserve"> </v>
      </c>
      <c r="X190" s="10" t="str">
        <f t="shared" si="362"/>
        <v xml:space="preserve"> </v>
      </c>
      <c r="Y190" s="14"/>
      <c r="Z190" s="14"/>
      <c r="AA190" s="10" t="str">
        <f t="shared" si="363"/>
        <v xml:space="preserve"> </v>
      </c>
      <c r="AB190" s="10" t="str">
        <f t="shared" si="363"/>
        <v xml:space="preserve"> </v>
      </c>
      <c r="AC190" s="10" t="str">
        <f t="shared" si="363"/>
        <v xml:space="preserve"> </v>
      </c>
      <c r="AD190" s="10" t="str">
        <f t="shared" si="363"/>
        <v xml:space="preserve"> </v>
      </c>
      <c r="AE190" s="10" t="str">
        <f t="shared" si="363"/>
        <v xml:space="preserve"> </v>
      </c>
      <c r="AF190" s="14"/>
      <c r="AG190" s="14"/>
      <c r="AH190" s="10" t="str">
        <f t="shared" si="364"/>
        <v xml:space="preserve"> </v>
      </c>
      <c r="AI190" s="10" t="str">
        <f t="shared" si="364"/>
        <v xml:space="preserve"> </v>
      </c>
      <c r="AJ190" s="10" t="str">
        <f t="shared" si="364"/>
        <v xml:space="preserve"> </v>
      </c>
      <c r="AK190" s="10" t="str">
        <f t="shared" si="364"/>
        <v xml:space="preserve"> </v>
      </c>
      <c r="AL190" s="10" t="str">
        <f t="shared" si="364"/>
        <v xml:space="preserve"> </v>
      </c>
      <c r="AM190" s="14"/>
      <c r="AN190" s="14"/>
      <c r="AO190" s="10" t="str">
        <f t="shared" si="365"/>
        <v xml:space="preserve"> </v>
      </c>
      <c r="AP190" s="10" t="str">
        <f t="shared" si="365"/>
        <v xml:space="preserve"> </v>
      </c>
      <c r="AQ190" s="10" t="str">
        <f t="shared" si="365"/>
        <v xml:space="preserve"> </v>
      </c>
      <c r="AR190" s="10" t="str">
        <f t="shared" si="365"/>
        <v xml:space="preserve"> </v>
      </c>
      <c r="AS190" s="10" t="str">
        <f t="shared" si="365"/>
        <v xml:space="preserve"> </v>
      </c>
      <c r="AT190" s="14"/>
      <c r="AU190" s="14"/>
      <c r="AV190" s="10" t="str">
        <f t="shared" si="366"/>
        <v xml:space="preserve"> </v>
      </c>
      <c r="AW190" s="10" t="str">
        <f t="shared" si="366"/>
        <v xml:space="preserve"> </v>
      </c>
      <c r="AX190" s="10" t="str">
        <f t="shared" si="366"/>
        <v xml:space="preserve"> </v>
      </c>
      <c r="AY190" s="10" t="str">
        <f t="shared" si="366"/>
        <v xml:space="preserve"> </v>
      </c>
      <c r="AZ190" s="10" t="str">
        <f t="shared" si="366"/>
        <v xml:space="preserve"> </v>
      </c>
      <c r="BA190" s="14"/>
      <c r="BB190" s="14"/>
      <c r="BC190" s="10" t="str">
        <f t="shared" si="367"/>
        <v xml:space="preserve"> </v>
      </c>
      <c r="BD190" s="10" t="str">
        <f t="shared" si="367"/>
        <v xml:space="preserve"> </v>
      </c>
      <c r="BE190" s="10" t="str">
        <f t="shared" si="367"/>
        <v xml:space="preserve"> </v>
      </c>
      <c r="BF190" s="10" t="str">
        <f t="shared" si="367"/>
        <v xml:space="preserve"> </v>
      </c>
      <c r="BG190" s="10" t="str">
        <f t="shared" si="367"/>
        <v xml:space="preserve"> </v>
      </c>
      <c r="BH190" s="14"/>
      <c r="BI190" s="14"/>
      <c r="BJ190" s="10" t="str">
        <f t="shared" si="368"/>
        <v xml:space="preserve"> </v>
      </c>
      <c r="BK190" s="10" t="str">
        <f t="shared" si="368"/>
        <v xml:space="preserve"> </v>
      </c>
      <c r="BL190" s="10" t="str">
        <f t="shared" si="368"/>
        <v xml:space="preserve"> </v>
      </c>
      <c r="BM190" s="10" t="str">
        <f t="shared" si="368"/>
        <v xml:space="preserve"> </v>
      </c>
      <c r="BN190" s="10" t="str">
        <f t="shared" si="368"/>
        <v xml:space="preserve"> </v>
      </c>
      <c r="BO190" s="14"/>
      <c r="BP190" s="14"/>
      <c r="BQ190" s="10" t="str">
        <f t="shared" si="369"/>
        <v xml:space="preserve"> </v>
      </c>
      <c r="BR190" s="10" t="str">
        <f t="shared" si="369"/>
        <v xml:space="preserve"> </v>
      </c>
      <c r="BS190" s="10" t="str">
        <f t="shared" si="369"/>
        <v xml:space="preserve"> </v>
      </c>
      <c r="BT190" s="10" t="str">
        <f t="shared" si="369"/>
        <v xml:space="preserve"> </v>
      </c>
      <c r="BU190" s="10" t="str">
        <f t="shared" si="369"/>
        <v xml:space="preserve"> </v>
      </c>
      <c r="BV190" s="14"/>
      <c r="BW190" s="14"/>
      <c r="BX190" s="10" t="str">
        <f t="shared" si="370"/>
        <v xml:space="preserve"> </v>
      </c>
      <c r="BY190" s="10" t="str">
        <f t="shared" si="370"/>
        <v xml:space="preserve"> </v>
      </c>
      <c r="BZ190" s="10" t="str">
        <f t="shared" si="370"/>
        <v xml:space="preserve"> </v>
      </c>
      <c r="CA190" s="10" t="str">
        <f t="shared" si="370"/>
        <v xml:space="preserve"> </v>
      </c>
      <c r="CB190" s="10" t="str">
        <f t="shared" si="370"/>
        <v xml:space="preserve"> </v>
      </c>
      <c r="CC190" s="14"/>
      <c r="CD190" s="14"/>
      <c r="CE190" s="10" t="str">
        <f t="shared" si="371"/>
        <v xml:space="preserve"> </v>
      </c>
      <c r="CF190" s="10" t="str">
        <f t="shared" si="371"/>
        <v xml:space="preserve"> </v>
      </c>
      <c r="CG190" s="10" t="str">
        <f t="shared" si="371"/>
        <v xml:space="preserve"> </v>
      </c>
      <c r="CH190" s="10" t="str">
        <f t="shared" si="371"/>
        <v xml:space="preserve"> </v>
      </c>
      <c r="CI190" s="10" t="str">
        <f t="shared" si="371"/>
        <v xml:space="preserve"> </v>
      </c>
      <c r="CJ190" s="14"/>
      <c r="CK190" s="14"/>
      <c r="CL190" s="10" t="str">
        <f t="shared" si="372"/>
        <v xml:space="preserve"> </v>
      </c>
      <c r="CM190" s="10" t="str">
        <f t="shared" si="372"/>
        <v xml:space="preserve"> </v>
      </c>
      <c r="CN190" s="10" t="str">
        <f t="shared" si="372"/>
        <v xml:space="preserve"> </v>
      </c>
      <c r="CO190" s="10" t="str">
        <f t="shared" si="372"/>
        <v xml:space="preserve"> </v>
      </c>
      <c r="CP190" s="10" t="str">
        <f t="shared" si="372"/>
        <v xml:space="preserve"> </v>
      </c>
      <c r="CQ190" s="14"/>
      <c r="CR190" s="14"/>
      <c r="CS190" s="10" t="str">
        <f t="shared" si="373"/>
        <v xml:space="preserve"> </v>
      </c>
      <c r="CT190" s="10" t="str">
        <f t="shared" si="373"/>
        <v xml:space="preserve"> </v>
      </c>
      <c r="CU190" s="10" t="str">
        <f t="shared" si="373"/>
        <v xml:space="preserve"> </v>
      </c>
      <c r="CV190" s="10" t="str">
        <f t="shared" si="373"/>
        <v xml:space="preserve"> </v>
      </c>
      <c r="CW190" s="10" t="str">
        <f t="shared" si="373"/>
        <v xml:space="preserve"> </v>
      </c>
      <c r="CZ190" s="10" t="str">
        <f t="shared" si="374"/>
        <v xml:space="preserve"> </v>
      </c>
      <c r="DA190" s="10" t="str">
        <f t="shared" si="374"/>
        <v xml:space="preserve"> </v>
      </c>
      <c r="DB190" s="10" t="str">
        <f t="shared" si="374"/>
        <v xml:space="preserve"> </v>
      </c>
      <c r="DC190" s="10" t="str">
        <f t="shared" si="374"/>
        <v xml:space="preserve"> </v>
      </c>
      <c r="DD190" s="10" t="str">
        <f t="shared" si="374"/>
        <v xml:space="preserve"> </v>
      </c>
      <c r="DG190" s="10" t="str">
        <f t="shared" si="375"/>
        <v xml:space="preserve"> </v>
      </c>
      <c r="DH190" s="10" t="str">
        <f t="shared" si="375"/>
        <v xml:space="preserve"> </v>
      </c>
      <c r="DI190" s="10" t="str">
        <f t="shared" si="375"/>
        <v xml:space="preserve"> </v>
      </c>
      <c r="DJ190" s="10" t="str">
        <f t="shared" si="375"/>
        <v xml:space="preserve"> </v>
      </c>
      <c r="DK190" s="10" t="str">
        <f t="shared" si="375"/>
        <v xml:space="preserve"> </v>
      </c>
      <c r="DN190" s="10" t="str">
        <f t="shared" si="376"/>
        <v xml:space="preserve"> </v>
      </c>
      <c r="DO190" s="10" t="str">
        <f t="shared" si="376"/>
        <v xml:space="preserve"> </v>
      </c>
      <c r="DP190" s="10" t="str">
        <f t="shared" si="376"/>
        <v xml:space="preserve"> </v>
      </c>
      <c r="DQ190" s="10" t="str">
        <f t="shared" si="376"/>
        <v xml:space="preserve"> </v>
      </c>
      <c r="DR190" s="10" t="str">
        <f t="shared" si="376"/>
        <v xml:space="preserve"> </v>
      </c>
      <c r="DU190" s="10" t="str">
        <f t="shared" si="377"/>
        <v xml:space="preserve"> </v>
      </c>
      <c r="DV190" s="10" t="str">
        <f t="shared" si="377"/>
        <v xml:space="preserve"> </v>
      </c>
      <c r="DW190" s="10" t="str">
        <f t="shared" si="377"/>
        <v xml:space="preserve"> </v>
      </c>
      <c r="DX190" s="10" t="str">
        <f t="shared" si="377"/>
        <v xml:space="preserve"> </v>
      </c>
      <c r="DY190" s="10" t="str">
        <f t="shared" si="377"/>
        <v xml:space="preserve"> </v>
      </c>
      <c r="EB190" s="10" t="str">
        <f t="shared" si="378"/>
        <v xml:space="preserve"> </v>
      </c>
      <c r="EC190" s="10" t="str">
        <f t="shared" si="378"/>
        <v xml:space="preserve"> </v>
      </c>
      <c r="ED190" s="10" t="str">
        <f t="shared" si="378"/>
        <v xml:space="preserve"> </v>
      </c>
      <c r="EE190" s="10" t="str">
        <f t="shared" si="378"/>
        <v xml:space="preserve"> </v>
      </c>
      <c r="EF190" s="10" t="str">
        <f t="shared" si="378"/>
        <v xml:space="preserve"> </v>
      </c>
      <c r="EI190" s="10" t="str">
        <f t="shared" si="379"/>
        <v xml:space="preserve"> </v>
      </c>
      <c r="EJ190" s="10" t="str">
        <f t="shared" si="379"/>
        <v xml:space="preserve"> </v>
      </c>
      <c r="EK190" s="10" t="str">
        <f t="shared" si="379"/>
        <v xml:space="preserve"> </v>
      </c>
      <c r="EL190" s="10" t="str">
        <f t="shared" si="379"/>
        <v xml:space="preserve"> </v>
      </c>
      <c r="EM190" s="10" t="str">
        <f t="shared" si="379"/>
        <v xml:space="preserve"> </v>
      </c>
      <c r="EP190" s="10" t="str">
        <f t="shared" si="380"/>
        <v xml:space="preserve"> </v>
      </c>
      <c r="EQ190" s="10" t="str">
        <f t="shared" si="380"/>
        <v xml:space="preserve"> </v>
      </c>
      <c r="ER190" s="10" t="str">
        <f t="shared" si="380"/>
        <v xml:space="preserve"> </v>
      </c>
      <c r="ES190" s="10" t="str">
        <f t="shared" si="380"/>
        <v xml:space="preserve"> </v>
      </c>
      <c r="ET190" s="10" t="str">
        <f t="shared" si="380"/>
        <v xml:space="preserve"> </v>
      </c>
      <c r="EW190" s="10" t="str">
        <f t="shared" si="381"/>
        <v xml:space="preserve"> </v>
      </c>
      <c r="EX190" s="10" t="str">
        <f t="shared" si="381"/>
        <v xml:space="preserve"> </v>
      </c>
      <c r="EY190" s="10" t="str">
        <f t="shared" si="381"/>
        <v xml:space="preserve"> </v>
      </c>
      <c r="EZ190" s="10" t="str">
        <f t="shared" si="381"/>
        <v xml:space="preserve"> </v>
      </c>
      <c r="FA190" s="10" t="str">
        <f t="shared" si="381"/>
        <v xml:space="preserve"> </v>
      </c>
      <c r="FD190" s="10" t="str">
        <f t="shared" si="382"/>
        <v xml:space="preserve"> </v>
      </c>
      <c r="FE190" s="10" t="str">
        <f t="shared" si="382"/>
        <v xml:space="preserve"> </v>
      </c>
      <c r="FF190" s="10" t="str">
        <f t="shared" si="382"/>
        <v xml:space="preserve"> </v>
      </c>
      <c r="FG190" s="10" t="str">
        <f t="shared" si="382"/>
        <v xml:space="preserve"> </v>
      </c>
      <c r="FH190" s="10" t="str">
        <f t="shared" si="382"/>
        <v xml:space="preserve"> </v>
      </c>
      <c r="FK190" s="10" t="str">
        <f t="shared" si="383"/>
        <v xml:space="preserve"> </v>
      </c>
      <c r="FL190" s="10" t="str">
        <f t="shared" si="383"/>
        <v xml:space="preserve"> </v>
      </c>
      <c r="FM190" s="10" t="str">
        <f t="shared" si="383"/>
        <v xml:space="preserve"> </v>
      </c>
      <c r="FN190" s="10" t="str">
        <f t="shared" si="383"/>
        <v xml:space="preserve"> </v>
      </c>
      <c r="FO190" s="10" t="str">
        <f t="shared" si="383"/>
        <v xml:space="preserve"> </v>
      </c>
      <c r="FR190" s="10" t="str">
        <f t="shared" si="384"/>
        <v xml:space="preserve"> </v>
      </c>
      <c r="FS190" s="10" t="str">
        <f t="shared" si="384"/>
        <v xml:space="preserve"> </v>
      </c>
      <c r="FT190" s="10" t="str">
        <f t="shared" si="384"/>
        <v xml:space="preserve"> </v>
      </c>
      <c r="FU190" s="10" t="str">
        <f t="shared" si="384"/>
        <v xml:space="preserve"> </v>
      </c>
      <c r="FV190" s="10" t="str">
        <f t="shared" si="384"/>
        <v xml:space="preserve"> </v>
      </c>
      <c r="FY190" s="10" t="str">
        <f t="shared" si="385"/>
        <v xml:space="preserve"> </v>
      </c>
      <c r="FZ190" s="10" t="str">
        <f t="shared" si="385"/>
        <v xml:space="preserve"> </v>
      </c>
      <c r="GA190" s="10" t="str">
        <f t="shared" si="385"/>
        <v xml:space="preserve"> </v>
      </c>
      <c r="GB190" s="10" t="str">
        <f t="shared" si="385"/>
        <v xml:space="preserve"> </v>
      </c>
      <c r="GC190" s="10" t="str">
        <f t="shared" si="385"/>
        <v xml:space="preserve"> </v>
      </c>
      <c r="GF190" s="10" t="str">
        <f t="shared" si="386"/>
        <v xml:space="preserve"> </v>
      </c>
      <c r="GG190" s="10" t="str">
        <f t="shared" si="386"/>
        <v xml:space="preserve"> </v>
      </c>
      <c r="GH190" s="10" t="str">
        <f t="shared" si="386"/>
        <v xml:space="preserve"> </v>
      </c>
      <c r="GI190" s="10" t="str">
        <f t="shared" si="386"/>
        <v xml:space="preserve"> </v>
      </c>
      <c r="GJ190" s="10" t="str">
        <f t="shared" si="386"/>
        <v xml:space="preserve"> </v>
      </c>
      <c r="GM190" s="10" t="str">
        <f t="shared" si="387"/>
        <v xml:space="preserve"> </v>
      </c>
      <c r="GN190" s="10" t="str">
        <f t="shared" si="387"/>
        <v xml:space="preserve"> </v>
      </c>
      <c r="GO190" s="10" t="str">
        <f t="shared" si="387"/>
        <v xml:space="preserve"> </v>
      </c>
      <c r="GP190" s="10" t="str">
        <f t="shared" si="387"/>
        <v xml:space="preserve"> </v>
      </c>
      <c r="GQ190" s="10" t="str">
        <f t="shared" si="387"/>
        <v xml:space="preserve"> </v>
      </c>
      <c r="GT190" s="10" t="str">
        <f t="shared" si="388"/>
        <v xml:space="preserve"> </v>
      </c>
      <c r="GU190" s="10" t="str">
        <f t="shared" si="388"/>
        <v xml:space="preserve"> </v>
      </c>
      <c r="GV190" s="10" t="str">
        <f t="shared" si="388"/>
        <v xml:space="preserve"> </v>
      </c>
      <c r="GW190" s="10" t="str">
        <f t="shared" si="388"/>
        <v xml:space="preserve"> </v>
      </c>
      <c r="GX190" s="10" t="str">
        <f t="shared" si="388"/>
        <v xml:space="preserve"> </v>
      </c>
      <c r="HA190" s="10" t="str">
        <f t="shared" si="389"/>
        <v xml:space="preserve"> </v>
      </c>
      <c r="HB190" s="10" t="str">
        <f t="shared" si="389"/>
        <v xml:space="preserve"> </v>
      </c>
      <c r="HC190" s="10" t="str">
        <f t="shared" si="389"/>
        <v xml:space="preserve"> </v>
      </c>
      <c r="HD190" s="10" t="str">
        <f t="shared" si="389"/>
        <v xml:space="preserve"> </v>
      </c>
      <c r="HE190" s="10" t="str">
        <f t="shared" si="389"/>
        <v xml:space="preserve"> </v>
      </c>
      <c r="HH190" s="10" t="str">
        <f t="shared" si="390"/>
        <v xml:space="preserve"> </v>
      </c>
      <c r="HI190" s="10" t="str">
        <f t="shared" si="390"/>
        <v xml:space="preserve"> </v>
      </c>
      <c r="HJ190" s="10" t="str">
        <f t="shared" si="390"/>
        <v xml:space="preserve"> </v>
      </c>
      <c r="HK190" s="10" t="str">
        <f t="shared" si="390"/>
        <v xml:space="preserve"> </v>
      </c>
      <c r="HL190" s="10" t="str">
        <f t="shared" si="390"/>
        <v xml:space="preserve"> </v>
      </c>
      <c r="HO190" s="10" t="str">
        <f t="shared" si="391"/>
        <v xml:space="preserve"> </v>
      </c>
      <c r="HP190" s="10" t="str">
        <f t="shared" si="391"/>
        <v xml:space="preserve"> </v>
      </c>
      <c r="HQ190" s="10" t="str">
        <f t="shared" si="391"/>
        <v xml:space="preserve"> </v>
      </c>
      <c r="HR190" s="10" t="str">
        <f t="shared" si="391"/>
        <v xml:space="preserve"> </v>
      </c>
      <c r="HS190" s="10" t="str">
        <f t="shared" si="391"/>
        <v xml:space="preserve"> </v>
      </c>
      <c r="HV190" s="10" t="str">
        <f t="shared" si="392"/>
        <v xml:space="preserve"> </v>
      </c>
      <c r="HW190" s="10" t="str">
        <f t="shared" si="392"/>
        <v xml:space="preserve"> </v>
      </c>
      <c r="HX190" s="10" t="str">
        <f t="shared" si="392"/>
        <v xml:space="preserve"> </v>
      </c>
      <c r="HY190" s="10" t="str">
        <f t="shared" si="392"/>
        <v xml:space="preserve"> </v>
      </c>
      <c r="HZ190" s="10" t="str">
        <f t="shared" si="392"/>
        <v xml:space="preserve"> </v>
      </c>
      <c r="IC190" s="10" t="str">
        <f t="shared" si="393"/>
        <v xml:space="preserve"> </v>
      </c>
      <c r="ID190" s="10" t="str">
        <f t="shared" si="393"/>
        <v xml:space="preserve"> </v>
      </c>
      <c r="IE190" s="10" t="str">
        <f t="shared" si="393"/>
        <v xml:space="preserve"> </v>
      </c>
      <c r="IF190" s="10" t="str">
        <f t="shared" si="393"/>
        <v xml:space="preserve"> </v>
      </c>
      <c r="IG190" s="10" t="str">
        <f t="shared" si="393"/>
        <v xml:space="preserve"> </v>
      </c>
      <c r="IJ190" s="10" t="str">
        <f t="shared" si="394"/>
        <v xml:space="preserve"> </v>
      </c>
      <c r="IK190" s="10" t="str">
        <f t="shared" si="394"/>
        <v xml:space="preserve"> </v>
      </c>
      <c r="IL190" s="10" t="str">
        <f t="shared" si="394"/>
        <v xml:space="preserve"> </v>
      </c>
      <c r="IM190" s="10" t="str">
        <f t="shared" si="394"/>
        <v xml:space="preserve"> </v>
      </c>
      <c r="IN190" s="10" t="str">
        <f t="shared" si="394"/>
        <v xml:space="preserve"> </v>
      </c>
      <c r="IQ190" s="10" t="str">
        <f t="shared" si="395"/>
        <v xml:space="preserve"> </v>
      </c>
      <c r="IR190" s="10" t="str">
        <f t="shared" si="395"/>
        <v xml:space="preserve"> </v>
      </c>
      <c r="IS190" s="10" t="str">
        <f t="shared" si="395"/>
        <v xml:space="preserve"> </v>
      </c>
      <c r="IT190" s="10" t="str">
        <f t="shared" si="395"/>
        <v xml:space="preserve"> </v>
      </c>
      <c r="IU190" s="10" t="str">
        <f t="shared" si="395"/>
        <v xml:space="preserve"> </v>
      </c>
      <c r="IX190" s="10" t="str">
        <f t="shared" si="396"/>
        <v xml:space="preserve"> </v>
      </c>
      <c r="IY190" s="10" t="str">
        <f t="shared" si="396"/>
        <v xml:space="preserve"> </v>
      </c>
      <c r="IZ190" s="10" t="str">
        <f t="shared" si="396"/>
        <v xml:space="preserve"> </v>
      </c>
      <c r="JA190" s="10" t="str">
        <f t="shared" si="396"/>
        <v xml:space="preserve"> </v>
      </c>
      <c r="JB190" s="10" t="str">
        <f t="shared" si="396"/>
        <v xml:space="preserve"> </v>
      </c>
      <c r="JE190" s="10" t="str">
        <f t="shared" si="397"/>
        <v xml:space="preserve"> </v>
      </c>
      <c r="JF190" s="10" t="str">
        <f t="shared" si="397"/>
        <v xml:space="preserve"> </v>
      </c>
      <c r="JG190" s="10" t="str">
        <f t="shared" si="397"/>
        <v xml:space="preserve"> </v>
      </c>
      <c r="JH190" s="10" t="str">
        <f t="shared" si="397"/>
        <v xml:space="preserve"> </v>
      </c>
      <c r="JI190" s="10" t="str">
        <f t="shared" si="397"/>
        <v xml:space="preserve"> </v>
      </c>
    </row>
    <row r="191" spans="13:269">
      <c r="M191" s="10" t="str">
        <f t="shared" si="398"/>
        <v xml:space="preserve"> </v>
      </c>
      <c r="N191" s="10" t="str">
        <f t="shared" si="398"/>
        <v xml:space="preserve"> </v>
      </c>
      <c r="O191" s="10" t="str">
        <f t="shared" si="398"/>
        <v xml:space="preserve"> </v>
      </c>
      <c r="P191" s="10" t="str">
        <f t="shared" si="398"/>
        <v xml:space="preserve"> </v>
      </c>
      <c r="Q191" s="10" t="str">
        <f t="shared" si="398"/>
        <v xml:space="preserve"> </v>
      </c>
      <c r="R191" s="14"/>
      <c r="S191" s="14"/>
      <c r="T191" s="10" t="str">
        <f t="shared" si="362"/>
        <v xml:space="preserve"> </v>
      </c>
      <c r="U191" s="10" t="str">
        <f t="shared" si="362"/>
        <v xml:space="preserve"> </v>
      </c>
      <c r="V191" s="10" t="str">
        <f t="shared" si="362"/>
        <v xml:space="preserve"> </v>
      </c>
      <c r="W191" s="10" t="str">
        <f t="shared" si="362"/>
        <v xml:space="preserve"> </v>
      </c>
      <c r="X191" s="10" t="str">
        <f t="shared" si="362"/>
        <v xml:space="preserve"> </v>
      </c>
      <c r="Y191" s="14"/>
      <c r="Z191" s="14"/>
      <c r="AA191" s="10" t="str">
        <f t="shared" si="363"/>
        <v xml:space="preserve"> </v>
      </c>
      <c r="AB191" s="10" t="str">
        <f t="shared" si="363"/>
        <v xml:space="preserve"> </v>
      </c>
      <c r="AC191" s="10" t="str">
        <f t="shared" si="363"/>
        <v xml:space="preserve"> </v>
      </c>
      <c r="AD191" s="10" t="str">
        <f t="shared" si="363"/>
        <v xml:space="preserve"> </v>
      </c>
      <c r="AE191" s="10" t="str">
        <f t="shared" si="363"/>
        <v xml:space="preserve"> </v>
      </c>
      <c r="AF191" s="14"/>
      <c r="AG191" s="14"/>
      <c r="AH191" s="10" t="str">
        <f t="shared" si="364"/>
        <v xml:space="preserve"> </v>
      </c>
      <c r="AI191" s="10" t="str">
        <f t="shared" si="364"/>
        <v xml:space="preserve"> </v>
      </c>
      <c r="AJ191" s="10" t="str">
        <f t="shared" si="364"/>
        <v xml:space="preserve"> </v>
      </c>
      <c r="AK191" s="10" t="str">
        <f t="shared" si="364"/>
        <v xml:space="preserve"> </v>
      </c>
      <c r="AL191" s="10" t="str">
        <f t="shared" si="364"/>
        <v xml:space="preserve"> </v>
      </c>
      <c r="AM191" s="14"/>
      <c r="AN191" s="14"/>
      <c r="AO191" s="10" t="str">
        <f t="shared" si="365"/>
        <v xml:space="preserve"> </v>
      </c>
      <c r="AP191" s="10" t="str">
        <f t="shared" si="365"/>
        <v xml:space="preserve"> </v>
      </c>
      <c r="AQ191" s="10" t="str">
        <f t="shared" si="365"/>
        <v xml:space="preserve"> </v>
      </c>
      <c r="AR191" s="10" t="str">
        <f t="shared" si="365"/>
        <v xml:space="preserve"> </v>
      </c>
      <c r="AS191" s="10" t="str">
        <f t="shared" si="365"/>
        <v xml:space="preserve"> </v>
      </c>
      <c r="AT191" s="14"/>
      <c r="AU191" s="14"/>
      <c r="AV191" s="10" t="str">
        <f t="shared" si="366"/>
        <v xml:space="preserve"> </v>
      </c>
      <c r="AW191" s="10" t="str">
        <f t="shared" si="366"/>
        <v xml:space="preserve"> </v>
      </c>
      <c r="AX191" s="10" t="str">
        <f t="shared" si="366"/>
        <v xml:space="preserve"> </v>
      </c>
      <c r="AY191" s="10" t="str">
        <f t="shared" si="366"/>
        <v xml:space="preserve"> </v>
      </c>
      <c r="AZ191" s="10" t="str">
        <f t="shared" si="366"/>
        <v xml:space="preserve"> </v>
      </c>
      <c r="BA191" s="14"/>
      <c r="BB191" s="14"/>
      <c r="BC191" s="10" t="str">
        <f t="shared" si="367"/>
        <v xml:space="preserve"> </v>
      </c>
      <c r="BD191" s="10" t="str">
        <f t="shared" si="367"/>
        <v xml:space="preserve"> </v>
      </c>
      <c r="BE191" s="10" t="str">
        <f t="shared" si="367"/>
        <v xml:space="preserve"> </v>
      </c>
      <c r="BF191" s="10" t="str">
        <f t="shared" si="367"/>
        <v xml:space="preserve"> </v>
      </c>
      <c r="BG191" s="10" t="str">
        <f t="shared" si="367"/>
        <v xml:space="preserve"> </v>
      </c>
      <c r="BH191" s="14"/>
      <c r="BI191" s="14"/>
      <c r="BJ191" s="10" t="str">
        <f t="shared" si="368"/>
        <v xml:space="preserve"> </v>
      </c>
      <c r="BK191" s="10" t="str">
        <f t="shared" si="368"/>
        <v xml:space="preserve"> </v>
      </c>
      <c r="BL191" s="10" t="str">
        <f t="shared" si="368"/>
        <v xml:space="preserve"> </v>
      </c>
      <c r="BM191" s="10" t="str">
        <f t="shared" si="368"/>
        <v xml:space="preserve"> </v>
      </c>
      <c r="BN191" s="10" t="str">
        <f t="shared" si="368"/>
        <v xml:space="preserve"> </v>
      </c>
      <c r="BO191" s="14"/>
      <c r="BP191" s="14"/>
      <c r="BQ191" s="10" t="str">
        <f t="shared" si="369"/>
        <v xml:space="preserve"> </v>
      </c>
      <c r="BR191" s="10" t="str">
        <f t="shared" si="369"/>
        <v xml:space="preserve"> </v>
      </c>
      <c r="BS191" s="10" t="str">
        <f t="shared" si="369"/>
        <v xml:space="preserve"> </v>
      </c>
      <c r="BT191" s="10" t="str">
        <f t="shared" si="369"/>
        <v xml:space="preserve"> </v>
      </c>
      <c r="BU191" s="10" t="str">
        <f t="shared" si="369"/>
        <v xml:space="preserve"> </v>
      </c>
      <c r="BV191" s="14"/>
      <c r="BW191" s="14"/>
      <c r="BX191" s="10" t="str">
        <f t="shared" si="370"/>
        <v xml:space="preserve"> </v>
      </c>
      <c r="BY191" s="10" t="str">
        <f t="shared" si="370"/>
        <v xml:space="preserve"> </v>
      </c>
      <c r="BZ191" s="10" t="str">
        <f t="shared" si="370"/>
        <v xml:space="preserve"> </v>
      </c>
      <c r="CA191" s="10" t="str">
        <f t="shared" si="370"/>
        <v xml:space="preserve"> </v>
      </c>
      <c r="CB191" s="10" t="str">
        <f t="shared" si="370"/>
        <v xml:space="preserve"> </v>
      </c>
      <c r="CC191" s="14"/>
      <c r="CD191" s="14"/>
      <c r="CE191" s="10" t="str">
        <f t="shared" si="371"/>
        <v xml:space="preserve"> </v>
      </c>
      <c r="CF191" s="10" t="str">
        <f t="shared" si="371"/>
        <v xml:space="preserve"> </v>
      </c>
      <c r="CG191" s="10" t="str">
        <f t="shared" si="371"/>
        <v xml:space="preserve"> </v>
      </c>
      <c r="CH191" s="10" t="str">
        <f t="shared" si="371"/>
        <v xml:space="preserve"> </v>
      </c>
      <c r="CI191" s="10" t="str">
        <f t="shared" si="371"/>
        <v xml:space="preserve"> </v>
      </c>
      <c r="CJ191" s="14"/>
      <c r="CK191" s="14"/>
      <c r="CL191" s="10" t="str">
        <f t="shared" si="372"/>
        <v xml:space="preserve"> </v>
      </c>
      <c r="CM191" s="10" t="str">
        <f t="shared" si="372"/>
        <v xml:space="preserve"> </v>
      </c>
      <c r="CN191" s="10" t="str">
        <f t="shared" si="372"/>
        <v xml:space="preserve"> </v>
      </c>
      <c r="CO191" s="10" t="str">
        <f t="shared" si="372"/>
        <v xml:space="preserve"> </v>
      </c>
      <c r="CP191" s="10" t="str">
        <f t="shared" si="372"/>
        <v xml:space="preserve"> </v>
      </c>
      <c r="CQ191" s="14"/>
      <c r="CR191" s="14"/>
      <c r="CS191" s="10" t="str">
        <f t="shared" si="373"/>
        <v xml:space="preserve"> </v>
      </c>
      <c r="CT191" s="10" t="str">
        <f t="shared" si="373"/>
        <v xml:space="preserve"> </v>
      </c>
      <c r="CU191" s="10" t="str">
        <f t="shared" si="373"/>
        <v xml:space="preserve"> </v>
      </c>
      <c r="CV191" s="10" t="str">
        <f t="shared" si="373"/>
        <v xml:space="preserve"> </v>
      </c>
      <c r="CW191" s="10" t="str">
        <f t="shared" si="373"/>
        <v xml:space="preserve"> </v>
      </c>
      <c r="CZ191" s="10" t="str">
        <f t="shared" si="374"/>
        <v xml:space="preserve"> </v>
      </c>
      <c r="DA191" s="10" t="str">
        <f t="shared" si="374"/>
        <v xml:space="preserve"> </v>
      </c>
      <c r="DB191" s="10" t="str">
        <f t="shared" si="374"/>
        <v xml:space="preserve"> </v>
      </c>
      <c r="DC191" s="10" t="str">
        <f t="shared" si="374"/>
        <v xml:space="preserve"> </v>
      </c>
      <c r="DD191" s="10" t="str">
        <f t="shared" si="374"/>
        <v xml:space="preserve"> </v>
      </c>
      <c r="DG191" s="10" t="str">
        <f t="shared" si="375"/>
        <v xml:space="preserve"> </v>
      </c>
      <c r="DH191" s="10" t="str">
        <f t="shared" si="375"/>
        <v xml:space="preserve"> </v>
      </c>
      <c r="DI191" s="10" t="str">
        <f t="shared" si="375"/>
        <v xml:space="preserve"> </v>
      </c>
      <c r="DJ191" s="10" t="str">
        <f t="shared" si="375"/>
        <v xml:space="preserve"> </v>
      </c>
      <c r="DK191" s="10" t="str">
        <f t="shared" si="375"/>
        <v xml:space="preserve"> </v>
      </c>
      <c r="DN191" s="10" t="str">
        <f t="shared" si="376"/>
        <v xml:space="preserve"> </v>
      </c>
      <c r="DO191" s="10" t="str">
        <f t="shared" si="376"/>
        <v xml:space="preserve"> </v>
      </c>
      <c r="DP191" s="10" t="str">
        <f t="shared" si="376"/>
        <v xml:space="preserve"> </v>
      </c>
      <c r="DQ191" s="10" t="str">
        <f t="shared" si="376"/>
        <v xml:space="preserve"> </v>
      </c>
      <c r="DR191" s="10" t="str">
        <f t="shared" si="376"/>
        <v xml:space="preserve"> </v>
      </c>
      <c r="DU191" s="10" t="str">
        <f t="shared" si="377"/>
        <v xml:space="preserve"> </v>
      </c>
      <c r="DV191" s="10" t="str">
        <f t="shared" si="377"/>
        <v xml:space="preserve"> </v>
      </c>
      <c r="DW191" s="10" t="str">
        <f t="shared" si="377"/>
        <v xml:space="preserve"> </v>
      </c>
      <c r="DX191" s="10" t="str">
        <f t="shared" si="377"/>
        <v xml:space="preserve"> </v>
      </c>
      <c r="DY191" s="10" t="str">
        <f t="shared" si="377"/>
        <v xml:space="preserve"> </v>
      </c>
      <c r="EB191" s="10" t="str">
        <f t="shared" si="378"/>
        <v xml:space="preserve"> </v>
      </c>
      <c r="EC191" s="10" t="str">
        <f t="shared" si="378"/>
        <v xml:space="preserve"> </v>
      </c>
      <c r="ED191" s="10" t="str">
        <f t="shared" si="378"/>
        <v xml:space="preserve"> </v>
      </c>
      <c r="EE191" s="10" t="str">
        <f t="shared" si="378"/>
        <v xml:space="preserve"> </v>
      </c>
      <c r="EF191" s="10" t="str">
        <f t="shared" si="378"/>
        <v xml:space="preserve"> </v>
      </c>
      <c r="EI191" s="10" t="str">
        <f t="shared" si="379"/>
        <v xml:space="preserve"> </v>
      </c>
      <c r="EJ191" s="10" t="str">
        <f t="shared" si="379"/>
        <v xml:space="preserve"> </v>
      </c>
      <c r="EK191" s="10" t="str">
        <f t="shared" si="379"/>
        <v xml:space="preserve"> </v>
      </c>
      <c r="EL191" s="10" t="str">
        <f t="shared" si="379"/>
        <v xml:space="preserve"> </v>
      </c>
      <c r="EM191" s="10" t="str">
        <f t="shared" si="379"/>
        <v xml:space="preserve"> </v>
      </c>
      <c r="EP191" s="10" t="str">
        <f t="shared" si="380"/>
        <v xml:space="preserve"> </v>
      </c>
      <c r="EQ191" s="10" t="str">
        <f t="shared" si="380"/>
        <v xml:space="preserve"> </v>
      </c>
      <c r="ER191" s="10" t="str">
        <f t="shared" si="380"/>
        <v xml:space="preserve"> </v>
      </c>
      <c r="ES191" s="10" t="str">
        <f t="shared" si="380"/>
        <v xml:space="preserve"> </v>
      </c>
      <c r="ET191" s="10" t="str">
        <f t="shared" si="380"/>
        <v xml:space="preserve"> </v>
      </c>
      <c r="EW191" s="10" t="str">
        <f t="shared" si="381"/>
        <v xml:space="preserve"> </v>
      </c>
      <c r="EX191" s="10" t="str">
        <f t="shared" si="381"/>
        <v xml:space="preserve"> </v>
      </c>
      <c r="EY191" s="10" t="str">
        <f t="shared" si="381"/>
        <v xml:space="preserve"> </v>
      </c>
      <c r="EZ191" s="10" t="str">
        <f t="shared" si="381"/>
        <v xml:space="preserve"> </v>
      </c>
      <c r="FA191" s="10" t="str">
        <f t="shared" si="381"/>
        <v xml:space="preserve"> </v>
      </c>
      <c r="FD191" s="10" t="str">
        <f t="shared" si="382"/>
        <v xml:space="preserve"> </v>
      </c>
      <c r="FE191" s="10" t="str">
        <f t="shared" si="382"/>
        <v xml:space="preserve"> </v>
      </c>
      <c r="FF191" s="10" t="str">
        <f t="shared" si="382"/>
        <v xml:space="preserve"> </v>
      </c>
      <c r="FG191" s="10" t="str">
        <f t="shared" si="382"/>
        <v xml:space="preserve"> </v>
      </c>
      <c r="FH191" s="10" t="str">
        <f t="shared" si="382"/>
        <v xml:space="preserve"> </v>
      </c>
      <c r="FK191" s="10" t="str">
        <f t="shared" si="383"/>
        <v xml:space="preserve"> </v>
      </c>
      <c r="FL191" s="10" t="str">
        <f t="shared" si="383"/>
        <v xml:space="preserve"> </v>
      </c>
      <c r="FM191" s="10" t="str">
        <f t="shared" si="383"/>
        <v xml:space="preserve"> </v>
      </c>
      <c r="FN191" s="10" t="str">
        <f t="shared" si="383"/>
        <v xml:space="preserve"> </v>
      </c>
      <c r="FO191" s="10" t="str">
        <f t="shared" si="383"/>
        <v xml:space="preserve"> </v>
      </c>
      <c r="FR191" s="10" t="str">
        <f t="shared" si="384"/>
        <v xml:space="preserve"> </v>
      </c>
      <c r="FS191" s="10" t="str">
        <f t="shared" si="384"/>
        <v xml:space="preserve"> </v>
      </c>
      <c r="FT191" s="10" t="str">
        <f t="shared" si="384"/>
        <v xml:space="preserve"> </v>
      </c>
      <c r="FU191" s="10" t="str">
        <f t="shared" si="384"/>
        <v xml:space="preserve"> </v>
      </c>
      <c r="FV191" s="10" t="str">
        <f t="shared" si="384"/>
        <v xml:space="preserve"> </v>
      </c>
      <c r="FY191" s="10" t="str">
        <f t="shared" si="385"/>
        <v xml:space="preserve"> </v>
      </c>
      <c r="FZ191" s="10" t="str">
        <f t="shared" si="385"/>
        <v xml:space="preserve"> </v>
      </c>
      <c r="GA191" s="10" t="str">
        <f t="shared" si="385"/>
        <v xml:space="preserve"> </v>
      </c>
      <c r="GB191" s="10" t="str">
        <f t="shared" si="385"/>
        <v xml:space="preserve"> </v>
      </c>
      <c r="GC191" s="10" t="str">
        <f t="shared" si="385"/>
        <v xml:space="preserve"> </v>
      </c>
      <c r="GF191" s="10" t="str">
        <f t="shared" si="386"/>
        <v xml:space="preserve"> </v>
      </c>
      <c r="GG191" s="10" t="str">
        <f t="shared" si="386"/>
        <v xml:space="preserve"> </v>
      </c>
      <c r="GH191" s="10" t="str">
        <f t="shared" si="386"/>
        <v xml:space="preserve"> </v>
      </c>
      <c r="GI191" s="10" t="str">
        <f t="shared" si="386"/>
        <v xml:space="preserve"> </v>
      </c>
      <c r="GJ191" s="10" t="str">
        <f t="shared" si="386"/>
        <v xml:space="preserve"> </v>
      </c>
      <c r="GM191" s="10" t="str">
        <f t="shared" si="387"/>
        <v xml:space="preserve"> </v>
      </c>
      <c r="GN191" s="10" t="str">
        <f t="shared" si="387"/>
        <v xml:space="preserve"> </v>
      </c>
      <c r="GO191" s="10" t="str">
        <f t="shared" si="387"/>
        <v xml:space="preserve"> </v>
      </c>
      <c r="GP191" s="10" t="str">
        <f t="shared" si="387"/>
        <v xml:space="preserve"> </v>
      </c>
      <c r="GQ191" s="10" t="str">
        <f t="shared" si="387"/>
        <v xml:space="preserve"> </v>
      </c>
      <c r="GT191" s="10" t="str">
        <f t="shared" si="388"/>
        <v xml:space="preserve"> </v>
      </c>
      <c r="GU191" s="10" t="str">
        <f t="shared" si="388"/>
        <v xml:space="preserve"> </v>
      </c>
      <c r="GV191" s="10" t="str">
        <f t="shared" si="388"/>
        <v xml:space="preserve"> </v>
      </c>
      <c r="GW191" s="10" t="str">
        <f t="shared" si="388"/>
        <v xml:space="preserve"> </v>
      </c>
      <c r="GX191" s="10" t="str">
        <f t="shared" si="388"/>
        <v xml:space="preserve"> </v>
      </c>
      <c r="HA191" s="10" t="str">
        <f t="shared" si="389"/>
        <v xml:space="preserve"> </v>
      </c>
      <c r="HB191" s="10" t="str">
        <f t="shared" si="389"/>
        <v xml:space="preserve"> </v>
      </c>
      <c r="HC191" s="10" t="str">
        <f t="shared" si="389"/>
        <v xml:space="preserve"> </v>
      </c>
      <c r="HD191" s="10" t="str">
        <f t="shared" si="389"/>
        <v xml:space="preserve"> </v>
      </c>
      <c r="HE191" s="10" t="str">
        <f t="shared" si="389"/>
        <v xml:space="preserve"> </v>
      </c>
      <c r="HH191" s="10" t="str">
        <f t="shared" si="390"/>
        <v xml:space="preserve"> </v>
      </c>
      <c r="HI191" s="10" t="str">
        <f t="shared" si="390"/>
        <v xml:space="preserve"> </v>
      </c>
      <c r="HJ191" s="10" t="str">
        <f t="shared" si="390"/>
        <v xml:space="preserve"> </v>
      </c>
      <c r="HK191" s="10" t="str">
        <f t="shared" si="390"/>
        <v xml:space="preserve"> </v>
      </c>
      <c r="HL191" s="10" t="str">
        <f t="shared" si="390"/>
        <v xml:space="preserve"> </v>
      </c>
      <c r="HO191" s="10" t="str">
        <f t="shared" si="391"/>
        <v xml:space="preserve"> </v>
      </c>
      <c r="HP191" s="10" t="str">
        <f t="shared" si="391"/>
        <v xml:space="preserve"> </v>
      </c>
      <c r="HQ191" s="10" t="str">
        <f t="shared" si="391"/>
        <v xml:space="preserve"> </v>
      </c>
      <c r="HR191" s="10" t="str">
        <f t="shared" si="391"/>
        <v xml:space="preserve"> </v>
      </c>
      <c r="HS191" s="10" t="str">
        <f t="shared" si="391"/>
        <v xml:space="preserve"> </v>
      </c>
      <c r="HV191" s="10" t="str">
        <f t="shared" si="392"/>
        <v xml:space="preserve"> </v>
      </c>
      <c r="HW191" s="10" t="str">
        <f t="shared" si="392"/>
        <v xml:space="preserve"> </v>
      </c>
      <c r="HX191" s="10" t="str">
        <f t="shared" si="392"/>
        <v xml:space="preserve"> </v>
      </c>
      <c r="HY191" s="10" t="str">
        <f t="shared" si="392"/>
        <v xml:space="preserve"> </v>
      </c>
      <c r="HZ191" s="10" t="str">
        <f t="shared" si="392"/>
        <v xml:space="preserve"> </v>
      </c>
      <c r="IC191" s="10" t="str">
        <f t="shared" si="393"/>
        <v xml:space="preserve"> </v>
      </c>
      <c r="ID191" s="10" t="str">
        <f t="shared" si="393"/>
        <v xml:space="preserve"> </v>
      </c>
      <c r="IE191" s="10" t="str">
        <f t="shared" si="393"/>
        <v xml:space="preserve"> </v>
      </c>
      <c r="IF191" s="10" t="str">
        <f t="shared" si="393"/>
        <v xml:space="preserve"> </v>
      </c>
      <c r="IG191" s="10" t="str">
        <f t="shared" si="393"/>
        <v xml:space="preserve"> </v>
      </c>
      <c r="IJ191" s="10" t="str">
        <f t="shared" si="394"/>
        <v xml:space="preserve"> </v>
      </c>
      <c r="IK191" s="10" t="str">
        <f t="shared" si="394"/>
        <v xml:space="preserve"> </v>
      </c>
      <c r="IL191" s="10" t="str">
        <f t="shared" si="394"/>
        <v xml:space="preserve"> </v>
      </c>
      <c r="IM191" s="10" t="str">
        <f t="shared" si="394"/>
        <v xml:space="preserve"> </v>
      </c>
      <c r="IN191" s="10" t="str">
        <f t="shared" si="394"/>
        <v xml:space="preserve"> </v>
      </c>
      <c r="IQ191" s="10" t="str">
        <f t="shared" si="395"/>
        <v xml:space="preserve"> </v>
      </c>
      <c r="IR191" s="10" t="str">
        <f t="shared" si="395"/>
        <v xml:space="preserve"> </v>
      </c>
      <c r="IS191" s="10" t="str">
        <f t="shared" si="395"/>
        <v xml:space="preserve"> </v>
      </c>
      <c r="IT191" s="10" t="str">
        <f t="shared" si="395"/>
        <v xml:space="preserve"> </v>
      </c>
      <c r="IU191" s="10" t="str">
        <f t="shared" si="395"/>
        <v xml:space="preserve"> </v>
      </c>
      <c r="IX191" s="10" t="str">
        <f t="shared" si="396"/>
        <v xml:space="preserve"> </v>
      </c>
      <c r="IY191" s="10" t="str">
        <f t="shared" si="396"/>
        <v xml:space="preserve"> </v>
      </c>
      <c r="IZ191" s="10" t="str">
        <f t="shared" si="396"/>
        <v xml:space="preserve"> </v>
      </c>
      <c r="JA191" s="10" t="str">
        <f t="shared" si="396"/>
        <v xml:space="preserve"> </v>
      </c>
      <c r="JB191" s="10" t="str">
        <f t="shared" si="396"/>
        <v xml:space="preserve"> </v>
      </c>
      <c r="JE191" s="10" t="str">
        <f t="shared" si="397"/>
        <v xml:space="preserve"> </v>
      </c>
      <c r="JF191" s="10" t="str">
        <f t="shared" si="397"/>
        <v xml:space="preserve"> </v>
      </c>
      <c r="JG191" s="10" t="str">
        <f t="shared" si="397"/>
        <v xml:space="preserve"> </v>
      </c>
      <c r="JH191" s="10" t="str">
        <f t="shared" si="397"/>
        <v xml:space="preserve"> </v>
      </c>
      <c r="JI191" s="10" t="str">
        <f t="shared" si="397"/>
        <v xml:space="preserve"> </v>
      </c>
    </row>
    <row r="192" spans="13:269">
      <c r="M192" s="10" t="str">
        <f t="shared" si="398"/>
        <v xml:space="preserve"> </v>
      </c>
      <c r="N192" s="10" t="str">
        <f t="shared" si="398"/>
        <v xml:space="preserve"> </v>
      </c>
      <c r="O192" s="10" t="str">
        <f t="shared" si="398"/>
        <v xml:space="preserve"> </v>
      </c>
      <c r="P192" s="10" t="str">
        <f t="shared" si="398"/>
        <v xml:space="preserve"> </v>
      </c>
      <c r="Q192" s="10" t="str">
        <f t="shared" si="398"/>
        <v xml:space="preserve"> </v>
      </c>
      <c r="R192" s="14"/>
      <c r="S192" s="14"/>
      <c r="T192" s="10" t="str">
        <f t="shared" si="362"/>
        <v xml:space="preserve"> </v>
      </c>
      <c r="U192" s="10" t="str">
        <f t="shared" si="362"/>
        <v xml:space="preserve"> </v>
      </c>
      <c r="V192" s="10" t="str">
        <f t="shared" si="362"/>
        <v xml:space="preserve"> </v>
      </c>
      <c r="W192" s="10" t="str">
        <f t="shared" si="362"/>
        <v xml:space="preserve"> </v>
      </c>
      <c r="X192" s="10" t="str">
        <f t="shared" si="362"/>
        <v xml:space="preserve"> </v>
      </c>
      <c r="Y192" s="14"/>
      <c r="Z192" s="14"/>
      <c r="AA192" s="10" t="str">
        <f t="shared" si="363"/>
        <v xml:space="preserve"> </v>
      </c>
      <c r="AB192" s="10" t="str">
        <f t="shared" si="363"/>
        <v xml:space="preserve"> </v>
      </c>
      <c r="AC192" s="10" t="str">
        <f t="shared" si="363"/>
        <v xml:space="preserve"> </v>
      </c>
      <c r="AD192" s="10" t="str">
        <f t="shared" si="363"/>
        <v xml:space="preserve"> </v>
      </c>
      <c r="AE192" s="10" t="str">
        <f t="shared" si="363"/>
        <v xml:space="preserve"> </v>
      </c>
      <c r="AF192" s="14"/>
      <c r="AG192" s="14"/>
      <c r="AH192" s="10" t="str">
        <f t="shared" si="364"/>
        <v xml:space="preserve"> </v>
      </c>
      <c r="AI192" s="10" t="str">
        <f t="shared" si="364"/>
        <v xml:space="preserve"> </v>
      </c>
      <c r="AJ192" s="10" t="str">
        <f t="shared" si="364"/>
        <v xml:space="preserve"> </v>
      </c>
      <c r="AK192" s="10" t="str">
        <f t="shared" si="364"/>
        <v xml:space="preserve"> </v>
      </c>
      <c r="AL192" s="10" t="str">
        <f t="shared" si="364"/>
        <v xml:space="preserve"> </v>
      </c>
      <c r="AM192" s="14"/>
      <c r="AN192" s="14"/>
      <c r="AO192" s="10" t="str">
        <f t="shared" si="365"/>
        <v xml:space="preserve"> </v>
      </c>
      <c r="AP192" s="10" t="str">
        <f t="shared" si="365"/>
        <v xml:space="preserve"> </v>
      </c>
      <c r="AQ192" s="10" t="str">
        <f t="shared" si="365"/>
        <v xml:space="preserve"> </v>
      </c>
      <c r="AR192" s="10" t="str">
        <f t="shared" si="365"/>
        <v xml:space="preserve"> </v>
      </c>
      <c r="AS192" s="10" t="str">
        <f t="shared" si="365"/>
        <v xml:space="preserve"> </v>
      </c>
      <c r="AT192" s="14"/>
      <c r="AU192" s="14"/>
      <c r="AV192" s="10" t="str">
        <f t="shared" si="366"/>
        <v xml:space="preserve"> </v>
      </c>
      <c r="AW192" s="10" t="str">
        <f t="shared" si="366"/>
        <v xml:space="preserve"> </v>
      </c>
      <c r="AX192" s="10" t="str">
        <f t="shared" si="366"/>
        <v xml:space="preserve"> </v>
      </c>
      <c r="AY192" s="10" t="str">
        <f t="shared" si="366"/>
        <v xml:space="preserve"> </v>
      </c>
      <c r="AZ192" s="10" t="str">
        <f t="shared" si="366"/>
        <v xml:space="preserve"> </v>
      </c>
      <c r="BA192" s="14"/>
      <c r="BB192" s="14"/>
      <c r="BC192" s="10" t="str">
        <f t="shared" si="367"/>
        <v xml:space="preserve"> </v>
      </c>
      <c r="BD192" s="10" t="str">
        <f t="shared" si="367"/>
        <v xml:space="preserve"> </v>
      </c>
      <c r="BE192" s="10" t="str">
        <f t="shared" si="367"/>
        <v xml:space="preserve"> </v>
      </c>
      <c r="BF192" s="10" t="str">
        <f t="shared" si="367"/>
        <v xml:space="preserve"> </v>
      </c>
      <c r="BG192" s="10" t="str">
        <f t="shared" si="367"/>
        <v xml:space="preserve"> </v>
      </c>
      <c r="BH192" s="14"/>
      <c r="BI192" s="14"/>
      <c r="BJ192" s="10" t="str">
        <f t="shared" si="368"/>
        <v xml:space="preserve"> </v>
      </c>
      <c r="BK192" s="10" t="str">
        <f t="shared" si="368"/>
        <v xml:space="preserve"> </v>
      </c>
      <c r="BL192" s="10" t="str">
        <f t="shared" si="368"/>
        <v xml:space="preserve"> </v>
      </c>
      <c r="BM192" s="10" t="str">
        <f t="shared" si="368"/>
        <v xml:space="preserve"> </v>
      </c>
      <c r="BN192" s="10" t="str">
        <f t="shared" si="368"/>
        <v xml:space="preserve"> </v>
      </c>
      <c r="BO192" s="14"/>
      <c r="BP192" s="14"/>
      <c r="BQ192" s="10" t="str">
        <f t="shared" si="369"/>
        <v xml:space="preserve"> </v>
      </c>
      <c r="BR192" s="10" t="str">
        <f t="shared" si="369"/>
        <v xml:space="preserve"> </v>
      </c>
      <c r="BS192" s="10" t="str">
        <f t="shared" si="369"/>
        <v xml:space="preserve"> </v>
      </c>
      <c r="BT192" s="10" t="str">
        <f t="shared" si="369"/>
        <v xml:space="preserve"> </v>
      </c>
      <c r="BU192" s="10" t="str">
        <f t="shared" si="369"/>
        <v xml:space="preserve"> </v>
      </c>
      <c r="BV192" s="14"/>
      <c r="BW192" s="14"/>
      <c r="BX192" s="10" t="str">
        <f t="shared" si="370"/>
        <v xml:space="preserve"> </v>
      </c>
      <c r="BY192" s="10" t="str">
        <f t="shared" si="370"/>
        <v xml:space="preserve"> </v>
      </c>
      <c r="BZ192" s="10" t="str">
        <f t="shared" si="370"/>
        <v xml:space="preserve"> </v>
      </c>
      <c r="CA192" s="10" t="str">
        <f t="shared" si="370"/>
        <v xml:space="preserve"> </v>
      </c>
      <c r="CB192" s="10" t="str">
        <f t="shared" si="370"/>
        <v xml:space="preserve"> </v>
      </c>
      <c r="CC192" s="14"/>
      <c r="CD192" s="14"/>
      <c r="CE192" s="10" t="str">
        <f t="shared" si="371"/>
        <v xml:space="preserve"> </v>
      </c>
      <c r="CF192" s="10" t="str">
        <f t="shared" si="371"/>
        <v xml:space="preserve"> </v>
      </c>
      <c r="CG192" s="10" t="str">
        <f t="shared" si="371"/>
        <v xml:space="preserve"> </v>
      </c>
      <c r="CH192" s="10" t="str">
        <f t="shared" si="371"/>
        <v xml:space="preserve"> </v>
      </c>
      <c r="CI192" s="10" t="str">
        <f t="shared" si="371"/>
        <v xml:space="preserve"> </v>
      </c>
      <c r="CJ192" s="14"/>
      <c r="CK192" s="14"/>
      <c r="CL192" s="10" t="str">
        <f t="shared" si="372"/>
        <v xml:space="preserve"> </v>
      </c>
      <c r="CM192" s="10" t="str">
        <f t="shared" si="372"/>
        <v xml:space="preserve"> </v>
      </c>
      <c r="CN192" s="10" t="str">
        <f t="shared" si="372"/>
        <v xml:space="preserve"> </v>
      </c>
      <c r="CO192" s="10" t="str">
        <f t="shared" si="372"/>
        <v xml:space="preserve"> </v>
      </c>
      <c r="CP192" s="10" t="str">
        <f t="shared" si="372"/>
        <v xml:space="preserve"> </v>
      </c>
      <c r="CQ192" s="14"/>
      <c r="CR192" s="14"/>
      <c r="CS192" s="10" t="str">
        <f t="shared" si="373"/>
        <v xml:space="preserve"> </v>
      </c>
      <c r="CT192" s="10" t="str">
        <f t="shared" si="373"/>
        <v xml:space="preserve"> </v>
      </c>
      <c r="CU192" s="10" t="str">
        <f t="shared" si="373"/>
        <v xml:space="preserve"> </v>
      </c>
      <c r="CV192" s="10" t="str">
        <f t="shared" si="373"/>
        <v xml:space="preserve"> </v>
      </c>
      <c r="CW192" s="10" t="str">
        <f t="shared" si="373"/>
        <v xml:space="preserve"> </v>
      </c>
      <c r="CZ192" s="10" t="str">
        <f t="shared" si="374"/>
        <v xml:space="preserve"> </v>
      </c>
      <c r="DA192" s="10" t="str">
        <f t="shared" si="374"/>
        <v xml:space="preserve"> </v>
      </c>
      <c r="DB192" s="10" t="str">
        <f t="shared" si="374"/>
        <v xml:space="preserve"> </v>
      </c>
      <c r="DC192" s="10" t="str">
        <f t="shared" si="374"/>
        <v xml:space="preserve"> </v>
      </c>
      <c r="DD192" s="10" t="str">
        <f t="shared" si="374"/>
        <v xml:space="preserve"> </v>
      </c>
      <c r="DG192" s="10" t="str">
        <f t="shared" si="375"/>
        <v xml:space="preserve"> </v>
      </c>
      <c r="DH192" s="10" t="str">
        <f t="shared" si="375"/>
        <v xml:space="preserve"> </v>
      </c>
      <c r="DI192" s="10" t="str">
        <f t="shared" si="375"/>
        <v xml:space="preserve"> </v>
      </c>
      <c r="DJ192" s="10" t="str">
        <f t="shared" si="375"/>
        <v xml:space="preserve"> </v>
      </c>
      <c r="DK192" s="10" t="str">
        <f t="shared" si="375"/>
        <v xml:space="preserve"> </v>
      </c>
      <c r="DN192" s="10" t="str">
        <f t="shared" si="376"/>
        <v xml:space="preserve"> </v>
      </c>
      <c r="DO192" s="10" t="str">
        <f t="shared" si="376"/>
        <v xml:space="preserve"> </v>
      </c>
      <c r="DP192" s="10" t="str">
        <f t="shared" si="376"/>
        <v xml:space="preserve"> </v>
      </c>
      <c r="DQ192" s="10" t="str">
        <f t="shared" si="376"/>
        <v xml:space="preserve"> </v>
      </c>
      <c r="DR192" s="10" t="str">
        <f t="shared" si="376"/>
        <v xml:space="preserve"> </v>
      </c>
      <c r="DU192" s="10" t="str">
        <f t="shared" si="377"/>
        <v xml:space="preserve"> </v>
      </c>
      <c r="DV192" s="10" t="str">
        <f t="shared" si="377"/>
        <v xml:space="preserve"> </v>
      </c>
      <c r="DW192" s="10" t="str">
        <f t="shared" si="377"/>
        <v xml:space="preserve"> </v>
      </c>
      <c r="DX192" s="10" t="str">
        <f t="shared" si="377"/>
        <v xml:space="preserve"> </v>
      </c>
      <c r="DY192" s="10" t="str">
        <f t="shared" si="377"/>
        <v xml:space="preserve"> </v>
      </c>
      <c r="EB192" s="10" t="str">
        <f t="shared" si="378"/>
        <v xml:space="preserve"> </v>
      </c>
      <c r="EC192" s="10" t="str">
        <f t="shared" si="378"/>
        <v xml:space="preserve"> </v>
      </c>
      <c r="ED192" s="10" t="str">
        <f t="shared" si="378"/>
        <v xml:space="preserve"> </v>
      </c>
      <c r="EE192" s="10" t="str">
        <f t="shared" si="378"/>
        <v xml:space="preserve"> </v>
      </c>
      <c r="EF192" s="10" t="str">
        <f t="shared" si="378"/>
        <v xml:space="preserve"> </v>
      </c>
      <c r="EI192" s="10" t="str">
        <f t="shared" si="379"/>
        <v xml:space="preserve"> </v>
      </c>
      <c r="EJ192" s="10" t="str">
        <f t="shared" si="379"/>
        <v xml:space="preserve"> </v>
      </c>
      <c r="EK192" s="10" t="str">
        <f t="shared" si="379"/>
        <v xml:space="preserve"> </v>
      </c>
      <c r="EL192" s="10" t="str">
        <f t="shared" si="379"/>
        <v xml:space="preserve"> </v>
      </c>
      <c r="EM192" s="10" t="str">
        <f t="shared" si="379"/>
        <v xml:space="preserve"> </v>
      </c>
      <c r="EP192" s="10" t="str">
        <f t="shared" si="380"/>
        <v xml:space="preserve"> </v>
      </c>
      <c r="EQ192" s="10" t="str">
        <f t="shared" si="380"/>
        <v xml:space="preserve"> </v>
      </c>
      <c r="ER192" s="10" t="str">
        <f t="shared" si="380"/>
        <v xml:space="preserve"> </v>
      </c>
      <c r="ES192" s="10" t="str">
        <f t="shared" si="380"/>
        <v xml:space="preserve"> </v>
      </c>
      <c r="ET192" s="10" t="str">
        <f t="shared" si="380"/>
        <v xml:space="preserve"> </v>
      </c>
      <c r="EW192" s="10" t="str">
        <f t="shared" si="381"/>
        <v xml:space="preserve"> </v>
      </c>
      <c r="EX192" s="10" t="str">
        <f t="shared" si="381"/>
        <v xml:space="preserve"> </v>
      </c>
      <c r="EY192" s="10" t="str">
        <f t="shared" si="381"/>
        <v xml:space="preserve"> </v>
      </c>
      <c r="EZ192" s="10" t="str">
        <f t="shared" si="381"/>
        <v xml:space="preserve"> </v>
      </c>
      <c r="FA192" s="10" t="str">
        <f t="shared" si="381"/>
        <v xml:space="preserve"> </v>
      </c>
      <c r="FD192" s="10" t="str">
        <f t="shared" si="382"/>
        <v xml:space="preserve"> </v>
      </c>
      <c r="FE192" s="10" t="str">
        <f t="shared" si="382"/>
        <v xml:space="preserve"> </v>
      </c>
      <c r="FF192" s="10" t="str">
        <f t="shared" si="382"/>
        <v xml:space="preserve"> </v>
      </c>
      <c r="FG192" s="10" t="str">
        <f t="shared" si="382"/>
        <v xml:space="preserve"> </v>
      </c>
      <c r="FH192" s="10" t="str">
        <f t="shared" si="382"/>
        <v xml:space="preserve"> </v>
      </c>
      <c r="FK192" s="10" t="str">
        <f t="shared" si="383"/>
        <v xml:space="preserve"> </v>
      </c>
      <c r="FL192" s="10" t="str">
        <f t="shared" si="383"/>
        <v xml:space="preserve"> </v>
      </c>
      <c r="FM192" s="10" t="str">
        <f t="shared" si="383"/>
        <v xml:space="preserve"> </v>
      </c>
      <c r="FN192" s="10" t="str">
        <f t="shared" si="383"/>
        <v xml:space="preserve"> </v>
      </c>
      <c r="FO192" s="10" t="str">
        <f t="shared" si="383"/>
        <v xml:space="preserve"> </v>
      </c>
      <c r="FR192" s="10" t="str">
        <f t="shared" si="384"/>
        <v xml:space="preserve"> </v>
      </c>
      <c r="FS192" s="10" t="str">
        <f t="shared" si="384"/>
        <v xml:space="preserve"> </v>
      </c>
      <c r="FT192" s="10" t="str">
        <f t="shared" si="384"/>
        <v xml:space="preserve"> </v>
      </c>
      <c r="FU192" s="10" t="str">
        <f t="shared" si="384"/>
        <v xml:space="preserve"> </v>
      </c>
      <c r="FV192" s="10" t="str">
        <f t="shared" si="384"/>
        <v xml:space="preserve"> </v>
      </c>
      <c r="FY192" s="10" t="str">
        <f t="shared" si="385"/>
        <v xml:space="preserve"> </v>
      </c>
      <c r="FZ192" s="10" t="str">
        <f t="shared" si="385"/>
        <v xml:space="preserve"> </v>
      </c>
      <c r="GA192" s="10" t="str">
        <f t="shared" si="385"/>
        <v xml:space="preserve"> </v>
      </c>
      <c r="GB192" s="10" t="str">
        <f t="shared" si="385"/>
        <v xml:space="preserve"> </v>
      </c>
      <c r="GC192" s="10" t="str">
        <f t="shared" si="385"/>
        <v xml:space="preserve"> </v>
      </c>
      <c r="GF192" s="10" t="str">
        <f t="shared" si="386"/>
        <v xml:space="preserve"> </v>
      </c>
      <c r="GG192" s="10" t="str">
        <f t="shared" si="386"/>
        <v xml:space="preserve"> </v>
      </c>
      <c r="GH192" s="10" t="str">
        <f t="shared" si="386"/>
        <v xml:space="preserve"> </v>
      </c>
      <c r="GI192" s="10" t="str">
        <f t="shared" si="386"/>
        <v xml:space="preserve"> </v>
      </c>
      <c r="GJ192" s="10" t="str">
        <f t="shared" si="386"/>
        <v xml:space="preserve"> </v>
      </c>
      <c r="GM192" s="10" t="str">
        <f t="shared" si="387"/>
        <v xml:space="preserve"> </v>
      </c>
      <c r="GN192" s="10" t="str">
        <f t="shared" si="387"/>
        <v xml:space="preserve"> </v>
      </c>
      <c r="GO192" s="10" t="str">
        <f t="shared" si="387"/>
        <v xml:space="preserve"> </v>
      </c>
      <c r="GP192" s="10" t="str">
        <f t="shared" si="387"/>
        <v xml:space="preserve"> </v>
      </c>
      <c r="GQ192" s="10" t="str">
        <f t="shared" si="387"/>
        <v xml:space="preserve"> </v>
      </c>
      <c r="GT192" s="10" t="str">
        <f t="shared" si="388"/>
        <v xml:space="preserve"> </v>
      </c>
      <c r="GU192" s="10" t="str">
        <f t="shared" si="388"/>
        <v xml:space="preserve"> </v>
      </c>
      <c r="GV192" s="10" t="str">
        <f t="shared" si="388"/>
        <v xml:space="preserve"> </v>
      </c>
      <c r="GW192" s="10" t="str">
        <f t="shared" si="388"/>
        <v xml:space="preserve"> </v>
      </c>
      <c r="GX192" s="10" t="str">
        <f t="shared" si="388"/>
        <v xml:space="preserve"> </v>
      </c>
      <c r="HA192" s="10" t="str">
        <f t="shared" si="389"/>
        <v xml:space="preserve"> </v>
      </c>
      <c r="HB192" s="10" t="str">
        <f t="shared" si="389"/>
        <v xml:space="preserve"> </v>
      </c>
      <c r="HC192" s="10" t="str">
        <f t="shared" si="389"/>
        <v xml:space="preserve"> </v>
      </c>
      <c r="HD192" s="10" t="str">
        <f t="shared" si="389"/>
        <v xml:space="preserve"> </v>
      </c>
      <c r="HE192" s="10" t="str">
        <f t="shared" si="389"/>
        <v xml:space="preserve"> </v>
      </c>
      <c r="HH192" s="10" t="str">
        <f t="shared" si="390"/>
        <v xml:space="preserve"> </v>
      </c>
      <c r="HI192" s="10" t="str">
        <f t="shared" si="390"/>
        <v xml:space="preserve"> </v>
      </c>
      <c r="HJ192" s="10" t="str">
        <f t="shared" si="390"/>
        <v xml:space="preserve"> </v>
      </c>
      <c r="HK192" s="10" t="str">
        <f t="shared" si="390"/>
        <v xml:space="preserve"> </v>
      </c>
      <c r="HL192" s="10" t="str">
        <f t="shared" si="390"/>
        <v xml:space="preserve"> </v>
      </c>
      <c r="HO192" s="10" t="str">
        <f t="shared" si="391"/>
        <v xml:space="preserve"> </v>
      </c>
      <c r="HP192" s="10" t="str">
        <f t="shared" si="391"/>
        <v xml:space="preserve"> </v>
      </c>
      <c r="HQ192" s="10" t="str">
        <f t="shared" si="391"/>
        <v xml:space="preserve"> </v>
      </c>
      <c r="HR192" s="10" t="str">
        <f t="shared" si="391"/>
        <v xml:space="preserve"> </v>
      </c>
      <c r="HS192" s="10" t="str">
        <f t="shared" si="391"/>
        <v xml:space="preserve"> </v>
      </c>
      <c r="HV192" s="10" t="str">
        <f t="shared" si="392"/>
        <v xml:space="preserve"> </v>
      </c>
      <c r="HW192" s="10" t="str">
        <f t="shared" si="392"/>
        <v xml:space="preserve"> </v>
      </c>
      <c r="HX192" s="10" t="str">
        <f t="shared" si="392"/>
        <v xml:space="preserve"> </v>
      </c>
      <c r="HY192" s="10" t="str">
        <f t="shared" si="392"/>
        <v xml:space="preserve"> </v>
      </c>
      <c r="HZ192" s="10" t="str">
        <f t="shared" si="392"/>
        <v xml:space="preserve"> </v>
      </c>
      <c r="IC192" s="10" t="str">
        <f t="shared" si="393"/>
        <v xml:space="preserve"> </v>
      </c>
      <c r="ID192" s="10" t="str">
        <f t="shared" si="393"/>
        <v xml:space="preserve"> </v>
      </c>
      <c r="IE192" s="10" t="str">
        <f t="shared" si="393"/>
        <v xml:space="preserve"> </v>
      </c>
      <c r="IF192" s="10" t="str">
        <f t="shared" si="393"/>
        <v xml:space="preserve"> </v>
      </c>
      <c r="IG192" s="10" t="str">
        <f t="shared" si="393"/>
        <v xml:space="preserve"> </v>
      </c>
      <c r="IJ192" s="10" t="str">
        <f t="shared" si="394"/>
        <v xml:space="preserve"> </v>
      </c>
      <c r="IK192" s="10" t="str">
        <f t="shared" si="394"/>
        <v xml:space="preserve"> </v>
      </c>
      <c r="IL192" s="10" t="str">
        <f t="shared" si="394"/>
        <v xml:space="preserve"> </v>
      </c>
      <c r="IM192" s="10" t="str">
        <f t="shared" si="394"/>
        <v xml:space="preserve"> </v>
      </c>
      <c r="IN192" s="10" t="str">
        <f t="shared" si="394"/>
        <v xml:space="preserve"> </v>
      </c>
      <c r="IQ192" s="10" t="str">
        <f t="shared" si="395"/>
        <v xml:space="preserve"> </v>
      </c>
      <c r="IR192" s="10" t="str">
        <f t="shared" si="395"/>
        <v xml:space="preserve"> </v>
      </c>
      <c r="IS192" s="10" t="str">
        <f t="shared" si="395"/>
        <v xml:space="preserve"> </v>
      </c>
      <c r="IT192" s="10" t="str">
        <f t="shared" si="395"/>
        <v xml:space="preserve"> </v>
      </c>
      <c r="IU192" s="10" t="str">
        <f t="shared" si="395"/>
        <v xml:space="preserve"> </v>
      </c>
      <c r="IX192" s="10" t="str">
        <f t="shared" si="396"/>
        <v xml:space="preserve"> </v>
      </c>
      <c r="IY192" s="10" t="str">
        <f t="shared" si="396"/>
        <v xml:space="preserve"> </v>
      </c>
      <c r="IZ192" s="10" t="str">
        <f t="shared" si="396"/>
        <v xml:space="preserve"> </v>
      </c>
      <c r="JA192" s="10" t="str">
        <f t="shared" si="396"/>
        <v xml:space="preserve"> </v>
      </c>
      <c r="JB192" s="10" t="str">
        <f t="shared" si="396"/>
        <v xml:space="preserve"> </v>
      </c>
      <c r="JE192" s="10" t="str">
        <f t="shared" si="397"/>
        <v xml:space="preserve"> </v>
      </c>
      <c r="JF192" s="10" t="str">
        <f t="shared" si="397"/>
        <v xml:space="preserve"> </v>
      </c>
      <c r="JG192" s="10" t="str">
        <f t="shared" si="397"/>
        <v xml:space="preserve"> </v>
      </c>
      <c r="JH192" s="10" t="str">
        <f t="shared" si="397"/>
        <v xml:space="preserve"> </v>
      </c>
      <c r="JI192" s="10" t="str">
        <f t="shared" si="397"/>
        <v xml:space="preserve"> </v>
      </c>
    </row>
    <row r="193" spans="13:269">
      <c r="M193" s="10" t="str">
        <f t="shared" si="398"/>
        <v xml:space="preserve"> </v>
      </c>
      <c r="N193" s="10" t="str">
        <f t="shared" si="398"/>
        <v xml:space="preserve"> </v>
      </c>
      <c r="O193" s="10" t="str">
        <f t="shared" si="398"/>
        <v xml:space="preserve"> </v>
      </c>
      <c r="P193" s="10" t="str">
        <f t="shared" si="398"/>
        <v xml:space="preserve"> </v>
      </c>
      <c r="Q193" s="10" t="str">
        <f t="shared" si="398"/>
        <v xml:space="preserve"> </v>
      </c>
      <c r="R193" s="14"/>
      <c r="S193" s="14"/>
      <c r="T193" s="10" t="str">
        <f t="shared" si="362"/>
        <v xml:space="preserve"> </v>
      </c>
      <c r="U193" s="10" t="str">
        <f t="shared" si="362"/>
        <v xml:space="preserve"> </v>
      </c>
      <c r="V193" s="10" t="str">
        <f t="shared" si="362"/>
        <v xml:space="preserve"> </v>
      </c>
      <c r="W193" s="10" t="str">
        <f t="shared" si="362"/>
        <v xml:space="preserve"> </v>
      </c>
      <c r="X193" s="10" t="str">
        <f t="shared" si="362"/>
        <v xml:space="preserve"> </v>
      </c>
      <c r="Y193" s="14"/>
      <c r="Z193" s="14"/>
      <c r="AA193" s="10" t="str">
        <f t="shared" si="363"/>
        <v xml:space="preserve"> </v>
      </c>
      <c r="AB193" s="10" t="str">
        <f t="shared" si="363"/>
        <v xml:space="preserve"> </v>
      </c>
      <c r="AC193" s="10" t="str">
        <f t="shared" si="363"/>
        <v xml:space="preserve"> </v>
      </c>
      <c r="AD193" s="10" t="str">
        <f t="shared" si="363"/>
        <v xml:space="preserve"> </v>
      </c>
      <c r="AE193" s="10" t="str">
        <f t="shared" si="363"/>
        <v xml:space="preserve"> </v>
      </c>
      <c r="AF193" s="14"/>
      <c r="AG193" s="14"/>
      <c r="AH193" s="10" t="str">
        <f t="shared" si="364"/>
        <v xml:space="preserve"> </v>
      </c>
      <c r="AI193" s="10" t="str">
        <f t="shared" si="364"/>
        <v xml:space="preserve"> </v>
      </c>
      <c r="AJ193" s="10" t="str">
        <f t="shared" si="364"/>
        <v xml:space="preserve"> </v>
      </c>
      <c r="AK193" s="10" t="str">
        <f t="shared" si="364"/>
        <v xml:space="preserve"> </v>
      </c>
      <c r="AL193" s="10" t="str">
        <f t="shared" si="364"/>
        <v xml:space="preserve"> </v>
      </c>
      <c r="AM193" s="14"/>
      <c r="AN193" s="14"/>
      <c r="AO193" s="10" t="str">
        <f t="shared" si="365"/>
        <v xml:space="preserve"> </v>
      </c>
      <c r="AP193" s="10" t="str">
        <f t="shared" si="365"/>
        <v xml:space="preserve"> </v>
      </c>
      <c r="AQ193" s="10" t="str">
        <f t="shared" si="365"/>
        <v xml:space="preserve"> </v>
      </c>
      <c r="AR193" s="10" t="str">
        <f t="shared" si="365"/>
        <v xml:space="preserve"> </v>
      </c>
      <c r="AS193" s="10" t="str">
        <f t="shared" si="365"/>
        <v xml:space="preserve"> </v>
      </c>
      <c r="AT193" s="14"/>
      <c r="AU193" s="14"/>
      <c r="AV193" s="10" t="str">
        <f t="shared" si="366"/>
        <v xml:space="preserve"> </v>
      </c>
      <c r="AW193" s="10" t="str">
        <f t="shared" si="366"/>
        <v xml:space="preserve"> </v>
      </c>
      <c r="AX193" s="10" t="str">
        <f t="shared" si="366"/>
        <v xml:space="preserve"> </v>
      </c>
      <c r="AY193" s="10" t="str">
        <f t="shared" si="366"/>
        <v xml:space="preserve"> </v>
      </c>
      <c r="AZ193" s="10" t="str">
        <f t="shared" si="366"/>
        <v xml:space="preserve"> </v>
      </c>
      <c r="BA193" s="14"/>
      <c r="BB193" s="14"/>
      <c r="BC193" s="10" t="str">
        <f t="shared" si="367"/>
        <v xml:space="preserve"> </v>
      </c>
      <c r="BD193" s="10" t="str">
        <f t="shared" si="367"/>
        <v xml:space="preserve"> </v>
      </c>
      <c r="BE193" s="10" t="str">
        <f t="shared" si="367"/>
        <v xml:space="preserve"> </v>
      </c>
      <c r="BF193" s="10" t="str">
        <f t="shared" si="367"/>
        <v xml:space="preserve"> </v>
      </c>
      <c r="BG193" s="10" t="str">
        <f t="shared" si="367"/>
        <v xml:space="preserve"> </v>
      </c>
      <c r="BH193" s="14"/>
      <c r="BI193" s="14"/>
      <c r="BJ193" s="10" t="str">
        <f t="shared" si="368"/>
        <v xml:space="preserve"> </v>
      </c>
      <c r="BK193" s="10" t="str">
        <f t="shared" si="368"/>
        <v xml:space="preserve"> </v>
      </c>
      <c r="BL193" s="10" t="str">
        <f t="shared" si="368"/>
        <v xml:space="preserve"> </v>
      </c>
      <c r="BM193" s="10" t="str">
        <f t="shared" si="368"/>
        <v xml:space="preserve"> </v>
      </c>
      <c r="BN193" s="10" t="str">
        <f t="shared" si="368"/>
        <v xml:space="preserve"> </v>
      </c>
      <c r="BO193" s="14"/>
      <c r="BP193" s="14"/>
      <c r="BQ193" s="10" t="str">
        <f t="shared" si="369"/>
        <v xml:space="preserve"> </v>
      </c>
      <c r="BR193" s="10" t="str">
        <f t="shared" si="369"/>
        <v xml:space="preserve"> </v>
      </c>
      <c r="BS193" s="10" t="str">
        <f t="shared" si="369"/>
        <v xml:space="preserve"> </v>
      </c>
      <c r="BT193" s="10" t="str">
        <f t="shared" si="369"/>
        <v xml:space="preserve"> </v>
      </c>
      <c r="BU193" s="10" t="str">
        <f t="shared" si="369"/>
        <v xml:space="preserve"> </v>
      </c>
      <c r="BV193" s="14"/>
      <c r="BW193" s="14"/>
      <c r="BX193" s="10" t="str">
        <f t="shared" si="370"/>
        <v xml:space="preserve"> </v>
      </c>
      <c r="BY193" s="10" t="str">
        <f t="shared" si="370"/>
        <v xml:space="preserve"> </v>
      </c>
      <c r="BZ193" s="10" t="str">
        <f t="shared" si="370"/>
        <v xml:space="preserve"> </v>
      </c>
      <c r="CA193" s="10" t="str">
        <f t="shared" si="370"/>
        <v xml:space="preserve"> </v>
      </c>
      <c r="CB193" s="10" t="str">
        <f t="shared" si="370"/>
        <v xml:space="preserve"> </v>
      </c>
      <c r="CC193" s="14"/>
      <c r="CD193" s="14"/>
      <c r="CE193" s="10" t="str">
        <f t="shared" si="371"/>
        <v xml:space="preserve"> </v>
      </c>
      <c r="CF193" s="10" t="str">
        <f t="shared" si="371"/>
        <v xml:space="preserve"> </v>
      </c>
      <c r="CG193" s="10" t="str">
        <f t="shared" si="371"/>
        <v xml:space="preserve"> </v>
      </c>
      <c r="CH193" s="10" t="str">
        <f t="shared" si="371"/>
        <v xml:space="preserve"> </v>
      </c>
      <c r="CI193" s="10" t="str">
        <f t="shared" si="371"/>
        <v xml:space="preserve"> </v>
      </c>
      <c r="CJ193" s="14"/>
      <c r="CK193" s="14"/>
      <c r="CL193" s="10" t="str">
        <f t="shared" si="372"/>
        <v xml:space="preserve"> </v>
      </c>
      <c r="CM193" s="10" t="str">
        <f t="shared" si="372"/>
        <v xml:space="preserve"> </v>
      </c>
      <c r="CN193" s="10" t="str">
        <f t="shared" si="372"/>
        <v xml:space="preserve"> </v>
      </c>
      <c r="CO193" s="10" t="str">
        <f t="shared" si="372"/>
        <v xml:space="preserve"> </v>
      </c>
      <c r="CP193" s="10" t="str">
        <f t="shared" si="372"/>
        <v xml:space="preserve"> </v>
      </c>
      <c r="CQ193" s="14"/>
      <c r="CR193" s="14"/>
      <c r="CS193" s="10" t="str">
        <f t="shared" si="373"/>
        <v xml:space="preserve"> </v>
      </c>
      <c r="CT193" s="10" t="str">
        <f t="shared" si="373"/>
        <v xml:space="preserve"> </v>
      </c>
      <c r="CU193" s="10" t="str">
        <f t="shared" si="373"/>
        <v xml:space="preserve"> </v>
      </c>
      <c r="CV193" s="10" t="str">
        <f t="shared" si="373"/>
        <v xml:space="preserve"> </v>
      </c>
      <c r="CW193" s="10" t="str">
        <f t="shared" si="373"/>
        <v xml:space="preserve"> </v>
      </c>
      <c r="CZ193" s="10" t="str">
        <f t="shared" si="374"/>
        <v xml:space="preserve"> </v>
      </c>
      <c r="DA193" s="10" t="str">
        <f t="shared" si="374"/>
        <v xml:space="preserve"> </v>
      </c>
      <c r="DB193" s="10" t="str">
        <f t="shared" si="374"/>
        <v xml:space="preserve"> </v>
      </c>
      <c r="DC193" s="10" t="str">
        <f t="shared" si="374"/>
        <v xml:space="preserve"> </v>
      </c>
      <c r="DD193" s="10" t="str">
        <f t="shared" si="374"/>
        <v xml:space="preserve"> </v>
      </c>
      <c r="DG193" s="10" t="str">
        <f t="shared" si="375"/>
        <v xml:space="preserve"> </v>
      </c>
      <c r="DH193" s="10" t="str">
        <f t="shared" si="375"/>
        <v xml:space="preserve"> </v>
      </c>
      <c r="DI193" s="10" t="str">
        <f t="shared" si="375"/>
        <v xml:space="preserve"> </v>
      </c>
      <c r="DJ193" s="10" t="str">
        <f t="shared" si="375"/>
        <v xml:space="preserve"> </v>
      </c>
      <c r="DK193" s="10" t="str">
        <f t="shared" si="375"/>
        <v xml:space="preserve"> </v>
      </c>
      <c r="DN193" s="10" t="str">
        <f t="shared" si="376"/>
        <v xml:space="preserve"> </v>
      </c>
      <c r="DO193" s="10" t="str">
        <f t="shared" si="376"/>
        <v xml:space="preserve"> </v>
      </c>
      <c r="DP193" s="10" t="str">
        <f t="shared" si="376"/>
        <v xml:space="preserve"> </v>
      </c>
      <c r="DQ193" s="10" t="str">
        <f t="shared" si="376"/>
        <v xml:space="preserve"> </v>
      </c>
      <c r="DR193" s="10" t="str">
        <f t="shared" si="376"/>
        <v xml:space="preserve"> </v>
      </c>
      <c r="DU193" s="10" t="str">
        <f t="shared" si="377"/>
        <v xml:space="preserve"> </v>
      </c>
      <c r="DV193" s="10" t="str">
        <f t="shared" si="377"/>
        <v xml:space="preserve"> </v>
      </c>
      <c r="DW193" s="10" t="str">
        <f t="shared" si="377"/>
        <v xml:space="preserve"> </v>
      </c>
      <c r="DX193" s="10" t="str">
        <f t="shared" si="377"/>
        <v xml:space="preserve"> </v>
      </c>
      <c r="DY193" s="10" t="str">
        <f t="shared" si="377"/>
        <v xml:space="preserve"> </v>
      </c>
      <c r="EB193" s="10" t="str">
        <f t="shared" si="378"/>
        <v xml:space="preserve"> </v>
      </c>
      <c r="EC193" s="10" t="str">
        <f t="shared" si="378"/>
        <v xml:space="preserve"> </v>
      </c>
      <c r="ED193" s="10" t="str">
        <f t="shared" si="378"/>
        <v xml:space="preserve"> </v>
      </c>
      <c r="EE193" s="10" t="str">
        <f t="shared" si="378"/>
        <v xml:space="preserve"> </v>
      </c>
      <c r="EF193" s="10" t="str">
        <f t="shared" si="378"/>
        <v xml:space="preserve"> </v>
      </c>
      <c r="EI193" s="10" t="str">
        <f t="shared" si="379"/>
        <v xml:space="preserve"> </v>
      </c>
      <c r="EJ193" s="10" t="str">
        <f t="shared" si="379"/>
        <v xml:space="preserve"> </v>
      </c>
      <c r="EK193" s="10" t="str">
        <f t="shared" si="379"/>
        <v xml:space="preserve"> </v>
      </c>
      <c r="EL193" s="10" t="str">
        <f t="shared" si="379"/>
        <v xml:space="preserve"> </v>
      </c>
      <c r="EM193" s="10" t="str">
        <f t="shared" si="379"/>
        <v xml:space="preserve"> </v>
      </c>
      <c r="EP193" s="10" t="str">
        <f t="shared" si="380"/>
        <v xml:space="preserve"> </v>
      </c>
      <c r="EQ193" s="10" t="str">
        <f t="shared" si="380"/>
        <v xml:space="preserve"> </v>
      </c>
      <c r="ER193" s="10" t="str">
        <f t="shared" si="380"/>
        <v xml:space="preserve"> </v>
      </c>
      <c r="ES193" s="10" t="str">
        <f t="shared" si="380"/>
        <v xml:space="preserve"> </v>
      </c>
      <c r="ET193" s="10" t="str">
        <f t="shared" si="380"/>
        <v xml:space="preserve"> </v>
      </c>
      <c r="EW193" s="10" t="str">
        <f t="shared" si="381"/>
        <v xml:space="preserve"> </v>
      </c>
      <c r="EX193" s="10" t="str">
        <f t="shared" si="381"/>
        <v xml:space="preserve"> </v>
      </c>
      <c r="EY193" s="10" t="str">
        <f t="shared" si="381"/>
        <v xml:space="preserve"> </v>
      </c>
      <c r="EZ193" s="10" t="str">
        <f t="shared" si="381"/>
        <v xml:space="preserve"> </v>
      </c>
      <c r="FA193" s="10" t="str">
        <f t="shared" si="381"/>
        <v xml:space="preserve"> </v>
      </c>
      <c r="FD193" s="10" t="str">
        <f t="shared" si="382"/>
        <v xml:space="preserve"> </v>
      </c>
      <c r="FE193" s="10" t="str">
        <f t="shared" si="382"/>
        <v xml:space="preserve"> </v>
      </c>
      <c r="FF193" s="10" t="str">
        <f t="shared" si="382"/>
        <v xml:space="preserve"> </v>
      </c>
      <c r="FG193" s="10" t="str">
        <f t="shared" si="382"/>
        <v xml:space="preserve"> </v>
      </c>
      <c r="FH193" s="10" t="str">
        <f t="shared" si="382"/>
        <v xml:space="preserve"> </v>
      </c>
      <c r="FK193" s="10" t="str">
        <f t="shared" si="383"/>
        <v xml:space="preserve"> </v>
      </c>
      <c r="FL193" s="10" t="str">
        <f t="shared" si="383"/>
        <v xml:space="preserve"> </v>
      </c>
      <c r="FM193" s="10" t="str">
        <f t="shared" si="383"/>
        <v xml:space="preserve"> </v>
      </c>
      <c r="FN193" s="10" t="str">
        <f t="shared" si="383"/>
        <v xml:space="preserve"> </v>
      </c>
      <c r="FO193" s="10" t="str">
        <f t="shared" si="383"/>
        <v xml:space="preserve"> </v>
      </c>
      <c r="FR193" s="10" t="str">
        <f t="shared" si="384"/>
        <v xml:space="preserve"> </v>
      </c>
      <c r="FS193" s="10" t="str">
        <f t="shared" si="384"/>
        <v xml:space="preserve"> </v>
      </c>
      <c r="FT193" s="10" t="str">
        <f t="shared" si="384"/>
        <v xml:space="preserve"> </v>
      </c>
      <c r="FU193" s="10" t="str">
        <f t="shared" si="384"/>
        <v xml:space="preserve"> </v>
      </c>
      <c r="FV193" s="10" t="str">
        <f t="shared" si="384"/>
        <v xml:space="preserve"> </v>
      </c>
      <c r="FY193" s="10" t="str">
        <f t="shared" si="385"/>
        <v xml:space="preserve"> </v>
      </c>
      <c r="FZ193" s="10" t="str">
        <f t="shared" si="385"/>
        <v xml:space="preserve"> </v>
      </c>
      <c r="GA193" s="10" t="str">
        <f t="shared" si="385"/>
        <v xml:space="preserve"> </v>
      </c>
      <c r="GB193" s="10" t="str">
        <f t="shared" si="385"/>
        <v xml:space="preserve"> </v>
      </c>
      <c r="GC193" s="10" t="str">
        <f t="shared" si="385"/>
        <v xml:space="preserve"> </v>
      </c>
      <c r="GF193" s="10" t="str">
        <f t="shared" si="386"/>
        <v xml:space="preserve"> </v>
      </c>
      <c r="GG193" s="10" t="str">
        <f t="shared" si="386"/>
        <v xml:space="preserve"> </v>
      </c>
      <c r="GH193" s="10" t="str">
        <f t="shared" si="386"/>
        <v xml:space="preserve"> </v>
      </c>
      <c r="GI193" s="10" t="str">
        <f t="shared" si="386"/>
        <v xml:space="preserve"> </v>
      </c>
      <c r="GJ193" s="10" t="str">
        <f t="shared" si="386"/>
        <v xml:space="preserve"> </v>
      </c>
      <c r="GM193" s="10" t="str">
        <f t="shared" si="387"/>
        <v xml:space="preserve"> </v>
      </c>
      <c r="GN193" s="10" t="str">
        <f t="shared" si="387"/>
        <v xml:space="preserve"> </v>
      </c>
      <c r="GO193" s="10" t="str">
        <f t="shared" si="387"/>
        <v xml:space="preserve"> </v>
      </c>
      <c r="GP193" s="10" t="str">
        <f t="shared" si="387"/>
        <v xml:space="preserve"> </v>
      </c>
      <c r="GQ193" s="10" t="str">
        <f t="shared" si="387"/>
        <v xml:space="preserve"> </v>
      </c>
      <c r="GT193" s="10" t="str">
        <f t="shared" si="388"/>
        <v xml:space="preserve"> </v>
      </c>
      <c r="GU193" s="10" t="str">
        <f t="shared" si="388"/>
        <v xml:space="preserve"> </v>
      </c>
      <c r="GV193" s="10" t="str">
        <f t="shared" si="388"/>
        <v xml:space="preserve"> </v>
      </c>
      <c r="GW193" s="10" t="str">
        <f t="shared" si="388"/>
        <v xml:space="preserve"> </v>
      </c>
      <c r="GX193" s="10" t="str">
        <f t="shared" si="388"/>
        <v xml:space="preserve"> </v>
      </c>
      <c r="HA193" s="10" t="str">
        <f t="shared" si="389"/>
        <v xml:space="preserve"> </v>
      </c>
      <c r="HB193" s="10" t="str">
        <f t="shared" si="389"/>
        <v xml:space="preserve"> </v>
      </c>
      <c r="HC193" s="10" t="str">
        <f t="shared" si="389"/>
        <v xml:space="preserve"> </v>
      </c>
      <c r="HD193" s="10" t="str">
        <f t="shared" si="389"/>
        <v xml:space="preserve"> </v>
      </c>
      <c r="HE193" s="10" t="str">
        <f t="shared" si="389"/>
        <v xml:space="preserve"> </v>
      </c>
      <c r="HH193" s="10" t="str">
        <f t="shared" si="390"/>
        <v xml:space="preserve"> </v>
      </c>
      <c r="HI193" s="10" t="str">
        <f t="shared" si="390"/>
        <v xml:space="preserve"> </v>
      </c>
      <c r="HJ193" s="10" t="str">
        <f t="shared" si="390"/>
        <v xml:space="preserve"> </v>
      </c>
      <c r="HK193" s="10" t="str">
        <f t="shared" si="390"/>
        <v xml:space="preserve"> </v>
      </c>
      <c r="HL193" s="10" t="str">
        <f t="shared" si="390"/>
        <v xml:space="preserve"> </v>
      </c>
      <c r="HO193" s="10" t="str">
        <f t="shared" si="391"/>
        <v xml:space="preserve"> </v>
      </c>
      <c r="HP193" s="10" t="str">
        <f t="shared" si="391"/>
        <v xml:space="preserve"> </v>
      </c>
      <c r="HQ193" s="10" t="str">
        <f t="shared" si="391"/>
        <v xml:space="preserve"> </v>
      </c>
      <c r="HR193" s="10" t="str">
        <f t="shared" si="391"/>
        <v xml:space="preserve"> </v>
      </c>
      <c r="HS193" s="10" t="str">
        <f t="shared" si="391"/>
        <v xml:space="preserve"> </v>
      </c>
      <c r="HV193" s="10" t="str">
        <f t="shared" si="392"/>
        <v xml:space="preserve"> </v>
      </c>
      <c r="HW193" s="10" t="str">
        <f t="shared" si="392"/>
        <v xml:space="preserve"> </v>
      </c>
      <c r="HX193" s="10" t="str">
        <f t="shared" si="392"/>
        <v xml:space="preserve"> </v>
      </c>
      <c r="HY193" s="10" t="str">
        <f t="shared" si="392"/>
        <v xml:space="preserve"> </v>
      </c>
      <c r="HZ193" s="10" t="str">
        <f t="shared" si="392"/>
        <v xml:space="preserve"> </v>
      </c>
      <c r="IC193" s="10" t="str">
        <f t="shared" si="393"/>
        <v xml:space="preserve"> </v>
      </c>
      <c r="ID193" s="10" t="str">
        <f t="shared" si="393"/>
        <v xml:space="preserve"> </v>
      </c>
      <c r="IE193" s="10" t="str">
        <f t="shared" si="393"/>
        <v xml:space="preserve"> </v>
      </c>
      <c r="IF193" s="10" t="str">
        <f t="shared" si="393"/>
        <v xml:space="preserve"> </v>
      </c>
      <c r="IG193" s="10" t="str">
        <f t="shared" si="393"/>
        <v xml:space="preserve"> </v>
      </c>
      <c r="IJ193" s="10" t="str">
        <f t="shared" si="394"/>
        <v xml:space="preserve"> </v>
      </c>
      <c r="IK193" s="10" t="str">
        <f t="shared" si="394"/>
        <v xml:space="preserve"> </v>
      </c>
      <c r="IL193" s="10" t="str">
        <f t="shared" si="394"/>
        <v xml:space="preserve"> </v>
      </c>
      <c r="IM193" s="10" t="str">
        <f t="shared" si="394"/>
        <v xml:space="preserve"> </v>
      </c>
      <c r="IN193" s="10" t="str">
        <f t="shared" si="394"/>
        <v xml:space="preserve"> </v>
      </c>
      <c r="IQ193" s="10" t="str">
        <f t="shared" si="395"/>
        <v xml:space="preserve"> </v>
      </c>
      <c r="IR193" s="10" t="str">
        <f t="shared" si="395"/>
        <v xml:space="preserve"> </v>
      </c>
      <c r="IS193" s="10" t="str">
        <f t="shared" si="395"/>
        <v xml:space="preserve"> </v>
      </c>
      <c r="IT193" s="10" t="str">
        <f t="shared" si="395"/>
        <v xml:space="preserve"> </v>
      </c>
      <c r="IU193" s="10" t="str">
        <f t="shared" si="395"/>
        <v xml:space="preserve"> </v>
      </c>
      <c r="IX193" s="10" t="str">
        <f t="shared" si="396"/>
        <v xml:space="preserve"> </v>
      </c>
      <c r="IY193" s="10" t="str">
        <f t="shared" si="396"/>
        <v xml:space="preserve"> </v>
      </c>
      <c r="IZ193" s="10" t="str">
        <f t="shared" si="396"/>
        <v xml:space="preserve"> </v>
      </c>
      <c r="JA193" s="10" t="str">
        <f t="shared" si="396"/>
        <v xml:space="preserve"> </v>
      </c>
      <c r="JB193" s="10" t="str">
        <f t="shared" si="396"/>
        <v xml:space="preserve"> </v>
      </c>
      <c r="JE193" s="10" t="str">
        <f t="shared" si="397"/>
        <v xml:space="preserve"> </v>
      </c>
      <c r="JF193" s="10" t="str">
        <f t="shared" si="397"/>
        <v xml:space="preserve"> </v>
      </c>
      <c r="JG193" s="10" t="str">
        <f t="shared" si="397"/>
        <v xml:space="preserve"> </v>
      </c>
      <c r="JH193" s="10" t="str">
        <f t="shared" si="397"/>
        <v xml:space="preserve"> </v>
      </c>
      <c r="JI193" s="10" t="str">
        <f t="shared" si="397"/>
        <v xml:space="preserve"> </v>
      </c>
    </row>
    <row r="194" spans="13:269">
      <c r="M194" s="10" t="str">
        <f t="shared" si="398"/>
        <v xml:space="preserve"> </v>
      </c>
      <c r="N194" s="10" t="str">
        <f t="shared" si="398"/>
        <v xml:space="preserve"> </v>
      </c>
      <c r="O194" s="10" t="str">
        <f t="shared" si="398"/>
        <v xml:space="preserve"> </v>
      </c>
      <c r="P194" s="10" t="str">
        <f t="shared" si="398"/>
        <v xml:space="preserve"> </v>
      </c>
      <c r="Q194" s="10" t="str">
        <f t="shared" si="398"/>
        <v xml:space="preserve"> </v>
      </c>
      <c r="R194" s="14"/>
      <c r="S194" s="14"/>
      <c r="T194" s="10" t="str">
        <f t="shared" si="362"/>
        <v xml:space="preserve"> </v>
      </c>
      <c r="U194" s="10" t="str">
        <f t="shared" si="362"/>
        <v xml:space="preserve"> </v>
      </c>
      <c r="V194" s="10" t="str">
        <f t="shared" si="362"/>
        <v xml:space="preserve"> </v>
      </c>
      <c r="W194" s="10" t="str">
        <f t="shared" si="362"/>
        <v xml:space="preserve"> </v>
      </c>
      <c r="X194" s="10" t="str">
        <f t="shared" si="362"/>
        <v xml:space="preserve"> </v>
      </c>
      <c r="Y194" s="14"/>
      <c r="Z194" s="14"/>
      <c r="AA194" s="10" t="str">
        <f t="shared" si="363"/>
        <v xml:space="preserve"> </v>
      </c>
      <c r="AB194" s="10" t="str">
        <f t="shared" si="363"/>
        <v xml:space="preserve"> </v>
      </c>
      <c r="AC194" s="10" t="str">
        <f t="shared" si="363"/>
        <v xml:space="preserve"> </v>
      </c>
      <c r="AD194" s="10" t="str">
        <f t="shared" si="363"/>
        <v xml:space="preserve"> </v>
      </c>
      <c r="AE194" s="10" t="str">
        <f t="shared" si="363"/>
        <v xml:space="preserve"> </v>
      </c>
      <c r="AF194" s="14"/>
      <c r="AG194" s="14"/>
      <c r="AH194" s="10" t="str">
        <f t="shared" si="364"/>
        <v xml:space="preserve"> </v>
      </c>
      <c r="AI194" s="10" t="str">
        <f t="shared" si="364"/>
        <v xml:space="preserve"> </v>
      </c>
      <c r="AJ194" s="10" t="str">
        <f t="shared" si="364"/>
        <v xml:space="preserve"> </v>
      </c>
      <c r="AK194" s="10" t="str">
        <f t="shared" si="364"/>
        <v xml:space="preserve"> </v>
      </c>
      <c r="AL194" s="10" t="str">
        <f t="shared" si="364"/>
        <v xml:space="preserve"> </v>
      </c>
      <c r="AM194" s="14"/>
      <c r="AN194" s="14"/>
      <c r="AO194" s="10" t="str">
        <f t="shared" si="365"/>
        <v xml:space="preserve"> </v>
      </c>
      <c r="AP194" s="10" t="str">
        <f t="shared" si="365"/>
        <v xml:space="preserve"> </v>
      </c>
      <c r="AQ194" s="10" t="str">
        <f t="shared" si="365"/>
        <v xml:space="preserve"> </v>
      </c>
      <c r="AR194" s="10" t="str">
        <f t="shared" si="365"/>
        <v xml:space="preserve"> </v>
      </c>
      <c r="AS194" s="10" t="str">
        <f t="shared" si="365"/>
        <v xml:space="preserve"> </v>
      </c>
      <c r="AT194" s="14"/>
      <c r="AU194" s="14"/>
      <c r="AV194" s="10" t="str">
        <f t="shared" si="366"/>
        <v xml:space="preserve"> </v>
      </c>
      <c r="AW194" s="10" t="str">
        <f t="shared" si="366"/>
        <v xml:space="preserve"> </v>
      </c>
      <c r="AX194" s="10" t="str">
        <f t="shared" si="366"/>
        <v xml:space="preserve"> </v>
      </c>
      <c r="AY194" s="10" t="str">
        <f t="shared" si="366"/>
        <v xml:space="preserve"> </v>
      </c>
      <c r="AZ194" s="10" t="str">
        <f t="shared" si="366"/>
        <v xml:space="preserve"> </v>
      </c>
      <c r="BA194" s="14"/>
      <c r="BB194" s="14"/>
      <c r="BC194" s="10" t="str">
        <f t="shared" si="367"/>
        <v xml:space="preserve"> </v>
      </c>
      <c r="BD194" s="10" t="str">
        <f t="shared" si="367"/>
        <v xml:space="preserve"> </v>
      </c>
      <c r="BE194" s="10" t="str">
        <f t="shared" si="367"/>
        <v xml:space="preserve"> </v>
      </c>
      <c r="BF194" s="10" t="str">
        <f t="shared" si="367"/>
        <v xml:space="preserve"> </v>
      </c>
      <c r="BG194" s="10" t="str">
        <f t="shared" si="367"/>
        <v xml:space="preserve"> </v>
      </c>
      <c r="BH194" s="14"/>
      <c r="BI194" s="14"/>
      <c r="BJ194" s="10" t="str">
        <f t="shared" si="368"/>
        <v xml:space="preserve"> </v>
      </c>
      <c r="BK194" s="10" t="str">
        <f t="shared" si="368"/>
        <v xml:space="preserve"> </v>
      </c>
      <c r="BL194" s="10" t="str">
        <f t="shared" si="368"/>
        <v xml:space="preserve"> </v>
      </c>
      <c r="BM194" s="10" t="str">
        <f t="shared" si="368"/>
        <v xml:space="preserve"> </v>
      </c>
      <c r="BN194" s="10" t="str">
        <f t="shared" si="368"/>
        <v xml:space="preserve"> </v>
      </c>
      <c r="BO194" s="14"/>
      <c r="BP194" s="14"/>
      <c r="BQ194" s="10" t="str">
        <f t="shared" si="369"/>
        <v xml:space="preserve"> </v>
      </c>
      <c r="BR194" s="10" t="str">
        <f t="shared" si="369"/>
        <v xml:space="preserve"> </v>
      </c>
      <c r="BS194" s="10" t="str">
        <f t="shared" si="369"/>
        <v xml:space="preserve"> </v>
      </c>
      <c r="BT194" s="10" t="str">
        <f t="shared" si="369"/>
        <v xml:space="preserve"> </v>
      </c>
      <c r="BU194" s="10" t="str">
        <f t="shared" si="369"/>
        <v xml:space="preserve"> </v>
      </c>
      <c r="BV194" s="14"/>
      <c r="BW194" s="14"/>
      <c r="BX194" s="10" t="str">
        <f t="shared" si="370"/>
        <v xml:space="preserve"> </v>
      </c>
      <c r="BY194" s="10" t="str">
        <f t="shared" si="370"/>
        <v xml:space="preserve"> </v>
      </c>
      <c r="BZ194" s="10" t="str">
        <f t="shared" si="370"/>
        <v xml:space="preserve"> </v>
      </c>
      <c r="CA194" s="10" t="str">
        <f t="shared" si="370"/>
        <v xml:space="preserve"> </v>
      </c>
      <c r="CB194" s="10" t="str">
        <f t="shared" si="370"/>
        <v xml:space="preserve"> </v>
      </c>
      <c r="CC194" s="14"/>
      <c r="CD194" s="14"/>
      <c r="CE194" s="10" t="str">
        <f t="shared" si="371"/>
        <v xml:space="preserve"> </v>
      </c>
      <c r="CF194" s="10" t="str">
        <f t="shared" si="371"/>
        <v xml:space="preserve"> </v>
      </c>
      <c r="CG194" s="10" t="str">
        <f t="shared" si="371"/>
        <v xml:space="preserve"> </v>
      </c>
      <c r="CH194" s="10" t="str">
        <f t="shared" si="371"/>
        <v xml:space="preserve"> </v>
      </c>
      <c r="CI194" s="10" t="str">
        <f t="shared" si="371"/>
        <v xml:space="preserve"> </v>
      </c>
      <c r="CJ194" s="14"/>
      <c r="CK194" s="14"/>
      <c r="CL194" s="10" t="str">
        <f t="shared" si="372"/>
        <v xml:space="preserve"> </v>
      </c>
      <c r="CM194" s="10" t="str">
        <f t="shared" si="372"/>
        <v xml:space="preserve"> </v>
      </c>
      <c r="CN194" s="10" t="str">
        <f t="shared" si="372"/>
        <v xml:space="preserve"> </v>
      </c>
      <c r="CO194" s="10" t="str">
        <f t="shared" si="372"/>
        <v xml:space="preserve"> </v>
      </c>
      <c r="CP194" s="10" t="str">
        <f t="shared" si="372"/>
        <v xml:space="preserve"> </v>
      </c>
      <c r="CQ194" s="14"/>
      <c r="CR194" s="14"/>
      <c r="CS194" s="10" t="str">
        <f t="shared" si="373"/>
        <v xml:space="preserve"> </v>
      </c>
      <c r="CT194" s="10" t="str">
        <f t="shared" si="373"/>
        <v xml:space="preserve"> </v>
      </c>
      <c r="CU194" s="10" t="str">
        <f t="shared" si="373"/>
        <v xml:space="preserve"> </v>
      </c>
      <c r="CV194" s="10" t="str">
        <f t="shared" si="373"/>
        <v xml:space="preserve"> </v>
      </c>
      <c r="CW194" s="10" t="str">
        <f t="shared" si="373"/>
        <v xml:space="preserve"> </v>
      </c>
      <c r="CZ194" s="10" t="str">
        <f t="shared" si="374"/>
        <v xml:space="preserve"> </v>
      </c>
      <c r="DA194" s="10" t="str">
        <f t="shared" si="374"/>
        <v xml:space="preserve"> </v>
      </c>
      <c r="DB194" s="10" t="str">
        <f t="shared" si="374"/>
        <v xml:space="preserve"> </v>
      </c>
      <c r="DC194" s="10" t="str">
        <f t="shared" si="374"/>
        <v xml:space="preserve"> </v>
      </c>
      <c r="DD194" s="10" t="str">
        <f t="shared" si="374"/>
        <v xml:space="preserve"> </v>
      </c>
      <c r="DG194" s="10" t="str">
        <f t="shared" si="375"/>
        <v xml:space="preserve"> </v>
      </c>
      <c r="DH194" s="10" t="str">
        <f t="shared" si="375"/>
        <v xml:space="preserve"> </v>
      </c>
      <c r="DI194" s="10" t="str">
        <f t="shared" si="375"/>
        <v xml:space="preserve"> </v>
      </c>
      <c r="DJ194" s="10" t="str">
        <f t="shared" si="375"/>
        <v xml:space="preserve"> </v>
      </c>
      <c r="DK194" s="10" t="str">
        <f t="shared" si="375"/>
        <v xml:space="preserve"> </v>
      </c>
      <c r="DN194" s="10" t="str">
        <f t="shared" si="376"/>
        <v xml:space="preserve"> </v>
      </c>
      <c r="DO194" s="10" t="str">
        <f t="shared" si="376"/>
        <v xml:space="preserve"> </v>
      </c>
      <c r="DP194" s="10" t="str">
        <f t="shared" si="376"/>
        <v xml:space="preserve"> </v>
      </c>
      <c r="DQ194" s="10" t="str">
        <f t="shared" si="376"/>
        <v xml:space="preserve"> </v>
      </c>
      <c r="DR194" s="10" t="str">
        <f t="shared" si="376"/>
        <v xml:space="preserve"> </v>
      </c>
      <c r="DU194" s="10" t="str">
        <f t="shared" si="377"/>
        <v xml:space="preserve"> </v>
      </c>
      <c r="DV194" s="10" t="str">
        <f t="shared" si="377"/>
        <v xml:space="preserve"> </v>
      </c>
      <c r="DW194" s="10" t="str">
        <f t="shared" si="377"/>
        <v xml:space="preserve"> </v>
      </c>
      <c r="DX194" s="10" t="str">
        <f t="shared" si="377"/>
        <v xml:space="preserve"> </v>
      </c>
      <c r="DY194" s="10" t="str">
        <f t="shared" si="377"/>
        <v xml:space="preserve"> </v>
      </c>
      <c r="EB194" s="10" t="str">
        <f t="shared" si="378"/>
        <v xml:space="preserve"> </v>
      </c>
      <c r="EC194" s="10" t="str">
        <f t="shared" si="378"/>
        <v xml:space="preserve"> </v>
      </c>
      <c r="ED194" s="10" t="str">
        <f t="shared" si="378"/>
        <v xml:space="preserve"> </v>
      </c>
      <c r="EE194" s="10" t="str">
        <f t="shared" si="378"/>
        <v xml:space="preserve"> </v>
      </c>
      <c r="EF194" s="10" t="str">
        <f t="shared" si="378"/>
        <v xml:space="preserve"> </v>
      </c>
      <c r="EI194" s="10" t="str">
        <f t="shared" si="379"/>
        <v xml:space="preserve"> </v>
      </c>
      <c r="EJ194" s="10" t="str">
        <f t="shared" si="379"/>
        <v xml:space="preserve"> </v>
      </c>
      <c r="EK194" s="10" t="str">
        <f t="shared" si="379"/>
        <v xml:space="preserve"> </v>
      </c>
      <c r="EL194" s="10" t="str">
        <f t="shared" si="379"/>
        <v xml:space="preserve"> </v>
      </c>
      <c r="EM194" s="10" t="str">
        <f t="shared" si="379"/>
        <v xml:space="preserve"> </v>
      </c>
      <c r="EP194" s="10" t="str">
        <f t="shared" si="380"/>
        <v xml:space="preserve"> </v>
      </c>
      <c r="EQ194" s="10" t="str">
        <f t="shared" si="380"/>
        <v xml:space="preserve"> </v>
      </c>
      <c r="ER194" s="10" t="str">
        <f t="shared" si="380"/>
        <v xml:space="preserve"> </v>
      </c>
      <c r="ES194" s="10" t="str">
        <f t="shared" si="380"/>
        <v xml:space="preserve"> </v>
      </c>
      <c r="ET194" s="10" t="str">
        <f t="shared" si="380"/>
        <v xml:space="preserve"> </v>
      </c>
      <c r="EW194" s="10" t="str">
        <f t="shared" si="381"/>
        <v xml:space="preserve"> </v>
      </c>
      <c r="EX194" s="10" t="str">
        <f t="shared" si="381"/>
        <v xml:space="preserve"> </v>
      </c>
      <c r="EY194" s="10" t="str">
        <f t="shared" si="381"/>
        <v xml:space="preserve"> </v>
      </c>
      <c r="EZ194" s="10" t="str">
        <f t="shared" si="381"/>
        <v xml:space="preserve"> </v>
      </c>
      <c r="FA194" s="10" t="str">
        <f t="shared" si="381"/>
        <v xml:space="preserve"> </v>
      </c>
      <c r="FD194" s="10" t="str">
        <f t="shared" si="382"/>
        <v xml:space="preserve"> </v>
      </c>
      <c r="FE194" s="10" t="str">
        <f t="shared" si="382"/>
        <v xml:space="preserve"> </v>
      </c>
      <c r="FF194" s="10" t="str">
        <f t="shared" si="382"/>
        <v xml:space="preserve"> </v>
      </c>
      <c r="FG194" s="10" t="str">
        <f t="shared" si="382"/>
        <v xml:space="preserve"> </v>
      </c>
      <c r="FH194" s="10" t="str">
        <f t="shared" si="382"/>
        <v xml:space="preserve"> </v>
      </c>
      <c r="FK194" s="10" t="str">
        <f t="shared" si="383"/>
        <v xml:space="preserve"> </v>
      </c>
      <c r="FL194" s="10" t="str">
        <f t="shared" si="383"/>
        <v xml:space="preserve"> </v>
      </c>
      <c r="FM194" s="10" t="str">
        <f t="shared" si="383"/>
        <v xml:space="preserve"> </v>
      </c>
      <c r="FN194" s="10" t="str">
        <f t="shared" si="383"/>
        <v xml:space="preserve"> </v>
      </c>
      <c r="FO194" s="10" t="str">
        <f t="shared" si="383"/>
        <v xml:space="preserve"> </v>
      </c>
      <c r="FR194" s="10" t="str">
        <f t="shared" si="384"/>
        <v xml:space="preserve"> </v>
      </c>
      <c r="FS194" s="10" t="str">
        <f t="shared" si="384"/>
        <v xml:space="preserve"> </v>
      </c>
      <c r="FT194" s="10" t="str">
        <f t="shared" si="384"/>
        <v xml:space="preserve"> </v>
      </c>
      <c r="FU194" s="10" t="str">
        <f t="shared" si="384"/>
        <v xml:space="preserve"> </v>
      </c>
      <c r="FV194" s="10" t="str">
        <f t="shared" si="384"/>
        <v xml:space="preserve"> </v>
      </c>
      <c r="FY194" s="10" t="str">
        <f t="shared" si="385"/>
        <v xml:space="preserve"> </v>
      </c>
      <c r="FZ194" s="10" t="str">
        <f t="shared" si="385"/>
        <v xml:space="preserve"> </v>
      </c>
      <c r="GA194" s="10" t="str">
        <f t="shared" si="385"/>
        <v xml:space="preserve"> </v>
      </c>
      <c r="GB194" s="10" t="str">
        <f t="shared" si="385"/>
        <v xml:space="preserve"> </v>
      </c>
      <c r="GC194" s="10" t="str">
        <f t="shared" si="385"/>
        <v xml:space="preserve"> </v>
      </c>
      <c r="GF194" s="10" t="str">
        <f t="shared" si="386"/>
        <v xml:space="preserve"> </v>
      </c>
      <c r="GG194" s="10" t="str">
        <f t="shared" si="386"/>
        <v xml:space="preserve"> </v>
      </c>
      <c r="GH194" s="10" t="str">
        <f t="shared" si="386"/>
        <v xml:space="preserve"> </v>
      </c>
      <c r="GI194" s="10" t="str">
        <f t="shared" si="386"/>
        <v xml:space="preserve"> </v>
      </c>
      <c r="GJ194" s="10" t="str">
        <f t="shared" si="386"/>
        <v xml:space="preserve"> </v>
      </c>
      <c r="GM194" s="10" t="str">
        <f t="shared" si="387"/>
        <v xml:space="preserve"> </v>
      </c>
      <c r="GN194" s="10" t="str">
        <f t="shared" si="387"/>
        <v xml:space="preserve"> </v>
      </c>
      <c r="GO194" s="10" t="str">
        <f t="shared" si="387"/>
        <v xml:space="preserve"> </v>
      </c>
      <c r="GP194" s="10" t="str">
        <f t="shared" si="387"/>
        <v xml:space="preserve"> </v>
      </c>
      <c r="GQ194" s="10" t="str">
        <f t="shared" si="387"/>
        <v xml:space="preserve"> </v>
      </c>
      <c r="GT194" s="10" t="str">
        <f t="shared" si="388"/>
        <v xml:space="preserve"> </v>
      </c>
      <c r="GU194" s="10" t="str">
        <f t="shared" si="388"/>
        <v xml:space="preserve"> </v>
      </c>
      <c r="GV194" s="10" t="str">
        <f t="shared" si="388"/>
        <v xml:space="preserve"> </v>
      </c>
      <c r="GW194" s="10" t="str">
        <f t="shared" si="388"/>
        <v xml:space="preserve"> </v>
      </c>
      <c r="GX194" s="10" t="str">
        <f t="shared" si="388"/>
        <v xml:space="preserve"> </v>
      </c>
      <c r="HA194" s="10" t="str">
        <f t="shared" si="389"/>
        <v xml:space="preserve"> </v>
      </c>
      <c r="HB194" s="10" t="str">
        <f t="shared" si="389"/>
        <v xml:space="preserve"> </v>
      </c>
      <c r="HC194" s="10" t="str">
        <f t="shared" si="389"/>
        <v xml:space="preserve"> </v>
      </c>
      <c r="HD194" s="10" t="str">
        <f t="shared" si="389"/>
        <v xml:space="preserve"> </v>
      </c>
      <c r="HE194" s="10" t="str">
        <f t="shared" si="389"/>
        <v xml:space="preserve"> </v>
      </c>
      <c r="HH194" s="10" t="str">
        <f t="shared" si="390"/>
        <v xml:space="preserve"> </v>
      </c>
      <c r="HI194" s="10" t="str">
        <f t="shared" si="390"/>
        <v xml:space="preserve"> </v>
      </c>
      <c r="HJ194" s="10" t="str">
        <f t="shared" si="390"/>
        <v xml:space="preserve"> </v>
      </c>
      <c r="HK194" s="10" t="str">
        <f t="shared" si="390"/>
        <v xml:space="preserve"> </v>
      </c>
      <c r="HL194" s="10" t="str">
        <f t="shared" si="390"/>
        <v xml:space="preserve"> </v>
      </c>
      <c r="HO194" s="10" t="str">
        <f t="shared" si="391"/>
        <v xml:space="preserve"> </v>
      </c>
      <c r="HP194" s="10" t="str">
        <f t="shared" si="391"/>
        <v xml:space="preserve"> </v>
      </c>
      <c r="HQ194" s="10" t="str">
        <f t="shared" si="391"/>
        <v xml:space="preserve"> </v>
      </c>
      <c r="HR194" s="10" t="str">
        <f t="shared" si="391"/>
        <v xml:space="preserve"> </v>
      </c>
      <c r="HS194" s="10" t="str">
        <f t="shared" si="391"/>
        <v xml:space="preserve"> </v>
      </c>
      <c r="HV194" s="10" t="str">
        <f t="shared" si="392"/>
        <v xml:space="preserve"> </v>
      </c>
      <c r="HW194" s="10" t="str">
        <f t="shared" si="392"/>
        <v xml:space="preserve"> </v>
      </c>
      <c r="HX194" s="10" t="str">
        <f t="shared" si="392"/>
        <v xml:space="preserve"> </v>
      </c>
      <c r="HY194" s="10" t="str">
        <f t="shared" si="392"/>
        <v xml:space="preserve"> </v>
      </c>
      <c r="HZ194" s="10" t="str">
        <f t="shared" si="392"/>
        <v xml:space="preserve"> </v>
      </c>
      <c r="IC194" s="10" t="str">
        <f t="shared" si="393"/>
        <v xml:space="preserve"> </v>
      </c>
      <c r="ID194" s="10" t="str">
        <f t="shared" si="393"/>
        <v xml:space="preserve"> </v>
      </c>
      <c r="IE194" s="10" t="str">
        <f t="shared" si="393"/>
        <v xml:space="preserve"> </v>
      </c>
      <c r="IF194" s="10" t="str">
        <f t="shared" si="393"/>
        <v xml:space="preserve"> </v>
      </c>
      <c r="IG194" s="10" t="str">
        <f t="shared" si="393"/>
        <v xml:space="preserve"> </v>
      </c>
      <c r="IJ194" s="10" t="str">
        <f t="shared" si="394"/>
        <v xml:space="preserve"> </v>
      </c>
      <c r="IK194" s="10" t="str">
        <f t="shared" si="394"/>
        <v xml:space="preserve"> </v>
      </c>
      <c r="IL194" s="10" t="str">
        <f t="shared" si="394"/>
        <v xml:space="preserve"> </v>
      </c>
      <c r="IM194" s="10" t="str">
        <f t="shared" si="394"/>
        <v xml:space="preserve"> </v>
      </c>
      <c r="IN194" s="10" t="str">
        <f t="shared" si="394"/>
        <v xml:space="preserve"> </v>
      </c>
      <c r="IQ194" s="10" t="str">
        <f t="shared" si="395"/>
        <v xml:space="preserve"> </v>
      </c>
      <c r="IR194" s="10" t="str">
        <f t="shared" si="395"/>
        <v xml:space="preserve"> </v>
      </c>
      <c r="IS194" s="10" t="str">
        <f t="shared" si="395"/>
        <v xml:space="preserve"> </v>
      </c>
      <c r="IT194" s="10" t="str">
        <f t="shared" si="395"/>
        <v xml:space="preserve"> </v>
      </c>
      <c r="IU194" s="10" t="str">
        <f t="shared" si="395"/>
        <v xml:space="preserve"> </v>
      </c>
      <c r="IX194" s="10" t="str">
        <f t="shared" si="396"/>
        <v xml:space="preserve"> </v>
      </c>
      <c r="IY194" s="10" t="str">
        <f t="shared" si="396"/>
        <v xml:space="preserve"> </v>
      </c>
      <c r="IZ194" s="10" t="str">
        <f t="shared" si="396"/>
        <v xml:space="preserve"> </v>
      </c>
      <c r="JA194" s="10" t="str">
        <f t="shared" si="396"/>
        <v xml:space="preserve"> </v>
      </c>
      <c r="JB194" s="10" t="str">
        <f t="shared" si="396"/>
        <v xml:space="preserve"> </v>
      </c>
      <c r="JE194" s="10" t="str">
        <f t="shared" si="397"/>
        <v xml:space="preserve"> </v>
      </c>
      <c r="JF194" s="10" t="str">
        <f t="shared" si="397"/>
        <v xml:space="preserve"> </v>
      </c>
      <c r="JG194" s="10" t="str">
        <f t="shared" si="397"/>
        <v xml:space="preserve"> </v>
      </c>
      <c r="JH194" s="10" t="str">
        <f t="shared" si="397"/>
        <v xml:space="preserve"> </v>
      </c>
      <c r="JI194" s="10" t="str">
        <f t="shared" si="397"/>
        <v xml:space="preserve"> </v>
      </c>
    </row>
    <row r="195" spans="13:269">
      <c r="M195" s="10" t="str">
        <f t="shared" si="398"/>
        <v xml:space="preserve"> </v>
      </c>
      <c r="N195" s="10" t="str">
        <f t="shared" si="398"/>
        <v xml:space="preserve"> </v>
      </c>
      <c r="O195" s="10" t="str">
        <f t="shared" si="398"/>
        <v xml:space="preserve"> </v>
      </c>
      <c r="P195" s="10" t="str">
        <f t="shared" si="398"/>
        <v xml:space="preserve"> </v>
      </c>
      <c r="Q195" s="10" t="str">
        <f t="shared" si="398"/>
        <v xml:space="preserve"> </v>
      </c>
      <c r="R195" s="14"/>
      <c r="S195" s="14"/>
      <c r="T195" s="10" t="str">
        <f t="shared" si="362"/>
        <v xml:space="preserve"> </v>
      </c>
      <c r="U195" s="10" t="str">
        <f t="shared" si="362"/>
        <v xml:space="preserve"> </v>
      </c>
      <c r="V195" s="10" t="str">
        <f t="shared" si="362"/>
        <v xml:space="preserve"> </v>
      </c>
      <c r="W195" s="10" t="str">
        <f t="shared" si="362"/>
        <v xml:space="preserve"> </v>
      </c>
      <c r="X195" s="10" t="str">
        <f t="shared" si="362"/>
        <v xml:space="preserve"> </v>
      </c>
      <c r="Y195" s="14"/>
      <c r="Z195" s="14"/>
      <c r="AA195" s="10" t="str">
        <f t="shared" si="363"/>
        <v xml:space="preserve"> </v>
      </c>
      <c r="AB195" s="10" t="str">
        <f t="shared" si="363"/>
        <v xml:space="preserve"> </v>
      </c>
      <c r="AC195" s="10" t="str">
        <f t="shared" si="363"/>
        <v xml:space="preserve"> </v>
      </c>
      <c r="AD195" s="10" t="str">
        <f t="shared" si="363"/>
        <v xml:space="preserve"> </v>
      </c>
      <c r="AE195" s="10" t="str">
        <f t="shared" si="363"/>
        <v xml:space="preserve"> </v>
      </c>
      <c r="AF195" s="14"/>
      <c r="AG195" s="14"/>
      <c r="AH195" s="10" t="str">
        <f t="shared" si="364"/>
        <v xml:space="preserve"> </v>
      </c>
      <c r="AI195" s="10" t="str">
        <f t="shared" si="364"/>
        <v xml:space="preserve"> </v>
      </c>
      <c r="AJ195" s="10" t="str">
        <f t="shared" si="364"/>
        <v xml:space="preserve"> </v>
      </c>
      <c r="AK195" s="10" t="str">
        <f t="shared" si="364"/>
        <v xml:space="preserve"> </v>
      </c>
      <c r="AL195" s="10" t="str">
        <f t="shared" si="364"/>
        <v xml:space="preserve"> </v>
      </c>
      <c r="AM195" s="14"/>
      <c r="AN195" s="14"/>
      <c r="AO195" s="10" t="str">
        <f t="shared" si="365"/>
        <v xml:space="preserve"> </v>
      </c>
      <c r="AP195" s="10" t="str">
        <f t="shared" si="365"/>
        <v xml:space="preserve"> </v>
      </c>
      <c r="AQ195" s="10" t="str">
        <f t="shared" si="365"/>
        <v xml:space="preserve"> </v>
      </c>
      <c r="AR195" s="10" t="str">
        <f t="shared" si="365"/>
        <v xml:space="preserve"> </v>
      </c>
      <c r="AS195" s="10" t="str">
        <f t="shared" si="365"/>
        <v xml:space="preserve"> </v>
      </c>
      <c r="AT195" s="14"/>
      <c r="AU195" s="14"/>
      <c r="AV195" s="10" t="str">
        <f t="shared" si="366"/>
        <v xml:space="preserve"> </v>
      </c>
      <c r="AW195" s="10" t="str">
        <f t="shared" si="366"/>
        <v xml:space="preserve"> </v>
      </c>
      <c r="AX195" s="10" t="str">
        <f t="shared" si="366"/>
        <v xml:space="preserve"> </v>
      </c>
      <c r="AY195" s="10" t="str">
        <f t="shared" si="366"/>
        <v xml:space="preserve"> </v>
      </c>
      <c r="AZ195" s="10" t="str">
        <f t="shared" si="366"/>
        <v xml:space="preserve"> </v>
      </c>
      <c r="BA195" s="14"/>
      <c r="BB195" s="14"/>
      <c r="BC195" s="10" t="str">
        <f t="shared" si="367"/>
        <v xml:space="preserve"> </v>
      </c>
      <c r="BD195" s="10" t="str">
        <f t="shared" si="367"/>
        <v xml:space="preserve"> </v>
      </c>
      <c r="BE195" s="10" t="str">
        <f t="shared" si="367"/>
        <v xml:space="preserve"> </v>
      </c>
      <c r="BF195" s="10" t="str">
        <f t="shared" si="367"/>
        <v xml:space="preserve"> </v>
      </c>
      <c r="BG195" s="10" t="str">
        <f t="shared" si="367"/>
        <v xml:space="preserve"> </v>
      </c>
      <c r="BH195" s="14"/>
      <c r="BI195" s="14"/>
      <c r="BJ195" s="10" t="str">
        <f t="shared" si="368"/>
        <v xml:space="preserve"> </v>
      </c>
      <c r="BK195" s="10" t="str">
        <f t="shared" si="368"/>
        <v xml:space="preserve"> </v>
      </c>
      <c r="BL195" s="10" t="str">
        <f t="shared" si="368"/>
        <v xml:space="preserve"> </v>
      </c>
      <c r="BM195" s="10" t="str">
        <f t="shared" si="368"/>
        <v xml:space="preserve"> </v>
      </c>
      <c r="BN195" s="10" t="str">
        <f t="shared" si="368"/>
        <v xml:space="preserve"> </v>
      </c>
      <c r="BO195" s="14"/>
      <c r="BP195" s="14"/>
      <c r="BQ195" s="10" t="str">
        <f t="shared" si="369"/>
        <v xml:space="preserve"> </v>
      </c>
      <c r="BR195" s="10" t="str">
        <f t="shared" si="369"/>
        <v xml:space="preserve"> </v>
      </c>
      <c r="BS195" s="10" t="str">
        <f t="shared" si="369"/>
        <v xml:space="preserve"> </v>
      </c>
      <c r="BT195" s="10" t="str">
        <f t="shared" si="369"/>
        <v xml:space="preserve"> </v>
      </c>
      <c r="BU195" s="10" t="str">
        <f t="shared" si="369"/>
        <v xml:space="preserve"> </v>
      </c>
      <c r="BV195" s="14"/>
      <c r="BW195" s="14"/>
      <c r="BX195" s="10" t="str">
        <f t="shared" si="370"/>
        <v xml:space="preserve"> </v>
      </c>
      <c r="BY195" s="10" t="str">
        <f t="shared" si="370"/>
        <v xml:space="preserve"> </v>
      </c>
      <c r="BZ195" s="10" t="str">
        <f t="shared" si="370"/>
        <v xml:space="preserve"> </v>
      </c>
      <c r="CA195" s="10" t="str">
        <f t="shared" si="370"/>
        <v xml:space="preserve"> </v>
      </c>
      <c r="CB195" s="10" t="str">
        <f t="shared" si="370"/>
        <v xml:space="preserve"> </v>
      </c>
      <c r="CC195" s="14"/>
      <c r="CD195" s="14"/>
      <c r="CE195" s="10" t="str">
        <f t="shared" si="371"/>
        <v xml:space="preserve"> </v>
      </c>
      <c r="CF195" s="10" t="str">
        <f t="shared" si="371"/>
        <v xml:space="preserve"> </v>
      </c>
      <c r="CG195" s="10" t="str">
        <f t="shared" si="371"/>
        <v xml:space="preserve"> </v>
      </c>
      <c r="CH195" s="10" t="str">
        <f t="shared" si="371"/>
        <v xml:space="preserve"> </v>
      </c>
      <c r="CI195" s="10" t="str">
        <f t="shared" si="371"/>
        <v xml:space="preserve"> </v>
      </c>
      <c r="CJ195" s="14"/>
      <c r="CK195" s="14"/>
      <c r="CL195" s="10" t="str">
        <f t="shared" si="372"/>
        <v xml:space="preserve"> </v>
      </c>
      <c r="CM195" s="10" t="str">
        <f t="shared" si="372"/>
        <v xml:space="preserve"> </v>
      </c>
      <c r="CN195" s="10" t="str">
        <f t="shared" si="372"/>
        <v xml:space="preserve"> </v>
      </c>
      <c r="CO195" s="10" t="str">
        <f t="shared" si="372"/>
        <v xml:space="preserve"> </v>
      </c>
      <c r="CP195" s="10" t="str">
        <f t="shared" si="372"/>
        <v xml:space="preserve"> </v>
      </c>
      <c r="CQ195" s="14"/>
      <c r="CR195" s="14"/>
      <c r="CS195" s="10" t="str">
        <f t="shared" si="373"/>
        <v xml:space="preserve"> </v>
      </c>
      <c r="CT195" s="10" t="str">
        <f t="shared" si="373"/>
        <v xml:space="preserve"> </v>
      </c>
      <c r="CU195" s="10" t="str">
        <f t="shared" si="373"/>
        <v xml:space="preserve"> </v>
      </c>
      <c r="CV195" s="10" t="str">
        <f t="shared" si="373"/>
        <v xml:space="preserve"> </v>
      </c>
      <c r="CW195" s="10" t="str">
        <f t="shared" si="373"/>
        <v xml:space="preserve"> </v>
      </c>
      <c r="CZ195" s="10" t="str">
        <f t="shared" si="374"/>
        <v xml:space="preserve"> </v>
      </c>
      <c r="DA195" s="10" t="str">
        <f t="shared" si="374"/>
        <v xml:space="preserve"> </v>
      </c>
      <c r="DB195" s="10" t="str">
        <f t="shared" si="374"/>
        <v xml:space="preserve"> </v>
      </c>
      <c r="DC195" s="10" t="str">
        <f t="shared" si="374"/>
        <v xml:space="preserve"> </v>
      </c>
      <c r="DD195" s="10" t="str">
        <f t="shared" si="374"/>
        <v xml:space="preserve"> </v>
      </c>
      <c r="DG195" s="10" t="str">
        <f t="shared" si="375"/>
        <v xml:space="preserve"> </v>
      </c>
      <c r="DH195" s="10" t="str">
        <f t="shared" si="375"/>
        <v xml:space="preserve"> </v>
      </c>
      <c r="DI195" s="10" t="str">
        <f t="shared" si="375"/>
        <v xml:space="preserve"> </v>
      </c>
      <c r="DJ195" s="10" t="str">
        <f t="shared" si="375"/>
        <v xml:space="preserve"> </v>
      </c>
      <c r="DK195" s="10" t="str">
        <f t="shared" si="375"/>
        <v xml:space="preserve"> </v>
      </c>
      <c r="DN195" s="10" t="str">
        <f t="shared" si="376"/>
        <v xml:space="preserve"> </v>
      </c>
      <c r="DO195" s="10" t="str">
        <f t="shared" si="376"/>
        <v xml:space="preserve"> </v>
      </c>
      <c r="DP195" s="10" t="str">
        <f t="shared" si="376"/>
        <v xml:space="preserve"> </v>
      </c>
      <c r="DQ195" s="10" t="str">
        <f t="shared" si="376"/>
        <v xml:space="preserve"> </v>
      </c>
      <c r="DR195" s="10" t="str">
        <f t="shared" si="376"/>
        <v xml:space="preserve"> </v>
      </c>
      <c r="DU195" s="10" t="str">
        <f t="shared" si="377"/>
        <v xml:space="preserve"> </v>
      </c>
      <c r="DV195" s="10" t="str">
        <f t="shared" si="377"/>
        <v xml:space="preserve"> </v>
      </c>
      <c r="DW195" s="10" t="str">
        <f t="shared" si="377"/>
        <v xml:space="preserve"> </v>
      </c>
      <c r="DX195" s="10" t="str">
        <f t="shared" si="377"/>
        <v xml:space="preserve"> </v>
      </c>
      <c r="DY195" s="10" t="str">
        <f t="shared" si="377"/>
        <v xml:space="preserve"> </v>
      </c>
      <c r="EB195" s="10" t="str">
        <f t="shared" si="378"/>
        <v xml:space="preserve"> </v>
      </c>
      <c r="EC195" s="10" t="str">
        <f t="shared" si="378"/>
        <v xml:space="preserve"> </v>
      </c>
      <c r="ED195" s="10" t="str">
        <f t="shared" si="378"/>
        <v xml:space="preserve"> </v>
      </c>
      <c r="EE195" s="10" t="str">
        <f t="shared" si="378"/>
        <v xml:space="preserve"> </v>
      </c>
      <c r="EF195" s="10" t="str">
        <f t="shared" si="378"/>
        <v xml:space="preserve"> </v>
      </c>
      <c r="EI195" s="10" t="str">
        <f t="shared" si="379"/>
        <v xml:space="preserve"> </v>
      </c>
      <c r="EJ195" s="10" t="str">
        <f t="shared" si="379"/>
        <v xml:space="preserve"> </v>
      </c>
      <c r="EK195" s="10" t="str">
        <f t="shared" si="379"/>
        <v xml:space="preserve"> </v>
      </c>
      <c r="EL195" s="10" t="str">
        <f t="shared" si="379"/>
        <v xml:space="preserve"> </v>
      </c>
      <c r="EM195" s="10" t="str">
        <f t="shared" si="379"/>
        <v xml:space="preserve"> </v>
      </c>
      <c r="EP195" s="10" t="str">
        <f t="shared" si="380"/>
        <v xml:space="preserve"> </v>
      </c>
      <c r="EQ195" s="10" t="str">
        <f t="shared" si="380"/>
        <v xml:space="preserve"> </v>
      </c>
      <c r="ER195" s="10" t="str">
        <f t="shared" si="380"/>
        <v xml:space="preserve"> </v>
      </c>
      <c r="ES195" s="10" t="str">
        <f t="shared" si="380"/>
        <v xml:space="preserve"> </v>
      </c>
      <c r="ET195" s="10" t="str">
        <f t="shared" si="380"/>
        <v xml:space="preserve"> </v>
      </c>
      <c r="EW195" s="10" t="str">
        <f t="shared" si="381"/>
        <v xml:space="preserve"> </v>
      </c>
      <c r="EX195" s="10" t="str">
        <f t="shared" si="381"/>
        <v xml:space="preserve"> </v>
      </c>
      <c r="EY195" s="10" t="str">
        <f t="shared" si="381"/>
        <v xml:space="preserve"> </v>
      </c>
      <c r="EZ195" s="10" t="str">
        <f t="shared" si="381"/>
        <v xml:space="preserve"> </v>
      </c>
      <c r="FA195" s="10" t="str">
        <f t="shared" si="381"/>
        <v xml:space="preserve"> </v>
      </c>
      <c r="FD195" s="10" t="str">
        <f t="shared" si="382"/>
        <v xml:space="preserve"> </v>
      </c>
      <c r="FE195" s="10" t="str">
        <f t="shared" si="382"/>
        <v xml:space="preserve"> </v>
      </c>
      <c r="FF195" s="10" t="str">
        <f t="shared" si="382"/>
        <v xml:space="preserve"> </v>
      </c>
      <c r="FG195" s="10" t="str">
        <f t="shared" si="382"/>
        <v xml:space="preserve"> </v>
      </c>
      <c r="FH195" s="10" t="str">
        <f t="shared" si="382"/>
        <v xml:space="preserve"> </v>
      </c>
      <c r="FK195" s="10" t="str">
        <f t="shared" si="383"/>
        <v xml:space="preserve"> </v>
      </c>
      <c r="FL195" s="10" t="str">
        <f t="shared" si="383"/>
        <v xml:space="preserve"> </v>
      </c>
      <c r="FM195" s="10" t="str">
        <f t="shared" si="383"/>
        <v xml:space="preserve"> </v>
      </c>
      <c r="FN195" s="10" t="str">
        <f t="shared" si="383"/>
        <v xml:space="preserve"> </v>
      </c>
      <c r="FO195" s="10" t="str">
        <f t="shared" si="383"/>
        <v xml:space="preserve"> </v>
      </c>
      <c r="FR195" s="10" t="str">
        <f t="shared" si="384"/>
        <v xml:space="preserve"> </v>
      </c>
      <c r="FS195" s="10" t="str">
        <f t="shared" si="384"/>
        <v xml:space="preserve"> </v>
      </c>
      <c r="FT195" s="10" t="str">
        <f t="shared" si="384"/>
        <v xml:space="preserve"> </v>
      </c>
      <c r="FU195" s="10" t="str">
        <f t="shared" si="384"/>
        <v xml:space="preserve"> </v>
      </c>
      <c r="FV195" s="10" t="str">
        <f t="shared" si="384"/>
        <v xml:space="preserve"> </v>
      </c>
      <c r="FY195" s="10" t="str">
        <f t="shared" si="385"/>
        <v xml:space="preserve"> </v>
      </c>
      <c r="FZ195" s="10" t="str">
        <f t="shared" si="385"/>
        <v xml:space="preserve"> </v>
      </c>
      <c r="GA195" s="10" t="str">
        <f t="shared" si="385"/>
        <v xml:space="preserve"> </v>
      </c>
      <c r="GB195" s="10" t="str">
        <f t="shared" si="385"/>
        <v xml:space="preserve"> </v>
      </c>
      <c r="GC195" s="10" t="str">
        <f t="shared" si="385"/>
        <v xml:space="preserve"> </v>
      </c>
      <c r="GF195" s="10" t="str">
        <f t="shared" si="386"/>
        <v xml:space="preserve"> </v>
      </c>
      <c r="GG195" s="10" t="str">
        <f t="shared" si="386"/>
        <v xml:space="preserve"> </v>
      </c>
      <c r="GH195" s="10" t="str">
        <f t="shared" si="386"/>
        <v xml:space="preserve"> </v>
      </c>
      <c r="GI195" s="10" t="str">
        <f t="shared" si="386"/>
        <v xml:space="preserve"> </v>
      </c>
      <c r="GJ195" s="10" t="str">
        <f t="shared" si="386"/>
        <v xml:space="preserve"> </v>
      </c>
      <c r="GM195" s="10" t="str">
        <f t="shared" si="387"/>
        <v xml:space="preserve"> </v>
      </c>
      <c r="GN195" s="10" t="str">
        <f t="shared" si="387"/>
        <v xml:space="preserve"> </v>
      </c>
      <c r="GO195" s="10" t="str">
        <f t="shared" si="387"/>
        <v xml:space="preserve"> </v>
      </c>
      <c r="GP195" s="10" t="str">
        <f t="shared" si="387"/>
        <v xml:space="preserve"> </v>
      </c>
      <c r="GQ195" s="10" t="str">
        <f t="shared" si="387"/>
        <v xml:space="preserve"> </v>
      </c>
      <c r="GT195" s="10" t="str">
        <f t="shared" si="388"/>
        <v xml:space="preserve"> </v>
      </c>
      <c r="GU195" s="10" t="str">
        <f t="shared" si="388"/>
        <v xml:space="preserve"> </v>
      </c>
      <c r="GV195" s="10" t="str">
        <f t="shared" si="388"/>
        <v xml:space="preserve"> </v>
      </c>
      <c r="GW195" s="10" t="str">
        <f t="shared" si="388"/>
        <v xml:space="preserve"> </v>
      </c>
      <c r="GX195" s="10" t="str">
        <f t="shared" si="388"/>
        <v xml:space="preserve"> </v>
      </c>
      <c r="HA195" s="10" t="str">
        <f t="shared" si="389"/>
        <v xml:space="preserve"> </v>
      </c>
      <c r="HB195" s="10" t="str">
        <f t="shared" si="389"/>
        <v xml:space="preserve"> </v>
      </c>
      <c r="HC195" s="10" t="str">
        <f t="shared" si="389"/>
        <v xml:space="preserve"> </v>
      </c>
      <c r="HD195" s="10" t="str">
        <f t="shared" si="389"/>
        <v xml:space="preserve"> </v>
      </c>
      <c r="HE195" s="10" t="str">
        <f t="shared" si="389"/>
        <v xml:space="preserve"> </v>
      </c>
      <c r="HH195" s="10" t="str">
        <f t="shared" si="390"/>
        <v xml:space="preserve"> </v>
      </c>
      <c r="HI195" s="10" t="str">
        <f t="shared" si="390"/>
        <v xml:space="preserve"> </v>
      </c>
      <c r="HJ195" s="10" t="str">
        <f t="shared" si="390"/>
        <v xml:space="preserve"> </v>
      </c>
      <c r="HK195" s="10" t="str">
        <f t="shared" si="390"/>
        <v xml:space="preserve"> </v>
      </c>
      <c r="HL195" s="10" t="str">
        <f t="shared" si="390"/>
        <v xml:space="preserve"> </v>
      </c>
      <c r="HO195" s="10" t="str">
        <f t="shared" si="391"/>
        <v xml:space="preserve"> </v>
      </c>
      <c r="HP195" s="10" t="str">
        <f t="shared" si="391"/>
        <v xml:space="preserve"> </v>
      </c>
      <c r="HQ195" s="10" t="str">
        <f t="shared" si="391"/>
        <v xml:space="preserve"> </v>
      </c>
      <c r="HR195" s="10" t="str">
        <f t="shared" si="391"/>
        <v xml:space="preserve"> </v>
      </c>
      <c r="HS195" s="10" t="str">
        <f t="shared" si="391"/>
        <v xml:space="preserve"> </v>
      </c>
      <c r="HV195" s="10" t="str">
        <f t="shared" si="392"/>
        <v xml:space="preserve"> </v>
      </c>
      <c r="HW195" s="10" t="str">
        <f t="shared" si="392"/>
        <v xml:space="preserve"> </v>
      </c>
      <c r="HX195" s="10" t="str">
        <f t="shared" si="392"/>
        <v xml:space="preserve"> </v>
      </c>
      <c r="HY195" s="10" t="str">
        <f t="shared" si="392"/>
        <v xml:space="preserve"> </v>
      </c>
      <c r="HZ195" s="10" t="str">
        <f t="shared" si="392"/>
        <v xml:space="preserve"> </v>
      </c>
      <c r="IC195" s="10" t="str">
        <f t="shared" si="393"/>
        <v xml:space="preserve"> </v>
      </c>
      <c r="ID195" s="10" t="str">
        <f t="shared" si="393"/>
        <v xml:space="preserve"> </v>
      </c>
      <c r="IE195" s="10" t="str">
        <f t="shared" si="393"/>
        <v xml:space="preserve"> </v>
      </c>
      <c r="IF195" s="10" t="str">
        <f t="shared" si="393"/>
        <v xml:space="preserve"> </v>
      </c>
      <c r="IG195" s="10" t="str">
        <f t="shared" si="393"/>
        <v xml:space="preserve"> </v>
      </c>
      <c r="IJ195" s="10" t="str">
        <f t="shared" si="394"/>
        <v xml:space="preserve"> </v>
      </c>
      <c r="IK195" s="10" t="str">
        <f t="shared" si="394"/>
        <v xml:space="preserve"> </v>
      </c>
      <c r="IL195" s="10" t="str">
        <f t="shared" si="394"/>
        <v xml:space="preserve"> </v>
      </c>
      <c r="IM195" s="10" t="str">
        <f t="shared" si="394"/>
        <v xml:space="preserve"> </v>
      </c>
      <c r="IN195" s="10" t="str">
        <f t="shared" si="394"/>
        <v xml:space="preserve"> </v>
      </c>
      <c r="IQ195" s="10" t="str">
        <f t="shared" si="395"/>
        <v xml:space="preserve"> </v>
      </c>
      <c r="IR195" s="10" t="str">
        <f t="shared" si="395"/>
        <v xml:space="preserve"> </v>
      </c>
      <c r="IS195" s="10" t="str">
        <f t="shared" si="395"/>
        <v xml:space="preserve"> </v>
      </c>
      <c r="IT195" s="10" t="str">
        <f t="shared" si="395"/>
        <v xml:space="preserve"> </v>
      </c>
      <c r="IU195" s="10" t="str">
        <f t="shared" si="395"/>
        <v xml:space="preserve"> </v>
      </c>
      <c r="IX195" s="10" t="str">
        <f t="shared" si="396"/>
        <v xml:space="preserve"> </v>
      </c>
      <c r="IY195" s="10" t="str">
        <f t="shared" si="396"/>
        <v xml:space="preserve"> </v>
      </c>
      <c r="IZ195" s="10" t="str">
        <f t="shared" si="396"/>
        <v xml:space="preserve"> </v>
      </c>
      <c r="JA195" s="10" t="str">
        <f t="shared" si="396"/>
        <v xml:space="preserve"> </v>
      </c>
      <c r="JB195" s="10" t="str">
        <f t="shared" si="396"/>
        <v xml:space="preserve"> </v>
      </c>
      <c r="JE195" s="10" t="str">
        <f t="shared" si="397"/>
        <v xml:space="preserve"> </v>
      </c>
      <c r="JF195" s="10" t="str">
        <f t="shared" si="397"/>
        <v xml:space="preserve"> </v>
      </c>
      <c r="JG195" s="10" t="str">
        <f t="shared" si="397"/>
        <v xml:space="preserve"> </v>
      </c>
      <c r="JH195" s="10" t="str">
        <f t="shared" si="397"/>
        <v xml:space="preserve"> </v>
      </c>
      <c r="JI195" s="10" t="str">
        <f t="shared" si="397"/>
        <v xml:space="preserve"> </v>
      </c>
    </row>
    <row r="196" spans="13:269">
      <c r="M196" s="10" t="str">
        <f t="shared" si="398"/>
        <v xml:space="preserve"> </v>
      </c>
      <c r="N196" s="10" t="str">
        <f t="shared" si="398"/>
        <v xml:space="preserve"> </v>
      </c>
      <c r="O196" s="10" t="str">
        <f t="shared" si="398"/>
        <v xml:space="preserve"> </v>
      </c>
      <c r="P196" s="10" t="str">
        <f t="shared" si="398"/>
        <v xml:space="preserve"> </v>
      </c>
      <c r="Q196" s="10" t="str">
        <f t="shared" si="398"/>
        <v xml:space="preserve"> </v>
      </c>
      <c r="R196" s="14"/>
      <c r="S196" s="14"/>
      <c r="T196" s="10" t="str">
        <f t="shared" si="362"/>
        <v xml:space="preserve"> </v>
      </c>
      <c r="U196" s="10" t="str">
        <f t="shared" si="362"/>
        <v xml:space="preserve"> </v>
      </c>
      <c r="V196" s="10" t="str">
        <f t="shared" si="362"/>
        <v xml:space="preserve"> </v>
      </c>
      <c r="W196" s="10" t="str">
        <f t="shared" si="362"/>
        <v xml:space="preserve"> </v>
      </c>
      <c r="X196" s="10" t="str">
        <f t="shared" si="362"/>
        <v xml:space="preserve"> </v>
      </c>
      <c r="Y196" s="14"/>
      <c r="Z196" s="14"/>
      <c r="AA196" s="10" t="str">
        <f t="shared" si="363"/>
        <v xml:space="preserve"> </v>
      </c>
      <c r="AB196" s="10" t="str">
        <f t="shared" si="363"/>
        <v xml:space="preserve"> </v>
      </c>
      <c r="AC196" s="10" t="str">
        <f t="shared" si="363"/>
        <v xml:space="preserve"> </v>
      </c>
      <c r="AD196" s="10" t="str">
        <f t="shared" si="363"/>
        <v xml:space="preserve"> </v>
      </c>
      <c r="AE196" s="10" t="str">
        <f t="shared" si="363"/>
        <v xml:space="preserve"> </v>
      </c>
      <c r="AF196" s="14"/>
      <c r="AG196" s="14"/>
      <c r="AH196" s="10" t="str">
        <f t="shared" si="364"/>
        <v xml:space="preserve"> </v>
      </c>
      <c r="AI196" s="10" t="str">
        <f t="shared" si="364"/>
        <v xml:space="preserve"> </v>
      </c>
      <c r="AJ196" s="10" t="str">
        <f t="shared" si="364"/>
        <v xml:space="preserve"> </v>
      </c>
      <c r="AK196" s="10" t="str">
        <f t="shared" si="364"/>
        <v xml:space="preserve"> </v>
      </c>
      <c r="AL196" s="10" t="str">
        <f t="shared" si="364"/>
        <v xml:space="preserve"> </v>
      </c>
      <c r="AM196" s="14"/>
      <c r="AN196" s="14"/>
      <c r="AO196" s="10" t="str">
        <f t="shared" si="365"/>
        <v xml:space="preserve"> </v>
      </c>
      <c r="AP196" s="10" t="str">
        <f t="shared" si="365"/>
        <v xml:space="preserve"> </v>
      </c>
      <c r="AQ196" s="10" t="str">
        <f t="shared" si="365"/>
        <v xml:space="preserve"> </v>
      </c>
      <c r="AR196" s="10" t="str">
        <f t="shared" si="365"/>
        <v xml:space="preserve"> </v>
      </c>
      <c r="AS196" s="10" t="str">
        <f t="shared" si="365"/>
        <v xml:space="preserve"> </v>
      </c>
      <c r="AT196" s="14"/>
      <c r="AU196" s="14"/>
      <c r="AV196" s="10" t="str">
        <f t="shared" si="366"/>
        <v xml:space="preserve"> </v>
      </c>
      <c r="AW196" s="10" t="str">
        <f t="shared" si="366"/>
        <v xml:space="preserve"> </v>
      </c>
      <c r="AX196" s="10" t="str">
        <f t="shared" si="366"/>
        <v xml:space="preserve"> </v>
      </c>
      <c r="AY196" s="10" t="str">
        <f t="shared" si="366"/>
        <v xml:space="preserve"> </v>
      </c>
      <c r="AZ196" s="10" t="str">
        <f t="shared" si="366"/>
        <v xml:space="preserve"> </v>
      </c>
      <c r="BA196" s="14"/>
      <c r="BB196" s="14"/>
      <c r="BC196" s="10" t="str">
        <f t="shared" si="367"/>
        <v xml:space="preserve"> </v>
      </c>
      <c r="BD196" s="10" t="str">
        <f t="shared" si="367"/>
        <v xml:space="preserve"> </v>
      </c>
      <c r="BE196" s="10" t="str">
        <f t="shared" si="367"/>
        <v xml:space="preserve"> </v>
      </c>
      <c r="BF196" s="10" t="str">
        <f t="shared" si="367"/>
        <v xml:space="preserve"> </v>
      </c>
      <c r="BG196" s="10" t="str">
        <f t="shared" si="367"/>
        <v xml:space="preserve"> </v>
      </c>
      <c r="BH196" s="14"/>
      <c r="BI196" s="14"/>
      <c r="BJ196" s="10" t="str">
        <f t="shared" si="368"/>
        <v xml:space="preserve"> </v>
      </c>
      <c r="BK196" s="10" t="str">
        <f t="shared" si="368"/>
        <v xml:space="preserve"> </v>
      </c>
      <c r="BL196" s="10" t="str">
        <f t="shared" si="368"/>
        <v xml:space="preserve"> </v>
      </c>
      <c r="BM196" s="10" t="str">
        <f t="shared" si="368"/>
        <v xml:space="preserve"> </v>
      </c>
      <c r="BN196" s="10" t="str">
        <f t="shared" si="368"/>
        <v xml:space="preserve"> </v>
      </c>
      <c r="BO196" s="14"/>
      <c r="BP196" s="14"/>
      <c r="BQ196" s="10" t="str">
        <f t="shared" si="369"/>
        <v xml:space="preserve"> </v>
      </c>
      <c r="BR196" s="10" t="str">
        <f t="shared" si="369"/>
        <v xml:space="preserve"> </v>
      </c>
      <c r="BS196" s="10" t="str">
        <f t="shared" si="369"/>
        <v xml:space="preserve"> </v>
      </c>
      <c r="BT196" s="10" t="str">
        <f t="shared" si="369"/>
        <v xml:space="preserve"> </v>
      </c>
      <c r="BU196" s="10" t="str">
        <f t="shared" si="369"/>
        <v xml:space="preserve"> </v>
      </c>
      <c r="BV196" s="14"/>
      <c r="BW196" s="14"/>
      <c r="BX196" s="10" t="str">
        <f t="shared" si="370"/>
        <v xml:space="preserve"> </v>
      </c>
      <c r="BY196" s="10" t="str">
        <f t="shared" si="370"/>
        <v xml:space="preserve"> </v>
      </c>
      <c r="BZ196" s="10" t="str">
        <f t="shared" si="370"/>
        <v xml:space="preserve"> </v>
      </c>
      <c r="CA196" s="10" t="str">
        <f t="shared" si="370"/>
        <v xml:space="preserve"> </v>
      </c>
      <c r="CB196" s="10" t="str">
        <f t="shared" si="370"/>
        <v xml:space="preserve"> </v>
      </c>
      <c r="CC196" s="14"/>
      <c r="CD196" s="14"/>
      <c r="CE196" s="10" t="str">
        <f t="shared" si="371"/>
        <v xml:space="preserve"> </v>
      </c>
      <c r="CF196" s="10" t="str">
        <f t="shared" si="371"/>
        <v xml:space="preserve"> </v>
      </c>
      <c r="CG196" s="10" t="str">
        <f t="shared" si="371"/>
        <v xml:space="preserve"> </v>
      </c>
      <c r="CH196" s="10" t="str">
        <f t="shared" si="371"/>
        <v xml:space="preserve"> </v>
      </c>
      <c r="CI196" s="10" t="str">
        <f t="shared" si="371"/>
        <v xml:space="preserve"> </v>
      </c>
      <c r="CJ196" s="14"/>
      <c r="CK196" s="14"/>
      <c r="CL196" s="10" t="str">
        <f t="shared" si="372"/>
        <v xml:space="preserve"> </v>
      </c>
      <c r="CM196" s="10" t="str">
        <f t="shared" si="372"/>
        <v xml:space="preserve"> </v>
      </c>
      <c r="CN196" s="10" t="str">
        <f t="shared" si="372"/>
        <v xml:space="preserve"> </v>
      </c>
      <c r="CO196" s="10" t="str">
        <f t="shared" si="372"/>
        <v xml:space="preserve"> </v>
      </c>
      <c r="CP196" s="10" t="str">
        <f t="shared" si="372"/>
        <v xml:space="preserve"> </v>
      </c>
      <c r="CQ196" s="14"/>
      <c r="CR196" s="14"/>
      <c r="CS196" s="10" t="str">
        <f t="shared" si="373"/>
        <v xml:space="preserve"> </v>
      </c>
      <c r="CT196" s="10" t="str">
        <f t="shared" si="373"/>
        <v xml:space="preserve"> </v>
      </c>
      <c r="CU196" s="10" t="str">
        <f t="shared" si="373"/>
        <v xml:space="preserve"> </v>
      </c>
      <c r="CV196" s="10" t="str">
        <f t="shared" si="373"/>
        <v xml:space="preserve"> </v>
      </c>
      <c r="CW196" s="10" t="str">
        <f t="shared" si="373"/>
        <v xml:space="preserve"> </v>
      </c>
      <c r="CZ196" s="10" t="str">
        <f t="shared" si="374"/>
        <v xml:space="preserve"> </v>
      </c>
      <c r="DA196" s="10" t="str">
        <f t="shared" si="374"/>
        <v xml:space="preserve"> </v>
      </c>
      <c r="DB196" s="10" t="str">
        <f t="shared" si="374"/>
        <v xml:space="preserve"> </v>
      </c>
      <c r="DC196" s="10" t="str">
        <f t="shared" si="374"/>
        <v xml:space="preserve"> </v>
      </c>
      <c r="DD196" s="10" t="str">
        <f t="shared" si="374"/>
        <v xml:space="preserve"> </v>
      </c>
      <c r="DG196" s="10" t="str">
        <f t="shared" si="375"/>
        <v xml:space="preserve"> </v>
      </c>
      <c r="DH196" s="10" t="str">
        <f t="shared" si="375"/>
        <v xml:space="preserve"> </v>
      </c>
      <c r="DI196" s="10" t="str">
        <f t="shared" si="375"/>
        <v xml:space="preserve"> </v>
      </c>
      <c r="DJ196" s="10" t="str">
        <f t="shared" si="375"/>
        <v xml:space="preserve"> </v>
      </c>
      <c r="DK196" s="10" t="str">
        <f t="shared" si="375"/>
        <v xml:space="preserve"> </v>
      </c>
      <c r="DN196" s="10" t="str">
        <f t="shared" si="376"/>
        <v xml:space="preserve"> </v>
      </c>
      <c r="DO196" s="10" t="str">
        <f t="shared" si="376"/>
        <v xml:space="preserve"> </v>
      </c>
      <c r="DP196" s="10" t="str">
        <f t="shared" si="376"/>
        <v xml:space="preserve"> </v>
      </c>
      <c r="DQ196" s="10" t="str">
        <f t="shared" si="376"/>
        <v xml:space="preserve"> </v>
      </c>
      <c r="DR196" s="10" t="str">
        <f t="shared" si="376"/>
        <v xml:space="preserve"> </v>
      </c>
      <c r="DU196" s="10" t="str">
        <f t="shared" si="377"/>
        <v xml:space="preserve"> </v>
      </c>
      <c r="DV196" s="10" t="str">
        <f t="shared" si="377"/>
        <v xml:space="preserve"> </v>
      </c>
      <c r="DW196" s="10" t="str">
        <f t="shared" si="377"/>
        <v xml:space="preserve"> </v>
      </c>
      <c r="DX196" s="10" t="str">
        <f t="shared" si="377"/>
        <v xml:space="preserve"> </v>
      </c>
      <c r="DY196" s="10" t="str">
        <f t="shared" si="377"/>
        <v xml:space="preserve"> </v>
      </c>
      <c r="EB196" s="10" t="str">
        <f t="shared" si="378"/>
        <v xml:space="preserve"> </v>
      </c>
      <c r="EC196" s="10" t="str">
        <f t="shared" si="378"/>
        <v xml:space="preserve"> </v>
      </c>
      <c r="ED196" s="10" t="str">
        <f t="shared" si="378"/>
        <v xml:space="preserve"> </v>
      </c>
      <c r="EE196" s="10" t="str">
        <f t="shared" si="378"/>
        <v xml:space="preserve"> </v>
      </c>
      <c r="EF196" s="10" t="str">
        <f t="shared" si="378"/>
        <v xml:space="preserve"> </v>
      </c>
      <c r="EI196" s="10" t="str">
        <f t="shared" si="379"/>
        <v xml:space="preserve"> </v>
      </c>
      <c r="EJ196" s="10" t="str">
        <f t="shared" si="379"/>
        <v xml:space="preserve"> </v>
      </c>
      <c r="EK196" s="10" t="str">
        <f t="shared" si="379"/>
        <v xml:space="preserve"> </v>
      </c>
      <c r="EL196" s="10" t="str">
        <f t="shared" si="379"/>
        <v xml:space="preserve"> </v>
      </c>
      <c r="EM196" s="10" t="str">
        <f t="shared" si="379"/>
        <v xml:space="preserve"> </v>
      </c>
      <c r="EP196" s="10" t="str">
        <f t="shared" si="380"/>
        <v xml:space="preserve"> </v>
      </c>
      <c r="EQ196" s="10" t="str">
        <f t="shared" si="380"/>
        <v xml:space="preserve"> </v>
      </c>
      <c r="ER196" s="10" t="str">
        <f t="shared" si="380"/>
        <v xml:space="preserve"> </v>
      </c>
      <c r="ES196" s="10" t="str">
        <f t="shared" si="380"/>
        <v xml:space="preserve"> </v>
      </c>
      <c r="ET196" s="10" t="str">
        <f t="shared" si="380"/>
        <v xml:space="preserve"> </v>
      </c>
      <c r="EW196" s="10" t="str">
        <f t="shared" si="381"/>
        <v xml:space="preserve"> </v>
      </c>
      <c r="EX196" s="10" t="str">
        <f t="shared" si="381"/>
        <v xml:space="preserve"> </v>
      </c>
      <c r="EY196" s="10" t="str">
        <f t="shared" si="381"/>
        <v xml:space="preserve"> </v>
      </c>
      <c r="EZ196" s="10" t="str">
        <f t="shared" si="381"/>
        <v xml:space="preserve"> </v>
      </c>
      <c r="FA196" s="10" t="str">
        <f t="shared" si="381"/>
        <v xml:space="preserve"> </v>
      </c>
      <c r="FD196" s="10" t="str">
        <f t="shared" si="382"/>
        <v xml:space="preserve"> </v>
      </c>
      <c r="FE196" s="10" t="str">
        <f t="shared" si="382"/>
        <v xml:space="preserve"> </v>
      </c>
      <c r="FF196" s="10" t="str">
        <f t="shared" si="382"/>
        <v xml:space="preserve"> </v>
      </c>
      <c r="FG196" s="10" t="str">
        <f t="shared" si="382"/>
        <v xml:space="preserve"> </v>
      </c>
      <c r="FH196" s="10" t="str">
        <f t="shared" si="382"/>
        <v xml:space="preserve"> </v>
      </c>
      <c r="FK196" s="10" t="str">
        <f t="shared" si="383"/>
        <v xml:space="preserve"> </v>
      </c>
      <c r="FL196" s="10" t="str">
        <f t="shared" si="383"/>
        <v xml:space="preserve"> </v>
      </c>
      <c r="FM196" s="10" t="str">
        <f t="shared" si="383"/>
        <v xml:space="preserve"> </v>
      </c>
      <c r="FN196" s="10" t="str">
        <f t="shared" si="383"/>
        <v xml:space="preserve"> </v>
      </c>
      <c r="FO196" s="10" t="str">
        <f t="shared" si="383"/>
        <v xml:space="preserve"> </v>
      </c>
      <c r="FR196" s="10" t="str">
        <f t="shared" si="384"/>
        <v xml:space="preserve"> </v>
      </c>
      <c r="FS196" s="10" t="str">
        <f t="shared" si="384"/>
        <v xml:space="preserve"> </v>
      </c>
      <c r="FT196" s="10" t="str">
        <f t="shared" si="384"/>
        <v xml:space="preserve"> </v>
      </c>
      <c r="FU196" s="10" t="str">
        <f t="shared" si="384"/>
        <v xml:space="preserve"> </v>
      </c>
      <c r="FV196" s="10" t="str">
        <f t="shared" si="384"/>
        <v xml:space="preserve"> </v>
      </c>
      <c r="FY196" s="10" t="str">
        <f t="shared" si="385"/>
        <v xml:space="preserve"> </v>
      </c>
      <c r="FZ196" s="10" t="str">
        <f t="shared" si="385"/>
        <v xml:space="preserve"> </v>
      </c>
      <c r="GA196" s="10" t="str">
        <f t="shared" si="385"/>
        <v xml:space="preserve"> </v>
      </c>
      <c r="GB196" s="10" t="str">
        <f t="shared" si="385"/>
        <v xml:space="preserve"> </v>
      </c>
      <c r="GC196" s="10" t="str">
        <f t="shared" si="385"/>
        <v xml:space="preserve"> </v>
      </c>
      <c r="GF196" s="10" t="str">
        <f t="shared" si="386"/>
        <v xml:space="preserve"> </v>
      </c>
      <c r="GG196" s="10" t="str">
        <f t="shared" si="386"/>
        <v xml:space="preserve"> </v>
      </c>
      <c r="GH196" s="10" t="str">
        <f t="shared" si="386"/>
        <v xml:space="preserve"> </v>
      </c>
      <c r="GI196" s="10" t="str">
        <f t="shared" si="386"/>
        <v xml:space="preserve"> </v>
      </c>
      <c r="GJ196" s="10" t="str">
        <f t="shared" si="386"/>
        <v xml:space="preserve"> </v>
      </c>
      <c r="GM196" s="10" t="str">
        <f t="shared" si="387"/>
        <v xml:space="preserve"> </v>
      </c>
      <c r="GN196" s="10" t="str">
        <f t="shared" si="387"/>
        <v xml:space="preserve"> </v>
      </c>
      <c r="GO196" s="10" t="str">
        <f t="shared" si="387"/>
        <v xml:space="preserve"> </v>
      </c>
      <c r="GP196" s="10" t="str">
        <f t="shared" si="387"/>
        <v xml:space="preserve"> </v>
      </c>
      <c r="GQ196" s="10" t="str">
        <f t="shared" si="387"/>
        <v xml:space="preserve"> </v>
      </c>
      <c r="GT196" s="10" t="str">
        <f t="shared" si="388"/>
        <v xml:space="preserve"> </v>
      </c>
      <c r="GU196" s="10" t="str">
        <f t="shared" si="388"/>
        <v xml:space="preserve"> </v>
      </c>
      <c r="GV196" s="10" t="str">
        <f t="shared" si="388"/>
        <v xml:space="preserve"> </v>
      </c>
      <c r="GW196" s="10" t="str">
        <f t="shared" si="388"/>
        <v xml:space="preserve"> </v>
      </c>
      <c r="GX196" s="10" t="str">
        <f t="shared" si="388"/>
        <v xml:space="preserve"> </v>
      </c>
      <c r="HA196" s="10" t="str">
        <f t="shared" si="389"/>
        <v xml:space="preserve"> </v>
      </c>
      <c r="HB196" s="10" t="str">
        <f t="shared" si="389"/>
        <v xml:space="preserve"> </v>
      </c>
      <c r="HC196" s="10" t="str">
        <f t="shared" si="389"/>
        <v xml:space="preserve"> </v>
      </c>
      <c r="HD196" s="10" t="str">
        <f t="shared" si="389"/>
        <v xml:space="preserve"> </v>
      </c>
      <c r="HE196" s="10" t="str">
        <f t="shared" si="389"/>
        <v xml:space="preserve"> </v>
      </c>
      <c r="HH196" s="10" t="str">
        <f t="shared" si="390"/>
        <v xml:space="preserve"> </v>
      </c>
      <c r="HI196" s="10" t="str">
        <f t="shared" si="390"/>
        <v xml:space="preserve"> </v>
      </c>
      <c r="HJ196" s="10" t="str">
        <f t="shared" si="390"/>
        <v xml:space="preserve"> </v>
      </c>
      <c r="HK196" s="10" t="str">
        <f t="shared" si="390"/>
        <v xml:space="preserve"> </v>
      </c>
      <c r="HL196" s="10" t="str">
        <f t="shared" si="390"/>
        <v xml:space="preserve"> </v>
      </c>
      <c r="HO196" s="10" t="str">
        <f t="shared" si="391"/>
        <v xml:space="preserve"> </v>
      </c>
      <c r="HP196" s="10" t="str">
        <f t="shared" si="391"/>
        <v xml:space="preserve"> </v>
      </c>
      <c r="HQ196" s="10" t="str">
        <f t="shared" si="391"/>
        <v xml:space="preserve"> </v>
      </c>
      <c r="HR196" s="10" t="str">
        <f t="shared" si="391"/>
        <v xml:space="preserve"> </v>
      </c>
      <c r="HS196" s="10" t="str">
        <f t="shared" si="391"/>
        <v xml:space="preserve"> </v>
      </c>
      <c r="HV196" s="10" t="str">
        <f t="shared" si="392"/>
        <v xml:space="preserve"> </v>
      </c>
      <c r="HW196" s="10" t="str">
        <f t="shared" si="392"/>
        <v xml:space="preserve"> </v>
      </c>
      <c r="HX196" s="10" t="str">
        <f t="shared" si="392"/>
        <v xml:space="preserve"> </v>
      </c>
      <c r="HY196" s="10" t="str">
        <f t="shared" si="392"/>
        <v xml:space="preserve"> </v>
      </c>
      <c r="HZ196" s="10" t="str">
        <f t="shared" si="392"/>
        <v xml:space="preserve"> </v>
      </c>
      <c r="IC196" s="10" t="str">
        <f t="shared" si="393"/>
        <v xml:space="preserve"> </v>
      </c>
      <c r="ID196" s="10" t="str">
        <f t="shared" si="393"/>
        <v xml:space="preserve"> </v>
      </c>
      <c r="IE196" s="10" t="str">
        <f t="shared" si="393"/>
        <v xml:space="preserve"> </v>
      </c>
      <c r="IF196" s="10" t="str">
        <f t="shared" si="393"/>
        <v xml:space="preserve"> </v>
      </c>
      <c r="IG196" s="10" t="str">
        <f t="shared" si="393"/>
        <v xml:space="preserve"> </v>
      </c>
      <c r="IJ196" s="10" t="str">
        <f t="shared" si="394"/>
        <v xml:space="preserve"> </v>
      </c>
      <c r="IK196" s="10" t="str">
        <f t="shared" si="394"/>
        <v xml:space="preserve"> </v>
      </c>
      <c r="IL196" s="10" t="str">
        <f t="shared" si="394"/>
        <v xml:space="preserve"> </v>
      </c>
      <c r="IM196" s="10" t="str">
        <f t="shared" si="394"/>
        <v xml:space="preserve"> </v>
      </c>
      <c r="IN196" s="10" t="str">
        <f t="shared" si="394"/>
        <v xml:space="preserve"> </v>
      </c>
      <c r="IQ196" s="10" t="str">
        <f t="shared" si="395"/>
        <v xml:space="preserve"> </v>
      </c>
      <c r="IR196" s="10" t="str">
        <f t="shared" si="395"/>
        <v xml:space="preserve"> </v>
      </c>
      <c r="IS196" s="10" t="str">
        <f t="shared" si="395"/>
        <v xml:space="preserve"> </v>
      </c>
      <c r="IT196" s="10" t="str">
        <f t="shared" si="395"/>
        <v xml:space="preserve"> </v>
      </c>
      <c r="IU196" s="10" t="str">
        <f t="shared" si="395"/>
        <v xml:space="preserve"> </v>
      </c>
      <c r="IX196" s="10" t="str">
        <f t="shared" si="396"/>
        <v xml:space="preserve"> </v>
      </c>
      <c r="IY196" s="10" t="str">
        <f t="shared" si="396"/>
        <v xml:space="preserve"> </v>
      </c>
      <c r="IZ196" s="10" t="str">
        <f t="shared" si="396"/>
        <v xml:space="preserve"> </v>
      </c>
      <c r="JA196" s="10" t="str">
        <f t="shared" si="396"/>
        <v xml:space="preserve"> </v>
      </c>
      <c r="JB196" s="10" t="str">
        <f t="shared" si="396"/>
        <v xml:space="preserve"> </v>
      </c>
      <c r="JE196" s="10" t="str">
        <f t="shared" si="397"/>
        <v xml:space="preserve"> </v>
      </c>
      <c r="JF196" s="10" t="str">
        <f t="shared" si="397"/>
        <v xml:space="preserve"> </v>
      </c>
      <c r="JG196" s="10" t="str">
        <f t="shared" si="397"/>
        <v xml:space="preserve"> </v>
      </c>
      <c r="JH196" s="10" t="str">
        <f t="shared" si="397"/>
        <v xml:space="preserve"> </v>
      </c>
      <c r="JI196" s="10" t="str">
        <f t="shared" si="397"/>
        <v xml:space="preserve"> </v>
      </c>
    </row>
    <row r="197" spans="13:269">
      <c r="M197" s="10" t="str">
        <f t="shared" si="398"/>
        <v xml:space="preserve"> </v>
      </c>
      <c r="N197" s="10" t="str">
        <f t="shared" si="398"/>
        <v xml:space="preserve"> </v>
      </c>
      <c r="O197" s="10" t="str">
        <f t="shared" si="398"/>
        <v xml:space="preserve"> </v>
      </c>
      <c r="P197" s="10" t="str">
        <f t="shared" si="398"/>
        <v xml:space="preserve"> </v>
      </c>
      <c r="Q197" s="10" t="str">
        <f t="shared" si="398"/>
        <v xml:space="preserve"> </v>
      </c>
      <c r="R197" s="14"/>
      <c r="S197" s="14"/>
      <c r="T197" s="10" t="str">
        <f t="shared" si="362"/>
        <v xml:space="preserve"> </v>
      </c>
      <c r="U197" s="10" t="str">
        <f t="shared" si="362"/>
        <v xml:space="preserve"> </v>
      </c>
      <c r="V197" s="10" t="str">
        <f t="shared" si="362"/>
        <v xml:space="preserve"> </v>
      </c>
      <c r="W197" s="10" t="str">
        <f t="shared" si="362"/>
        <v xml:space="preserve"> </v>
      </c>
      <c r="X197" s="10" t="str">
        <f t="shared" si="362"/>
        <v xml:space="preserve"> </v>
      </c>
      <c r="Y197" s="14"/>
      <c r="Z197" s="14"/>
      <c r="AA197" s="10" t="str">
        <f t="shared" si="363"/>
        <v xml:space="preserve"> </v>
      </c>
      <c r="AB197" s="10" t="str">
        <f t="shared" si="363"/>
        <v xml:space="preserve"> </v>
      </c>
      <c r="AC197" s="10" t="str">
        <f t="shared" si="363"/>
        <v xml:space="preserve"> </v>
      </c>
      <c r="AD197" s="10" t="str">
        <f t="shared" si="363"/>
        <v xml:space="preserve"> </v>
      </c>
      <c r="AE197" s="10" t="str">
        <f t="shared" si="363"/>
        <v xml:space="preserve"> </v>
      </c>
      <c r="AF197" s="14"/>
      <c r="AG197" s="14"/>
      <c r="AH197" s="10" t="str">
        <f t="shared" si="364"/>
        <v xml:space="preserve"> </v>
      </c>
      <c r="AI197" s="10" t="str">
        <f t="shared" si="364"/>
        <v xml:space="preserve"> </v>
      </c>
      <c r="AJ197" s="10" t="str">
        <f t="shared" si="364"/>
        <v xml:space="preserve"> </v>
      </c>
      <c r="AK197" s="10" t="str">
        <f t="shared" si="364"/>
        <v xml:space="preserve"> </v>
      </c>
      <c r="AL197" s="10" t="str">
        <f t="shared" si="364"/>
        <v xml:space="preserve"> </v>
      </c>
      <c r="AM197" s="14"/>
      <c r="AN197" s="14"/>
      <c r="AO197" s="10" t="str">
        <f t="shared" si="365"/>
        <v xml:space="preserve"> </v>
      </c>
      <c r="AP197" s="10" t="str">
        <f t="shared" si="365"/>
        <v xml:space="preserve"> </v>
      </c>
      <c r="AQ197" s="10" t="str">
        <f t="shared" si="365"/>
        <v xml:space="preserve"> </v>
      </c>
      <c r="AR197" s="10" t="str">
        <f t="shared" si="365"/>
        <v xml:space="preserve"> </v>
      </c>
      <c r="AS197" s="10" t="str">
        <f t="shared" si="365"/>
        <v xml:space="preserve"> </v>
      </c>
      <c r="AT197" s="14"/>
      <c r="AU197" s="14"/>
      <c r="AV197" s="10" t="str">
        <f t="shared" si="366"/>
        <v xml:space="preserve"> </v>
      </c>
      <c r="AW197" s="10" t="str">
        <f t="shared" si="366"/>
        <v xml:space="preserve"> </v>
      </c>
      <c r="AX197" s="10" t="str">
        <f t="shared" si="366"/>
        <v xml:space="preserve"> </v>
      </c>
      <c r="AY197" s="10" t="str">
        <f t="shared" si="366"/>
        <v xml:space="preserve"> </v>
      </c>
      <c r="AZ197" s="10" t="str">
        <f t="shared" si="366"/>
        <v xml:space="preserve"> </v>
      </c>
      <c r="BA197" s="14"/>
      <c r="BB197" s="14"/>
      <c r="BC197" s="10" t="str">
        <f t="shared" si="367"/>
        <v xml:space="preserve"> </v>
      </c>
      <c r="BD197" s="10" t="str">
        <f t="shared" si="367"/>
        <v xml:space="preserve"> </v>
      </c>
      <c r="BE197" s="10" t="str">
        <f t="shared" si="367"/>
        <v xml:space="preserve"> </v>
      </c>
      <c r="BF197" s="10" t="str">
        <f t="shared" si="367"/>
        <v xml:space="preserve"> </v>
      </c>
      <c r="BG197" s="10" t="str">
        <f t="shared" si="367"/>
        <v xml:space="preserve"> </v>
      </c>
      <c r="BH197" s="14"/>
      <c r="BI197" s="14"/>
      <c r="BJ197" s="10" t="str">
        <f t="shared" si="368"/>
        <v xml:space="preserve"> </v>
      </c>
      <c r="BK197" s="10" t="str">
        <f t="shared" si="368"/>
        <v xml:space="preserve"> </v>
      </c>
      <c r="BL197" s="10" t="str">
        <f t="shared" si="368"/>
        <v xml:space="preserve"> </v>
      </c>
      <c r="BM197" s="10" t="str">
        <f t="shared" si="368"/>
        <v xml:space="preserve"> </v>
      </c>
      <c r="BN197" s="10" t="str">
        <f t="shared" si="368"/>
        <v xml:space="preserve"> </v>
      </c>
      <c r="BO197" s="14"/>
      <c r="BP197" s="14"/>
      <c r="BQ197" s="10" t="str">
        <f t="shared" si="369"/>
        <v xml:space="preserve"> </v>
      </c>
      <c r="BR197" s="10" t="str">
        <f t="shared" si="369"/>
        <v xml:space="preserve"> </v>
      </c>
      <c r="BS197" s="10" t="str">
        <f t="shared" si="369"/>
        <v xml:space="preserve"> </v>
      </c>
      <c r="BT197" s="10" t="str">
        <f t="shared" si="369"/>
        <v xml:space="preserve"> </v>
      </c>
      <c r="BU197" s="10" t="str">
        <f t="shared" si="369"/>
        <v xml:space="preserve"> </v>
      </c>
      <c r="BV197" s="14"/>
      <c r="BW197" s="14"/>
      <c r="BX197" s="10" t="str">
        <f t="shared" si="370"/>
        <v xml:space="preserve"> </v>
      </c>
      <c r="BY197" s="10" t="str">
        <f t="shared" si="370"/>
        <v xml:space="preserve"> </v>
      </c>
      <c r="BZ197" s="10" t="str">
        <f t="shared" si="370"/>
        <v xml:space="preserve"> </v>
      </c>
      <c r="CA197" s="10" t="str">
        <f t="shared" si="370"/>
        <v xml:space="preserve"> </v>
      </c>
      <c r="CB197" s="10" t="str">
        <f t="shared" si="370"/>
        <v xml:space="preserve"> </v>
      </c>
      <c r="CC197" s="14"/>
      <c r="CD197" s="14"/>
      <c r="CE197" s="10" t="str">
        <f t="shared" si="371"/>
        <v xml:space="preserve"> </v>
      </c>
      <c r="CF197" s="10" t="str">
        <f t="shared" si="371"/>
        <v xml:space="preserve"> </v>
      </c>
      <c r="CG197" s="10" t="str">
        <f t="shared" si="371"/>
        <v xml:space="preserve"> </v>
      </c>
      <c r="CH197" s="10" t="str">
        <f t="shared" si="371"/>
        <v xml:space="preserve"> </v>
      </c>
      <c r="CI197" s="10" t="str">
        <f t="shared" si="371"/>
        <v xml:space="preserve"> </v>
      </c>
      <c r="CJ197" s="14"/>
      <c r="CK197" s="14"/>
      <c r="CL197" s="10" t="str">
        <f t="shared" si="372"/>
        <v xml:space="preserve"> </v>
      </c>
      <c r="CM197" s="10" t="str">
        <f t="shared" si="372"/>
        <v xml:space="preserve"> </v>
      </c>
      <c r="CN197" s="10" t="str">
        <f t="shared" si="372"/>
        <v xml:space="preserve"> </v>
      </c>
      <c r="CO197" s="10" t="str">
        <f t="shared" si="372"/>
        <v xml:space="preserve"> </v>
      </c>
      <c r="CP197" s="10" t="str">
        <f t="shared" si="372"/>
        <v xml:space="preserve"> </v>
      </c>
      <c r="CQ197" s="14"/>
      <c r="CR197" s="14"/>
      <c r="CS197" s="10" t="str">
        <f t="shared" si="373"/>
        <v xml:space="preserve"> </v>
      </c>
      <c r="CT197" s="10" t="str">
        <f t="shared" si="373"/>
        <v xml:space="preserve"> </v>
      </c>
      <c r="CU197" s="10" t="str">
        <f t="shared" si="373"/>
        <v xml:space="preserve"> </v>
      </c>
      <c r="CV197" s="10" t="str">
        <f t="shared" si="373"/>
        <v xml:space="preserve"> </v>
      </c>
      <c r="CW197" s="10" t="str">
        <f t="shared" si="373"/>
        <v xml:space="preserve"> </v>
      </c>
      <c r="CZ197" s="10" t="str">
        <f t="shared" si="374"/>
        <v xml:space="preserve"> </v>
      </c>
      <c r="DA197" s="10" t="str">
        <f t="shared" si="374"/>
        <v xml:space="preserve"> </v>
      </c>
      <c r="DB197" s="10" t="str">
        <f t="shared" si="374"/>
        <v xml:space="preserve"> </v>
      </c>
      <c r="DC197" s="10" t="str">
        <f t="shared" si="374"/>
        <v xml:space="preserve"> </v>
      </c>
      <c r="DD197" s="10" t="str">
        <f t="shared" si="374"/>
        <v xml:space="preserve"> </v>
      </c>
      <c r="DG197" s="10" t="str">
        <f t="shared" si="375"/>
        <v xml:space="preserve"> </v>
      </c>
      <c r="DH197" s="10" t="str">
        <f t="shared" si="375"/>
        <v xml:space="preserve"> </v>
      </c>
      <c r="DI197" s="10" t="str">
        <f t="shared" si="375"/>
        <v xml:space="preserve"> </v>
      </c>
      <c r="DJ197" s="10" t="str">
        <f t="shared" si="375"/>
        <v xml:space="preserve"> </v>
      </c>
      <c r="DK197" s="10" t="str">
        <f t="shared" si="375"/>
        <v xml:space="preserve"> </v>
      </c>
      <c r="DN197" s="10" t="str">
        <f t="shared" si="376"/>
        <v xml:space="preserve"> </v>
      </c>
      <c r="DO197" s="10" t="str">
        <f t="shared" si="376"/>
        <v xml:space="preserve"> </v>
      </c>
      <c r="DP197" s="10" t="str">
        <f t="shared" si="376"/>
        <v xml:space="preserve"> </v>
      </c>
      <c r="DQ197" s="10" t="str">
        <f t="shared" si="376"/>
        <v xml:space="preserve"> </v>
      </c>
      <c r="DR197" s="10" t="str">
        <f t="shared" si="376"/>
        <v xml:space="preserve"> </v>
      </c>
      <c r="DU197" s="10" t="str">
        <f t="shared" si="377"/>
        <v xml:space="preserve"> </v>
      </c>
      <c r="DV197" s="10" t="str">
        <f t="shared" si="377"/>
        <v xml:space="preserve"> </v>
      </c>
      <c r="DW197" s="10" t="str">
        <f t="shared" si="377"/>
        <v xml:space="preserve"> </v>
      </c>
      <c r="DX197" s="10" t="str">
        <f t="shared" si="377"/>
        <v xml:space="preserve"> </v>
      </c>
      <c r="DY197" s="10" t="str">
        <f t="shared" si="377"/>
        <v xml:space="preserve"> </v>
      </c>
      <c r="EB197" s="10" t="str">
        <f t="shared" si="378"/>
        <v xml:space="preserve"> </v>
      </c>
      <c r="EC197" s="10" t="str">
        <f t="shared" si="378"/>
        <v xml:space="preserve"> </v>
      </c>
      <c r="ED197" s="10" t="str">
        <f t="shared" si="378"/>
        <v xml:space="preserve"> </v>
      </c>
      <c r="EE197" s="10" t="str">
        <f t="shared" si="378"/>
        <v xml:space="preserve"> </v>
      </c>
      <c r="EF197" s="10" t="str">
        <f t="shared" si="378"/>
        <v xml:space="preserve"> </v>
      </c>
      <c r="EI197" s="10" t="str">
        <f t="shared" si="379"/>
        <v xml:space="preserve"> </v>
      </c>
      <c r="EJ197" s="10" t="str">
        <f t="shared" si="379"/>
        <v xml:space="preserve"> </v>
      </c>
      <c r="EK197" s="10" t="str">
        <f t="shared" si="379"/>
        <v xml:space="preserve"> </v>
      </c>
      <c r="EL197" s="10" t="str">
        <f t="shared" si="379"/>
        <v xml:space="preserve"> </v>
      </c>
      <c r="EM197" s="10" t="str">
        <f t="shared" si="379"/>
        <v xml:space="preserve"> </v>
      </c>
      <c r="EP197" s="10" t="str">
        <f t="shared" si="380"/>
        <v xml:space="preserve"> </v>
      </c>
      <c r="EQ197" s="10" t="str">
        <f t="shared" si="380"/>
        <v xml:space="preserve"> </v>
      </c>
      <c r="ER197" s="10" t="str">
        <f t="shared" si="380"/>
        <v xml:space="preserve"> </v>
      </c>
      <c r="ES197" s="10" t="str">
        <f t="shared" si="380"/>
        <v xml:space="preserve"> </v>
      </c>
      <c r="ET197" s="10" t="str">
        <f t="shared" si="380"/>
        <v xml:space="preserve"> </v>
      </c>
      <c r="EW197" s="10" t="str">
        <f t="shared" si="381"/>
        <v xml:space="preserve"> </v>
      </c>
      <c r="EX197" s="10" t="str">
        <f t="shared" si="381"/>
        <v xml:space="preserve"> </v>
      </c>
      <c r="EY197" s="10" t="str">
        <f t="shared" si="381"/>
        <v xml:space="preserve"> </v>
      </c>
      <c r="EZ197" s="10" t="str">
        <f t="shared" si="381"/>
        <v xml:space="preserve"> </v>
      </c>
      <c r="FA197" s="10" t="str">
        <f t="shared" si="381"/>
        <v xml:space="preserve"> </v>
      </c>
      <c r="FD197" s="10" t="str">
        <f t="shared" si="382"/>
        <v xml:space="preserve"> </v>
      </c>
      <c r="FE197" s="10" t="str">
        <f t="shared" si="382"/>
        <v xml:space="preserve"> </v>
      </c>
      <c r="FF197" s="10" t="str">
        <f t="shared" si="382"/>
        <v xml:space="preserve"> </v>
      </c>
      <c r="FG197" s="10" t="str">
        <f t="shared" si="382"/>
        <v xml:space="preserve"> </v>
      </c>
      <c r="FH197" s="10" t="str">
        <f t="shared" si="382"/>
        <v xml:space="preserve"> </v>
      </c>
      <c r="FK197" s="10" t="str">
        <f t="shared" si="383"/>
        <v xml:space="preserve"> </v>
      </c>
      <c r="FL197" s="10" t="str">
        <f t="shared" si="383"/>
        <v xml:space="preserve"> </v>
      </c>
      <c r="FM197" s="10" t="str">
        <f t="shared" si="383"/>
        <v xml:space="preserve"> </v>
      </c>
      <c r="FN197" s="10" t="str">
        <f t="shared" si="383"/>
        <v xml:space="preserve"> </v>
      </c>
      <c r="FO197" s="10" t="str">
        <f t="shared" si="383"/>
        <v xml:space="preserve"> </v>
      </c>
      <c r="FR197" s="10" t="str">
        <f t="shared" si="384"/>
        <v xml:space="preserve"> </v>
      </c>
      <c r="FS197" s="10" t="str">
        <f t="shared" si="384"/>
        <v xml:space="preserve"> </v>
      </c>
      <c r="FT197" s="10" t="str">
        <f t="shared" si="384"/>
        <v xml:space="preserve"> </v>
      </c>
      <c r="FU197" s="10" t="str">
        <f t="shared" si="384"/>
        <v xml:space="preserve"> </v>
      </c>
      <c r="FV197" s="10" t="str">
        <f t="shared" si="384"/>
        <v xml:space="preserve"> </v>
      </c>
      <c r="FY197" s="10" t="str">
        <f t="shared" si="385"/>
        <v xml:space="preserve"> </v>
      </c>
      <c r="FZ197" s="10" t="str">
        <f t="shared" si="385"/>
        <v xml:space="preserve"> </v>
      </c>
      <c r="GA197" s="10" t="str">
        <f t="shared" si="385"/>
        <v xml:space="preserve"> </v>
      </c>
      <c r="GB197" s="10" t="str">
        <f t="shared" si="385"/>
        <v xml:space="preserve"> </v>
      </c>
      <c r="GC197" s="10" t="str">
        <f t="shared" si="385"/>
        <v xml:space="preserve"> </v>
      </c>
      <c r="GF197" s="10" t="str">
        <f t="shared" si="386"/>
        <v xml:space="preserve"> </v>
      </c>
      <c r="GG197" s="10" t="str">
        <f t="shared" si="386"/>
        <v xml:space="preserve"> </v>
      </c>
      <c r="GH197" s="10" t="str">
        <f t="shared" si="386"/>
        <v xml:space="preserve"> </v>
      </c>
      <c r="GI197" s="10" t="str">
        <f t="shared" si="386"/>
        <v xml:space="preserve"> </v>
      </c>
      <c r="GJ197" s="10" t="str">
        <f t="shared" si="386"/>
        <v xml:space="preserve"> </v>
      </c>
      <c r="GM197" s="10" t="str">
        <f t="shared" si="387"/>
        <v xml:space="preserve"> </v>
      </c>
      <c r="GN197" s="10" t="str">
        <f t="shared" si="387"/>
        <v xml:space="preserve"> </v>
      </c>
      <c r="GO197" s="10" t="str">
        <f t="shared" si="387"/>
        <v xml:space="preserve"> </v>
      </c>
      <c r="GP197" s="10" t="str">
        <f t="shared" si="387"/>
        <v xml:space="preserve"> </v>
      </c>
      <c r="GQ197" s="10" t="str">
        <f t="shared" si="387"/>
        <v xml:space="preserve"> </v>
      </c>
      <c r="GT197" s="10" t="str">
        <f t="shared" si="388"/>
        <v xml:space="preserve"> </v>
      </c>
      <c r="GU197" s="10" t="str">
        <f t="shared" si="388"/>
        <v xml:space="preserve"> </v>
      </c>
      <c r="GV197" s="10" t="str">
        <f t="shared" si="388"/>
        <v xml:space="preserve"> </v>
      </c>
      <c r="GW197" s="10" t="str">
        <f t="shared" si="388"/>
        <v xml:space="preserve"> </v>
      </c>
      <c r="GX197" s="10" t="str">
        <f t="shared" si="388"/>
        <v xml:space="preserve"> </v>
      </c>
      <c r="HA197" s="10" t="str">
        <f t="shared" si="389"/>
        <v xml:space="preserve"> </v>
      </c>
      <c r="HB197" s="10" t="str">
        <f t="shared" si="389"/>
        <v xml:space="preserve"> </v>
      </c>
      <c r="HC197" s="10" t="str">
        <f t="shared" si="389"/>
        <v xml:space="preserve"> </v>
      </c>
      <c r="HD197" s="10" t="str">
        <f t="shared" si="389"/>
        <v xml:space="preserve"> </v>
      </c>
      <c r="HE197" s="10" t="str">
        <f t="shared" si="389"/>
        <v xml:space="preserve"> </v>
      </c>
      <c r="HH197" s="10" t="str">
        <f t="shared" si="390"/>
        <v xml:space="preserve"> </v>
      </c>
      <c r="HI197" s="10" t="str">
        <f t="shared" si="390"/>
        <v xml:space="preserve"> </v>
      </c>
      <c r="HJ197" s="10" t="str">
        <f t="shared" si="390"/>
        <v xml:space="preserve"> </v>
      </c>
      <c r="HK197" s="10" t="str">
        <f t="shared" si="390"/>
        <v xml:space="preserve"> </v>
      </c>
      <c r="HL197" s="10" t="str">
        <f t="shared" si="390"/>
        <v xml:space="preserve"> </v>
      </c>
      <c r="HO197" s="10" t="str">
        <f t="shared" si="391"/>
        <v xml:space="preserve"> </v>
      </c>
      <c r="HP197" s="10" t="str">
        <f t="shared" si="391"/>
        <v xml:space="preserve"> </v>
      </c>
      <c r="HQ197" s="10" t="str">
        <f t="shared" si="391"/>
        <v xml:space="preserve"> </v>
      </c>
      <c r="HR197" s="10" t="str">
        <f t="shared" si="391"/>
        <v xml:space="preserve"> </v>
      </c>
      <c r="HS197" s="10" t="str">
        <f t="shared" si="391"/>
        <v xml:space="preserve"> </v>
      </c>
      <c r="HV197" s="10" t="str">
        <f t="shared" si="392"/>
        <v xml:space="preserve"> </v>
      </c>
      <c r="HW197" s="10" t="str">
        <f t="shared" si="392"/>
        <v xml:space="preserve"> </v>
      </c>
      <c r="HX197" s="10" t="str">
        <f t="shared" si="392"/>
        <v xml:space="preserve"> </v>
      </c>
      <c r="HY197" s="10" t="str">
        <f t="shared" si="392"/>
        <v xml:space="preserve"> </v>
      </c>
      <c r="HZ197" s="10" t="str">
        <f t="shared" si="392"/>
        <v xml:space="preserve"> </v>
      </c>
      <c r="IC197" s="10" t="str">
        <f t="shared" si="393"/>
        <v xml:space="preserve"> </v>
      </c>
      <c r="ID197" s="10" t="str">
        <f t="shared" si="393"/>
        <v xml:space="preserve"> </v>
      </c>
      <c r="IE197" s="10" t="str">
        <f t="shared" si="393"/>
        <v xml:space="preserve"> </v>
      </c>
      <c r="IF197" s="10" t="str">
        <f t="shared" si="393"/>
        <v xml:space="preserve"> </v>
      </c>
      <c r="IG197" s="10" t="str">
        <f t="shared" si="393"/>
        <v xml:space="preserve"> </v>
      </c>
      <c r="IJ197" s="10" t="str">
        <f t="shared" si="394"/>
        <v xml:space="preserve"> </v>
      </c>
      <c r="IK197" s="10" t="str">
        <f t="shared" si="394"/>
        <v xml:space="preserve"> </v>
      </c>
      <c r="IL197" s="10" t="str">
        <f t="shared" si="394"/>
        <v xml:space="preserve"> </v>
      </c>
      <c r="IM197" s="10" t="str">
        <f t="shared" si="394"/>
        <v xml:space="preserve"> </v>
      </c>
      <c r="IN197" s="10" t="str">
        <f t="shared" si="394"/>
        <v xml:space="preserve"> </v>
      </c>
      <c r="IQ197" s="10" t="str">
        <f t="shared" si="395"/>
        <v xml:space="preserve"> </v>
      </c>
      <c r="IR197" s="10" t="str">
        <f t="shared" si="395"/>
        <v xml:space="preserve"> </v>
      </c>
      <c r="IS197" s="10" t="str">
        <f t="shared" si="395"/>
        <v xml:space="preserve"> </v>
      </c>
      <c r="IT197" s="10" t="str">
        <f t="shared" si="395"/>
        <v xml:space="preserve"> </v>
      </c>
      <c r="IU197" s="10" t="str">
        <f t="shared" si="395"/>
        <v xml:space="preserve"> </v>
      </c>
      <c r="IX197" s="10" t="str">
        <f t="shared" si="396"/>
        <v xml:space="preserve"> </v>
      </c>
      <c r="IY197" s="10" t="str">
        <f t="shared" si="396"/>
        <v xml:space="preserve"> </v>
      </c>
      <c r="IZ197" s="10" t="str">
        <f t="shared" si="396"/>
        <v xml:space="preserve"> </v>
      </c>
      <c r="JA197" s="10" t="str">
        <f t="shared" si="396"/>
        <v xml:space="preserve"> </v>
      </c>
      <c r="JB197" s="10" t="str">
        <f t="shared" si="396"/>
        <v xml:space="preserve"> </v>
      </c>
      <c r="JE197" s="10" t="str">
        <f t="shared" si="397"/>
        <v xml:space="preserve"> </v>
      </c>
      <c r="JF197" s="10" t="str">
        <f t="shared" si="397"/>
        <v xml:space="preserve"> </v>
      </c>
      <c r="JG197" s="10" t="str">
        <f t="shared" si="397"/>
        <v xml:space="preserve"> </v>
      </c>
      <c r="JH197" s="10" t="str">
        <f t="shared" si="397"/>
        <v xml:space="preserve"> </v>
      </c>
      <c r="JI197" s="10" t="str">
        <f t="shared" si="397"/>
        <v xml:space="preserve"> </v>
      </c>
    </row>
    <row r="198" spans="13:269">
      <c r="M198" s="10" t="str">
        <f t="shared" si="398"/>
        <v xml:space="preserve"> </v>
      </c>
      <c r="N198" s="10" t="str">
        <f t="shared" si="398"/>
        <v xml:space="preserve"> </v>
      </c>
      <c r="O198" s="10" t="str">
        <f t="shared" si="398"/>
        <v xml:space="preserve"> </v>
      </c>
      <c r="P198" s="10" t="str">
        <f t="shared" si="398"/>
        <v xml:space="preserve"> </v>
      </c>
      <c r="Q198" s="10" t="str">
        <f t="shared" si="398"/>
        <v xml:space="preserve"> </v>
      </c>
      <c r="R198" s="14"/>
      <c r="S198" s="14"/>
      <c r="T198" s="10" t="str">
        <f t="shared" si="362"/>
        <v xml:space="preserve"> </v>
      </c>
      <c r="U198" s="10" t="str">
        <f t="shared" si="362"/>
        <v xml:space="preserve"> </v>
      </c>
      <c r="V198" s="10" t="str">
        <f t="shared" si="362"/>
        <v xml:space="preserve"> </v>
      </c>
      <c r="W198" s="10" t="str">
        <f t="shared" si="362"/>
        <v xml:space="preserve"> </v>
      </c>
      <c r="X198" s="10" t="str">
        <f t="shared" si="362"/>
        <v xml:space="preserve"> </v>
      </c>
      <c r="Y198" s="14"/>
      <c r="Z198" s="14"/>
      <c r="AA198" s="10" t="str">
        <f t="shared" si="363"/>
        <v xml:space="preserve"> </v>
      </c>
      <c r="AB198" s="10" t="str">
        <f t="shared" si="363"/>
        <v xml:space="preserve"> </v>
      </c>
      <c r="AC198" s="10" t="str">
        <f t="shared" si="363"/>
        <v xml:space="preserve"> </v>
      </c>
      <c r="AD198" s="10" t="str">
        <f t="shared" si="363"/>
        <v xml:space="preserve"> </v>
      </c>
      <c r="AE198" s="10" t="str">
        <f t="shared" si="363"/>
        <v xml:space="preserve"> </v>
      </c>
      <c r="AF198" s="14"/>
      <c r="AG198" s="14"/>
      <c r="AH198" s="10" t="str">
        <f t="shared" si="364"/>
        <v xml:space="preserve"> </v>
      </c>
      <c r="AI198" s="10" t="str">
        <f t="shared" si="364"/>
        <v xml:space="preserve"> </v>
      </c>
      <c r="AJ198" s="10" t="str">
        <f t="shared" si="364"/>
        <v xml:space="preserve"> </v>
      </c>
      <c r="AK198" s="10" t="str">
        <f t="shared" si="364"/>
        <v xml:space="preserve"> </v>
      </c>
      <c r="AL198" s="10" t="str">
        <f t="shared" si="364"/>
        <v xml:space="preserve"> </v>
      </c>
      <c r="AM198" s="14"/>
      <c r="AN198" s="14"/>
      <c r="AO198" s="10" t="str">
        <f t="shared" si="365"/>
        <v xml:space="preserve"> </v>
      </c>
      <c r="AP198" s="10" t="str">
        <f t="shared" si="365"/>
        <v xml:space="preserve"> </v>
      </c>
      <c r="AQ198" s="10" t="str">
        <f t="shared" si="365"/>
        <v xml:space="preserve"> </v>
      </c>
      <c r="AR198" s="10" t="str">
        <f t="shared" si="365"/>
        <v xml:space="preserve"> </v>
      </c>
      <c r="AS198" s="10" t="str">
        <f t="shared" si="365"/>
        <v xml:space="preserve"> </v>
      </c>
      <c r="AT198" s="14"/>
      <c r="AU198" s="14"/>
      <c r="AV198" s="10" t="str">
        <f t="shared" si="366"/>
        <v xml:space="preserve"> </v>
      </c>
      <c r="AW198" s="10" t="str">
        <f t="shared" si="366"/>
        <v xml:space="preserve"> </v>
      </c>
      <c r="AX198" s="10" t="str">
        <f t="shared" si="366"/>
        <v xml:space="preserve"> </v>
      </c>
      <c r="AY198" s="10" t="str">
        <f t="shared" si="366"/>
        <v xml:space="preserve"> </v>
      </c>
      <c r="AZ198" s="10" t="str">
        <f t="shared" si="366"/>
        <v xml:space="preserve"> </v>
      </c>
      <c r="BA198" s="14"/>
      <c r="BB198" s="14"/>
      <c r="BC198" s="10" t="str">
        <f t="shared" si="367"/>
        <v xml:space="preserve"> </v>
      </c>
      <c r="BD198" s="10" t="str">
        <f t="shared" si="367"/>
        <v xml:space="preserve"> </v>
      </c>
      <c r="BE198" s="10" t="str">
        <f t="shared" si="367"/>
        <v xml:space="preserve"> </v>
      </c>
      <c r="BF198" s="10" t="str">
        <f t="shared" si="367"/>
        <v xml:space="preserve"> </v>
      </c>
      <c r="BG198" s="10" t="str">
        <f t="shared" si="367"/>
        <v xml:space="preserve"> </v>
      </c>
      <c r="BH198" s="14"/>
      <c r="BI198" s="14"/>
      <c r="BJ198" s="10" t="str">
        <f t="shared" si="368"/>
        <v xml:space="preserve"> </v>
      </c>
      <c r="BK198" s="10" t="str">
        <f t="shared" si="368"/>
        <v xml:space="preserve"> </v>
      </c>
      <c r="BL198" s="10" t="str">
        <f t="shared" si="368"/>
        <v xml:space="preserve"> </v>
      </c>
      <c r="BM198" s="10" t="str">
        <f t="shared" si="368"/>
        <v xml:space="preserve"> </v>
      </c>
      <c r="BN198" s="10" t="str">
        <f t="shared" si="368"/>
        <v xml:space="preserve"> </v>
      </c>
      <c r="BO198" s="14"/>
      <c r="BP198" s="14"/>
      <c r="BQ198" s="10" t="str">
        <f t="shared" si="369"/>
        <v xml:space="preserve"> </v>
      </c>
      <c r="BR198" s="10" t="str">
        <f t="shared" si="369"/>
        <v xml:space="preserve"> </v>
      </c>
      <c r="BS198" s="10" t="str">
        <f t="shared" si="369"/>
        <v xml:space="preserve"> </v>
      </c>
      <c r="BT198" s="10" t="str">
        <f t="shared" si="369"/>
        <v xml:space="preserve"> </v>
      </c>
      <c r="BU198" s="10" t="str">
        <f t="shared" si="369"/>
        <v xml:space="preserve"> </v>
      </c>
      <c r="BV198" s="14"/>
      <c r="BW198" s="14"/>
      <c r="BX198" s="10" t="str">
        <f t="shared" si="370"/>
        <v xml:space="preserve"> </v>
      </c>
      <c r="BY198" s="10" t="str">
        <f t="shared" si="370"/>
        <v xml:space="preserve"> </v>
      </c>
      <c r="BZ198" s="10" t="str">
        <f t="shared" si="370"/>
        <v xml:space="preserve"> </v>
      </c>
      <c r="CA198" s="10" t="str">
        <f t="shared" si="370"/>
        <v xml:space="preserve"> </v>
      </c>
      <c r="CB198" s="10" t="str">
        <f t="shared" si="370"/>
        <v xml:space="preserve"> </v>
      </c>
      <c r="CC198" s="14"/>
      <c r="CD198" s="14"/>
      <c r="CE198" s="10" t="str">
        <f t="shared" si="371"/>
        <v xml:space="preserve"> </v>
      </c>
      <c r="CF198" s="10" t="str">
        <f t="shared" si="371"/>
        <v xml:space="preserve"> </v>
      </c>
      <c r="CG198" s="10" t="str">
        <f t="shared" si="371"/>
        <v xml:space="preserve"> </v>
      </c>
      <c r="CH198" s="10" t="str">
        <f t="shared" si="371"/>
        <v xml:space="preserve"> </v>
      </c>
      <c r="CI198" s="10" t="str">
        <f t="shared" si="371"/>
        <v xml:space="preserve"> </v>
      </c>
      <c r="CJ198" s="14"/>
      <c r="CK198" s="14"/>
      <c r="CL198" s="10" t="str">
        <f t="shared" si="372"/>
        <v xml:space="preserve"> </v>
      </c>
      <c r="CM198" s="10" t="str">
        <f t="shared" si="372"/>
        <v xml:space="preserve"> </v>
      </c>
      <c r="CN198" s="10" t="str">
        <f t="shared" si="372"/>
        <v xml:space="preserve"> </v>
      </c>
      <c r="CO198" s="10" t="str">
        <f t="shared" si="372"/>
        <v xml:space="preserve"> </v>
      </c>
      <c r="CP198" s="10" t="str">
        <f t="shared" si="372"/>
        <v xml:space="preserve"> </v>
      </c>
      <c r="CQ198" s="14"/>
      <c r="CR198" s="14"/>
      <c r="CS198" s="10" t="str">
        <f t="shared" si="373"/>
        <v xml:space="preserve"> </v>
      </c>
      <c r="CT198" s="10" t="str">
        <f t="shared" si="373"/>
        <v xml:space="preserve"> </v>
      </c>
      <c r="CU198" s="10" t="str">
        <f t="shared" si="373"/>
        <v xml:space="preserve"> </v>
      </c>
      <c r="CV198" s="10" t="str">
        <f t="shared" si="373"/>
        <v xml:space="preserve"> </v>
      </c>
      <c r="CW198" s="10" t="str">
        <f t="shared" si="373"/>
        <v xml:space="preserve"> </v>
      </c>
      <c r="CZ198" s="10" t="str">
        <f t="shared" si="374"/>
        <v xml:space="preserve"> </v>
      </c>
      <c r="DA198" s="10" t="str">
        <f t="shared" si="374"/>
        <v xml:space="preserve"> </v>
      </c>
      <c r="DB198" s="10" t="str">
        <f t="shared" si="374"/>
        <v xml:space="preserve"> </v>
      </c>
      <c r="DC198" s="10" t="str">
        <f t="shared" si="374"/>
        <v xml:space="preserve"> </v>
      </c>
      <c r="DD198" s="10" t="str">
        <f t="shared" si="374"/>
        <v xml:space="preserve"> </v>
      </c>
      <c r="DG198" s="10" t="str">
        <f t="shared" si="375"/>
        <v xml:space="preserve"> </v>
      </c>
      <c r="DH198" s="10" t="str">
        <f t="shared" si="375"/>
        <v xml:space="preserve"> </v>
      </c>
      <c r="DI198" s="10" t="str">
        <f t="shared" si="375"/>
        <v xml:space="preserve"> </v>
      </c>
      <c r="DJ198" s="10" t="str">
        <f t="shared" si="375"/>
        <v xml:space="preserve"> </v>
      </c>
      <c r="DK198" s="10" t="str">
        <f t="shared" si="375"/>
        <v xml:space="preserve"> </v>
      </c>
      <c r="DN198" s="10" t="str">
        <f t="shared" si="376"/>
        <v xml:space="preserve"> </v>
      </c>
      <c r="DO198" s="10" t="str">
        <f t="shared" si="376"/>
        <v xml:space="preserve"> </v>
      </c>
      <c r="DP198" s="10" t="str">
        <f t="shared" si="376"/>
        <v xml:space="preserve"> </v>
      </c>
      <c r="DQ198" s="10" t="str">
        <f t="shared" si="376"/>
        <v xml:space="preserve"> </v>
      </c>
      <c r="DR198" s="10" t="str">
        <f t="shared" si="376"/>
        <v xml:space="preserve"> </v>
      </c>
      <c r="DU198" s="10" t="str">
        <f t="shared" si="377"/>
        <v xml:space="preserve"> </v>
      </c>
      <c r="DV198" s="10" t="str">
        <f t="shared" si="377"/>
        <v xml:space="preserve"> </v>
      </c>
      <c r="DW198" s="10" t="str">
        <f t="shared" si="377"/>
        <v xml:space="preserve"> </v>
      </c>
      <c r="DX198" s="10" t="str">
        <f t="shared" si="377"/>
        <v xml:space="preserve"> </v>
      </c>
      <c r="DY198" s="10" t="str">
        <f t="shared" si="377"/>
        <v xml:space="preserve"> </v>
      </c>
      <c r="EB198" s="10" t="str">
        <f t="shared" si="378"/>
        <v xml:space="preserve"> </v>
      </c>
      <c r="EC198" s="10" t="str">
        <f t="shared" si="378"/>
        <v xml:space="preserve"> </v>
      </c>
      <c r="ED198" s="10" t="str">
        <f t="shared" si="378"/>
        <v xml:space="preserve"> </v>
      </c>
      <c r="EE198" s="10" t="str">
        <f t="shared" si="378"/>
        <v xml:space="preserve"> </v>
      </c>
      <c r="EF198" s="10" t="str">
        <f t="shared" si="378"/>
        <v xml:space="preserve"> </v>
      </c>
      <c r="EI198" s="10" t="str">
        <f t="shared" si="379"/>
        <v xml:space="preserve"> </v>
      </c>
      <c r="EJ198" s="10" t="str">
        <f t="shared" si="379"/>
        <v xml:space="preserve"> </v>
      </c>
      <c r="EK198" s="10" t="str">
        <f t="shared" si="379"/>
        <v xml:space="preserve"> </v>
      </c>
      <c r="EL198" s="10" t="str">
        <f t="shared" si="379"/>
        <v xml:space="preserve"> </v>
      </c>
      <c r="EM198" s="10" t="str">
        <f t="shared" si="379"/>
        <v xml:space="preserve"> </v>
      </c>
      <c r="EP198" s="10" t="str">
        <f t="shared" si="380"/>
        <v xml:space="preserve"> </v>
      </c>
      <c r="EQ198" s="10" t="str">
        <f t="shared" si="380"/>
        <v xml:space="preserve"> </v>
      </c>
      <c r="ER198" s="10" t="str">
        <f t="shared" si="380"/>
        <v xml:space="preserve"> </v>
      </c>
      <c r="ES198" s="10" t="str">
        <f t="shared" si="380"/>
        <v xml:space="preserve"> </v>
      </c>
      <c r="ET198" s="10" t="str">
        <f t="shared" si="380"/>
        <v xml:space="preserve"> </v>
      </c>
      <c r="EW198" s="10" t="str">
        <f t="shared" si="381"/>
        <v xml:space="preserve"> </v>
      </c>
      <c r="EX198" s="10" t="str">
        <f t="shared" si="381"/>
        <v xml:space="preserve"> </v>
      </c>
      <c r="EY198" s="10" t="str">
        <f t="shared" si="381"/>
        <v xml:space="preserve"> </v>
      </c>
      <c r="EZ198" s="10" t="str">
        <f t="shared" si="381"/>
        <v xml:space="preserve"> </v>
      </c>
      <c r="FA198" s="10" t="str">
        <f t="shared" si="381"/>
        <v xml:space="preserve"> </v>
      </c>
      <c r="FD198" s="10" t="str">
        <f t="shared" si="382"/>
        <v xml:space="preserve"> </v>
      </c>
      <c r="FE198" s="10" t="str">
        <f t="shared" si="382"/>
        <v xml:space="preserve"> </v>
      </c>
      <c r="FF198" s="10" t="str">
        <f t="shared" si="382"/>
        <v xml:space="preserve"> </v>
      </c>
      <c r="FG198" s="10" t="str">
        <f t="shared" si="382"/>
        <v xml:space="preserve"> </v>
      </c>
      <c r="FH198" s="10" t="str">
        <f t="shared" si="382"/>
        <v xml:space="preserve"> </v>
      </c>
      <c r="FK198" s="10" t="str">
        <f t="shared" si="383"/>
        <v xml:space="preserve"> </v>
      </c>
      <c r="FL198" s="10" t="str">
        <f t="shared" si="383"/>
        <v xml:space="preserve"> </v>
      </c>
      <c r="FM198" s="10" t="str">
        <f t="shared" si="383"/>
        <v xml:space="preserve"> </v>
      </c>
      <c r="FN198" s="10" t="str">
        <f t="shared" si="383"/>
        <v xml:space="preserve"> </v>
      </c>
      <c r="FO198" s="10" t="str">
        <f t="shared" si="383"/>
        <v xml:space="preserve"> </v>
      </c>
      <c r="FR198" s="10" t="str">
        <f t="shared" si="384"/>
        <v xml:space="preserve"> </v>
      </c>
      <c r="FS198" s="10" t="str">
        <f t="shared" si="384"/>
        <v xml:space="preserve"> </v>
      </c>
      <c r="FT198" s="10" t="str">
        <f t="shared" si="384"/>
        <v xml:space="preserve"> </v>
      </c>
      <c r="FU198" s="10" t="str">
        <f t="shared" si="384"/>
        <v xml:space="preserve"> </v>
      </c>
      <c r="FV198" s="10" t="str">
        <f t="shared" si="384"/>
        <v xml:space="preserve"> </v>
      </c>
      <c r="FY198" s="10" t="str">
        <f t="shared" si="385"/>
        <v xml:space="preserve"> </v>
      </c>
      <c r="FZ198" s="10" t="str">
        <f t="shared" si="385"/>
        <v xml:space="preserve"> </v>
      </c>
      <c r="GA198" s="10" t="str">
        <f t="shared" si="385"/>
        <v xml:space="preserve"> </v>
      </c>
      <c r="GB198" s="10" t="str">
        <f t="shared" si="385"/>
        <v xml:space="preserve"> </v>
      </c>
      <c r="GC198" s="10" t="str">
        <f t="shared" si="385"/>
        <v xml:space="preserve"> </v>
      </c>
      <c r="GF198" s="10" t="str">
        <f t="shared" si="386"/>
        <v xml:space="preserve"> </v>
      </c>
      <c r="GG198" s="10" t="str">
        <f t="shared" si="386"/>
        <v xml:space="preserve"> </v>
      </c>
      <c r="GH198" s="10" t="str">
        <f t="shared" si="386"/>
        <v xml:space="preserve"> </v>
      </c>
      <c r="GI198" s="10" t="str">
        <f t="shared" si="386"/>
        <v xml:space="preserve"> </v>
      </c>
      <c r="GJ198" s="10" t="str">
        <f t="shared" si="386"/>
        <v xml:space="preserve"> </v>
      </c>
      <c r="GM198" s="10" t="str">
        <f t="shared" si="387"/>
        <v xml:space="preserve"> </v>
      </c>
      <c r="GN198" s="10" t="str">
        <f t="shared" si="387"/>
        <v xml:space="preserve"> </v>
      </c>
      <c r="GO198" s="10" t="str">
        <f t="shared" si="387"/>
        <v xml:space="preserve"> </v>
      </c>
      <c r="GP198" s="10" t="str">
        <f t="shared" si="387"/>
        <v xml:space="preserve"> </v>
      </c>
      <c r="GQ198" s="10" t="str">
        <f t="shared" si="387"/>
        <v xml:space="preserve"> </v>
      </c>
      <c r="GT198" s="10" t="str">
        <f t="shared" si="388"/>
        <v xml:space="preserve"> </v>
      </c>
      <c r="GU198" s="10" t="str">
        <f t="shared" si="388"/>
        <v xml:space="preserve"> </v>
      </c>
      <c r="GV198" s="10" t="str">
        <f t="shared" si="388"/>
        <v xml:space="preserve"> </v>
      </c>
      <c r="GW198" s="10" t="str">
        <f t="shared" si="388"/>
        <v xml:space="preserve"> </v>
      </c>
      <c r="GX198" s="10" t="str">
        <f t="shared" si="388"/>
        <v xml:space="preserve"> </v>
      </c>
      <c r="HA198" s="10" t="str">
        <f t="shared" si="389"/>
        <v xml:space="preserve"> </v>
      </c>
      <c r="HB198" s="10" t="str">
        <f t="shared" si="389"/>
        <v xml:space="preserve"> </v>
      </c>
      <c r="HC198" s="10" t="str">
        <f t="shared" si="389"/>
        <v xml:space="preserve"> </v>
      </c>
      <c r="HD198" s="10" t="str">
        <f t="shared" si="389"/>
        <v xml:space="preserve"> </v>
      </c>
      <c r="HE198" s="10" t="str">
        <f t="shared" si="389"/>
        <v xml:space="preserve"> </v>
      </c>
      <c r="HH198" s="10" t="str">
        <f t="shared" si="390"/>
        <v xml:space="preserve"> </v>
      </c>
      <c r="HI198" s="10" t="str">
        <f t="shared" si="390"/>
        <v xml:space="preserve"> </v>
      </c>
      <c r="HJ198" s="10" t="str">
        <f t="shared" si="390"/>
        <v xml:space="preserve"> </v>
      </c>
      <c r="HK198" s="10" t="str">
        <f t="shared" si="390"/>
        <v xml:space="preserve"> </v>
      </c>
      <c r="HL198" s="10" t="str">
        <f t="shared" si="390"/>
        <v xml:space="preserve"> </v>
      </c>
      <c r="HO198" s="10" t="str">
        <f t="shared" si="391"/>
        <v xml:space="preserve"> </v>
      </c>
      <c r="HP198" s="10" t="str">
        <f t="shared" si="391"/>
        <v xml:space="preserve"> </v>
      </c>
      <c r="HQ198" s="10" t="str">
        <f t="shared" si="391"/>
        <v xml:space="preserve"> </v>
      </c>
      <c r="HR198" s="10" t="str">
        <f t="shared" si="391"/>
        <v xml:space="preserve"> </v>
      </c>
      <c r="HS198" s="10" t="str">
        <f t="shared" si="391"/>
        <v xml:space="preserve"> </v>
      </c>
      <c r="HV198" s="10" t="str">
        <f t="shared" si="392"/>
        <v xml:space="preserve"> </v>
      </c>
      <c r="HW198" s="10" t="str">
        <f t="shared" si="392"/>
        <v xml:space="preserve"> </v>
      </c>
      <c r="HX198" s="10" t="str">
        <f t="shared" si="392"/>
        <v xml:space="preserve"> </v>
      </c>
      <c r="HY198" s="10" t="str">
        <f t="shared" si="392"/>
        <v xml:space="preserve"> </v>
      </c>
      <c r="HZ198" s="10" t="str">
        <f t="shared" si="392"/>
        <v xml:space="preserve"> </v>
      </c>
      <c r="IC198" s="10" t="str">
        <f t="shared" si="393"/>
        <v xml:space="preserve"> </v>
      </c>
      <c r="ID198" s="10" t="str">
        <f t="shared" si="393"/>
        <v xml:space="preserve"> </v>
      </c>
      <c r="IE198" s="10" t="str">
        <f t="shared" si="393"/>
        <v xml:space="preserve"> </v>
      </c>
      <c r="IF198" s="10" t="str">
        <f t="shared" si="393"/>
        <v xml:space="preserve"> </v>
      </c>
      <c r="IG198" s="10" t="str">
        <f t="shared" si="393"/>
        <v xml:space="preserve"> </v>
      </c>
      <c r="IJ198" s="10" t="str">
        <f t="shared" si="394"/>
        <v xml:space="preserve"> </v>
      </c>
      <c r="IK198" s="10" t="str">
        <f t="shared" si="394"/>
        <v xml:space="preserve"> </v>
      </c>
      <c r="IL198" s="10" t="str">
        <f t="shared" si="394"/>
        <v xml:space="preserve"> </v>
      </c>
      <c r="IM198" s="10" t="str">
        <f t="shared" si="394"/>
        <v xml:space="preserve"> </v>
      </c>
      <c r="IN198" s="10" t="str">
        <f t="shared" si="394"/>
        <v xml:space="preserve"> </v>
      </c>
      <c r="IQ198" s="10" t="str">
        <f t="shared" si="395"/>
        <v xml:space="preserve"> </v>
      </c>
      <c r="IR198" s="10" t="str">
        <f t="shared" si="395"/>
        <v xml:space="preserve"> </v>
      </c>
      <c r="IS198" s="10" t="str">
        <f t="shared" si="395"/>
        <v xml:space="preserve"> </v>
      </c>
      <c r="IT198" s="10" t="str">
        <f t="shared" si="395"/>
        <v xml:space="preserve"> </v>
      </c>
      <c r="IU198" s="10" t="str">
        <f t="shared" si="395"/>
        <v xml:space="preserve"> </v>
      </c>
      <c r="IX198" s="10" t="str">
        <f t="shared" si="396"/>
        <v xml:space="preserve"> </v>
      </c>
      <c r="IY198" s="10" t="str">
        <f t="shared" si="396"/>
        <v xml:space="preserve"> </v>
      </c>
      <c r="IZ198" s="10" t="str">
        <f t="shared" si="396"/>
        <v xml:space="preserve"> </v>
      </c>
      <c r="JA198" s="10" t="str">
        <f t="shared" si="396"/>
        <v xml:space="preserve"> </v>
      </c>
      <c r="JB198" s="10" t="str">
        <f t="shared" si="396"/>
        <v xml:space="preserve"> </v>
      </c>
      <c r="JE198" s="10" t="str">
        <f t="shared" si="397"/>
        <v xml:space="preserve"> </v>
      </c>
      <c r="JF198" s="10" t="str">
        <f t="shared" si="397"/>
        <v xml:space="preserve"> </v>
      </c>
      <c r="JG198" s="10" t="str">
        <f t="shared" si="397"/>
        <v xml:space="preserve"> </v>
      </c>
      <c r="JH198" s="10" t="str">
        <f t="shared" si="397"/>
        <v xml:space="preserve"> </v>
      </c>
      <c r="JI198" s="10" t="str">
        <f t="shared" si="397"/>
        <v xml:space="preserve"> </v>
      </c>
    </row>
    <row r="199" spans="13:269">
      <c r="M199" s="10" t="str">
        <f t="shared" si="398"/>
        <v xml:space="preserve"> </v>
      </c>
      <c r="N199" s="10" t="str">
        <f t="shared" si="398"/>
        <v xml:space="preserve"> </v>
      </c>
      <c r="O199" s="10" t="str">
        <f t="shared" si="398"/>
        <v xml:space="preserve"> </v>
      </c>
      <c r="P199" s="10" t="str">
        <f t="shared" si="398"/>
        <v xml:space="preserve"> </v>
      </c>
      <c r="Q199" s="10" t="str">
        <f t="shared" si="398"/>
        <v xml:space="preserve"> </v>
      </c>
      <c r="R199" s="14"/>
      <c r="S199" s="14"/>
      <c r="T199" s="10" t="str">
        <f t="shared" si="362"/>
        <v xml:space="preserve"> </v>
      </c>
      <c r="U199" s="10" t="str">
        <f t="shared" si="362"/>
        <v xml:space="preserve"> </v>
      </c>
      <c r="V199" s="10" t="str">
        <f t="shared" si="362"/>
        <v xml:space="preserve"> </v>
      </c>
      <c r="W199" s="10" t="str">
        <f t="shared" si="362"/>
        <v xml:space="preserve"> </v>
      </c>
      <c r="X199" s="10" t="str">
        <f t="shared" si="362"/>
        <v xml:space="preserve"> </v>
      </c>
      <c r="Y199" s="14"/>
      <c r="Z199" s="14"/>
      <c r="AA199" s="10" t="str">
        <f t="shared" si="363"/>
        <v xml:space="preserve"> </v>
      </c>
      <c r="AB199" s="10" t="str">
        <f t="shared" si="363"/>
        <v xml:space="preserve"> </v>
      </c>
      <c r="AC199" s="10" t="str">
        <f t="shared" si="363"/>
        <v xml:space="preserve"> </v>
      </c>
      <c r="AD199" s="10" t="str">
        <f t="shared" si="363"/>
        <v xml:space="preserve"> </v>
      </c>
      <c r="AE199" s="10" t="str">
        <f t="shared" si="363"/>
        <v xml:space="preserve"> </v>
      </c>
      <c r="AF199" s="14"/>
      <c r="AG199" s="14"/>
      <c r="AH199" s="10" t="str">
        <f t="shared" si="364"/>
        <v xml:space="preserve"> </v>
      </c>
      <c r="AI199" s="10" t="str">
        <f t="shared" si="364"/>
        <v xml:space="preserve"> </v>
      </c>
      <c r="AJ199" s="10" t="str">
        <f t="shared" si="364"/>
        <v xml:space="preserve"> </v>
      </c>
      <c r="AK199" s="10" t="str">
        <f t="shared" si="364"/>
        <v xml:space="preserve"> </v>
      </c>
      <c r="AL199" s="10" t="str">
        <f t="shared" si="364"/>
        <v xml:space="preserve"> </v>
      </c>
      <c r="AM199" s="14"/>
      <c r="AN199" s="14"/>
      <c r="AO199" s="10" t="str">
        <f t="shared" si="365"/>
        <v xml:space="preserve"> </v>
      </c>
      <c r="AP199" s="10" t="str">
        <f t="shared" si="365"/>
        <v xml:space="preserve"> </v>
      </c>
      <c r="AQ199" s="10" t="str">
        <f t="shared" si="365"/>
        <v xml:space="preserve"> </v>
      </c>
      <c r="AR199" s="10" t="str">
        <f t="shared" si="365"/>
        <v xml:space="preserve"> </v>
      </c>
      <c r="AS199" s="10" t="str">
        <f t="shared" si="365"/>
        <v xml:space="preserve"> </v>
      </c>
      <c r="AT199" s="14"/>
      <c r="AU199" s="14"/>
      <c r="AV199" s="10" t="str">
        <f t="shared" si="366"/>
        <v xml:space="preserve"> </v>
      </c>
      <c r="AW199" s="10" t="str">
        <f t="shared" si="366"/>
        <v xml:space="preserve"> </v>
      </c>
      <c r="AX199" s="10" t="str">
        <f t="shared" si="366"/>
        <v xml:space="preserve"> </v>
      </c>
      <c r="AY199" s="10" t="str">
        <f t="shared" si="366"/>
        <v xml:space="preserve"> </v>
      </c>
      <c r="AZ199" s="10" t="str">
        <f t="shared" si="366"/>
        <v xml:space="preserve"> </v>
      </c>
      <c r="BA199" s="14"/>
      <c r="BB199" s="14"/>
      <c r="BC199" s="10" t="str">
        <f t="shared" si="367"/>
        <v xml:space="preserve"> </v>
      </c>
      <c r="BD199" s="10" t="str">
        <f t="shared" si="367"/>
        <v xml:space="preserve"> </v>
      </c>
      <c r="BE199" s="10" t="str">
        <f t="shared" si="367"/>
        <v xml:space="preserve"> </v>
      </c>
      <c r="BF199" s="10" t="str">
        <f t="shared" si="367"/>
        <v xml:space="preserve"> </v>
      </c>
      <c r="BG199" s="10" t="str">
        <f t="shared" si="367"/>
        <v xml:space="preserve"> </v>
      </c>
      <c r="BH199" s="14"/>
      <c r="BI199" s="14"/>
      <c r="BJ199" s="10" t="str">
        <f t="shared" si="368"/>
        <v xml:space="preserve"> </v>
      </c>
      <c r="BK199" s="10" t="str">
        <f t="shared" si="368"/>
        <v xml:space="preserve"> </v>
      </c>
      <c r="BL199" s="10" t="str">
        <f t="shared" si="368"/>
        <v xml:space="preserve"> </v>
      </c>
      <c r="BM199" s="10" t="str">
        <f t="shared" si="368"/>
        <v xml:space="preserve"> </v>
      </c>
      <c r="BN199" s="10" t="str">
        <f t="shared" si="368"/>
        <v xml:space="preserve"> </v>
      </c>
      <c r="BO199" s="14"/>
      <c r="BP199" s="14"/>
      <c r="BQ199" s="10" t="str">
        <f t="shared" si="369"/>
        <v xml:space="preserve"> </v>
      </c>
      <c r="BR199" s="10" t="str">
        <f t="shared" si="369"/>
        <v xml:space="preserve"> </v>
      </c>
      <c r="BS199" s="10" t="str">
        <f t="shared" si="369"/>
        <v xml:space="preserve"> </v>
      </c>
      <c r="BT199" s="10" t="str">
        <f t="shared" si="369"/>
        <v xml:space="preserve"> </v>
      </c>
      <c r="BU199" s="10" t="str">
        <f t="shared" si="369"/>
        <v xml:space="preserve"> </v>
      </c>
      <c r="BV199" s="14"/>
      <c r="BW199" s="14"/>
      <c r="BX199" s="10" t="str">
        <f t="shared" si="370"/>
        <v xml:space="preserve"> </v>
      </c>
      <c r="BY199" s="10" t="str">
        <f t="shared" si="370"/>
        <v xml:space="preserve"> </v>
      </c>
      <c r="BZ199" s="10" t="str">
        <f t="shared" si="370"/>
        <v xml:space="preserve"> </v>
      </c>
      <c r="CA199" s="10" t="str">
        <f t="shared" si="370"/>
        <v xml:space="preserve"> </v>
      </c>
      <c r="CB199" s="10" t="str">
        <f t="shared" si="370"/>
        <v xml:space="preserve"> </v>
      </c>
      <c r="CC199" s="14"/>
      <c r="CD199" s="14"/>
      <c r="CE199" s="10" t="str">
        <f t="shared" si="371"/>
        <v xml:space="preserve"> </v>
      </c>
      <c r="CF199" s="10" t="str">
        <f t="shared" si="371"/>
        <v xml:space="preserve"> </v>
      </c>
      <c r="CG199" s="10" t="str">
        <f t="shared" si="371"/>
        <v xml:space="preserve"> </v>
      </c>
      <c r="CH199" s="10" t="str">
        <f t="shared" si="371"/>
        <v xml:space="preserve"> </v>
      </c>
      <c r="CI199" s="10" t="str">
        <f t="shared" si="371"/>
        <v xml:space="preserve"> </v>
      </c>
      <c r="CJ199" s="14"/>
      <c r="CK199" s="14"/>
      <c r="CL199" s="10" t="str">
        <f t="shared" si="372"/>
        <v xml:space="preserve"> </v>
      </c>
      <c r="CM199" s="10" t="str">
        <f t="shared" si="372"/>
        <v xml:space="preserve"> </v>
      </c>
      <c r="CN199" s="10" t="str">
        <f t="shared" si="372"/>
        <v xml:space="preserve"> </v>
      </c>
      <c r="CO199" s="10" t="str">
        <f t="shared" si="372"/>
        <v xml:space="preserve"> </v>
      </c>
      <c r="CP199" s="10" t="str">
        <f t="shared" si="372"/>
        <v xml:space="preserve"> </v>
      </c>
      <c r="CQ199" s="14"/>
      <c r="CR199" s="14"/>
      <c r="CS199" s="10" t="str">
        <f t="shared" si="373"/>
        <v xml:space="preserve"> </v>
      </c>
      <c r="CT199" s="10" t="str">
        <f t="shared" si="373"/>
        <v xml:space="preserve"> </v>
      </c>
      <c r="CU199" s="10" t="str">
        <f t="shared" si="373"/>
        <v xml:space="preserve"> </v>
      </c>
      <c r="CV199" s="10" t="str">
        <f t="shared" si="373"/>
        <v xml:space="preserve"> </v>
      </c>
      <c r="CW199" s="10" t="str">
        <f t="shared" si="373"/>
        <v xml:space="preserve"> </v>
      </c>
      <c r="CZ199" s="10" t="str">
        <f t="shared" si="374"/>
        <v xml:space="preserve"> </v>
      </c>
      <c r="DA199" s="10" t="str">
        <f t="shared" si="374"/>
        <v xml:space="preserve"> </v>
      </c>
      <c r="DB199" s="10" t="str">
        <f t="shared" si="374"/>
        <v xml:space="preserve"> </v>
      </c>
      <c r="DC199" s="10" t="str">
        <f t="shared" si="374"/>
        <v xml:space="preserve"> </v>
      </c>
      <c r="DD199" s="10" t="str">
        <f t="shared" si="374"/>
        <v xml:space="preserve"> </v>
      </c>
      <c r="DG199" s="10" t="str">
        <f t="shared" si="375"/>
        <v xml:space="preserve"> </v>
      </c>
      <c r="DH199" s="10" t="str">
        <f t="shared" si="375"/>
        <v xml:space="preserve"> </v>
      </c>
      <c r="DI199" s="10" t="str">
        <f t="shared" si="375"/>
        <v xml:space="preserve"> </v>
      </c>
      <c r="DJ199" s="10" t="str">
        <f t="shared" si="375"/>
        <v xml:space="preserve"> </v>
      </c>
      <c r="DK199" s="10" t="str">
        <f t="shared" si="375"/>
        <v xml:space="preserve"> </v>
      </c>
      <c r="DN199" s="10" t="str">
        <f t="shared" si="376"/>
        <v xml:space="preserve"> </v>
      </c>
      <c r="DO199" s="10" t="str">
        <f t="shared" si="376"/>
        <v xml:space="preserve"> </v>
      </c>
      <c r="DP199" s="10" t="str">
        <f t="shared" si="376"/>
        <v xml:space="preserve"> </v>
      </c>
      <c r="DQ199" s="10" t="str">
        <f t="shared" si="376"/>
        <v xml:space="preserve"> </v>
      </c>
      <c r="DR199" s="10" t="str">
        <f t="shared" si="376"/>
        <v xml:space="preserve"> </v>
      </c>
      <c r="DU199" s="10" t="str">
        <f t="shared" si="377"/>
        <v xml:space="preserve"> </v>
      </c>
      <c r="DV199" s="10" t="str">
        <f t="shared" si="377"/>
        <v xml:space="preserve"> </v>
      </c>
      <c r="DW199" s="10" t="str">
        <f t="shared" si="377"/>
        <v xml:space="preserve"> </v>
      </c>
      <c r="DX199" s="10" t="str">
        <f t="shared" si="377"/>
        <v xml:space="preserve"> </v>
      </c>
      <c r="DY199" s="10" t="str">
        <f t="shared" si="377"/>
        <v xml:space="preserve"> </v>
      </c>
      <c r="EB199" s="10" t="str">
        <f t="shared" si="378"/>
        <v xml:space="preserve"> </v>
      </c>
      <c r="EC199" s="10" t="str">
        <f t="shared" si="378"/>
        <v xml:space="preserve"> </v>
      </c>
      <c r="ED199" s="10" t="str">
        <f t="shared" si="378"/>
        <v xml:space="preserve"> </v>
      </c>
      <c r="EE199" s="10" t="str">
        <f t="shared" si="378"/>
        <v xml:space="preserve"> </v>
      </c>
      <c r="EF199" s="10" t="str">
        <f t="shared" si="378"/>
        <v xml:space="preserve"> </v>
      </c>
      <c r="EI199" s="10" t="str">
        <f t="shared" si="379"/>
        <v xml:space="preserve"> </v>
      </c>
      <c r="EJ199" s="10" t="str">
        <f t="shared" si="379"/>
        <v xml:space="preserve"> </v>
      </c>
      <c r="EK199" s="10" t="str">
        <f t="shared" si="379"/>
        <v xml:space="preserve"> </v>
      </c>
      <c r="EL199" s="10" t="str">
        <f t="shared" si="379"/>
        <v xml:space="preserve"> </v>
      </c>
      <c r="EM199" s="10" t="str">
        <f t="shared" si="379"/>
        <v xml:space="preserve"> </v>
      </c>
      <c r="EP199" s="10" t="str">
        <f t="shared" si="380"/>
        <v xml:space="preserve"> </v>
      </c>
      <c r="EQ199" s="10" t="str">
        <f t="shared" si="380"/>
        <v xml:space="preserve"> </v>
      </c>
      <c r="ER199" s="10" t="str">
        <f t="shared" si="380"/>
        <v xml:space="preserve"> </v>
      </c>
      <c r="ES199" s="10" t="str">
        <f t="shared" si="380"/>
        <v xml:space="preserve"> </v>
      </c>
      <c r="ET199" s="10" t="str">
        <f t="shared" si="380"/>
        <v xml:space="preserve"> </v>
      </c>
      <c r="EW199" s="10" t="str">
        <f t="shared" si="381"/>
        <v xml:space="preserve"> </v>
      </c>
      <c r="EX199" s="10" t="str">
        <f t="shared" si="381"/>
        <v xml:space="preserve"> </v>
      </c>
      <c r="EY199" s="10" t="str">
        <f t="shared" si="381"/>
        <v xml:space="preserve"> </v>
      </c>
      <c r="EZ199" s="10" t="str">
        <f t="shared" si="381"/>
        <v xml:space="preserve"> </v>
      </c>
      <c r="FA199" s="10" t="str">
        <f t="shared" si="381"/>
        <v xml:space="preserve"> </v>
      </c>
      <c r="FD199" s="10" t="str">
        <f t="shared" si="382"/>
        <v xml:space="preserve"> </v>
      </c>
      <c r="FE199" s="10" t="str">
        <f t="shared" si="382"/>
        <v xml:space="preserve"> </v>
      </c>
      <c r="FF199" s="10" t="str">
        <f t="shared" si="382"/>
        <v xml:space="preserve"> </v>
      </c>
      <c r="FG199" s="10" t="str">
        <f t="shared" si="382"/>
        <v xml:space="preserve"> </v>
      </c>
      <c r="FH199" s="10" t="str">
        <f t="shared" si="382"/>
        <v xml:space="preserve"> </v>
      </c>
      <c r="FK199" s="10" t="str">
        <f t="shared" si="383"/>
        <v xml:space="preserve"> </v>
      </c>
      <c r="FL199" s="10" t="str">
        <f t="shared" si="383"/>
        <v xml:space="preserve"> </v>
      </c>
      <c r="FM199" s="10" t="str">
        <f t="shared" si="383"/>
        <v xml:space="preserve"> </v>
      </c>
      <c r="FN199" s="10" t="str">
        <f t="shared" si="383"/>
        <v xml:space="preserve"> </v>
      </c>
      <c r="FO199" s="10" t="str">
        <f t="shared" si="383"/>
        <v xml:space="preserve"> </v>
      </c>
      <c r="FR199" s="10" t="str">
        <f t="shared" si="384"/>
        <v xml:space="preserve"> </v>
      </c>
      <c r="FS199" s="10" t="str">
        <f t="shared" si="384"/>
        <v xml:space="preserve"> </v>
      </c>
      <c r="FT199" s="10" t="str">
        <f t="shared" si="384"/>
        <v xml:space="preserve"> </v>
      </c>
      <c r="FU199" s="10" t="str">
        <f t="shared" si="384"/>
        <v xml:space="preserve"> </v>
      </c>
      <c r="FV199" s="10" t="str">
        <f t="shared" si="384"/>
        <v xml:space="preserve"> </v>
      </c>
      <c r="FY199" s="10" t="str">
        <f t="shared" si="385"/>
        <v xml:space="preserve"> </v>
      </c>
      <c r="FZ199" s="10" t="str">
        <f t="shared" si="385"/>
        <v xml:space="preserve"> </v>
      </c>
      <c r="GA199" s="10" t="str">
        <f t="shared" si="385"/>
        <v xml:space="preserve"> </v>
      </c>
      <c r="GB199" s="10" t="str">
        <f t="shared" si="385"/>
        <v xml:space="preserve"> </v>
      </c>
      <c r="GC199" s="10" t="str">
        <f t="shared" si="385"/>
        <v xml:space="preserve"> </v>
      </c>
      <c r="GF199" s="10" t="str">
        <f t="shared" si="386"/>
        <v xml:space="preserve"> </v>
      </c>
      <c r="GG199" s="10" t="str">
        <f t="shared" si="386"/>
        <v xml:space="preserve"> </v>
      </c>
      <c r="GH199" s="10" t="str">
        <f t="shared" si="386"/>
        <v xml:space="preserve"> </v>
      </c>
      <c r="GI199" s="10" t="str">
        <f t="shared" si="386"/>
        <v xml:space="preserve"> </v>
      </c>
      <c r="GJ199" s="10" t="str">
        <f t="shared" si="386"/>
        <v xml:space="preserve"> </v>
      </c>
      <c r="GM199" s="10" t="str">
        <f t="shared" si="387"/>
        <v xml:space="preserve"> </v>
      </c>
      <c r="GN199" s="10" t="str">
        <f t="shared" si="387"/>
        <v xml:space="preserve"> </v>
      </c>
      <c r="GO199" s="10" t="str">
        <f t="shared" si="387"/>
        <v xml:space="preserve"> </v>
      </c>
      <c r="GP199" s="10" t="str">
        <f t="shared" si="387"/>
        <v xml:space="preserve"> </v>
      </c>
      <c r="GQ199" s="10" t="str">
        <f t="shared" si="387"/>
        <v xml:space="preserve"> </v>
      </c>
      <c r="GT199" s="10" t="str">
        <f t="shared" si="388"/>
        <v xml:space="preserve"> </v>
      </c>
      <c r="GU199" s="10" t="str">
        <f t="shared" si="388"/>
        <v xml:space="preserve"> </v>
      </c>
      <c r="GV199" s="10" t="str">
        <f t="shared" si="388"/>
        <v xml:space="preserve"> </v>
      </c>
      <c r="GW199" s="10" t="str">
        <f t="shared" si="388"/>
        <v xml:space="preserve"> </v>
      </c>
      <c r="GX199" s="10" t="str">
        <f t="shared" si="388"/>
        <v xml:space="preserve"> </v>
      </c>
      <c r="HA199" s="10" t="str">
        <f t="shared" si="389"/>
        <v xml:space="preserve"> </v>
      </c>
      <c r="HB199" s="10" t="str">
        <f t="shared" si="389"/>
        <v xml:space="preserve"> </v>
      </c>
      <c r="HC199" s="10" t="str">
        <f t="shared" si="389"/>
        <v xml:space="preserve"> </v>
      </c>
      <c r="HD199" s="10" t="str">
        <f t="shared" si="389"/>
        <v xml:space="preserve"> </v>
      </c>
      <c r="HE199" s="10" t="str">
        <f t="shared" si="389"/>
        <v xml:space="preserve"> </v>
      </c>
      <c r="HH199" s="10" t="str">
        <f t="shared" si="390"/>
        <v xml:space="preserve"> </v>
      </c>
      <c r="HI199" s="10" t="str">
        <f t="shared" si="390"/>
        <v xml:space="preserve"> </v>
      </c>
      <c r="HJ199" s="10" t="str">
        <f t="shared" si="390"/>
        <v xml:space="preserve"> </v>
      </c>
      <c r="HK199" s="10" t="str">
        <f t="shared" si="390"/>
        <v xml:space="preserve"> </v>
      </c>
      <c r="HL199" s="10" t="str">
        <f t="shared" si="390"/>
        <v xml:space="preserve"> </v>
      </c>
      <c r="HO199" s="10" t="str">
        <f t="shared" si="391"/>
        <v xml:space="preserve"> </v>
      </c>
      <c r="HP199" s="10" t="str">
        <f t="shared" si="391"/>
        <v xml:space="preserve"> </v>
      </c>
      <c r="HQ199" s="10" t="str">
        <f t="shared" si="391"/>
        <v xml:space="preserve"> </v>
      </c>
      <c r="HR199" s="10" t="str">
        <f t="shared" si="391"/>
        <v xml:space="preserve"> </v>
      </c>
      <c r="HS199" s="10" t="str">
        <f t="shared" si="391"/>
        <v xml:space="preserve"> </v>
      </c>
      <c r="HV199" s="10" t="str">
        <f t="shared" si="392"/>
        <v xml:space="preserve"> </v>
      </c>
      <c r="HW199" s="10" t="str">
        <f t="shared" si="392"/>
        <v xml:space="preserve"> </v>
      </c>
      <c r="HX199" s="10" t="str">
        <f t="shared" si="392"/>
        <v xml:space="preserve"> </v>
      </c>
      <c r="HY199" s="10" t="str">
        <f t="shared" si="392"/>
        <v xml:space="preserve"> </v>
      </c>
      <c r="HZ199" s="10" t="str">
        <f t="shared" si="392"/>
        <v xml:space="preserve"> </v>
      </c>
      <c r="IC199" s="10" t="str">
        <f t="shared" si="393"/>
        <v xml:space="preserve"> </v>
      </c>
      <c r="ID199" s="10" t="str">
        <f t="shared" si="393"/>
        <v xml:space="preserve"> </v>
      </c>
      <c r="IE199" s="10" t="str">
        <f t="shared" si="393"/>
        <v xml:space="preserve"> </v>
      </c>
      <c r="IF199" s="10" t="str">
        <f t="shared" si="393"/>
        <v xml:space="preserve"> </v>
      </c>
      <c r="IG199" s="10" t="str">
        <f t="shared" si="393"/>
        <v xml:space="preserve"> </v>
      </c>
      <c r="IJ199" s="10" t="str">
        <f t="shared" si="394"/>
        <v xml:space="preserve"> </v>
      </c>
      <c r="IK199" s="10" t="str">
        <f t="shared" si="394"/>
        <v xml:space="preserve"> </v>
      </c>
      <c r="IL199" s="10" t="str">
        <f t="shared" si="394"/>
        <v xml:space="preserve"> </v>
      </c>
      <c r="IM199" s="10" t="str">
        <f t="shared" si="394"/>
        <v xml:space="preserve"> </v>
      </c>
      <c r="IN199" s="10" t="str">
        <f t="shared" si="394"/>
        <v xml:space="preserve"> </v>
      </c>
      <c r="IQ199" s="10" t="str">
        <f t="shared" si="395"/>
        <v xml:space="preserve"> </v>
      </c>
      <c r="IR199" s="10" t="str">
        <f t="shared" si="395"/>
        <v xml:space="preserve"> </v>
      </c>
      <c r="IS199" s="10" t="str">
        <f t="shared" si="395"/>
        <v xml:space="preserve"> </v>
      </c>
      <c r="IT199" s="10" t="str">
        <f t="shared" si="395"/>
        <v xml:space="preserve"> </v>
      </c>
      <c r="IU199" s="10" t="str">
        <f t="shared" si="395"/>
        <v xml:space="preserve"> </v>
      </c>
      <c r="IX199" s="10" t="str">
        <f t="shared" si="396"/>
        <v xml:space="preserve"> </v>
      </c>
      <c r="IY199" s="10" t="str">
        <f t="shared" si="396"/>
        <v xml:space="preserve"> </v>
      </c>
      <c r="IZ199" s="10" t="str">
        <f t="shared" si="396"/>
        <v xml:space="preserve"> </v>
      </c>
      <c r="JA199" s="10" t="str">
        <f t="shared" si="396"/>
        <v xml:space="preserve"> </v>
      </c>
      <c r="JB199" s="10" t="str">
        <f t="shared" si="396"/>
        <v xml:space="preserve"> </v>
      </c>
      <c r="JE199" s="10" t="str">
        <f t="shared" si="397"/>
        <v xml:space="preserve"> </v>
      </c>
      <c r="JF199" s="10" t="str">
        <f t="shared" si="397"/>
        <v xml:space="preserve"> </v>
      </c>
      <c r="JG199" s="10" t="str">
        <f t="shared" si="397"/>
        <v xml:space="preserve"> </v>
      </c>
      <c r="JH199" s="10" t="str">
        <f t="shared" si="397"/>
        <v xml:space="preserve"> </v>
      </c>
      <c r="JI199" s="10" t="str">
        <f t="shared" si="397"/>
        <v xml:space="preserve"> </v>
      </c>
    </row>
    <row r="200" spans="13:269">
      <c r="M200" s="10" t="str">
        <f t="shared" si="398"/>
        <v xml:space="preserve"> </v>
      </c>
      <c r="N200" s="10" t="str">
        <f t="shared" si="398"/>
        <v xml:space="preserve"> </v>
      </c>
      <c r="O200" s="10" t="str">
        <f t="shared" si="398"/>
        <v xml:space="preserve"> </v>
      </c>
      <c r="P200" s="10" t="str">
        <f t="shared" si="398"/>
        <v xml:space="preserve"> </v>
      </c>
      <c r="Q200" s="10" t="str">
        <f t="shared" si="398"/>
        <v xml:space="preserve"> </v>
      </c>
      <c r="R200" s="14"/>
      <c r="S200" s="14"/>
      <c r="T200" s="10" t="str">
        <f t="shared" si="362"/>
        <v xml:space="preserve"> </v>
      </c>
      <c r="U200" s="10" t="str">
        <f t="shared" si="362"/>
        <v xml:space="preserve"> </v>
      </c>
      <c r="V200" s="10" t="str">
        <f t="shared" si="362"/>
        <v xml:space="preserve"> </v>
      </c>
      <c r="W200" s="10" t="str">
        <f t="shared" si="362"/>
        <v xml:space="preserve"> </v>
      </c>
      <c r="X200" s="10" t="str">
        <f t="shared" si="362"/>
        <v xml:space="preserve"> </v>
      </c>
      <c r="Y200" s="14"/>
      <c r="Z200" s="14"/>
      <c r="AA200" s="10" t="str">
        <f t="shared" si="363"/>
        <v xml:space="preserve"> </v>
      </c>
      <c r="AB200" s="10" t="str">
        <f t="shared" si="363"/>
        <v xml:space="preserve"> </v>
      </c>
      <c r="AC200" s="10" t="str">
        <f t="shared" si="363"/>
        <v xml:space="preserve"> </v>
      </c>
      <c r="AD200" s="10" t="str">
        <f t="shared" si="363"/>
        <v xml:space="preserve"> </v>
      </c>
      <c r="AE200" s="10" t="str">
        <f t="shared" si="363"/>
        <v xml:space="preserve"> </v>
      </c>
      <c r="AF200" s="14"/>
      <c r="AG200" s="14"/>
      <c r="AH200" s="10" t="str">
        <f t="shared" si="364"/>
        <v xml:space="preserve"> </v>
      </c>
      <c r="AI200" s="10" t="str">
        <f t="shared" si="364"/>
        <v xml:space="preserve"> </v>
      </c>
      <c r="AJ200" s="10" t="str">
        <f t="shared" si="364"/>
        <v xml:space="preserve"> </v>
      </c>
      <c r="AK200" s="10" t="str">
        <f t="shared" si="364"/>
        <v xml:space="preserve"> </v>
      </c>
      <c r="AL200" s="10" t="str">
        <f t="shared" si="364"/>
        <v xml:space="preserve"> </v>
      </c>
      <c r="AM200" s="14"/>
      <c r="AN200" s="14"/>
      <c r="AO200" s="10" t="str">
        <f t="shared" si="365"/>
        <v xml:space="preserve"> </v>
      </c>
      <c r="AP200" s="10" t="str">
        <f t="shared" si="365"/>
        <v xml:space="preserve"> </v>
      </c>
      <c r="AQ200" s="10" t="str">
        <f t="shared" si="365"/>
        <v xml:space="preserve"> </v>
      </c>
      <c r="AR200" s="10" t="str">
        <f t="shared" si="365"/>
        <v xml:space="preserve"> </v>
      </c>
      <c r="AS200" s="10" t="str">
        <f t="shared" si="365"/>
        <v xml:space="preserve"> </v>
      </c>
      <c r="AT200" s="14"/>
      <c r="AU200" s="14"/>
      <c r="AV200" s="10" t="str">
        <f t="shared" si="366"/>
        <v xml:space="preserve"> </v>
      </c>
      <c r="AW200" s="10" t="str">
        <f t="shared" si="366"/>
        <v xml:space="preserve"> </v>
      </c>
      <c r="AX200" s="10" t="str">
        <f t="shared" si="366"/>
        <v xml:space="preserve"> </v>
      </c>
      <c r="AY200" s="10" t="str">
        <f t="shared" si="366"/>
        <v xml:space="preserve"> </v>
      </c>
      <c r="AZ200" s="10" t="str">
        <f t="shared" si="366"/>
        <v xml:space="preserve"> </v>
      </c>
      <c r="BA200" s="14"/>
      <c r="BB200" s="14"/>
      <c r="BC200" s="10" t="str">
        <f t="shared" si="367"/>
        <v xml:space="preserve"> </v>
      </c>
      <c r="BD200" s="10" t="str">
        <f t="shared" si="367"/>
        <v xml:space="preserve"> </v>
      </c>
      <c r="BE200" s="10" t="str">
        <f t="shared" si="367"/>
        <v xml:space="preserve"> </v>
      </c>
      <c r="BF200" s="10" t="str">
        <f t="shared" si="367"/>
        <v xml:space="preserve"> </v>
      </c>
      <c r="BG200" s="10" t="str">
        <f t="shared" si="367"/>
        <v xml:space="preserve"> </v>
      </c>
      <c r="BH200" s="14"/>
      <c r="BI200" s="14"/>
      <c r="BJ200" s="10" t="str">
        <f t="shared" si="368"/>
        <v xml:space="preserve"> </v>
      </c>
      <c r="BK200" s="10" t="str">
        <f t="shared" si="368"/>
        <v xml:space="preserve"> </v>
      </c>
      <c r="BL200" s="10" t="str">
        <f t="shared" si="368"/>
        <v xml:space="preserve"> </v>
      </c>
      <c r="BM200" s="10" t="str">
        <f t="shared" si="368"/>
        <v xml:space="preserve"> </v>
      </c>
      <c r="BN200" s="10" t="str">
        <f t="shared" si="368"/>
        <v xml:space="preserve"> </v>
      </c>
      <c r="BO200" s="14"/>
      <c r="BP200" s="14"/>
      <c r="BQ200" s="10" t="str">
        <f t="shared" si="369"/>
        <v xml:space="preserve"> </v>
      </c>
      <c r="BR200" s="10" t="str">
        <f t="shared" si="369"/>
        <v xml:space="preserve"> </v>
      </c>
      <c r="BS200" s="10" t="str">
        <f t="shared" si="369"/>
        <v xml:space="preserve"> </v>
      </c>
      <c r="BT200" s="10" t="str">
        <f t="shared" si="369"/>
        <v xml:space="preserve"> </v>
      </c>
      <c r="BU200" s="10" t="str">
        <f t="shared" si="369"/>
        <v xml:space="preserve"> </v>
      </c>
      <c r="BV200" s="14"/>
      <c r="BW200" s="14"/>
      <c r="BX200" s="10" t="str">
        <f t="shared" si="370"/>
        <v xml:space="preserve"> </v>
      </c>
      <c r="BY200" s="10" t="str">
        <f t="shared" si="370"/>
        <v xml:space="preserve"> </v>
      </c>
      <c r="BZ200" s="10" t="str">
        <f t="shared" si="370"/>
        <v xml:space="preserve"> </v>
      </c>
      <c r="CA200" s="10" t="str">
        <f t="shared" si="370"/>
        <v xml:space="preserve"> </v>
      </c>
      <c r="CB200" s="10" t="str">
        <f t="shared" si="370"/>
        <v xml:space="preserve"> </v>
      </c>
      <c r="CC200" s="14"/>
      <c r="CD200" s="14"/>
      <c r="CE200" s="10" t="str">
        <f t="shared" si="371"/>
        <v xml:space="preserve"> </v>
      </c>
      <c r="CF200" s="10" t="str">
        <f t="shared" si="371"/>
        <v xml:space="preserve"> </v>
      </c>
      <c r="CG200" s="10" t="str">
        <f t="shared" si="371"/>
        <v xml:space="preserve"> </v>
      </c>
      <c r="CH200" s="10" t="str">
        <f t="shared" si="371"/>
        <v xml:space="preserve"> </v>
      </c>
      <c r="CI200" s="10" t="str">
        <f t="shared" si="371"/>
        <v xml:space="preserve"> </v>
      </c>
      <c r="CJ200" s="14"/>
      <c r="CK200" s="14"/>
      <c r="CL200" s="10" t="str">
        <f t="shared" si="372"/>
        <v xml:space="preserve"> </v>
      </c>
      <c r="CM200" s="10" t="str">
        <f t="shared" si="372"/>
        <v xml:space="preserve"> </v>
      </c>
      <c r="CN200" s="10" t="str">
        <f t="shared" si="372"/>
        <v xml:space="preserve"> </v>
      </c>
      <c r="CO200" s="10" t="str">
        <f t="shared" si="372"/>
        <v xml:space="preserve"> </v>
      </c>
      <c r="CP200" s="10" t="str">
        <f t="shared" si="372"/>
        <v xml:space="preserve"> </v>
      </c>
      <c r="CQ200" s="14"/>
      <c r="CR200" s="14"/>
      <c r="CS200" s="10" t="str">
        <f t="shared" si="373"/>
        <v xml:space="preserve"> </v>
      </c>
      <c r="CT200" s="10" t="str">
        <f t="shared" si="373"/>
        <v xml:space="preserve"> </v>
      </c>
      <c r="CU200" s="10" t="str">
        <f t="shared" si="373"/>
        <v xml:space="preserve"> </v>
      </c>
      <c r="CV200" s="10" t="str">
        <f t="shared" si="373"/>
        <v xml:space="preserve"> </v>
      </c>
      <c r="CW200" s="10" t="str">
        <f t="shared" si="373"/>
        <v xml:space="preserve"> </v>
      </c>
      <c r="CZ200" s="10" t="str">
        <f t="shared" si="374"/>
        <v xml:space="preserve"> </v>
      </c>
      <c r="DA200" s="10" t="str">
        <f t="shared" si="374"/>
        <v xml:space="preserve"> </v>
      </c>
      <c r="DB200" s="10" t="str">
        <f t="shared" si="374"/>
        <v xml:space="preserve"> </v>
      </c>
      <c r="DC200" s="10" t="str">
        <f t="shared" si="374"/>
        <v xml:space="preserve"> </v>
      </c>
      <c r="DD200" s="10" t="str">
        <f t="shared" si="374"/>
        <v xml:space="preserve"> </v>
      </c>
      <c r="DG200" s="10" t="str">
        <f t="shared" si="375"/>
        <v xml:space="preserve"> </v>
      </c>
      <c r="DH200" s="10" t="str">
        <f t="shared" si="375"/>
        <v xml:space="preserve"> </v>
      </c>
      <c r="DI200" s="10" t="str">
        <f t="shared" si="375"/>
        <v xml:space="preserve"> </v>
      </c>
      <c r="DJ200" s="10" t="str">
        <f t="shared" si="375"/>
        <v xml:space="preserve"> </v>
      </c>
      <c r="DK200" s="10" t="str">
        <f t="shared" si="375"/>
        <v xml:space="preserve"> </v>
      </c>
      <c r="DN200" s="10" t="str">
        <f t="shared" si="376"/>
        <v xml:space="preserve"> </v>
      </c>
      <c r="DO200" s="10" t="str">
        <f t="shared" si="376"/>
        <v xml:space="preserve"> </v>
      </c>
      <c r="DP200" s="10" t="str">
        <f t="shared" si="376"/>
        <v xml:space="preserve"> </v>
      </c>
      <c r="DQ200" s="10" t="str">
        <f t="shared" si="376"/>
        <v xml:space="preserve"> </v>
      </c>
      <c r="DR200" s="10" t="str">
        <f t="shared" si="376"/>
        <v xml:space="preserve"> </v>
      </c>
      <c r="DU200" s="10" t="str">
        <f t="shared" si="377"/>
        <v xml:space="preserve"> </v>
      </c>
      <c r="DV200" s="10" t="str">
        <f t="shared" si="377"/>
        <v xml:space="preserve"> </v>
      </c>
      <c r="DW200" s="10" t="str">
        <f t="shared" si="377"/>
        <v xml:space="preserve"> </v>
      </c>
      <c r="DX200" s="10" t="str">
        <f t="shared" si="377"/>
        <v xml:space="preserve"> </v>
      </c>
      <c r="DY200" s="10" t="str">
        <f t="shared" si="377"/>
        <v xml:space="preserve"> </v>
      </c>
      <c r="EB200" s="10" t="str">
        <f t="shared" si="378"/>
        <v xml:space="preserve"> </v>
      </c>
      <c r="EC200" s="10" t="str">
        <f t="shared" si="378"/>
        <v xml:space="preserve"> </v>
      </c>
      <c r="ED200" s="10" t="str">
        <f t="shared" si="378"/>
        <v xml:space="preserve"> </v>
      </c>
      <c r="EE200" s="10" t="str">
        <f t="shared" si="378"/>
        <v xml:space="preserve"> </v>
      </c>
      <c r="EF200" s="10" t="str">
        <f t="shared" si="378"/>
        <v xml:space="preserve"> </v>
      </c>
      <c r="EI200" s="10" t="str">
        <f t="shared" si="379"/>
        <v xml:space="preserve"> </v>
      </c>
      <c r="EJ200" s="10" t="str">
        <f t="shared" si="379"/>
        <v xml:space="preserve"> </v>
      </c>
      <c r="EK200" s="10" t="str">
        <f t="shared" si="379"/>
        <v xml:space="preserve"> </v>
      </c>
      <c r="EL200" s="10" t="str">
        <f t="shared" si="379"/>
        <v xml:space="preserve"> </v>
      </c>
      <c r="EM200" s="10" t="str">
        <f t="shared" si="379"/>
        <v xml:space="preserve"> </v>
      </c>
      <c r="EP200" s="10" t="str">
        <f t="shared" si="380"/>
        <v xml:space="preserve"> </v>
      </c>
      <c r="EQ200" s="10" t="str">
        <f t="shared" si="380"/>
        <v xml:space="preserve"> </v>
      </c>
      <c r="ER200" s="10" t="str">
        <f t="shared" si="380"/>
        <v xml:space="preserve"> </v>
      </c>
      <c r="ES200" s="10" t="str">
        <f t="shared" si="380"/>
        <v xml:space="preserve"> </v>
      </c>
      <c r="ET200" s="10" t="str">
        <f t="shared" si="380"/>
        <v xml:space="preserve"> </v>
      </c>
      <c r="EW200" s="10" t="str">
        <f t="shared" si="381"/>
        <v xml:space="preserve"> </v>
      </c>
      <c r="EX200" s="10" t="str">
        <f t="shared" si="381"/>
        <v xml:space="preserve"> </v>
      </c>
      <c r="EY200" s="10" t="str">
        <f t="shared" si="381"/>
        <v xml:space="preserve"> </v>
      </c>
      <c r="EZ200" s="10" t="str">
        <f t="shared" si="381"/>
        <v xml:space="preserve"> </v>
      </c>
      <c r="FA200" s="10" t="str">
        <f t="shared" si="381"/>
        <v xml:space="preserve"> </v>
      </c>
      <c r="FD200" s="10" t="str">
        <f t="shared" si="382"/>
        <v xml:space="preserve"> </v>
      </c>
      <c r="FE200" s="10" t="str">
        <f t="shared" si="382"/>
        <v xml:space="preserve"> </v>
      </c>
      <c r="FF200" s="10" t="str">
        <f t="shared" si="382"/>
        <v xml:space="preserve"> </v>
      </c>
      <c r="FG200" s="10" t="str">
        <f t="shared" si="382"/>
        <v xml:space="preserve"> </v>
      </c>
      <c r="FH200" s="10" t="str">
        <f t="shared" si="382"/>
        <v xml:space="preserve"> </v>
      </c>
      <c r="FK200" s="10" t="str">
        <f t="shared" si="383"/>
        <v xml:space="preserve"> </v>
      </c>
      <c r="FL200" s="10" t="str">
        <f t="shared" si="383"/>
        <v xml:space="preserve"> </v>
      </c>
      <c r="FM200" s="10" t="str">
        <f t="shared" si="383"/>
        <v xml:space="preserve"> </v>
      </c>
      <c r="FN200" s="10" t="str">
        <f t="shared" si="383"/>
        <v xml:space="preserve"> </v>
      </c>
      <c r="FO200" s="10" t="str">
        <f t="shared" si="383"/>
        <v xml:space="preserve"> </v>
      </c>
      <c r="FR200" s="10" t="str">
        <f t="shared" si="384"/>
        <v xml:space="preserve"> </v>
      </c>
      <c r="FS200" s="10" t="str">
        <f t="shared" si="384"/>
        <v xml:space="preserve"> </v>
      </c>
      <c r="FT200" s="10" t="str">
        <f t="shared" si="384"/>
        <v xml:space="preserve"> </v>
      </c>
      <c r="FU200" s="10" t="str">
        <f t="shared" si="384"/>
        <v xml:space="preserve"> </v>
      </c>
      <c r="FV200" s="10" t="str">
        <f t="shared" si="384"/>
        <v xml:space="preserve"> </v>
      </c>
      <c r="FY200" s="10" t="str">
        <f t="shared" si="385"/>
        <v xml:space="preserve"> </v>
      </c>
      <c r="FZ200" s="10" t="str">
        <f t="shared" si="385"/>
        <v xml:space="preserve"> </v>
      </c>
      <c r="GA200" s="10" t="str">
        <f t="shared" si="385"/>
        <v xml:space="preserve"> </v>
      </c>
      <c r="GB200" s="10" t="str">
        <f t="shared" si="385"/>
        <v xml:space="preserve"> </v>
      </c>
      <c r="GC200" s="10" t="str">
        <f t="shared" si="385"/>
        <v xml:space="preserve"> </v>
      </c>
      <c r="GF200" s="10" t="str">
        <f t="shared" si="386"/>
        <v xml:space="preserve"> </v>
      </c>
      <c r="GG200" s="10" t="str">
        <f t="shared" si="386"/>
        <v xml:space="preserve"> </v>
      </c>
      <c r="GH200" s="10" t="str">
        <f t="shared" si="386"/>
        <v xml:space="preserve"> </v>
      </c>
      <c r="GI200" s="10" t="str">
        <f t="shared" si="386"/>
        <v xml:space="preserve"> </v>
      </c>
      <c r="GJ200" s="10" t="str">
        <f t="shared" si="386"/>
        <v xml:space="preserve"> </v>
      </c>
      <c r="GM200" s="10" t="str">
        <f t="shared" si="387"/>
        <v xml:space="preserve"> </v>
      </c>
      <c r="GN200" s="10" t="str">
        <f t="shared" si="387"/>
        <v xml:space="preserve"> </v>
      </c>
      <c r="GO200" s="10" t="str">
        <f t="shared" si="387"/>
        <v xml:space="preserve"> </v>
      </c>
      <c r="GP200" s="10" t="str">
        <f t="shared" si="387"/>
        <v xml:space="preserve"> </v>
      </c>
      <c r="GQ200" s="10" t="str">
        <f t="shared" si="387"/>
        <v xml:space="preserve"> </v>
      </c>
      <c r="GT200" s="10" t="str">
        <f t="shared" si="388"/>
        <v xml:space="preserve"> </v>
      </c>
      <c r="GU200" s="10" t="str">
        <f t="shared" si="388"/>
        <v xml:space="preserve"> </v>
      </c>
      <c r="GV200" s="10" t="str">
        <f t="shared" si="388"/>
        <v xml:space="preserve"> </v>
      </c>
      <c r="GW200" s="10" t="str">
        <f t="shared" si="388"/>
        <v xml:space="preserve"> </v>
      </c>
      <c r="GX200" s="10" t="str">
        <f t="shared" si="388"/>
        <v xml:space="preserve"> </v>
      </c>
      <c r="HA200" s="10" t="str">
        <f t="shared" si="389"/>
        <v xml:space="preserve"> </v>
      </c>
      <c r="HB200" s="10" t="str">
        <f t="shared" si="389"/>
        <v xml:space="preserve"> </v>
      </c>
      <c r="HC200" s="10" t="str">
        <f t="shared" si="389"/>
        <v xml:space="preserve"> </v>
      </c>
      <c r="HD200" s="10" t="str">
        <f t="shared" si="389"/>
        <v xml:space="preserve"> </v>
      </c>
      <c r="HE200" s="10" t="str">
        <f t="shared" si="389"/>
        <v xml:space="preserve"> </v>
      </c>
      <c r="HH200" s="10" t="str">
        <f t="shared" si="390"/>
        <v xml:space="preserve"> </v>
      </c>
      <c r="HI200" s="10" t="str">
        <f t="shared" si="390"/>
        <v xml:space="preserve"> </v>
      </c>
      <c r="HJ200" s="10" t="str">
        <f t="shared" si="390"/>
        <v xml:space="preserve"> </v>
      </c>
      <c r="HK200" s="10" t="str">
        <f t="shared" si="390"/>
        <v xml:space="preserve"> </v>
      </c>
      <c r="HL200" s="10" t="str">
        <f t="shared" si="390"/>
        <v xml:space="preserve"> </v>
      </c>
      <c r="HO200" s="10" t="str">
        <f t="shared" si="391"/>
        <v xml:space="preserve"> </v>
      </c>
      <c r="HP200" s="10" t="str">
        <f t="shared" si="391"/>
        <v xml:space="preserve"> </v>
      </c>
      <c r="HQ200" s="10" t="str">
        <f t="shared" si="391"/>
        <v xml:space="preserve"> </v>
      </c>
      <c r="HR200" s="10" t="str">
        <f t="shared" si="391"/>
        <v xml:space="preserve"> </v>
      </c>
      <c r="HS200" s="10" t="str">
        <f t="shared" si="391"/>
        <v xml:space="preserve"> </v>
      </c>
      <c r="HV200" s="10" t="str">
        <f t="shared" si="392"/>
        <v xml:space="preserve"> </v>
      </c>
      <c r="HW200" s="10" t="str">
        <f t="shared" si="392"/>
        <v xml:space="preserve"> </v>
      </c>
      <c r="HX200" s="10" t="str">
        <f t="shared" si="392"/>
        <v xml:space="preserve"> </v>
      </c>
      <c r="HY200" s="10" t="str">
        <f t="shared" si="392"/>
        <v xml:space="preserve"> </v>
      </c>
      <c r="HZ200" s="10" t="str">
        <f t="shared" si="392"/>
        <v xml:space="preserve"> </v>
      </c>
      <c r="IC200" s="10" t="str">
        <f t="shared" si="393"/>
        <v xml:space="preserve"> </v>
      </c>
      <c r="ID200" s="10" t="str">
        <f t="shared" si="393"/>
        <v xml:space="preserve"> </v>
      </c>
      <c r="IE200" s="10" t="str">
        <f t="shared" si="393"/>
        <v xml:space="preserve"> </v>
      </c>
      <c r="IF200" s="10" t="str">
        <f t="shared" si="393"/>
        <v xml:space="preserve"> </v>
      </c>
      <c r="IG200" s="10" t="str">
        <f t="shared" si="393"/>
        <v xml:space="preserve"> </v>
      </c>
      <c r="IJ200" s="10" t="str">
        <f t="shared" si="394"/>
        <v xml:space="preserve"> </v>
      </c>
      <c r="IK200" s="10" t="str">
        <f t="shared" si="394"/>
        <v xml:space="preserve"> </v>
      </c>
      <c r="IL200" s="10" t="str">
        <f t="shared" si="394"/>
        <v xml:space="preserve"> </v>
      </c>
      <c r="IM200" s="10" t="str">
        <f t="shared" si="394"/>
        <v xml:space="preserve"> </v>
      </c>
      <c r="IN200" s="10" t="str">
        <f t="shared" si="394"/>
        <v xml:space="preserve"> </v>
      </c>
      <c r="IQ200" s="10" t="str">
        <f t="shared" si="395"/>
        <v xml:space="preserve"> </v>
      </c>
      <c r="IR200" s="10" t="str">
        <f t="shared" si="395"/>
        <v xml:space="preserve"> </v>
      </c>
      <c r="IS200" s="10" t="str">
        <f t="shared" si="395"/>
        <v xml:space="preserve"> </v>
      </c>
      <c r="IT200" s="10" t="str">
        <f t="shared" si="395"/>
        <v xml:space="preserve"> </v>
      </c>
      <c r="IU200" s="10" t="str">
        <f t="shared" si="395"/>
        <v xml:space="preserve"> </v>
      </c>
      <c r="IX200" s="10" t="str">
        <f t="shared" si="396"/>
        <v xml:space="preserve"> </v>
      </c>
      <c r="IY200" s="10" t="str">
        <f t="shared" si="396"/>
        <v xml:space="preserve"> </v>
      </c>
      <c r="IZ200" s="10" t="str">
        <f t="shared" si="396"/>
        <v xml:space="preserve"> </v>
      </c>
      <c r="JA200" s="10" t="str">
        <f t="shared" si="396"/>
        <v xml:space="preserve"> </v>
      </c>
      <c r="JB200" s="10" t="str">
        <f t="shared" si="396"/>
        <v xml:space="preserve"> </v>
      </c>
      <c r="JE200" s="10" t="str">
        <f t="shared" si="397"/>
        <v xml:space="preserve"> </v>
      </c>
      <c r="JF200" s="10" t="str">
        <f t="shared" si="397"/>
        <v xml:space="preserve"> </v>
      </c>
      <c r="JG200" s="10" t="str">
        <f t="shared" si="397"/>
        <v xml:space="preserve"> </v>
      </c>
      <c r="JH200" s="10" t="str">
        <f t="shared" si="397"/>
        <v xml:space="preserve"> </v>
      </c>
      <c r="JI200" s="10" t="str">
        <f t="shared" si="397"/>
        <v xml:space="preserve"> </v>
      </c>
    </row>
    <row r="201" spans="13:269">
      <c r="M201" s="10" t="str">
        <f t="shared" si="398"/>
        <v xml:space="preserve"> </v>
      </c>
      <c r="N201" s="10" t="str">
        <f t="shared" si="398"/>
        <v xml:space="preserve"> </v>
      </c>
      <c r="O201" s="10" t="str">
        <f t="shared" si="398"/>
        <v xml:space="preserve"> </v>
      </c>
      <c r="P201" s="10" t="str">
        <f t="shared" si="398"/>
        <v xml:space="preserve"> </v>
      </c>
      <c r="Q201" s="10" t="str">
        <f t="shared" si="398"/>
        <v xml:space="preserve"> </v>
      </c>
      <c r="R201" s="14"/>
      <c r="S201" s="14"/>
      <c r="T201" s="10" t="str">
        <f t="shared" si="362"/>
        <v xml:space="preserve"> </v>
      </c>
      <c r="U201" s="10" t="str">
        <f t="shared" si="362"/>
        <v xml:space="preserve"> </v>
      </c>
      <c r="V201" s="10" t="str">
        <f t="shared" si="362"/>
        <v xml:space="preserve"> </v>
      </c>
      <c r="W201" s="10" t="str">
        <f t="shared" si="362"/>
        <v xml:space="preserve"> </v>
      </c>
      <c r="X201" s="10" t="str">
        <f t="shared" si="362"/>
        <v xml:space="preserve"> </v>
      </c>
      <c r="Y201" s="14"/>
      <c r="Z201" s="14"/>
      <c r="AA201" s="10" t="str">
        <f t="shared" si="363"/>
        <v xml:space="preserve"> </v>
      </c>
      <c r="AB201" s="10" t="str">
        <f t="shared" si="363"/>
        <v xml:space="preserve"> </v>
      </c>
      <c r="AC201" s="10" t="str">
        <f t="shared" si="363"/>
        <v xml:space="preserve"> </v>
      </c>
      <c r="AD201" s="10" t="str">
        <f t="shared" si="363"/>
        <v xml:space="preserve"> </v>
      </c>
      <c r="AE201" s="10" t="str">
        <f t="shared" si="363"/>
        <v xml:space="preserve"> </v>
      </c>
      <c r="AF201" s="14"/>
      <c r="AG201" s="14"/>
      <c r="AH201" s="10" t="str">
        <f t="shared" si="364"/>
        <v xml:space="preserve"> </v>
      </c>
      <c r="AI201" s="10" t="str">
        <f t="shared" si="364"/>
        <v xml:space="preserve"> </v>
      </c>
      <c r="AJ201" s="10" t="str">
        <f t="shared" si="364"/>
        <v xml:space="preserve"> </v>
      </c>
      <c r="AK201" s="10" t="str">
        <f t="shared" si="364"/>
        <v xml:space="preserve"> </v>
      </c>
      <c r="AL201" s="10" t="str">
        <f t="shared" si="364"/>
        <v xml:space="preserve"> </v>
      </c>
      <c r="AM201" s="14"/>
      <c r="AN201" s="14"/>
      <c r="AO201" s="10" t="str">
        <f t="shared" si="365"/>
        <v xml:space="preserve"> </v>
      </c>
      <c r="AP201" s="10" t="str">
        <f t="shared" si="365"/>
        <v xml:space="preserve"> </v>
      </c>
      <c r="AQ201" s="10" t="str">
        <f t="shared" si="365"/>
        <v xml:space="preserve"> </v>
      </c>
      <c r="AR201" s="10" t="str">
        <f t="shared" si="365"/>
        <v xml:space="preserve"> </v>
      </c>
      <c r="AS201" s="10" t="str">
        <f t="shared" si="365"/>
        <v xml:space="preserve"> </v>
      </c>
      <c r="AT201" s="14"/>
      <c r="AU201" s="14"/>
      <c r="AV201" s="10" t="str">
        <f t="shared" si="366"/>
        <v xml:space="preserve"> </v>
      </c>
      <c r="AW201" s="10" t="str">
        <f t="shared" si="366"/>
        <v xml:space="preserve"> </v>
      </c>
      <c r="AX201" s="10" t="str">
        <f t="shared" si="366"/>
        <v xml:space="preserve"> </v>
      </c>
      <c r="AY201" s="10" t="str">
        <f t="shared" si="366"/>
        <v xml:space="preserve"> </v>
      </c>
      <c r="AZ201" s="10" t="str">
        <f t="shared" si="366"/>
        <v xml:space="preserve"> </v>
      </c>
      <c r="BA201" s="14"/>
      <c r="BB201" s="14"/>
      <c r="BC201" s="10" t="str">
        <f t="shared" si="367"/>
        <v xml:space="preserve"> </v>
      </c>
      <c r="BD201" s="10" t="str">
        <f t="shared" si="367"/>
        <v xml:space="preserve"> </v>
      </c>
      <c r="BE201" s="10" t="str">
        <f t="shared" si="367"/>
        <v xml:space="preserve"> </v>
      </c>
      <c r="BF201" s="10" t="str">
        <f t="shared" si="367"/>
        <v xml:space="preserve"> </v>
      </c>
      <c r="BG201" s="10" t="str">
        <f t="shared" si="367"/>
        <v xml:space="preserve"> </v>
      </c>
      <c r="BH201" s="14"/>
      <c r="BI201" s="14"/>
      <c r="BJ201" s="10" t="str">
        <f t="shared" si="368"/>
        <v xml:space="preserve"> </v>
      </c>
      <c r="BK201" s="10" t="str">
        <f t="shared" si="368"/>
        <v xml:space="preserve"> </v>
      </c>
      <c r="BL201" s="10" t="str">
        <f t="shared" si="368"/>
        <v xml:space="preserve"> </v>
      </c>
      <c r="BM201" s="10" t="str">
        <f t="shared" si="368"/>
        <v xml:space="preserve"> </v>
      </c>
      <c r="BN201" s="10" t="str">
        <f t="shared" si="368"/>
        <v xml:space="preserve"> </v>
      </c>
      <c r="BO201" s="14"/>
      <c r="BP201" s="14"/>
      <c r="BQ201" s="10" t="str">
        <f t="shared" si="369"/>
        <v xml:space="preserve"> </v>
      </c>
      <c r="BR201" s="10" t="str">
        <f t="shared" si="369"/>
        <v xml:space="preserve"> </v>
      </c>
      <c r="BS201" s="10" t="str">
        <f t="shared" si="369"/>
        <v xml:space="preserve"> </v>
      </c>
      <c r="BT201" s="10" t="str">
        <f t="shared" si="369"/>
        <v xml:space="preserve"> </v>
      </c>
      <c r="BU201" s="10" t="str">
        <f t="shared" si="369"/>
        <v xml:space="preserve"> </v>
      </c>
      <c r="BV201" s="14"/>
      <c r="BW201" s="14"/>
      <c r="BX201" s="10" t="str">
        <f t="shared" si="370"/>
        <v xml:space="preserve"> </v>
      </c>
      <c r="BY201" s="10" t="str">
        <f t="shared" si="370"/>
        <v xml:space="preserve"> </v>
      </c>
      <c r="BZ201" s="10" t="str">
        <f t="shared" si="370"/>
        <v xml:space="preserve"> </v>
      </c>
      <c r="CA201" s="10" t="str">
        <f t="shared" si="370"/>
        <v xml:space="preserve"> </v>
      </c>
      <c r="CB201" s="10" t="str">
        <f t="shared" si="370"/>
        <v xml:space="preserve"> </v>
      </c>
      <c r="CC201" s="14"/>
      <c r="CD201" s="14"/>
      <c r="CE201" s="10" t="str">
        <f t="shared" si="371"/>
        <v xml:space="preserve"> </v>
      </c>
      <c r="CF201" s="10" t="str">
        <f t="shared" si="371"/>
        <v xml:space="preserve"> </v>
      </c>
      <c r="CG201" s="10" t="str">
        <f t="shared" si="371"/>
        <v xml:space="preserve"> </v>
      </c>
      <c r="CH201" s="10" t="str">
        <f t="shared" si="371"/>
        <v xml:space="preserve"> </v>
      </c>
      <c r="CI201" s="10" t="str">
        <f t="shared" si="371"/>
        <v xml:space="preserve"> </v>
      </c>
      <c r="CJ201" s="14"/>
      <c r="CK201" s="14"/>
      <c r="CL201" s="10" t="str">
        <f t="shared" si="372"/>
        <v xml:space="preserve"> </v>
      </c>
      <c r="CM201" s="10" t="str">
        <f t="shared" si="372"/>
        <v xml:space="preserve"> </v>
      </c>
      <c r="CN201" s="10" t="str">
        <f t="shared" si="372"/>
        <v xml:space="preserve"> </v>
      </c>
      <c r="CO201" s="10" t="str">
        <f t="shared" si="372"/>
        <v xml:space="preserve"> </v>
      </c>
      <c r="CP201" s="10" t="str">
        <f t="shared" si="372"/>
        <v xml:space="preserve"> </v>
      </c>
      <c r="CQ201" s="14"/>
      <c r="CR201" s="14"/>
      <c r="CS201" s="10" t="str">
        <f t="shared" si="373"/>
        <v xml:space="preserve"> </v>
      </c>
      <c r="CT201" s="10" t="str">
        <f t="shared" si="373"/>
        <v xml:space="preserve"> </v>
      </c>
      <c r="CU201" s="10" t="str">
        <f t="shared" si="373"/>
        <v xml:space="preserve"> </v>
      </c>
      <c r="CV201" s="10" t="str">
        <f t="shared" si="373"/>
        <v xml:space="preserve"> </v>
      </c>
      <c r="CW201" s="10" t="str">
        <f t="shared" si="373"/>
        <v xml:space="preserve"> </v>
      </c>
      <c r="CZ201" s="10" t="str">
        <f t="shared" si="374"/>
        <v xml:space="preserve"> </v>
      </c>
      <c r="DA201" s="10" t="str">
        <f t="shared" si="374"/>
        <v xml:space="preserve"> </v>
      </c>
      <c r="DB201" s="10" t="str">
        <f t="shared" si="374"/>
        <v xml:space="preserve"> </v>
      </c>
      <c r="DC201" s="10" t="str">
        <f t="shared" si="374"/>
        <v xml:space="preserve"> </v>
      </c>
      <c r="DD201" s="10" t="str">
        <f t="shared" si="374"/>
        <v xml:space="preserve"> </v>
      </c>
      <c r="DG201" s="10" t="str">
        <f t="shared" si="375"/>
        <v xml:space="preserve"> </v>
      </c>
      <c r="DH201" s="10" t="str">
        <f t="shared" si="375"/>
        <v xml:space="preserve"> </v>
      </c>
      <c r="DI201" s="10" t="str">
        <f t="shared" si="375"/>
        <v xml:space="preserve"> </v>
      </c>
      <c r="DJ201" s="10" t="str">
        <f t="shared" si="375"/>
        <v xml:space="preserve"> </v>
      </c>
      <c r="DK201" s="10" t="str">
        <f t="shared" si="375"/>
        <v xml:space="preserve"> </v>
      </c>
      <c r="DN201" s="10" t="str">
        <f t="shared" si="376"/>
        <v xml:space="preserve"> </v>
      </c>
      <c r="DO201" s="10" t="str">
        <f t="shared" si="376"/>
        <v xml:space="preserve"> </v>
      </c>
      <c r="DP201" s="10" t="str">
        <f t="shared" si="376"/>
        <v xml:space="preserve"> </v>
      </c>
      <c r="DQ201" s="10" t="str">
        <f t="shared" si="376"/>
        <v xml:space="preserve"> </v>
      </c>
      <c r="DR201" s="10" t="str">
        <f t="shared" si="376"/>
        <v xml:space="preserve"> </v>
      </c>
      <c r="DU201" s="10" t="str">
        <f t="shared" si="377"/>
        <v xml:space="preserve"> </v>
      </c>
      <c r="DV201" s="10" t="str">
        <f t="shared" si="377"/>
        <v xml:space="preserve"> </v>
      </c>
      <c r="DW201" s="10" t="str">
        <f t="shared" si="377"/>
        <v xml:space="preserve"> </v>
      </c>
      <c r="DX201" s="10" t="str">
        <f t="shared" si="377"/>
        <v xml:space="preserve"> </v>
      </c>
      <c r="DY201" s="10" t="str">
        <f t="shared" si="377"/>
        <v xml:space="preserve"> </v>
      </c>
      <c r="EB201" s="10" t="str">
        <f t="shared" si="378"/>
        <v xml:space="preserve"> </v>
      </c>
      <c r="EC201" s="10" t="str">
        <f t="shared" si="378"/>
        <v xml:space="preserve"> </v>
      </c>
      <c r="ED201" s="10" t="str">
        <f t="shared" si="378"/>
        <v xml:space="preserve"> </v>
      </c>
      <c r="EE201" s="10" t="str">
        <f t="shared" si="378"/>
        <v xml:space="preserve"> </v>
      </c>
      <c r="EF201" s="10" t="str">
        <f t="shared" si="378"/>
        <v xml:space="preserve"> </v>
      </c>
      <c r="EI201" s="10" t="str">
        <f t="shared" si="379"/>
        <v xml:space="preserve"> </v>
      </c>
      <c r="EJ201" s="10" t="str">
        <f t="shared" si="379"/>
        <v xml:space="preserve"> </v>
      </c>
      <c r="EK201" s="10" t="str">
        <f t="shared" si="379"/>
        <v xml:space="preserve"> </v>
      </c>
      <c r="EL201" s="10" t="str">
        <f t="shared" si="379"/>
        <v xml:space="preserve"> </v>
      </c>
      <c r="EM201" s="10" t="str">
        <f t="shared" si="379"/>
        <v xml:space="preserve"> </v>
      </c>
      <c r="EP201" s="10" t="str">
        <f t="shared" si="380"/>
        <v xml:space="preserve"> </v>
      </c>
      <c r="EQ201" s="10" t="str">
        <f t="shared" si="380"/>
        <v xml:space="preserve"> </v>
      </c>
      <c r="ER201" s="10" t="str">
        <f t="shared" si="380"/>
        <v xml:space="preserve"> </v>
      </c>
      <c r="ES201" s="10" t="str">
        <f t="shared" si="380"/>
        <v xml:space="preserve"> </v>
      </c>
      <c r="ET201" s="10" t="str">
        <f t="shared" si="380"/>
        <v xml:space="preserve"> </v>
      </c>
      <c r="EW201" s="10" t="str">
        <f t="shared" si="381"/>
        <v xml:space="preserve"> </v>
      </c>
      <c r="EX201" s="10" t="str">
        <f t="shared" si="381"/>
        <v xml:space="preserve"> </v>
      </c>
      <c r="EY201" s="10" t="str">
        <f t="shared" si="381"/>
        <v xml:space="preserve"> </v>
      </c>
      <c r="EZ201" s="10" t="str">
        <f t="shared" si="381"/>
        <v xml:space="preserve"> </v>
      </c>
      <c r="FA201" s="10" t="str">
        <f t="shared" si="381"/>
        <v xml:space="preserve"> </v>
      </c>
      <c r="FD201" s="10" t="str">
        <f t="shared" si="382"/>
        <v xml:space="preserve"> </v>
      </c>
      <c r="FE201" s="10" t="str">
        <f t="shared" si="382"/>
        <v xml:space="preserve"> </v>
      </c>
      <c r="FF201" s="10" t="str">
        <f t="shared" si="382"/>
        <v xml:space="preserve"> </v>
      </c>
      <c r="FG201" s="10" t="str">
        <f t="shared" si="382"/>
        <v xml:space="preserve"> </v>
      </c>
      <c r="FH201" s="10" t="str">
        <f t="shared" si="382"/>
        <v xml:space="preserve"> </v>
      </c>
      <c r="FK201" s="10" t="str">
        <f t="shared" si="383"/>
        <v xml:space="preserve"> </v>
      </c>
      <c r="FL201" s="10" t="str">
        <f t="shared" si="383"/>
        <v xml:space="preserve"> </v>
      </c>
      <c r="FM201" s="10" t="str">
        <f t="shared" si="383"/>
        <v xml:space="preserve"> </v>
      </c>
      <c r="FN201" s="10" t="str">
        <f t="shared" si="383"/>
        <v xml:space="preserve"> </v>
      </c>
      <c r="FO201" s="10" t="str">
        <f t="shared" si="383"/>
        <v xml:space="preserve"> </v>
      </c>
      <c r="FR201" s="10" t="str">
        <f t="shared" si="384"/>
        <v xml:space="preserve"> </v>
      </c>
      <c r="FS201" s="10" t="str">
        <f t="shared" si="384"/>
        <v xml:space="preserve"> </v>
      </c>
      <c r="FT201" s="10" t="str">
        <f t="shared" si="384"/>
        <v xml:space="preserve"> </v>
      </c>
      <c r="FU201" s="10" t="str">
        <f t="shared" si="384"/>
        <v xml:space="preserve"> </v>
      </c>
      <c r="FV201" s="10" t="str">
        <f t="shared" si="384"/>
        <v xml:space="preserve"> </v>
      </c>
      <c r="FY201" s="10" t="str">
        <f t="shared" si="385"/>
        <v xml:space="preserve"> </v>
      </c>
      <c r="FZ201" s="10" t="str">
        <f t="shared" si="385"/>
        <v xml:space="preserve"> </v>
      </c>
      <c r="GA201" s="10" t="str">
        <f t="shared" si="385"/>
        <v xml:space="preserve"> </v>
      </c>
      <c r="GB201" s="10" t="str">
        <f t="shared" si="385"/>
        <v xml:space="preserve"> </v>
      </c>
      <c r="GC201" s="10" t="str">
        <f t="shared" si="385"/>
        <v xml:space="preserve"> </v>
      </c>
      <c r="GF201" s="10" t="str">
        <f t="shared" si="386"/>
        <v xml:space="preserve"> </v>
      </c>
      <c r="GG201" s="10" t="str">
        <f t="shared" si="386"/>
        <v xml:space="preserve"> </v>
      </c>
      <c r="GH201" s="10" t="str">
        <f t="shared" si="386"/>
        <v xml:space="preserve"> </v>
      </c>
      <c r="GI201" s="10" t="str">
        <f t="shared" si="386"/>
        <v xml:space="preserve"> </v>
      </c>
      <c r="GJ201" s="10" t="str">
        <f t="shared" si="386"/>
        <v xml:space="preserve"> </v>
      </c>
      <c r="GM201" s="10" t="str">
        <f t="shared" si="387"/>
        <v xml:space="preserve"> </v>
      </c>
      <c r="GN201" s="10" t="str">
        <f t="shared" si="387"/>
        <v xml:space="preserve"> </v>
      </c>
      <c r="GO201" s="10" t="str">
        <f t="shared" si="387"/>
        <v xml:space="preserve"> </v>
      </c>
      <c r="GP201" s="10" t="str">
        <f t="shared" si="387"/>
        <v xml:space="preserve"> </v>
      </c>
      <c r="GQ201" s="10" t="str">
        <f t="shared" si="387"/>
        <v xml:space="preserve"> </v>
      </c>
      <c r="GT201" s="10" t="str">
        <f t="shared" si="388"/>
        <v xml:space="preserve"> </v>
      </c>
      <c r="GU201" s="10" t="str">
        <f t="shared" si="388"/>
        <v xml:space="preserve"> </v>
      </c>
      <c r="GV201" s="10" t="str">
        <f t="shared" si="388"/>
        <v xml:space="preserve"> </v>
      </c>
      <c r="GW201" s="10" t="str">
        <f t="shared" si="388"/>
        <v xml:space="preserve"> </v>
      </c>
      <c r="GX201" s="10" t="str">
        <f t="shared" si="388"/>
        <v xml:space="preserve"> </v>
      </c>
      <c r="HA201" s="10" t="str">
        <f t="shared" si="389"/>
        <v xml:space="preserve"> </v>
      </c>
      <c r="HB201" s="10" t="str">
        <f t="shared" si="389"/>
        <v xml:space="preserve"> </v>
      </c>
      <c r="HC201" s="10" t="str">
        <f t="shared" si="389"/>
        <v xml:space="preserve"> </v>
      </c>
      <c r="HD201" s="10" t="str">
        <f t="shared" si="389"/>
        <v xml:space="preserve"> </v>
      </c>
      <c r="HE201" s="10" t="str">
        <f t="shared" si="389"/>
        <v xml:space="preserve"> </v>
      </c>
      <c r="HH201" s="10" t="str">
        <f t="shared" si="390"/>
        <v xml:space="preserve"> </v>
      </c>
      <c r="HI201" s="10" t="str">
        <f t="shared" si="390"/>
        <v xml:space="preserve"> </v>
      </c>
      <c r="HJ201" s="10" t="str">
        <f t="shared" si="390"/>
        <v xml:space="preserve"> </v>
      </c>
      <c r="HK201" s="10" t="str">
        <f t="shared" si="390"/>
        <v xml:space="preserve"> </v>
      </c>
      <c r="HL201" s="10" t="str">
        <f t="shared" si="390"/>
        <v xml:space="preserve"> </v>
      </c>
      <c r="HO201" s="10" t="str">
        <f t="shared" si="391"/>
        <v xml:space="preserve"> </v>
      </c>
      <c r="HP201" s="10" t="str">
        <f t="shared" si="391"/>
        <v xml:space="preserve"> </v>
      </c>
      <c r="HQ201" s="10" t="str">
        <f t="shared" si="391"/>
        <v xml:space="preserve"> </v>
      </c>
      <c r="HR201" s="10" t="str">
        <f t="shared" si="391"/>
        <v xml:space="preserve"> </v>
      </c>
      <c r="HS201" s="10" t="str">
        <f t="shared" si="391"/>
        <v xml:space="preserve"> </v>
      </c>
      <c r="HV201" s="10" t="str">
        <f t="shared" si="392"/>
        <v xml:space="preserve"> </v>
      </c>
      <c r="HW201" s="10" t="str">
        <f t="shared" si="392"/>
        <v xml:space="preserve"> </v>
      </c>
      <c r="HX201" s="10" t="str">
        <f t="shared" si="392"/>
        <v xml:space="preserve"> </v>
      </c>
      <c r="HY201" s="10" t="str">
        <f t="shared" si="392"/>
        <v xml:space="preserve"> </v>
      </c>
      <c r="HZ201" s="10" t="str">
        <f t="shared" si="392"/>
        <v xml:space="preserve"> </v>
      </c>
      <c r="IC201" s="10" t="str">
        <f t="shared" si="393"/>
        <v xml:space="preserve"> </v>
      </c>
      <c r="ID201" s="10" t="str">
        <f t="shared" si="393"/>
        <v xml:space="preserve"> </v>
      </c>
      <c r="IE201" s="10" t="str">
        <f t="shared" si="393"/>
        <v xml:space="preserve"> </v>
      </c>
      <c r="IF201" s="10" t="str">
        <f t="shared" si="393"/>
        <v xml:space="preserve"> </v>
      </c>
      <c r="IG201" s="10" t="str">
        <f t="shared" si="393"/>
        <v xml:space="preserve"> </v>
      </c>
      <c r="IJ201" s="10" t="str">
        <f t="shared" si="394"/>
        <v xml:space="preserve"> </v>
      </c>
      <c r="IK201" s="10" t="str">
        <f t="shared" si="394"/>
        <v xml:space="preserve"> </v>
      </c>
      <c r="IL201" s="10" t="str">
        <f t="shared" si="394"/>
        <v xml:space="preserve"> </v>
      </c>
      <c r="IM201" s="10" t="str">
        <f t="shared" si="394"/>
        <v xml:space="preserve"> </v>
      </c>
      <c r="IN201" s="10" t="str">
        <f t="shared" si="394"/>
        <v xml:space="preserve"> </v>
      </c>
      <c r="IQ201" s="10" t="str">
        <f t="shared" si="395"/>
        <v xml:space="preserve"> </v>
      </c>
      <c r="IR201" s="10" t="str">
        <f t="shared" si="395"/>
        <v xml:space="preserve"> </v>
      </c>
      <c r="IS201" s="10" t="str">
        <f t="shared" si="395"/>
        <v xml:space="preserve"> </v>
      </c>
      <c r="IT201" s="10" t="str">
        <f t="shared" si="395"/>
        <v xml:space="preserve"> </v>
      </c>
      <c r="IU201" s="10" t="str">
        <f t="shared" si="395"/>
        <v xml:space="preserve"> </v>
      </c>
      <c r="IX201" s="10" t="str">
        <f t="shared" si="396"/>
        <v xml:space="preserve"> </v>
      </c>
      <c r="IY201" s="10" t="str">
        <f t="shared" si="396"/>
        <v xml:space="preserve"> </v>
      </c>
      <c r="IZ201" s="10" t="str">
        <f t="shared" si="396"/>
        <v xml:space="preserve"> </v>
      </c>
      <c r="JA201" s="10" t="str">
        <f t="shared" si="396"/>
        <v xml:space="preserve"> </v>
      </c>
      <c r="JB201" s="10" t="str">
        <f t="shared" si="396"/>
        <v xml:space="preserve"> </v>
      </c>
      <c r="JE201" s="10" t="str">
        <f t="shared" si="397"/>
        <v xml:space="preserve"> </v>
      </c>
      <c r="JF201" s="10" t="str">
        <f t="shared" si="397"/>
        <v xml:space="preserve"> </v>
      </c>
      <c r="JG201" s="10" t="str">
        <f t="shared" si="397"/>
        <v xml:space="preserve"> </v>
      </c>
      <c r="JH201" s="10" t="str">
        <f t="shared" si="397"/>
        <v xml:space="preserve"> </v>
      </c>
      <c r="JI201" s="10" t="str">
        <f t="shared" si="397"/>
        <v xml:space="preserve"> </v>
      </c>
    </row>
    <row r="202" spans="13:269">
      <c r="M202" s="10" t="str">
        <f t="shared" si="398"/>
        <v xml:space="preserve"> </v>
      </c>
      <c r="N202" s="10" t="str">
        <f t="shared" si="398"/>
        <v xml:space="preserve"> </v>
      </c>
      <c r="O202" s="10" t="str">
        <f t="shared" si="398"/>
        <v xml:space="preserve"> </v>
      </c>
      <c r="P202" s="10" t="str">
        <f t="shared" si="398"/>
        <v xml:space="preserve"> </v>
      </c>
      <c r="Q202" s="10" t="str">
        <f t="shared" si="398"/>
        <v xml:space="preserve"> </v>
      </c>
      <c r="R202" s="14"/>
      <c r="S202" s="14"/>
      <c r="T202" s="10" t="str">
        <f t="shared" si="362"/>
        <v xml:space="preserve"> </v>
      </c>
      <c r="U202" s="10" t="str">
        <f t="shared" si="362"/>
        <v xml:space="preserve"> </v>
      </c>
      <c r="V202" s="10" t="str">
        <f t="shared" si="362"/>
        <v xml:space="preserve"> </v>
      </c>
      <c r="W202" s="10" t="str">
        <f t="shared" si="362"/>
        <v xml:space="preserve"> </v>
      </c>
      <c r="X202" s="10" t="str">
        <f t="shared" si="362"/>
        <v xml:space="preserve"> </v>
      </c>
      <c r="Y202" s="14"/>
      <c r="Z202" s="14"/>
      <c r="AA202" s="10" t="str">
        <f t="shared" si="363"/>
        <v xml:space="preserve"> </v>
      </c>
      <c r="AB202" s="10" t="str">
        <f t="shared" si="363"/>
        <v xml:space="preserve"> </v>
      </c>
      <c r="AC202" s="10" t="str">
        <f t="shared" si="363"/>
        <v xml:space="preserve"> </v>
      </c>
      <c r="AD202" s="10" t="str">
        <f t="shared" si="363"/>
        <v xml:space="preserve"> </v>
      </c>
      <c r="AE202" s="10" t="str">
        <f t="shared" si="363"/>
        <v xml:space="preserve"> </v>
      </c>
      <c r="AF202" s="14"/>
      <c r="AG202" s="14"/>
      <c r="AH202" s="10" t="str">
        <f t="shared" si="364"/>
        <v xml:space="preserve"> </v>
      </c>
      <c r="AI202" s="10" t="str">
        <f t="shared" si="364"/>
        <v xml:space="preserve"> </v>
      </c>
      <c r="AJ202" s="10" t="str">
        <f t="shared" si="364"/>
        <v xml:space="preserve"> </v>
      </c>
      <c r="AK202" s="10" t="str">
        <f t="shared" si="364"/>
        <v xml:space="preserve"> </v>
      </c>
      <c r="AL202" s="10" t="str">
        <f t="shared" si="364"/>
        <v xml:space="preserve"> </v>
      </c>
      <c r="AM202" s="14"/>
      <c r="AN202" s="14"/>
      <c r="AO202" s="10" t="str">
        <f t="shared" si="365"/>
        <v xml:space="preserve"> </v>
      </c>
      <c r="AP202" s="10" t="str">
        <f t="shared" si="365"/>
        <v xml:space="preserve"> </v>
      </c>
      <c r="AQ202" s="10" t="str">
        <f t="shared" si="365"/>
        <v xml:space="preserve"> </v>
      </c>
      <c r="AR202" s="10" t="str">
        <f t="shared" si="365"/>
        <v xml:space="preserve"> </v>
      </c>
      <c r="AS202" s="10" t="str">
        <f t="shared" si="365"/>
        <v xml:space="preserve"> </v>
      </c>
      <c r="AT202" s="14"/>
      <c r="AU202" s="14"/>
      <c r="AV202" s="10" t="str">
        <f t="shared" si="366"/>
        <v xml:space="preserve"> </v>
      </c>
      <c r="AW202" s="10" t="str">
        <f t="shared" si="366"/>
        <v xml:space="preserve"> </v>
      </c>
      <c r="AX202" s="10" t="str">
        <f t="shared" si="366"/>
        <v xml:space="preserve"> </v>
      </c>
      <c r="AY202" s="10" t="str">
        <f t="shared" si="366"/>
        <v xml:space="preserve"> </v>
      </c>
      <c r="AZ202" s="10" t="str">
        <f t="shared" si="366"/>
        <v xml:space="preserve"> </v>
      </c>
      <c r="BA202" s="14"/>
      <c r="BB202" s="14"/>
      <c r="BC202" s="10" t="str">
        <f t="shared" si="367"/>
        <v xml:space="preserve"> </v>
      </c>
      <c r="BD202" s="10" t="str">
        <f t="shared" si="367"/>
        <v xml:space="preserve"> </v>
      </c>
      <c r="BE202" s="10" t="str">
        <f t="shared" si="367"/>
        <v xml:space="preserve"> </v>
      </c>
      <c r="BF202" s="10" t="str">
        <f t="shared" si="367"/>
        <v xml:space="preserve"> </v>
      </c>
      <c r="BG202" s="10" t="str">
        <f t="shared" si="367"/>
        <v xml:space="preserve"> </v>
      </c>
      <c r="BH202" s="14"/>
      <c r="BI202" s="14"/>
      <c r="BJ202" s="10" t="str">
        <f t="shared" si="368"/>
        <v xml:space="preserve"> </v>
      </c>
      <c r="BK202" s="10" t="str">
        <f t="shared" si="368"/>
        <v xml:space="preserve"> </v>
      </c>
      <c r="BL202" s="10" t="str">
        <f t="shared" si="368"/>
        <v xml:space="preserve"> </v>
      </c>
      <c r="BM202" s="10" t="str">
        <f t="shared" si="368"/>
        <v xml:space="preserve"> </v>
      </c>
      <c r="BN202" s="10" t="str">
        <f t="shared" si="368"/>
        <v xml:space="preserve"> </v>
      </c>
      <c r="BO202" s="14"/>
      <c r="BP202" s="14"/>
      <c r="BQ202" s="10" t="str">
        <f t="shared" si="369"/>
        <v xml:space="preserve"> </v>
      </c>
      <c r="BR202" s="10" t="str">
        <f t="shared" si="369"/>
        <v xml:space="preserve"> </v>
      </c>
      <c r="BS202" s="10" t="str">
        <f t="shared" si="369"/>
        <v xml:space="preserve"> </v>
      </c>
      <c r="BT202" s="10" t="str">
        <f t="shared" si="369"/>
        <v xml:space="preserve"> </v>
      </c>
      <c r="BU202" s="10" t="str">
        <f t="shared" si="369"/>
        <v xml:space="preserve"> </v>
      </c>
      <c r="BV202" s="14"/>
      <c r="BW202" s="14"/>
      <c r="BX202" s="10" t="str">
        <f t="shared" si="370"/>
        <v xml:space="preserve"> </v>
      </c>
      <c r="BY202" s="10" t="str">
        <f t="shared" si="370"/>
        <v xml:space="preserve"> </v>
      </c>
      <c r="BZ202" s="10" t="str">
        <f t="shared" si="370"/>
        <v xml:space="preserve"> </v>
      </c>
      <c r="CA202" s="10" t="str">
        <f t="shared" si="370"/>
        <v xml:space="preserve"> </v>
      </c>
      <c r="CB202" s="10" t="str">
        <f t="shared" si="370"/>
        <v xml:space="preserve"> </v>
      </c>
      <c r="CC202" s="14"/>
      <c r="CD202" s="14"/>
      <c r="CE202" s="10" t="str">
        <f t="shared" si="371"/>
        <v xml:space="preserve"> </v>
      </c>
      <c r="CF202" s="10" t="str">
        <f t="shared" si="371"/>
        <v xml:space="preserve"> </v>
      </c>
      <c r="CG202" s="10" t="str">
        <f t="shared" si="371"/>
        <v xml:space="preserve"> </v>
      </c>
      <c r="CH202" s="10" t="str">
        <f t="shared" si="371"/>
        <v xml:space="preserve"> </v>
      </c>
      <c r="CI202" s="10" t="str">
        <f t="shared" si="371"/>
        <v xml:space="preserve"> </v>
      </c>
      <c r="CJ202" s="14"/>
      <c r="CK202" s="14"/>
      <c r="CL202" s="10" t="str">
        <f t="shared" si="372"/>
        <v xml:space="preserve"> </v>
      </c>
      <c r="CM202" s="10" t="str">
        <f t="shared" si="372"/>
        <v xml:space="preserve"> </v>
      </c>
      <c r="CN202" s="10" t="str">
        <f t="shared" si="372"/>
        <v xml:space="preserve"> </v>
      </c>
      <c r="CO202" s="10" t="str">
        <f t="shared" si="372"/>
        <v xml:space="preserve"> </v>
      </c>
      <c r="CP202" s="10" t="str">
        <f t="shared" si="372"/>
        <v xml:space="preserve"> </v>
      </c>
      <c r="CQ202" s="14"/>
      <c r="CR202" s="14"/>
      <c r="CS202" s="10" t="str">
        <f t="shared" si="373"/>
        <v xml:space="preserve"> </v>
      </c>
      <c r="CT202" s="10" t="str">
        <f t="shared" si="373"/>
        <v xml:space="preserve"> </v>
      </c>
      <c r="CU202" s="10" t="str">
        <f t="shared" si="373"/>
        <v xml:space="preserve"> </v>
      </c>
      <c r="CV202" s="10" t="str">
        <f t="shared" si="373"/>
        <v xml:space="preserve"> </v>
      </c>
      <c r="CW202" s="10" t="str">
        <f t="shared" si="373"/>
        <v xml:space="preserve"> </v>
      </c>
      <c r="CZ202" s="10" t="str">
        <f t="shared" si="374"/>
        <v xml:space="preserve"> </v>
      </c>
      <c r="DA202" s="10" t="str">
        <f t="shared" si="374"/>
        <v xml:space="preserve"> </v>
      </c>
      <c r="DB202" s="10" t="str">
        <f t="shared" si="374"/>
        <v xml:space="preserve"> </v>
      </c>
      <c r="DC202" s="10" t="str">
        <f t="shared" si="374"/>
        <v xml:space="preserve"> </v>
      </c>
      <c r="DD202" s="10" t="str">
        <f t="shared" si="374"/>
        <v xml:space="preserve"> </v>
      </c>
      <c r="DG202" s="10" t="str">
        <f t="shared" si="375"/>
        <v xml:space="preserve"> </v>
      </c>
      <c r="DH202" s="10" t="str">
        <f t="shared" si="375"/>
        <v xml:space="preserve"> </v>
      </c>
      <c r="DI202" s="10" t="str">
        <f t="shared" si="375"/>
        <v xml:space="preserve"> </v>
      </c>
      <c r="DJ202" s="10" t="str">
        <f t="shared" si="375"/>
        <v xml:space="preserve"> </v>
      </c>
      <c r="DK202" s="10" t="str">
        <f t="shared" si="375"/>
        <v xml:space="preserve"> </v>
      </c>
      <c r="DN202" s="10" t="str">
        <f t="shared" si="376"/>
        <v xml:space="preserve"> </v>
      </c>
      <c r="DO202" s="10" t="str">
        <f t="shared" si="376"/>
        <v xml:space="preserve"> </v>
      </c>
      <c r="DP202" s="10" t="str">
        <f t="shared" si="376"/>
        <v xml:space="preserve"> </v>
      </c>
      <c r="DQ202" s="10" t="str">
        <f t="shared" si="376"/>
        <v xml:space="preserve"> </v>
      </c>
      <c r="DR202" s="10" t="str">
        <f t="shared" si="376"/>
        <v xml:space="preserve"> </v>
      </c>
      <c r="DU202" s="10" t="str">
        <f t="shared" si="377"/>
        <v xml:space="preserve"> </v>
      </c>
      <c r="DV202" s="10" t="str">
        <f t="shared" si="377"/>
        <v xml:space="preserve"> </v>
      </c>
      <c r="DW202" s="10" t="str">
        <f t="shared" si="377"/>
        <v xml:space="preserve"> </v>
      </c>
      <c r="DX202" s="10" t="str">
        <f t="shared" si="377"/>
        <v xml:space="preserve"> </v>
      </c>
      <c r="DY202" s="10" t="str">
        <f t="shared" si="377"/>
        <v xml:space="preserve"> </v>
      </c>
      <c r="EB202" s="10" t="str">
        <f t="shared" si="378"/>
        <v xml:space="preserve"> </v>
      </c>
      <c r="EC202" s="10" t="str">
        <f t="shared" si="378"/>
        <v xml:space="preserve"> </v>
      </c>
      <c r="ED202" s="10" t="str">
        <f t="shared" si="378"/>
        <v xml:space="preserve"> </v>
      </c>
      <c r="EE202" s="10" t="str">
        <f t="shared" si="378"/>
        <v xml:space="preserve"> </v>
      </c>
      <c r="EF202" s="10" t="str">
        <f t="shared" si="378"/>
        <v xml:space="preserve"> </v>
      </c>
      <c r="EI202" s="10" t="str">
        <f t="shared" si="379"/>
        <v xml:space="preserve"> </v>
      </c>
      <c r="EJ202" s="10" t="str">
        <f t="shared" si="379"/>
        <v xml:space="preserve"> </v>
      </c>
      <c r="EK202" s="10" t="str">
        <f t="shared" si="379"/>
        <v xml:space="preserve"> </v>
      </c>
      <c r="EL202" s="10" t="str">
        <f t="shared" si="379"/>
        <v xml:space="preserve"> </v>
      </c>
      <c r="EM202" s="10" t="str">
        <f t="shared" si="379"/>
        <v xml:space="preserve"> </v>
      </c>
      <c r="EP202" s="10" t="str">
        <f t="shared" si="380"/>
        <v xml:space="preserve"> </v>
      </c>
      <c r="EQ202" s="10" t="str">
        <f t="shared" si="380"/>
        <v xml:space="preserve"> </v>
      </c>
      <c r="ER202" s="10" t="str">
        <f t="shared" si="380"/>
        <v xml:space="preserve"> </v>
      </c>
      <c r="ES202" s="10" t="str">
        <f t="shared" si="380"/>
        <v xml:space="preserve"> </v>
      </c>
      <c r="ET202" s="10" t="str">
        <f t="shared" si="380"/>
        <v xml:space="preserve"> </v>
      </c>
      <c r="EW202" s="10" t="str">
        <f t="shared" si="381"/>
        <v xml:space="preserve"> </v>
      </c>
      <c r="EX202" s="10" t="str">
        <f t="shared" si="381"/>
        <v xml:space="preserve"> </v>
      </c>
      <c r="EY202" s="10" t="str">
        <f t="shared" si="381"/>
        <v xml:space="preserve"> </v>
      </c>
      <c r="EZ202" s="10" t="str">
        <f t="shared" si="381"/>
        <v xml:space="preserve"> </v>
      </c>
      <c r="FA202" s="10" t="str">
        <f t="shared" si="381"/>
        <v xml:space="preserve"> </v>
      </c>
      <c r="FD202" s="10" t="str">
        <f t="shared" si="382"/>
        <v xml:space="preserve"> </v>
      </c>
      <c r="FE202" s="10" t="str">
        <f t="shared" si="382"/>
        <v xml:space="preserve"> </v>
      </c>
      <c r="FF202" s="10" t="str">
        <f t="shared" si="382"/>
        <v xml:space="preserve"> </v>
      </c>
      <c r="FG202" s="10" t="str">
        <f t="shared" si="382"/>
        <v xml:space="preserve"> </v>
      </c>
      <c r="FH202" s="10" t="str">
        <f t="shared" si="382"/>
        <v xml:space="preserve"> </v>
      </c>
      <c r="FK202" s="10" t="str">
        <f t="shared" si="383"/>
        <v xml:space="preserve"> </v>
      </c>
      <c r="FL202" s="10" t="str">
        <f t="shared" si="383"/>
        <v xml:space="preserve"> </v>
      </c>
      <c r="FM202" s="10" t="str">
        <f t="shared" si="383"/>
        <v xml:space="preserve"> </v>
      </c>
      <c r="FN202" s="10" t="str">
        <f t="shared" si="383"/>
        <v xml:space="preserve"> </v>
      </c>
      <c r="FO202" s="10" t="str">
        <f t="shared" si="383"/>
        <v xml:space="preserve"> </v>
      </c>
      <c r="FR202" s="10" t="str">
        <f t="shared" si="384"/>
        <v xml:space="preserve"> </v>
      </c>
      <c r="FS202" s="10" t="str">
        <f t="shared" si="384"/>
        <v xml:space="preserve"> </v>
      </c>
      <c r="FT202" s="10" t="str">
        <f t="shared" si="384"/>
        <v xml:space="preserve"> </v>
      </c>
      <c r="FU202" s="10" t="str">
        <f t="shared" si="384"/>
        <v xml:space="preserve"> </v>
      </c>
      <c r="FV202" s="10" t="str">
        <f t="shared" si="384"/>
        <v xml:space="preserve"> </v>
      </c>
      <c r="FY202" s="10" t="str">
        <f t="shared" si="385"/>
        <v xml:space="preserve"> </v>
      </c>
      <c r="FZ202" s="10" t="str">
        <f t="shared" si="385"/>
        <v xml:space="preserve"> </v>
      </c>
      <c r="GA202" s="10" t="str">
        <f t="shared" si="385"/>
        <v xml:space="preserve"> </v>
      </c>
      <c r="GB202" s="10" t="str">
        <f t="shared" si="385"/>
        <v xml:space="preserve"> </v>
      </c>
      <c r="GC202" s="10" t="str">
        <f t="shared" si="385"/>
        <v xml:space="preserve"> </v>
      </c>
      <c r="GF202" s="10" t="str">
        <f t="shared" si="386"/>
        <v xml:space="preserve"> </v>
      </c>
      <c r="GG202" s="10" t="str">
        <f t="shared" si="386"/>
        <v xml:space="preserve"> </v>
      </c>
      <c r="GH202" s="10" t="str">
        <f t="shared" si="386"/>
        <v xml:space="preserve"> </v>
      </c>
      <c r="GI202" s="10" t="str">
        <f t="shared" si="386"/>
        <v xml:space="preserve"> </v>
      </c>
      <c r="GJ202" s="10" t="str">
        <f t="shared" si="386"/>
        <v xml:space="preserve"> </v>
      </c>
      <c r="GM202" s="10" t="str">
        <f t="shared" si="387"/>
        <v xml:space="preserve"> </v>
      </c>
      <c r="GN202" s="10" t="str">
        <f t="shared" si="387"/>
        <v xml:space="preserve"> </v>
      </c>
      <c r="GO202" s="10" t="str">
        <f t="shared" si="387"/>
        <v xml:space="preserve"> </v>
      </c>
      <c r="GP202" s="10" t="str">
        <f t="shared" si="387"/>
        <v xml:space="preserve"> </v>
      </c>
      <c r="GQ202" s="10" t="str">
        <f t="shared" si="387"/>
        <v xml:space="preserve"> </v>
      </c>
      <c r="GT202" s="10" t="str">
        <f t="shared" si="388"/>
        <v xml:space="preserve"> </v>
      </c>
      <c r="GU202" s="10" t="str">
        <f t="shared" si="388"/>
        <v xml:space="preserve"> </v>
      </c>
      <c r="GV202" s="10" t="str">
        <f t="shared" si="388"/>
        <v xml:space="preserve"> </v>
      </c>
      <c r="GW202" s="10" t="str">
        <f t="shared" si="388"/>
        <v xml:space="preserve"> </v>
      </c>
      <c r="GX202" s="10" t="str">
        <f t="shared" si="388"/>
        <v xml:space="preserve"> </v>
      </c>
      <c r="HA202" s="10" t="str">
        <f t="shared" si="389"/>
        <v xml:space="preserve"> </v>
      </c>
      <c r="HB202" s="10" t="str">
        <f t="shared" si="389"/>
        <v xml:space="preserve"> </v>
      </c>
      <c r="HC202" s="10" t="str">
        <f t="shared" si="389"/>
        <v xml:space="preserve"> </v>
      </c>
      <c r="HD202" s="10" t="str">
        <f t="shared" si="389"/>
        <v xml:space="preserve"> </v>
      </c>
      <c r="HE202" s="10" t="str">
        <f t="shared" si="389"/>
        <v xml:space="preserve"> </v>
      </c>
      <c r="HH202" s="10" t="str">
        <f t="shared" si="390"/>
        <v xml:space="preserve"> </v>
      </c>
      <c r="HI202" s="10" t="str">
        <f t="shared" si="390"/>
        <v xml:space="preserve"> </v>
      </c>
      <c r="HJ202" s="10" t="str">
        <f t="shared" si="390"/>
        <v xml:space="preserve"> </v>
      </c>
      <c r="HK202" s="10" t="str">
        <f t="shared" si="390"/>
        <v xml:space="preserve"> </v>
      </c>
      <c r="HL202" s="10" t="str">
        <f t="shared" si="390"/>
        <v xml:space="preserve"> </v>
      </c>
      <c r="HO202" s="10" t="str">
        <f t="shared" si="391"/>
        <v xml:space="preserve"> </v>
      </c>
      <c r="HP202" s="10" t="str">
        <f t="shared" si="391"/>
        <v xml:space="preserve"> </v>
      </c>
      <c r="HQ202" s="10" t="str">
        <f t="shared" si="391"/>
        <v xml:space="preserve"> </v>
      </c>
      <c r="HR202" s="10" t="str">
        <f t="shared" si="391"/>
        <v xml:space="preserve"> </v>
      </c>
      <c r="HS202" s="10" t="str">
        <f t="shared" si="391"/>
        <v xml:space="preserve"> </v>
      </c>
      <c r="HV202" s="10" t="str">
        <f t="shared" si="392"/>
        <v xml:space="preserve"> </v>
      </c>
      <c r="HW202" s="10" t="str">
        <f t="shared" si="392"/>
        <v xml:space="preserve"> </v>
      </c>
      <c r="HX202" s="10" t="str">
        <f t="shared" si="392"/>
        <v xml:space="preserve"> </v>
      </c>
      <c r="HY202" s="10" t="str">
        <f t="shared" si="392"/>
        <v xml:space="preserve"> </v>
      </c>
      <c r="HZ202" s="10" t="str">
        <f t="shared" si="392"/>
        <v xml:space="preserve"> </v>
      </c>
      <c r="IC202" s="10" t="str">
        <f t="shared" si="393"/>
        <v xml:space="preserve"> </v>
      </c>
      <c r="ID202" s="10" t="str">
        <f t="shared" si="393"/>
        <v xml:space="preserve"> </v>
      </c>
      <c r="IE202" s="10" t="str">
        <f t="shared" si="393"/>
        <v xml:space="preserve"> </v>
      </c>
      <c r="IF202" s="10" t="str">
        <f t="shared" si="393"/>
        <v xml:space="preserve"> </v>
      </c>
      <c r="IG202" s="10" t="str">
        <f t="shared" si="393"/>
        <v xml:space="preserve"> </v>
      </c>
      <c r="IJ202" s="10" t="str">
        <f t="shared" si="394"/>
        <v xml:space="preserve"> </v>
      </c>
      <c r="IK202" s="10" t="str">
        <f t="shared" si="394"/>
        <v xml:space="preserve"> </v>
      </c>
      <c r="IL202" s="10" t="str">
        <f t="shared" si="394"/>
        <v xml:space="preserve"> </v>
      </c>
      <c r="IM202" s="10" t="str">
        <f t="shared" si="394"/>
        <v xml:space="preserve"> </v>
      </c>
      <c r="IN202" s="10" t="str">
        <f t="shared" si="394"/>
        <v xml:space="preserve"> </v>
      </c>
      <c r="IQ202" s="10" t="str">
        <f t="shared" si="395"/>
        <v xml:space="preserve"> </v>
      </c>
      <c r="IR202" s="10" t="str">
        <f t="shared" si="395"/>
        <v xml:space="preserve"> </v>
      </c>
      <c r="IS202" s="10" t="str">
        <f t="shared" si="395"/>
        <v xml:space="preserve"> </v>
      </c>
      <c r="IT202" s="10" t="str">
        <f t="shared" si="395"/>
        <v xml:space="preserve"> </v>
      </c>
      <c r="IU202" s="10" t="str">
        <f t="shared" si="395"/>
        <v xml:space="preserve"> </v>
      </c>
      <c r="IX202" s="10" t="str">
        <f t="shared" si="396"/>
        <v xml:space="preserve"> </v>
      </c>
      <c r="IY202" s="10" t="str">
        <f t="shared" si="396"/>
        <v xml:space="preserve"> </v>
      </c>
      <c r="IZ202" s="10" t="str">
        <f t="shared" si="396"/>
        <v xml:space="preserve"> </v>
      </c>
      <c r="JA202" s="10" t="str">
        <f t="shared" si="396"/>
        <v xml:space="preserve"> </v>
      </c>
      <c r="JB202" s="10" t="str">
        <f t="shared" si="396"/>
        <v xml:space="preserve"> </v>
      </c>
      <c r="JE202" s="10" t="str">
        <f t="shared" si="397"/>
        <v xml:space="preserve"> </v>
      </c>
      <c r="JF202" s="10" t="str">
        <f t="shared" si="397"/>
        <v xml:space="preserve"> </v>
      </c>
      <c r="JG202" s="10" t="str">
        <f t="shared" si="397"/>
        <v xml:space="preserve"> </v>
      </c>
      <c r="JH202" s="10" t="str">
        <f t="shared" si="397"/>
        <v xml:space="preserve"> </v>
      </c>
      <c r="JI202" s="10" t="str">
        <f t="shared" si="397"/>
        <v xml:space="preserve"> </v>
      </c>
    </row>
    <row r="203" spans="13:269">
      <c r="M203" s="10" t="str">
        <f t="shared" si="398"/>
        <v xml:space="preserve"> </v>
      </c>
      <c r="N203" s="10" t="str">
        <f t="shared" si="398"/>
        <v xml:space="preserve"> </v>
      </c>
      <c r="O203" s="10" t="str">
        <f t="shared" si="398"/>
        <v xml:space="preserve"> </v>
      </c>
      <c r="P203" s="10" t="str">
        <f t="shared" si="398"/>
        <v xml:space="preserve"> </v>
      </c>
      <c r="Q203" s="10" t="str">
        <f t="shared" si="398"/>
        <v xml:space="preserve"> </v>
      </c>
      <c r="R203" s="14"/>
      <c r="S203" s="14"/>
      <c r="T203" s="10" t="str">
        <f t="shared" si="362"/>
        <v xml:space="preserve"> </v>
      </c>
      <c r="U203" s="10" t="str">
        <f t="shared" si="362"/>
        <v xml:space="preserve"> </v>
      </c>
      <c r="V203" s="10" t="str">
        <f t="shared" si="362"/>
        <v xml:space="preserve"> </v>
      </c>
      <c r="W203" s="10" t="str">
        <f t="shared" si="362"/>
        <v xml:space="preserve"> </v>
      </c>
      <c r="X203" s="10" t="str">
        <f t="shared" si="362"/>
        <v xml:space="preserve"> </v>
      </c>
      <c r="Y203" s="14"/>
      <c r="Z203" s="14"/>
      <c r="AA203" s="10" t="str">
        <f t="shared" si="363"/>
        <v xml:space="preserve"> </v>
      </c>
      <c r="AB203" s="10" t="str">
        <f t="shared" si="363"/>
        <v xml:space="preserve"> </v>
      </c>
      <c r="AC203" s="10" t="str">
        <f t="shared" si="363"/>
        <v xml:space="preserve"> </v>
      </c>
      <c r="AD203" s="10" t="str">
        <f t="shared" si="363"/>
        <v xml:space="preserve"> </v>
      </c>
      <c r="AE203" s="10" t="str">
        <f t="shared" si="363"/>
        <v xml:space="preserve"> </v>
      </c>
      <c r="AF203" s="14"/>
      <c r="AG203" s="14"/>
      <c r="AH203" s="10" t="str">
        <f t="shared" si="364"/>
        <v xml:space="preserve"> </v>
      </c>
      <c r="AI203" s="10" t="str">
        <f t="shared" si="364"/>
        <v xml:space="preserve"> </v>
      </c>
      <c r="AJ203" s="10" t="str">
        <f t="shared" si="364"/>
        <v xml:space="preserve"> </v>
      </c>
      <c r="AK203" s="10" t="str">
        <f t="shared" si="364"/>
        <v xml:space="preserve"> </v>
      </c>
      <c r="AL203" s="10" t="str">
        <f t="shared" si="364"/>
        <v xml:space="preserve"> </v>
      </c>
      <c r="AM203" s="14"/>
      <c r="AN203" s="14"/>
      <c r="AO203" s="10" t="str">
        <f t="shared" si="365"/>
        <v xml:space="preserve"> </v>
      </c>
      <c r="AP203" s="10" t="str">
        <f t="shared" si="365"/>
        <v xml:space="preserve"> </v>
      </c>
      <c r="AQ203" s="10" t="str">
        <f t="shared" si="365"/>
        <v xml:space="preserve"> </v>
      </c>
      <c r="AR203" s="10" t="str">
        <f t="shared" si="365"/>
        <v xml:space="preserve"> </v>
      </c>
      <c r="AS203" s="10" t="str">
        <f t="shared" si="365"/>
        <v xml:space="preserve"> </v>
      </c>
      <c r="AT203" s="14"/>
      <c r="AU203" s="14"/>
      <c r="AV203" s="10" t="str">
        <f t="shared" si="366"/>
        <v xml:space="preserve"> </v>
      </c>
      <c r="AW203" s="10" t="str">
        <f t="shared" si="366"/>
        <v xml:space="preserve"> </v>
      </c>
      <c r="AX203" s="10" t="str">
        <f t="shared" si="366"/>
        <v xml:space="preserve"> </v>
      </c>
      <c r="AY203" s="10" t="str">
        <f t="shared" si="366"/>
        <v xml:space="preserve"> </v>
      </c>
      <c r="AZ203" s="10" t="str">
        <f t="shared" si="366"/>
        <v xml:space="preserve"> </v>
      </c>
      <c r="BA203" s="14"/>
      <c r="BB203" s="14"/>
      <c r="BC203" s="10" t="str">
        <f t="shared" si="367"/>
        <v xml:space="preserve"> </v>
      </c>
      <c r="BD203" s="10" t="str">
        <f t="shared" si="367"/>
        <v xml:space="preserve"> </v>
      </c>
      <c r="BE203" s="10" t="str">
        <f t="shared" si="367"/>
        <v xml:space="preserve"> </v>
      </c>
      <c r="BF203" s="10" t="str">
        <f t="shared" si="367"/>
        <v xml:space="preserve"> </v>
      </c>
      <c r="BG203" s="10" t="str">
        <f t="shared" si="367"/>
        <v xml:space="preserve"> </v>
      </c>
      <c r="BH203" s="14"/>
      <c r="BI203" s="14"/>
      <c r="BJ203" s="10" t="str">
        <f t="shared" si="368"/>
        <v xml:space="preserve"> </v>
      </c>
      <c r="BK203" s="10" t="str">
        <f t="shared" si="368"/>
        <v xml:space="preserve"> </v>
      </c>
      <c r="BL203" s="10" t="str">
        <f t="shared" si="368"/>
        <v xml:space="preserve"> </v>
      </c>
      <c r="BM203" s="10" t="str">
        <f t="shared" si="368"/>
        <v xml:space="preserve"> </v>
      </c>
      <c r="BN203" s="10" t="str">
        <f t="shared" si="368"/>
        <v xml:space="preserve"> </v>
      </c>
      <c r="BO203" s="14"/>
      <c r="BP203" s="14"/>
      <c r="BQ203" s="10" t="str">
        <f t="shared" si="369"/>
        <v xml:space="preserve"> </v>
      </c>
      <c r="BR203" s="10" t="str">
        <f t="shared" si="369"/>
        <v xml:space="preserve"> </v>
      </c>
      <c r="BS203" s="10" t="str">
        <f t="shared" si="369"/>
        <v xml:space="preserve"> </v>
      </c>
      <c r="BT203" s="10" t="str">
        <f t="shared" si="369"/>
        <v xml:space="preserve"> </v>
      </c>
      <c r="BU203" s="10" t="str">
        <f t="shared" si="369"/>
        <v xml:space="preserve"> </v>
      </c>
      <c r="BV203" s="14"/>
      <c r="BW203" s="14"/>
      <c r="BX203" s="10" t="str">
        <f t="shared" si="370"/>
        <v xml:space="preserve"> </v>
      </c>
      <c r="BY203" s="10" t="str">
        <f t="shared" si="370"/>
        <v xml:space="preserve"> </v>
      </c>
      <c r="BZ203" s="10" t="str">
        <f t="shared" si="370"/>
        <v xml:space="preserve"> </v>
      </c>
      <c r="CA203" s="10" t="str">
        <f t="shared" si="370"/>
        <v xml:space="preserve"> </v>
      </c>
      <c r="CB203" s="10" t="str">
        <f t="shared" si="370"/>
        <v xml:space="preserve"> </v>
      </c>
      <c r="CC203" s="14"/>
      <c r="CD203" s="14"/>
      <c r="CE203" s="10" t="str">
        <f t="shared" si="371"/>
        <v xml:space="preserve"> </v>
      </c>
      <c r="CF203" s="10" t="str">
        <f t="shared" si="371"/>
        <v xml:space="preserve"> </v>
      </c>
      <c r="CG203" s="10" t="str">
        <f t="shared" si="371"/>
        <v xml:space="preserve"> </v>
      </c>
      <c r="CH203" s="10" t="str">
        <f t="shared" si="371"/>
        <v xml:space="preserve"> </v>
      </c>
      <c r="CI203" s="10" t="str">
        <f t="shared" si="371"/>
        <v xml:space="preserve"> </v>
      </c>
      <c r="CJ203" s="14"/>
      <c r="CK203" s="14"/>
      <c r="CL203" s="10" t="str">
        <f t="shared" si="372"/>
        <v xml:space="preserve"> </v>
      </c>
      <c r="CM203" s="10" t="str">
        <f t="shared" si="372"/>
        <v xml:space="preserve"> </v>
      </c>
      <c r="CN203" s="10" t="str">
        <f t="shared" si="372"/>
        <v xml:space="preserve"> </v>
      </c>
      <c r="CO203" s="10" t="str">
        <f t="shared" si="372"/>
        <v xml:space="preserve"> </v>
      </c>
      <c r="CP203" s="10" t="str">
        <f t="shared" si="372"/>
        <v xml:space="preserve"> </v>
      </c>
      <c r="CQ203" s="14"/>
      <c r="CR203" s="14"/>
      <c r="CS203" s="10" t="str">
        <f t="shared" si="373"/>
        <v xml:space="preserve"> </v>
      </c>
      <c r="CT203" s="10" t="str">
        <f t="shared" si="373"/>
        <v xml:space="preserve"> </v>
      </c>
      <c r="CU203" s="10" t="str">
        <f t="shared" si="373"/>
        <v xml:space="preserve"> </v>
      </c>
      <c r="CV203" s="10" t="str">
        <f t="shared" si="373"/>
        <v xml:space="preserve"> </v>
      </c>
      <c r="CW203" s="10" t="str">
        <f t="shared" si="373"/>
        <v xml:space="preserve"> </v>
      </c>
      <c r="CZ203" s="10" t="str">
        <f t="shared" si="374"/>
        <v xml:space="preserve"> </v>
      </c>
      <c r="DA203" s="10" t="str">
        <f t="shared" si="374"/>
        <v xml:space="preserve"> </v>
      </c>
      <c r="DB203" s="10" t="str">
        <f t="shared" si="374"/>
        <v xml:space="preserve"> </v>
      </c>
      <c r="DC203" s="10" t="str">
        <f t="shared" si="374"/>
        <v xml:space="preserve"> </v>
      </c>
      <c r="DD203" s="10" t="str">
        <f t="shared" si="374"/>
        <v xml:space="preserve"> </v>
      </c>
      <c r="DG203" s="10" t="str">
        <f t="shared" si="375"/>
        <v xml:space="preserve"> </v>
      </c>
      <c r="DH203" s="10" t="str">
        <f t="shared" si="375"/>
        <v xml:space="preserve"> </v>
      </c>
      <c r="DI203" s="10" t="str">
        <f t="shared" si="375"/>
        <v xml:space="preserve"> </v>
      </c>
      <c r="DJ203" s="10" t="str">
        <f t="shared" si="375"/>
        <v xml:space="preserve"> </v>
      </c>
      <c r="DK203" s="10" t="str">
        <f t="shared" si="375"/>
        <v xml:space="preserve"> </v>
      </c>
      <c r="DN203" s="10" t="str">
        <f t="shared" si="376"/>
        <v xml:space="preserve"> </v>
      </c>
      <c r="DO203" s="10" t="str">
        <f t="shared" si="376"/>
        <v xml:space="preserve"> </v>
      </c>
      <c r="DP203" s="10" t="str">
        <f t="shared" si="376"/>
        <v xml:space="preserve"> </v>
      </c>
      <c r="DQ203" s="10" t="str">
        <f t="shared" si="376"/>
        <v xml:space="preserve"> </v>
      </c>
      <c r="DR203" s="10" t="str">
        <f t="shared" si="376"/>
        <v xml:space="preserve"> </v>
      </c>
      <c r="DU203" s="10" t="str">
        <f t="shared" si="377"/>
        <v xml:space="preserve"> </v>
      </c>
      <c r="DV203" s="10" t="str">
        <f t="shared" si="377"/>
        <v xml:space="preserve"> </v>
      </c>
      <c r="DW203" s="10" t="str">
        <f t="shared" si="377"/>
        <v xml:space="preserve"> </v>
      </c>
      <c r="DX203" s="10" t="str">
        <f t="shared" si="377"/>
        <v xml:space="preserve"> </v>
      </c>
      <c r="DY203" s="10" t="str">
        <f t="shared" si="377"/>
        <v xml:space="preserve"> </v>
      </c>
      <c r="EB203" s="10" t="str">
        <f t="shared" si="378"/>
        <v xml:space="preserve"> </v>
      </c>
      <c r="EC203" s="10" t="str">
        <f t="shared" si="378"/>
        <v xml:space="preserve"> </v>
      </c>
      <c r="ED203" s="10" t="str">
        <f t="shared" si="378"/>
        <v xml:space="preserve"> </v>
      </c>
      <c r="EE203" s="10" t="str">
        <f t="shared" si="378"/>
        <v xml:space="preserve"> </v>
      </c>
      <c r="EF203" s="10" t="str">
        <f t="shared" si="378"/>
        <v xml:space="preserve"> </v>
      </c>
      <c r="EI203" s="10" t="str">
        <f t="shared" si="379"/>
        <v xml:space="preserve"> </v>
      </c>
      <c r="EJ203" s="10" t="str">
        <f t="shared" si="379"/>
        <v xml:space="preserve"> </v>
      </c>
      <c r="EK203" s="10" t="str">
        <f t="shared" si="379"/>
        <v xml:space="preserve"> </v>
      </c>
      <c r="EL203" s="10" t="str">
        <f t="shared" si="379"/>
        <v xml:space="preserve"> </v>
      </c>
      <c r="EM203" s="10" t="str">
        <f t="shared" si="379"/>
        <v xml:space="preserve"> </v>
      </c>
      <c r="EP203" s="10" t="str">
        <f t="shared" si="380"/>
        <v xml:space="preserve"> </v>
      </c>
      <c r="EQ203" s="10" t="str">
        <f t="shared" si="380"/>
        <v xml:space="preserve"> </v>
      </c>
      <c r="ER203" s="10" t="str">
        <f t="shared" si="380"/>
        <v xml:space="preserve"> </v>
      </c>
      <c r="ES203" s="10" t="str">
        <f t="shared" si="380"/>
        <v xml:space="preserve"> </v>
      </c>
      <c r="ET203" s="10" t="str">
        <f t="shared" si="380"/>
        <v xml:space="preserve"> </v>
      </c>
      <c r="EW203" s="10" t="str">
        <f t="shared" si="381"/>
        <v xml:space="preserve"> </v>
      </c>
      <c r="EX203" s="10" t="str">
        <f t="shared" si="381"/>
        <v xml:space="preserve"> </v>
      </c>
      <c r="EY203" s="10" t="str">
        <f t="shared" si="381"/>
        <v xml:space="preserve"> </v>
      </c>
      <c r="EZ203" s="10" t="str">
        <f t="shared" si="381"/>
        <v xml:space="preserve"> </v>
      </c>
      <c r="FA203" s="10" t="str">
        <f t="shared" si="381"/>
        <v xml:space="preserve"> </v>
      </c>
      <c r="FD203" s="10" t="str">
        <f t="shared" si="382"/>
        <v xml:space="preserve"> </v>
      </c>
      <c r="FE203" s="10" t="str">
        <f t="shared" si="382"/>
        <v xml:space="preserve"> </v>
      </c>
      <c r="FF203" s="10" t="str">
        <f t="shared" si="382"/>
        <v xml:space="preserve"> </v>
      </c>
      <c r="FG203" s="10" t="str">
        <f t="shared" si="382"/>
        <v xml:space="preserve"> </v>
      </c>
      <c r="FH203" s="10" t="str">
        <f t="shared" si="382"/>
        <v xml:space="preserve"> </v>
      </c>
      <c r="FK203" s="10" t="str">
        <f t="shared" si="383"/>
        <v xml:space="preserve"> </v>
      </c>
      <c r="FL203" s="10" t="str">
        <f t="shared" si="383"/>
        <v xml:space="preserve"> </v>
      </c>
      <c r="FM203" s="10" t="str">
        <f t="shared" si="383"/>
        <v xml:space="preserve"> </v>
      </c>
      <c r="FN203" s="10" t="str">
        <f t="shared" si="383"/>
        <v xml:space="preserve"> </v>
      </c>
      <c r="FO203" s="10" t="str">
        <f t="shared" si="383"/>
        <v xml:space="preserve"> </v>
      </c>
      <c r="FR203" s="10" t="str">
        <f t="shared" si="384"/>
        <v xml:space="preserve"> </v>
      </c>
      <c r="FS203" s="10" t="str">
        <f t="shared" si="384"/>
        <v xml:space="preserve"> </v>
      </c>
      <c r="FT203" s="10" t="str">
        <f t="shared" si="384"/>
        <v xml:space="preserve"> </v>
      </c>
      <c r="FU203" s="10" t="str">
        <f t="shared" si="384"/>
        <v xml:space="preserve"> </v>
      </c>
      <c r="FV203" s="10" t="str">
        <f t="shared" si="384"/>
        <v xml:space="preserve"> </v>
      </c>
      <c r="FY203" s="10" t="str">
        <f t="shared" si="385"/>
        <v xml:space="preserve"> </v>
      </c>
      <c r="FZ203" s="10" t="str">
        <f t="shared" si="385"/>
        <v xml:space="preserve"> </v>
      </c>
      <c r="GA203" s="10" t="str">
        <f t="shared" si="385"/>
        <v xml:space="preserve"> </v>
      </c>
      <c r="GB203" s="10" t="str">
        <f t="shared" si="385"/>
        <v xml:space="preserve"> </v>
      </c>
      <c r="GC203" s="10" t="str">
        <f t="shared" si="385"/>
        <v xml:space="preserve"> </v>
      </c>
      <c r="GF203" s="10" t="str">
        <f t="shared" si="386"/>
        <v xml:space="preserve"> </v>
      </c>
      <c r="GG203" s="10" t="str">
        <f t="shared" si="386"/>
        <v xml:space="preserve"> </v>
      </c>
      <c r="GH203" s="10" t="str">
        <f t="shared" si="386"/>
        <v xml:space="preserve"> </v>
      </c>
      <c r="GI203" s="10" t="str">
        <f t="shared" si="386"/>
        <v xml:space="preserve"> </v>
      </c>
      <c r="GJ203" s="10" t="str">
        <f t="shared" si="386"/>
        <v xml:space="preserve"> </v>
      </c>
      <c r="GM203" s="10" t="str">
        <f t="shared" si="387"/>
        <v xml:space="preserve"> </v>
      </c>
      <c r="GN203" s="10" t="str">
        <f t="shared" si="387"/>
        <v xml:space="preserve"> </v>
      </c>
      <c r="GO203" s="10" t="str">
        <f t="shared" si="387"/>
        <v xml:space="preserve"> </v>
      </c>
      <c r="GP203" s="10" t="str">
        <f t="shared" si="387"/>
        <v xml:space="preserve"> </v>
      </c>
      <c r="GQ203" s="10" t="str">
        <f t="shared" si="387"/>
        <v xml:space="preserve"> </v>
      </c>
      <c r="GT203" s="10" t="str">
        <f t="shared" si="388"/>
        <v xml:space="preserve"> </v>
      </c>
      <c r="GU203" s="10" t="str">
        <f t="shared" si="388"/>
        <v xml:space="preserve"> </v>
      </c>
      <c r="GV203" s="10" t="str">
        <f t="shared" si="388"/>
        <v xml:space="preserve"> </v>
      </c>
      <c r="GW203" s="10" t="str">
        <f t="shared" si="388"/>
        <v xml:space="preserve"> </v>
      </c>
      <c r="GX203" s="10" t="str">
        <f t="shared" si="388"/>
        <v xml:space="preserve"> </v>
      </c>
      <c r="HA203" s="10" t="str">
        <f t="shared" si="389"/>
        <v xml:space="preserve"> </v>
      </c>
      <c r="HB203" s="10" t="str">
        <f t="shared" si="389"/>
        <v xml:space="preserve"> </v>
      </c>
      <c r="HC203" s="10" t="str">
        <f t="shared" si="389"/>
        <v xml:space="preserve"> </v>
      </c>
      <c r="HD203" s="10" t="str">
        <f t="shared" si="389"/>
        <v xml:space="preserve"> </v>
      </c>
      <c r="HE203" s="10" t="str">
        <f t="shared" si="389"/>
        <v xml:space="preserve"> </v>
      </c>
      <c r="HH203" s="10" t="str">
        <f t="shared" si="390"/>
        <v xml:space="preserve"> </v>
      </c>
      <c r="HI203" s="10" t="str">
        <f t="shared" si="390"/>
        <v xml:space="preserve"> </v>
      </c>
      <c r="HJ203" s="10" t="str">
        <f t="shared" si="390"/>
        <v xml:space="preserve"> </v>
      </c>
      <c r="HK203" s="10" t="str">
        <f t="shared" si="390"/>
        <v xml:space="preserve"> </v>
      </c>
      <c r="HL203" s="10" t="str">
        <f t="shared" si="390"/>
        <v xml:space="preserve"> </v>
      </c>
      <c r="HO203" s="10" t="str">
        <f t="shared" si="391"/>
        <v xml:space="preserve"> </v>
      </c>
      <c r="HP203" s="10" t="str">
        <f t="shared" si="391"/>
        <v xml:space="preserve"> </v>
      </c>
      <c r="HQ203" s="10" t="str">
        <f t="shared" si="391"/>
        <v xml:space="preserve"> </v>
      </c>
      <c r="HR203" s="10" t="str">
        <f t="shared" si="391"/>
        <v xml:space="preserve"> </v>
      </c>
      <c r="HS203" s="10" t="str">
        <f t="shared" si="391"/>
        <v xml:space="preserve"> </v>
      </c>
      <c r="HV203" s="10" t="str">
        <f t="shared" si="392"/>
        <v xml:space="preserve"> </v>
      </c>
      <c r="HW203" s="10" t="str">
        <f t="shared" si="392"/>
        <v xml:space="preserve"> </v>
      </c>
      <c r="HX203" s="10" t="str">
        <f t="shared" si="392"/>
        <v xml:space="preserve"> </v>
      </c>
      <c r="HY203" s="10" t="str">
        <f t="shared" si="392"/>
        <v xml:space="preserve"> </v>
      </c>
      <c r="HZ203" s="10" t="str">
        <f t="shared" si="392"/>
        <v xml:space="preserve"> </v>
      </c>
      <c r="IC203" s="10" t="str">
        <f t="shared" si="393"/>
        <v xml:space="preserve"> </v>
      </c>
      <c r="ID203" s="10" t="str">
        <f t="shared" si="393"/>
        <v xml:space="preserve"> </v>
      </c>
      <c r="IE203" s="10" t="str">
        <f t="shared" si="393"/>
        <v xml:space="preserve"> </v>
      </c>
      <c r="IF203" s="10" t="str">
        <f t="shared" si="393"/>
        <v xml:space="preserve"> </v>
      </c>
      <c r="IG203" s="10" t="str">
        <f t="shared" si="393"/>
        <v xml:space="preserve"> </v>
      </c>
      <c r="IJ203" s="10" t="str">
        <f t="shared" si="394"/>
        <v xml:space="preserve"> </v>
      </c>
      <c r="IK203" s="10" t="str">
        <f t="shared" si="394"/>
        <v xml:space="preserve"> </v>
      </c>
      <c r="IL203" s="10" t="str">
        <f t="shared" si="394"/>
        <v xml:space="preserve"> </v>
      </c>
      <c r="IM203" s="10" t="str">
        <f t="shared" si="394"/>
        <v xml:space="preserve"> </v>
      </c>
      <c r="IN203" s="10" t="str">
        <f t="shared" si="394"/>
        <v xml:space="preserve"> </v>
      </c>
      <c r="IQ203" s="10" t="str">
        <f t="shared" si="395"/>
        <v xml:space="preserve"> </v>
      </c>
      <c r="IR203" s="10" t="str">
        <f t="shared" si="395"/>
        <v xml:space="preserve"> </v>
      </c>
      <c r="IS203" s="10" t="str">
        <f t="shared" si="395"/>
        <v xml:space="preserve"> </v>
      </c>
      <c r="IT203" s="10" t="str">
        <f t="shared" si="395"/>
        <v xml:space="preserve"> </v>
      </c>
      <c r="IU203" s="10" t="str">
        <f t="shared" si="395"/>
        <v xml:space="preserve"> </v>
      </c>
      <c r="IX203" s="10" t="str">
        <f t="shared" si="396"/>
        <v xml:space="preserve"> </v>
      </c>
      <c r="IY203" s="10" t="str">
        <f t="shared" si="396"/>
        <v xml:space="preserve"> </v>
      </c>
      <c r="IZ203" s="10" t="str">
        <f t="shared" si="396"/>
        <v xml:space="preserve"> </v>
      </c>
      <c r="JA203" s="10" t="str">
        <f t="shared" si="396"/>
        <v xml:space="preserve"> </v>
      </c>
      <c r="JB203" s="10" t="str">
        <f t="shared" si="396"/>
        <v xml:space="preserve"> </v>
      </c>
      <c r="JE203" s="10" t="str">
        <f t="shared" si="397"/>
        <v xml:space="preserve"> </v>
      </c>
      <c r="JF203" s="10" t="str">
        <f t="shared" si="397"/>
        <v xml:space="preserve"> </v>
      </c>
      <c r="JG203" s="10" t="str">
        <f t="shared" si="397"/>
        <v xml:space="preserve"> </v>
      </c>
      <c r="JH203" s="10" t="str">
        <f t="shared" si="397"/>
        <v xml:space="preserve"> </v>
      </c>
      <c r="JI203" s="10" t="str">
        <f t="shared" si="397"/>
        <v xml:space="preserve"> </v>
      </c>
    </row>
    <row r="204" spans="13:269">
      <c r="M204" s="10" t="str">
        <f t="shared" si="398"/>
        <v xml:space="preserve"> </v>
      </c>
      <c r="N204" s="10" t="str">
        <f t="shared" si="398"/>
        <v xml:space="preserve"> </v>
      </c>
      <c r="O204" s="10" t="str">
        <f t="shared" si="398"/>
        <v xml:space="preserve"> </v>
      </c>
      <c r="P204" s="10" t="str">
        <f t="shared" si="398"/>
        <v xml:space="preserve"> </v>
      </c>
      <c r="Q204" s="10" t="str">
        <f t="shared" si="398"/>
        <v xml:space="preserve"> </v>
      </c>
      <c r="R204" s="14"/>
      <c r="S204" s="14"/>
      <c r="T204" s="10" t="str">
        <f t="shared" si="362"/>
        <v xml:space="preserve"> </v>
      </c>
      <c r="U204" s="10" t="str">
        <f t="shared" si="362"/>
        <v xml:space="preserve"> </v>
      </c>
      <c r="V204" s="10" t="str">
        <f t="shared" si="362"/>
        <v xml:space="preserve"> </v>
      </c>
      <c r="W204" s="10" t="str">
        <f t="shared" si="362"/>
        <v xml:space="preserve"> </v>
      </c>
      <c r="X204" s="10" t="str">
        <f t="shared" si="362"/>
        <v xml:space="preserve"> </v>
      </c>
      <c r="Y204" s="14"/>
      <c r="Z204" s="14"/>
      <c r="AA204" s="10" t="str">
        <f t="shared" si="363"/>
        <v xml:space="preserve"> </v>
      </c>
      <c r="AB204" s="10" t="str">
        <f t="shared" si="363"/>
        <v xml:space="preserve"> </v>
      </c>
      <c r="AC204" s="10" t="str">
        <f t="shared" si="363"/>
        <v xml:space="preserve"> </v>
      </c>
      <c r="AD204" s="10" t="str">
        <f t="shared" si="363"/>
        <v xml:space="preserve"> </v>
      </c>
      <c r="AE204" s="10" t="str">
        <f t="shared" si="363"/>
        <v xml:space="preserve"> </v>
      </c>
      <c r="AF204" s="14"/>
      <c r="AG204" s="14"/>
      <c r="AH204" s="10" t="str">
        <f t="shared" si="364"/>
        <v xml:space="preserve"> </v>
      </c>
      <c r="AI204" s="10" t="str">
        <f t="shared" si="364"/>
        <v xml:space="preserve"> </v>
      </c>
      <c r="AJ204" s="10" t="str">
        <f t="shared" si="364"/>
        <v xml:space="preserve"> </v>
      </c>
      <c r="AK204" s="10" t="str">
        <f t="shared" si="364"/>
        <v xml:space="preserve"> </v>
      </c>
      <c r="AL204" s="10" t="str">
        <f t="shared" si="364"/>
        <v xml:space="preserve"> </v>
      </c>
      <c r="AM204" s="14"/>
      <c r="AN204" s="14"/>
      <c r="AO204" s="10" t="str">
        <f t="shared" si="365"/>
        <v xml:space="preserve"> </v>
      </c>
      <c r="AP204" s="10" t="str">
        <f t="shared" si="365"/>
        <v xml:space="preserve"> </v>
      </c>
      <c r="AQ204" s="10" t="str">
        <f t="shared" si="365"/>
        <v xml:space="preserve"> </v>
      </c>
      <c r="AR204" s="10" t="str">
        <f t="shared" si="365"/>
        <v xml:space="preserve"> </v>
      </c>
      <c r="AS204" s="10" t="str">
        <f t="shared" si="365"/>
        <v xml:space="preserve"> </v>
      </c>
      <c r="AT204" s="14"/>
      <c r="AU204" s="14"/>
      <c r="AV204" s="10" t="str">
        <f t="shared" si="366"/>
        <v xml:space="preserve"> </v>
      </c>
      <c r="AW204" s="10" t="str">
        <f t="shared" si="366"/>
        <v xml:space="preserve"> </v>
      </c>
      <c r="AX204" s="10" t="str">
        <f t="shared" si="366"/>
        <v xml:space="preserve"> </v>
      </c>
      <c r="AY204" s="10" t="str">
        <f t="shared" si="366"/>
        <v xml:space="preserve"> </v>
      </c>
      <c r="AZ204" s="10" t="str">
        <f t="shared" si="366"/>
        <v xml:space="preserve"> </v>
      </c>
      <c r="BA204" s="14"/>
      <c r="BB204" s="14"/>
      <c r="BC204" s="10" t="str">
        <f t="shared" si="367"/>
        <v xml:space="preserve"> </v>
      </c>
      <c r="BD204" s="10" t="str">
        <f t="shared" si="367"/>
        <v xml:space="preserve"> </v>
      </c>
      <c r="BE204" s="10" t="str">
        <f t="shared" si="367"/>
        <v xml:space="preserve"> </v>
      </c>
      <c r="BF204" s="10" t="str">
        <f t="shared" si="367"/>
        <v xml:space="preserve"> </v>
      </c>
      <c r="BG204" s="10" t="str">
        <f t="shared" si="367"/>
        <v xml:space="preserve"> </v>
      </c>
      <c r="BH204" s="14"/>
      <c r="BI204" s="14"/>
      <c r="BJ204" s="10" t="str">
        <f t="shared" si="368"/>
        <v xml:space="preserve"> </v>
      </c>
      <c r="BK204" s="10" t="str">
        <f t="shared" si="368"/>
        <v xml:space="preserve"> </v>
      </c>
      <c r="BL204" s="10" t="str">
        <f t="shared" si="368"/>
        <v xml:space="preserve"> </v>
      </c>
      <c r="BM204" s="10" t="str">
        <f t="shared" si="368"/>
        <v xml:space="preserve"> </v>
      </c>
      <c r="BN204" s="10" t="str">
        <f t="shared" si="368"/>
        <v xml:space="preserve"> </v>
      </c>
      <c r="BO204" s="14"/>
      <c r="BP204" s="14"/>
      <c r="BQ204" s="10" t="str">
        <f t="shared" si="369"/>
        <v xml:space="preserve"> </v>
      </c>
      <c r="BR204" s="10" t="str">
        <f t="shared" si="369"/>
        <v xml:space="preserve"> </v>
      </c>
      <c r="BS204" s="10" t="str">
        <f t="shared" si="369"/>
        <v xml:space="preserve"> </v>
      </c>
      <c r="BT204" s="10" t="str">
        <f t="shared" si="369"/>
        <v xml:space="preserve"> </v>
      </c>
      <c r="BU204" s="10" t="str">
        <f t="shared" si="369"/>
        <v xml:space="preserve"> </v>
      </c>
      <c r="BV204" s="14"/>
      <c r="BW204" s="14"/>
      <c r="BX204" s="10" t="str">
        <f t="shared" si="370"/>
        <v xml:space="preserve"> </v>
      </c>
      <c r="BY204" s="10" t="str">
        <f t="shared" si="370"/>
        <v xml:space="preserve"> </v>
      </c>
      <c r="BZ204" s="10" t="str">
        <f t="shared" si="370"/>
        <v xml:space="preserve"> </v>
      </c>
      <c r="CA204" s="10" t="str">
        <f t="shared" si="370"/>
        <v xml:space="preserve"> </v>
      </c>
      <c r="CB204" s="10" t="str">
        <f t="shared" si="370"/>
        <v xml:space="preserve"> </v>
      </c>
      <c r="CC204" s="14"/>
      <c r="CD204" s="14"/>
      <c r="CE204" s="10" t="str">
        <f t="shared" si="371"/>
        <v xml:space="preserve"> </v>
      </c>
      <c r="CF204" s="10" t="str">
        <f t="shared" si="371"/>
        <v xml:space="preserve"> </v>
      </c>
      <c r="CG204" s="10" t="str">
        <f t="shared" si="371"/>
        <v xml:space="preserve"> </v>
      </c>
      <c r="CH204" s="10" t="str">
        <f t="shared" si="371"/>
        <v xml:space="preserve"> </v>
      </c>
      <c r="CI204" s="10" t="str">
        <f t="shared" si="371"/>
        <v xml:space="preserve"> </v>
      </c>
      <c r="CJ204" s="14"/>
      <c r="CK204" s="14"/>
      <c r="CL204" s="10" t="str">
        <f t="shared" si="372"/>
        <v xml:space="preserve"> </v>
      </c>
      <c r="CM204" s="10" t="str">
        <f t="shared" si="372"/>
        <v xml:space="preserve"> </v>
      </c>
      <c r="CN204" s="10" t="str">
        <f t="shared" si="372"/>
        <v xml:space="preserve"> </v>
      </c>
      <c r="CO204" s="10" t="str">
        <f t="shared" si="372"/>
        <v xml:space="preserve"> </v>
      </c>
      <c r="CP204" s="10" t="str">
        <f t="shared" si="372"/>
        <v xml:space="preserve"> </v>
      </c>
      <c r="CQ204" s="14"/>
      <c r="CR204" s="14"/>
      <c r="CS204" s="10" t="str">
        <f t="shared" si="373"/>
        <v xml:space="preserve"> </v>
      </c>
      <c r="CT204" s="10" t="str">
        <f t="shared" si="373"/>
        <v xml:space="preserve"> </v>
      </c>
      <c r="CU204" s="10" t="str">
        <f t="shared" si="373"/>
        <v xml:space="preserve"> </v>
      </c>
      <c r="CV204" s="10" t="str">
        <f t="shared" si="373"/>
        <v xml:space="preserve"> </v>
      </c>
      <c r="CW204" s="10" t="str">
        <f t="shared" si="373"/>
        <v xml:space="preserve"> </v>
      </c>
      <c r="CZ204" s="10" t="str">
        <f t="shared" si="374"/>
        <v xml:space="preserve"> </v>
      </c>
      <c r="DA204" s="10" t="str">
        <f t="shared" si="374"/>
        <v xml:space="preserve"> </v>
      </c>
      <c r="DB204" s="10" t="str">
        <f t="shared" si="374"/>
        <v xml:space="preserve"> </v>
      </c>
      <c r="DC204" s="10" t="str">
        <f t="shared" si="374"/>
        <v xml:space="preserve"> </v>
      </c>
      <c r="DD204" s="10" t="str">
        <f t="shared" si="374"/>
        <v xml:space="preserve"> </v>
      </c>
      <c r="DG204" s="10" t="str">
        <f t="shared" si="375"/>
        <v xml:space="preserve"> </v>
      </c>
      <c r="DH204" s="10" t="str">
        <f t="shared" si="375"/>
        <v xml:space="preserve"> </v>
      </c>
      <c r="DI204" s="10" t="str">
        <f t="shared" si="375"/>
        <v xml:space="preserve"> </v>
      </c>
      <c r="DJ204" s="10" t="str">
        <f t="shared" si="375"/>
        <v xml:space="preserve"> </v>
      </c>
      <c r="DK204" s="10" t="str">
        <f t="shared" si="375"/>
        <v xml:space="preserve"> </v>
      </c>
      <c r="DN204" s="10" t="str">
        <f t="shared" si="376"/>
        <v xml:space="preserve"> </v>
      </c>
      <c r="DO204" s="10" t="str">
        <f t="shared" si="376"/>
        <v xml:space="preserve"> </v>
      </c>
      <c r="DP204" s="10" t="str">
        <f t="shared" si="376"/>
        <v xml:space="preserve"> </v>
      </c>
      <c r="DQ204" s="10" t="str">
        <f t="shared" si="376"/>
        <v xml:space="preserve"> </v>
      </c>
      <c r="DR204" s="10" t="str">
        <f t="shared" si="376"/>
        <v xml:space="preserve"> </v>
      </c>
      <c r="DU204" s="10" t="str">
        <f t="shared" si="377"/>
        <v xml:space="preserve"> </v>
      </c>
      <c r="DV204" s="10" t="str">
        <f t="shared" si="377"/>
        <v xml:space="preserve"> </v>
      </c>
      <c r="DW204" s="10" t="str">
        <f t="shared" si="377"/>
        <v xml:space="preserve"> </v>
      </c>
      <c r="DX204" s="10" t="str">
        <f t="shared" si="377"/>
        <v xml:space="preserve"> </v>
      </c>
      <c r="DY204" s="10" t="str">
        <f t="shared" si="377"/>
        <v xml:space="preserve"> </v>
      </c>
      <c r="EB204" s="10" t="str">
        <f t="shared" si="378"/>
        <v xml:space="preserve"> </v>
      </c>
      <c r="EC204" s="10" t="str">
        <f t="shared" si="378"/>
        <v xml:space="preserve"> </v>
      </c>
      <c r="ED204" s="10" t="str">
        <f t="shared" si="378"/>
        <v xml:space="preserve"> </v>
      </c>
      <c r="EE204" s="10" t="str">
        <f t="shared" si="378"/>
        <v xml:space="preserve"> </v>
      </c>
      <c r="EF204" s="10" t="str">
        <f t="shared" si="378"/>
        <v xml:space="preserve"> </v>
      </c>
      <c r="EI204" s="10" t="str">
        <f t="shared" si="379"/>
        <v xml:space="preserve"> </v>
      </c>
      <c r="EJ204" s="10" t="str">
        <f t="shared" si="379"/>
        <v xml:space="preserve"> </v>
      </c>
      <c r="EK204" s="10" t="str">
        <f t="shared" si="379"/>
        <v xml:space="preserve"> </v>
      </c>
      <c r="EL204" s="10" t="str">
        <f t="shared" si="379"/>
        <v xml:space="preserve"> </v>
      </c>
      <c r="EM204" s="10" t="str">
        <f t="shared" si="379"/>
        <v xml:space="preserve"> </v>
      </c>
      <c r="EP204" s="10" t="str">
        <f t="shared" si="380"/>
        <v xml:space="preserve"> </v>
      </c>
      <c r="EQ204" s="10" t="str">
        <f t="shared" si="380"/>
        <v xml:space="preserve"> </v>
      </c>
      <c r="ER204" s="10" t="str">
        <f t="shared" si="380"/>
        <v xml:space="preserve"> </v>
      </c>
      <c r="ES204" s="10" t="str">
        <f t="shared" si="380"/>
        <v xml:space="preserve"> </v>
      </c>
      <c r="ET204" s="10" t="str">
        <f t="shared" si="380"/>
        <v xml:space="preserve"> </v>
      </c>
      <c r="EW204" s="10" t="str">
        <f t="shared" si="381"/>
        <v xml:space="preserve"> </v>
      </c>
      <c r="EX204" s="10" t="str">
        <f t="shared" si="381"/>
        <v xml:space="preserve"> </v>
      </c>
      <c r="EY204" s="10" t="str">
        <f t="shared" si="381"/>
        <v xml:space="preserve"> </v>
      </c>
      <c r="EZ204" s="10" t="str">
        <f t="shared" si="381"/>
        <v xml:space="preserve"> </v>
      </c>
      <c r="FA204" s="10" t="str">
        <f t="shared" si="381"/>
        <v xml:space="preserve"> </v>
      </c>
      <c r="FD204" s="10" t="str">
        <f t="shared" si="382"/>
        <v xml:space="preserve"> </v>
      </c>
      <c r="FE204" s="10" t="str">
        <f t="shared" si="382"/>
        <v xml:space="preserve"> </v>
      </c>
      <c r="FF204" s="10" t="str">
        <f t="shared" si="382"/>
        <v xml:space="preserve"> </v>
      </c>
      <c r="FG204" s="10" t="str">
        <f t="shared" si="382"/>
        <v xml:space="preserve"> </v>
      </c>
      <c r="FH204" s="10" t="str">
        <f t="shared" si="382"/>
        <v xml:space="preserve"> </v>
      </c>
      <c r="FK204" s="10" t="str">
        <f t="shared" si="383"/>
        <v xml:space="preserve"> </v>
      </c>
      <c r="FL204" s="10" t="str">
        <f t="shared" si="383"/>
        <v xml:space="preserve"> </v>
      </c>
      <c r="FM204" s="10" t="str">
        <f t="shared" si="383"/>
        <v xml:space="preserve"> </v>
      </c>
      <c r="FN204" s="10" t="str">
        <f t="shared" si="383"/>
        <v xml:space="preserve"> </v>
      </c>
      <c r="FO204" s="10" t="str">
        <f t="shared" si="383"/>
        <v xml:space="preserve"> </v>
      </c>
      <c r="FR204" s="10" t="str">
        <f t="shared" si="384"/>
        <v xml:space="preserve"> </v>
      </c>
      <c r="FS204" s="10" t="str">
        <f t="shared" si="384"/>
        <v xml:space="preserve"> </v>
      </c>
      <c r="FT204" s="10" t="str">
        <f t="shared" si="384"/>
        <v xml:space="preserve"> </v>
      </c>
      <c r="FU204" s="10" t="str">
        <f t="shared" si="384"/>
        <v xml:space="preserve"> </v>
      </c>
      <c r="FV204" s="10" t="str">
        <f t="shared" si="384"/>
        <v xml:space="preserve"> </v>
      </c>
      <c r="FY204" s="10" t="str">
        <f t="shared" si="385"/>
        <v xml:space="preserve"> </v>
      </c>
      <c r="FZ204" s="10" t="str">
        <f t="shared" si="385"/>
        <v xml:space="preserve"> </v>
      </c>
      <c r="GA204" s="10" t="str">
        <f t="shared" si="385"/>
        <v xml:space="preserve"> </v>
      </c>
      <c r="GB204" s="10" t="str">
        <f t="shared" si="385"/>
        <v xml:space="preserve"> </v>
      </c>
      <c r="GC204" s="10" t="str">
        <f t="shared" si="385"/>
        <v xml:space="preserve"> </v>
      </c>
      <c r="GF204" s="10" t="str">
        <f t="shared" si="386"/>
        <v xml:space="preserve"> </v>
      </c>
      <c r="GG204" s="10" t="str">
        <f t="shared" si="386"/>
        <v xml:space="preserve"> </v>
      </c>
      <c r="GH204" s="10" t="str">
        <f t="shared" si="386"/>
        <v xml:space="preserve"> </v>
      </c>
      <c r="GI204" s="10" t="str">
        <f t="shared" si="386"/>
        <v xml:space="preserve"> </v>
      </c>
      <c r="GJ204" s="10" t="str">
        <f t="shared" si="386"/>
        <v xml:space="preserve"> </v>
      </c>
      <c r="GM204" s="10" t="str">
        <f t="shared" si="387"/>
        <v xml:space="preserve"> </v>
      </c>
      <c r="GN204" s="10" t="str">
        <f t="shared" si="387"/>
        <v xml:space="preserve"> </v>
      </c>
      <c r="GO204" s="10" t="str">
        <f t="shared" si="387"/>
        <v xml:space="preserve"> </v>
      </c>
      <c r="GP204" s="10" t="str">
        <f t="shared" si="387"/>
        <v xml:space="preserve"> </v>
      </c>
      <c r="GQ204" s="10" t="str">
        <f t="shared" si="387"/>
        <v xml:space="preserve"> </v>
      </c>
      <c r="GT204" s="10" t="str">
        <f t="shared" si="388"/>
        <v xml:space="preserve"> </v>
      </c>
      <c r="GU204" s="10" t="str">
        <f t="shared" si="388"/>
        <v xml:space="preserve"> </v>
      </c>
      <c r="GV204" s="10" t="str">
        <f t="shared" si="388"/>
        <v xml:space="preserve"> </v>
      </c>
      <c r="GW204" s="10" t="str">
        <f t="shared" si="388"/>
        <v xml:space="preserve"> </v>
      </c>
      <c r="GX204" s="10" t="str">
        <f t="shared" si="388"/>
        <v xml:space="preserve"> </v>
      </c>
      <c r="HA204" s="10" t="str">
        <f t="shared" si="389"/>
        <v xml:space="preserve"> </v>
      </c>
      <c r="HB204" s="10" t="str">
        <f t="shared" si="389"/>
        <v xml:space="preserve"> </v>
      </c>
      <c r="HC204" s="10" t="str">
        <f t="shared" si="389"/>
        <v xml:space="preserve"> </v>
      </c>
      <c r="HD204" s="10" t="str">
        <f t="shared" si="389"/>
        <v xml:space="preserve"> </v>
      </c>
      <c r="HE204" s="10" t="str">
        <f t="shared" si="389"/>
        <v xml:space="preserve"> </v>
      </c>
      <c r="HH204" s="10" t="str">
        <f t="shared" si="390"/>
        <v xml:space="preserve"> </v>
      </c>
      <c r="HI204" s="10" t="str">
        <f t="shared" si="390"/>
        <v xml:space="preserve"> </v>
      </c>
      <c r="HJ204" s="10" t="str">
        <f t="shared" si="390"/>
        <v xml:space="preserve"> </v>
      </c>
      <c r="HK204" s="10" t="str">
        <f t="shared" si="390"/>
        <v xml:space="preserve"> </v>
      </c>
      <c r="HL204" s="10" t="str">
        <f t="shared" si="390"/>
        <v xml:space="preserve"> </v>
      </c>
      <c r="HO204" s="10" t="str">
        <f t="shared" si="391"/>
        <v xml:space="preserve"> </v>
      </c>
      <c r="HP204" s="10" t="str">
        <f t="shared" si="391"/>
        <v xml:space="preserve"> </v>
      </c>
      <c r="HQ204" s="10" t="str">
        <f t="shared" si="391"/>
        <v xml:space="preserve"> </v>
      </c>
      <c r="HR204" s="10" t="str">
        <f t="shared" si="391"/>
        <v xml:space="preserve"> </v>
      </c>
      <c r="HS204" s="10" t="str">
        <f t="shared" si="391"/>
        <v xml:space="preserve"> </v>
      </c>
      <c r="HV204" s="10" t="str">
        <f t="shared" si="392"/>
        <v xml:space="preserve"> </v>
      </c>
      <c r="HW204" s="10" t="str">
        <f t="shared" si="392"/>
        <v xml:space="preserve"> </v>
      </c>
      <c r="HX204" s="10" t="str">
        <f t="shared" si="392"/>
        <v xml:space="preserve"> </v>
      </c>
      <c r="HY204" s="10" t="str">
        <f t="shared" si="392"/>
        <v xml:space="preserve"> </v>
      </c>
      <c r="HZ204" s="10" t="str">
        <f t="shared" si="392"/>
        <v xml:space="preserve"> </v>
      </c>
      <c r="IC204" s="10" t="str">
        <f t="shared" si="393"/>
        <v xml:space="preserve"> </v>
      </c>
      <c r="ID204" s="10" t="str">
        <f t="shared" si="393"/>
        <v xml:space="preserve"> </v>
      </c>
      <c r="IE204" s="10" t="str">
        <f t="shared" si="393"/>
        <v xml:space="preserve"> </v>
      </c>
      <c r="IF204" s="10" t="str">
        <f t="shared" si="393"/>
        <v xml:space="preserve"> </v>
      </c>
      <c r="IG204" s="10" t="str">
        <f t="shared" si="393"/>
        <v xml:space="preserve"> </v>
      </c>
      <c r="IJ204" s="10" t="str">
        <f t="shared" si="394"/>
        <v xml:space="preserve"> </v>
      </c>
      <c r="IK204" s="10" t="str">
        <f t="shared" si="394"/>
        <v xml:space="preserve"> </v>
      </c>
      <c r="IL204" s="10" t="str">
        <f t="shared" si="394"/>
        <v xml:space="preserve"> </v>
      </c>
      <c r="IM204" s="10" t="str">
        <f t="shared" si="394"/>
        <v xml:space="preserve"> </v>
      </c>
      <c r="IN204" s="10" t="str">
        <f t="shared" si="394"/>
        <v xml:space="preserve"> </v>
      </c>
      <c r="IQ204" s="10" t="str">
        <f t="shared" si="395"/>
        <v xml:space="preserve"> </v>
      </c>
      <c r="IR204" s="10" t="str">
        <f t="shared" si="395"/>
        <v xml:space="preserve"> </v>
      </c>
      <c r="IS204" s="10" t="str">
        <f t="shared" si="395"/>
        <v xml:space="preserve"> </v>
      </c>
      <c r="IT204" s="10" t="str">
        <f t="shared" si="395"/>
        <v xml:space="preserve"> </v>
      </c>
      <c r="IU204" s="10" t="str">
        <f t="shared" si="395"/>
        <v xml:space="preserve"> </v>
      </c>
      <c r="IX204" s="10" t="str">
        <f t="shared" si="396"/>
        <v xml:space="preserve"> </v>
      </c>
      <c r="IY204" s="10" t="str">
        <f t="shared" si="396"/>
        <v xml:space="preserve"> </v>
      </c>
      <c r="IZ204" s="10" t="str">
        <f t="shared" si="396"/>
        <v xml:space="preserve"> </v>
      </c>
      <c r="JA204" s="10" t="str">
        <f t="shared" si="396"/>
        <v xml:space="preserve"> </v>
      </c>
      <c r="JB204" s="10" t="str">
        <f t="shared" si="396"/>
        <v xml:space="preserve"> </v>
      </c>
      <c r="JE204" s="10" t="str">
        <f t="shared" si="397"/>
        <v xml:space="preserve"> </v>
      </c>
      <c r="JF204" s="10" t="str">
        <f t="shared" si="397"/>
        <v xml:space="preserve"> </v>
      </c>
      <c r="JG204" s="10" t="str">
        <f t="shared" si="397"/>
        <v xml:space="preserve"> </v>
      </c>
      <c r="JH204" s="10" t="str">
        <f t="shared" si="397"/>
        <v xml:space="preserve"> </v>
      </c>
      <c r="JI204" s="10" t="str">
        <f t="shared" si="397"/>
        <v xml:space="preserve"> </v>
      </c>
    </row>
    <row r="205" spans="13:269">
      <c r="M205" s="10" t="str">
        <f t="shared" si="398"/>
        <v xml:space="preserve"> </v>
      </c>
      <c r="N205" s="10" t="str">
        <f t="shared" si="398"/>
        <v xml:space="preserve"> </v>
      </c>
      <c r="O205" s="10" t="str">
        <f t="shared" si="398"/>
        <v xml:space="preserve"> </v>
      </c>
      <c r="P205" s="10" t="str">
        <f t="shared" si="398"/>
        <v xml:space="preserve"> </v>
      </c>
      <c r="Q205" s="10" t="str">
        <f t="shared" si="398"/>
        <v xml:space="preserve"> </v>
      </c>
      <c r="R205" s="14"/>
      <c r="S205" s="14"/>
      <c r="T205" s="10" t="str">
        <f t="shared" si="362"/>
        <v xml:space="preserve"> </v>
      </c>
      <c r="U205" s="10" t="str">
        <f t="shared" si="362"/>
        <v xml:space="preserve"> </v>
      </c>
      <c r="V205" s="10" t="str">
        <f t="shared" si="362"/>
        <v xml:space="preserve"> </v>
      </c>
      <c r="W205" s="10" t="str">
        <f t="shared" si="362"/>
        <v xml:space="preserve"> </v>
      </c>
      <c r="X205" s="10" t="str">
        <f t="shared" si="362"/>
        <v xml:space="preserve"> </v>
      </c>
      <c r="Y205" s="14"/>
      <c r="Z205" s="14"/>
      <c r="AA205" s="10" t="str">
        <f t="shared" si="363"/>
        <v xml:space="preserve"> </v>
      </c>
      <c r="AB205" s="10" t="str">
        <f t="shared" si="363"/>
        <v xml:space="preserve"> </v>
      </c>
      <c r="AC205" s="10" t="str">
        <f t="shared" si="363"/>
        <v xml:space="preserve"> </v>
      </c>
      <c r="AD205" s="10" t="str">
        <f t="shared" si="363"/>
        <v xml:space="preserve"> </v>
      </c>
      <c r="AE205" s="10" t="str">
        <f t="shared" si="363"/>
        <v xml:space="preserve"> </v>
      </c>
      <c r="AF205" s="14"/>
      <c r="AG205" s="14"/>
      <c r="AH205" s="10" t="str">
        <f t="shared" si="364"/>
        <v xml:space="preserve"> </v>
      </c>
      <c r="AI205" s="10" t="str">
        <f t="shared" si="364"/>
        <v xml:space="preserve"> </v>
      </c>
      <c r="AJ205" s="10" t="str">
        <f t="shared" si="364"/>
        <v xml:space="preserve"> </v>
      </c>
      <c r="AK205" s="10" t="str">
        <f t="shared" si="364"/>
        <v xml:space="preserve"> </v>
      </c>
      <c r="AL205" s="10" t="str">
        <f t="shared" si="364"/>
        <v xml:space="preserve"> </v>
      </c>
      <c r="AM205" s="14"/>
      <c r="AN205" s="14"/>
      <c r="AO205" s="10" t="str">
        <f t="shared" si="365"/>
        <v xml:space="preserve"> </v>
      </c>
      <c r="AP205" s="10" t="str">
        <f t="shared" si="365"/>
        <v xml:space="preserve"> </v>
      </c>
      <c r="AQ205" s="10" t="str">
        <f t="shared" si="365"/>
        <v xml:space="preserve"> </v>
      </c>
      <c r="AR205" s="10" t="str">
        <f t="shared" si="365"/>
        <v xml:space="preserve"> </v>
      </c>
      <c r="AS205" s="10" t="str">
        <f t="shared" si="365"/>
        <v xml:space="preserve"> </v>
      </c>
      <c r="AT205" s="14"/>
      <c r="AU205" s="14"/>
      <c r="AV205" s="10" t="str">
        <f t="shared" si="366"/>
        <v xml:space="preserve"> </v>
      </c>
      <c r="AW205" s="10" t="str">
        <f t="shared" si="366"/>
        <v xml:space="preserve"> </v>
      </c>
      <c r="AX205" s="10" t="str">
        <f t="shared" si="366"/>
        <v xml:space="preserve"> </v>
      </c>
      <c r="AY205" s="10" t="str">
        <f t="shared" si="366"/>
        <v xml:space="preserve"> </v>
      </c>
      <c r="AZ205" s="10" t="str">
        <f t="shared" si="366"/>
        <v xml:space="preserve"> </v>
      </c>
      <c r="BA205" s="14"/>
      <c r="BB205" s="14"/>
      <c r="BC205" s="10" t="str">
        <f t="shared" si="367"/>
        <v xml:space="preserve"> </v>
      </c>
      <c r="BD205" s="10" t="str">
        <f t="shared" si="367"/>
        <v xml:space="preserve"> </v>
      </c>
      <c r="BE205" s="10" t="str">
        <f t="shared" si="367"/>
        <v xml:space="preserve"> </v>
      </c>
      <c r="BF205" s="10" t="str">
        <f t="shared" si="367"/>
        <v xml:space="preserve"> </v>
      </c>
      <c r="BG205" s="10" t="str">
        <f t="shared" si="367"/>
        <v xml:space="preserve"> </v>
      </c>
      <c r="BH205" s="14"/>
      <c r="BI205" s="14"/>
      <c r="BJ205" s="10" t="str">
        <f t="shared" si="368"/>
        <v xml:space="preserve"> </v>
      </c>
      <c r="BK205" s="10" t="str">
        <f t="shared" si="368"/>
        <v xml:space="preserve"> </v>
      </c>
      <c r="BL205" s="10" t="str">
        <f t="shared" si="368"/>
        <v xml:space="preserve"> </v>
      </c>
      <c r="BM205" s="10" t="str">
        <f t="shared" si="368"/>
        <v xml:space="preserve"> </v>
      </c>
      <c r="BN205" s="10" t="str">
        <f t="shared" si="368"/>
        <v xml:space="preserve"> </v>
      </c>
      <c r="BO205" s="14"/>
      <c r="BP205" s="14"/>
      <c r="BQ205" s="10" t="str">
        <f t="shared" si="369"/>
        <v xml:space="preserve"> </v>
      </c>
      <c r="BR205" s="10" t="str">
        <f t="shared" si="369"/>
        <v xml:space="preserve"> </v>
      </c>
      <c r="BS205" s="10" t="str">
        <f t="shared" si="369"/>
        <v xml:space="preserve"> </v>
      </c>
      <c r="BT205" s="10" t="str">
        <f t="shared" si="369"/>
        <v xml:space="preserve"> </v>
      </c>
      <c r="BU205" s="10" t="str">
        <f t="shared" si="369"/>
        <v xml:space="preserve"> </v>
      </c>
      <c r="BV205" s="14"/>
      <c r="BW205" s="14"/>
      <c r="BX205" s="10" t="str">
        <f t="shared" si="370"/>
        <v xml:space="preserve"> </v>
      </c>
      <c r="BY205" s="10" t="str">
        <f t="shared" si="370"/>
        <v xml:space="preserve"> </v>
      </c>
      <c r="BZ205" s="10" t="str">
        <f t="shared" si="370"/>
        <v xml:space="preserve"> </v>
      </c>
      <c r="CA205" s="10" t="str">
        <f t="shared" si="370"/>
        <v xml:space="preserve"> </v>
      </c>
      <c r="CB205" s="10" t="str">
        <f t="shared" si="370"/>
        <v xml:space="preserve"> </v>
      </c>
      <c r="CC205" s="14"/>
      <c r="CD205" s="14"/>
      <c r="CE205" s="10" t="str">
        <f t="shared" si="371"/>
        <v xml:space="preserve"> </v>
      </c>
      <c r="CF205" s="10" t="str">
        <f t="shared" si="371"/>
        <v xml:space="preserve"> </v>
      </c>
      <c r="CG205" s="10" t="str">
        <f t="shared" si="371"/>
        <v xml:space="preserve"> </v>
      </c>
      <c r="CH205" s="10" t="str">
        <f t="shared" si="371"/>
        <v xml:space="preserve"> </v>
      </c>
      <c r="CI205" s="10" t="str">
        <f t="shared" si="371"/>
        <v xml:space="preserve"> </v>
      </c>
      <c r="CJ205" s="14"/>
      <c r="CK205" s="14"/>
      <c r="CL205" s="10" t="str">
        <f t="shared" si="372"/>
        <v xml:space="preserve"> </v>
      </c>
      <c r="CM205" s="10" t="str">
        <f t="shared" si="372"/>
        <v xml:space="preserve"> </v>
      </c>
      <c r="CN205" s="10" t="str">
        <f t="shared" si="372"/>
        <v xml:space="preserve"> </v>
      </c>
      <c r="CO205" s="10" t="str">
        <f t="shared" si="372"/>
        <v xml:space="preserve"> </v>
      </c>
      <c r="CP205" s="10" t="str">
        <f t="shared" si="372"/>
        <v xml:space="preserve"> </v>
      </c>
      <c r="CQ205" s="14"/>
      <c r="CR205" s="14"/>
      <c r="CS205" s="10" t="str">
        <f t="shared" si="373"/>
        <v xml:space="preserve"> </v>
      </c>
      <c r="CT205" s="10" t="str">
        <f t="shared" si="373"/>
        <v xml:space="preserve"> </v>
      </c>
      <c r="CU205" s="10" t="str">
        <f t="shared" si="373"/>
        <v xml:space="preserve"> </v>
      </c>
      <c r="CV205" s="10" t="str">
        <f t="shared" si="373"/>
        <v xml:space="preserve"> </v>
      </c>
      <c r="CW205" s="10" t="str">
        <f t="shared" si="373"/>
        <v xml:space="preserve"> </v>
      </c>
      <c r="CZ205" s="10" t="str">
        <f t="shared" si="374"/>
        <v xml:space="preserve"> </v>
      </c>
      <c r="DA205" s="10" t="str">
        <f t="shared" si="374"/>
        <v xml:space="preserve"> </v>
      </c>
      <c r="DB205" s="10" t="str">
        <f t="shared" si="374"/>
        <v xml:space="preserve"> </v>
      </c>
      <c r="DC205" s="10" t="str">
        <f t="shared" si="374"/>
        <v xml:space="preserve"> </v>
      </c>
      <c r="DD205" s="10" t="str">
        <f t="shared" si="374"/>
        <v xml:space="preserve"> </v>
      </c>
      <c r="DG205" s="10" t="str">
        <f t="shared" si="375"/>
        <v xml:space="preserve"> </v>
      </c>
      <c r="DH205" s="10" t="str">
        <f t="shared" si="375"/>
        <v xml:space="preserve"> </v>
      </c>
      <c r="DI205" s="10" t="str">
        <f t="shared" si="375"/>
        <v xml:space="preserve"> </v>
      </c>
      <c r="DJ205" s="10" t="str">
        <f t="shared" si="375"/>
        <v xml:space="preserve"> </v>
      </c>
      <c r="DK205" s="10" t="str">
        <f t="shared" si="375"/>
        <v xml:space="preserve"> </v>
      </c>
      <c r="DN205" s="10" t="str">
        <f t="shared" si="376"/>
        <v xml:space="preserve"> </v>
      </c>
      <c r="DO205" s="10" t="str">
        <f t="shared" si="376"/>
        <v xml:space="preserve"> </v>
      </c>
      <c r="DP205" s="10" t="str">
        <f t="shared" si="376"/>
        <v xml:space="preserve"> </v>
      </c>
      <c r="DQ205" s="10" t="str">
        <f t="shared" si="376"/>
        <v xml:space="preserve"> </v>
      </c>
      <c r="DR205" s="10" t="str">
        <f t="shared" si="376"/>
        <v xml:space="preserve"> </v>
      </c>
      <c r="DU205" s="10" t="str">
        <f t="shared" si="377"/>
        <v xml:space="preserve"> </v>
      </c>
      <c r="DV205" s="10" t="str">
        <f t="shared" si="377"/>
        <v xml:space="preserve"> </v>
      </c>
      <c r="DW205" s="10" t="str">
        <f t="shared" si="377"/>
        <v xml:space="preserve"> </v>
      </c>
      <c r="DX205" s="10" t="str">
        <f t="shared" si="377"/>
        <v xml:space="preserve"> </v>
      </c>
      <c r="DY205" s="10" t="str">
        <f t="shared" si="377"/>
        <v xml:space="preserve"> </v>
      </c>
      <c r="EB205" s="10" t="str">
        <f t="shared" si="378"/>
        <v xml:space="preserve"> </v>
      </c>
      <c r="EC205" s="10" t="str">
        <f t="shared" si="378"/>
        <v xml:space="preserve"> </v>
      </c>
      <c r="ED205" s="10" t="str">
        <f t="shared" si="378"/>
        <v xml:space="preserve"> </v>
      </c>
      <c r="EE205" s="10" t="str">
        <f t="shared" si="378"/>
        <v xml:space="preserve"> </v>
      </c>
      <c r="EF205" s="10" t="str">
        <f t="shared" si="378"/>
        <v xml:space="preserve"> </v>
      </c>
      <c r="EI205" s="10" t="str">
        <f t="shared" si="379"/>
        <v xml:space="preserve"> </v>
      </c>
      <c r="EJ205" s="10" t="str">
        <f t="shared" si="379"/>
        <v xml:space="preserve"> </v>
      </c>
      <c r="EK205" s="10" t="str">
        <f t="shared" si="379"/>
        <v xml:space="preserve"> </v>
      </c>
      <c r="EL205" s="10" t="str">
        <f t="shared" si="379"/>
        <v xml:space="preserve"> </v>
      </c>
      <c r="EM205" s="10" t="str">
        <f t="shared" si="379"/>
        <v xml:space="preserve"> </v>
      </c>
      <c r="EP205" s="10" t="str">
        <f t="shared" si="380"/>
        <v xml:space="preserve"> </v>
      </c>
      <c r="EQ205" s="10" t="str">
        <f t="shared" si="380"/>
        <v xml:space="preserve"> </v>
      </c>
      <c r="ER205" s="10" t="str">
        <f t="shared" si="380"/>
        <v xml:space="preserve"> </v>
      </c>
      <c r="ES205" s="10" t="str">
        <f t="shared" si="380"/>
        <v xml:space="preserve"> </v>
      </c>
      <c r="ET205" s="10" t="str">
        <f t="shared" si="380"/>
        <v xml:space="preserve"> </v>
      </c>
      <c r="EW205" s="10" t="str">
        <f t="shared" si="381"/>
        <v xml:space="preserve"> </v>
      </c>
      <c r="EX205" s="10" t="str">
        <f t="shared" si="381"/>
        <v xml:space="preserve"> </v>
      </c>
      <c r="EY205" s="10" t="str">
        <f t="shared" si="381"/>
        <v xml:space="preserve"> </v>
      </c>
      <c r="EZ205" s="10" t="str">
        <f t="shared" si="381"/>
        <v xml:space="preserve"> </v>
      </c>
      <c r="FA205" s="10" t="str">
        <f t="shared" si="381"/>
        <v xml:space="preserve"> </v>
      </c>
      <c r="FD205" s="10" t="str">
        <f t="shared" si="382"/>
        <v xml:space="preserve"> </v>
      </c>
      <c r="FE205" s="10" t="str">
        <f t="shared" si="382"/>
        <v xml:space="preserve"> </v>
      </c>
      <c r="FF205" s="10" t="str">
        <f t="shared" si="382"/>
        <v xml:space="preserve"> </v>
      </c>
      <c r="FG205" s="10" t="str">
        <f t="shared" si="382"/>
        <v xml:space="preserve"> </v>
      </c>
      <c r="FH205" s="10" t="str">
        <f t="shared" si="382"/>
        <v xml:space="preserve"> </v>
      </c>
      <c r="FK205" s="10" t="str">
        <f t="shared" si="383"/>
        <v xml:space="preserve"> </v>
      </c>
      <c r="FL205" s="10" t="str">
        <f t="shared" si="383"/>
        <v xml:space="preserve"> </v>
      </c>
      <c r="FM205" s="10" t="str">
        <f t="shared" si="383"/>
        <v xml:space="preserve"> </v>
      </c>
      <c r="FN205" s="10" t="str">
        <f t="shared" si="383"/>
        <v xml:space="preserve"> </v>
      </c>
      <c r="FO205" s="10" t="str">
        <f t="shared" si="383"/>
        <v xml:space="preserve"> </v>
      </c>
      <c r="FR205" s="10" t="str">
        <f t="shared" si="384"/>
        <v xml:space="preserve"> </v>
      </c>
      <c r="FS205" s="10" t="str">
        <f t="shared" si="384"/>
        <v xml:space="preserve"> </v>
      </c>
      <c r="FT205" s="10" t="str">
        <f t="shared" si="384"/>
        <v xml:space="preserve"> </v>
      </c>
      <c r="FU205" s="10" t="str">
        <f t="shared" si="384"/>
        <v xml:space="preserve"> </v>
      </c>
      <c r="FV205" s="10" t="str">
        <f t="shared" si="384"/>
        <v xml:space="preserve"> </v>
      </c>
      <c r="FY205" s="10" t="str">
        <f t="shared" si="385"/>
        <v xml:space="preserve"> </v>
      </c>
      <c r="FZ205" s="10" t="str">
        <f t="shared" si="385"/>
        <v xml:space="preserve"> </v>
      </c>
      <c r="GA205" s="10" t="str">
        <f t="shared" si="385"/>
        <v xml:space="preserve"> </v>
      </c>
      <c r="GB205" s="10" t="str">
        <f t="shared" si="385"/>
        <v xml:space="preserve"> </v>
      </c>
      <c r="GC205" s="10" t="str">
        <f t="shared" si="385"/>
        <v xml:space="preserve"> </v>
      </c>
      <c r="GF205" s="10" t="str">
        <f t="shared" si="386"/>
        <v xml:space="preserve"> </v>
      </c>
      <c r="GG205" s="10" t="str">
        <f t="shared" si="386"/>
        <v xml:space="preserve"> </v>
      </c>
      <c r="GH205" s="10" t="str">
        <f t="shared" si="386"/>
        <v xml:space="preserve"> </v>
      </c>
      <c r="GI205" s="10" t="str">
        <f t="shared" si="386"/>
        <v xml:space="preserve"> </v>
      </c>
      <c r="GJ205" s="10" t="str">
        <f t="shared" si="386"/>
        <v xml:space="preserve"> </v>
      </c>
      <c r="GM205" s="10" t="str">
        <f t="shared" si="387"/>
        <v xml:space="preserve"> </v>
      </c>
      <c r="GN205" s="10" t="str">
        <f t="shared" si="387"/>
        <v xml:space="preserve"> </v>
      </c>
      <c r="GO205" s="10" t="str">
        <f t="shared" si="387"/>
        <v xml:space="preserve"> </v>
      </c>
      <c r="GP205" s="10" t="str">
        <f t="shared" si="387"/>
        <v xml:space="preserve"> </v>
      </c>
      <c r="GQ205" s="10" t="str">
        <f t="shared" si="387"/>
        <v xml:space="preserve"> </v>
      </c>
      <c r="GT205" s="10" t="str">
        <f t="shared" si="388"/>
        <v xml:space="preserve"> </v>
      </c>
      <c r="GU205" s="10" t="str">
        <f t="shared" si="388"/>
        <v xml:space="preserve"> </v>
      </c>
      <c r="GV205" s="10" t="str">
        <f t="shared" si="388"/>
        <v xml:space="preserve"> </v>
      </c>
      <c r="GW205" s="10" t="str">
        <f t="shared" si="388"/>
        <v xml:space="preserve"> </v>
      </c>
      <c r="GX205" s="10" t="str">
        <f t="shared" si="388"/>
        <v xml:space="preserve"> </v>
      </c>
      <c r="HA205" s="10" t="str">
        <f t="shared" si="389"/>
        <v xml:space="preserve"> </v>
      </c>
      <c r="HB205" s="10" t="str">
        <f t="shared" si="389"/>
        <v xml:space="preserve"> </v>
      </c>
      <c r="HC205" s="10" t="str">
        <f t="shared" si="389"/>
        <v xml:space="preserve"> </v>
      </c>
      <c r="HD205" s="10" t="str">
        <f t="shared" si="389"/>
        <v xml:space="preserve"> </v>
      </c>
      <c r="HE205" s="10" t="str">
        <f t="shared" si="389"/>
        <v xml:space="preserve"> </v>
      </c>
      <c r="HH205" s="10" t="str">
        <f t="shared" si="390"/>
        <v xml:space="preserve"> </v>
      </c>
      <c r="HI205" s="10" t="str">
        <f t="shared" si="390"/>
        <v xml:space="preserve"> </v>
      </c>
      <c r="HJ205" s="10" t="str">
        <f t="shared" si="390"/>
        <v xml:space="preserve"> </v>
      </c>
      <c r="HK205" s="10" t="str">
        <f t="shared" si="390"/>
        <v xml:space="preserve"> </v>
      </c>
      <c r="HL205" s="10" t="str">
        <f t="shared" si="390"/>
        <v xml:space="preserve"> </v>
      </c>
      <c r="HO205" s="10" t="str">
        <f t="shared" si="391"/>
        <v xml:space="preserve"> </v>
      </c>
      <c r="HP205" s="10" t="str">
        <f t="shared" si="391"/>
        <v xml:space="preserve"> </v>
      </c>
      <c r="HQ205" s="10" t="str">
        <f t="shared" si="391"/>
        <v xml:space="preserve"> </v>
      </c>
      <c r="HR205" s="10" t="str">
        <f t="shared" si="391"/>
        <v xml:space="preserve"> </v>
      </c>
      <c r="HS205" s="10" t="str">
        <f t="shared" si="391"/>
        <v xml:space="preserve"> </v>
      </c>
      <c r="HV205" s="10" t="str">
        <f t="shared" si="392"/>
        <v xml:space="preserve"> </v>
      </c>
      <c r="HW205" s="10" t="str">
        <f t="shared" si="392"/>
        <v xml:space="preserve"> </v>
      </c>
      <c r="HX205" s="10" t="str">
        <f t="shared" si="392"/>
        <v xml:space="preserve"> </v>
      </c>
      <c r="HY205" s="10" t="str">
        <f t="shared" si="392"/>
        <v xml:space="preserve"> </v>
      </c>
      <c r="HZ205" s="10" t="str">
        <f t="shared" si="392"/>
        <v xml:space="preserve"> </v>
      </c>
      <c r="IC205" s="10" t="str">
        <f t="shared" si="393"/>
        <v xml:space="preserve"> </v>
      </c>
      <c r="ID205" s="10" t="str">
        <f t="shared" si="393"/>
        <v xml:space="preserve"> </v>
      </c>
      <c r="IE205" s="10" t="str">
        <f t="shared" si="393"/>
        <v xml:space="preserve"> </v>
      </c>
      <c r="IF205" s="10" t="str">
        <f t="shared" si="393"/>
        <v xml:space="preserve"> </v>
      </c>
      <c r="IG205" s="10" t="str">
        <f t="shared" si="393"/>
        <v xml:space="preserve"> </v>
      </c>
      <c r="IJ205" s="10" t="str">
        <f t="shared" si="394"/>
        <v xml:space="preserve"> </v>
      </c>
      <c r="IK205" s="10" t="str">
        <f t="shared" si="394"/>
        <v xml:space="preserve"> </v>
      </c>
      <c r="IL205" s="10" t="str">
        <f t="shared" si="394"/>
        <v xml:space="preserve"> </v>
      </c>
      <c r="IM205" s="10" t="str">
        <f t="shared" si="394"/>
        <v xml:space="preserve"> </v>
      </c>
      <c r="IN205" s="10" t="str">
        <f t="shared" si="394"/>
        <v xml:space="preserve"> </v>
      </c>
      <c r="IQ205" s="10" t="str">
        <f t="shared" si="395"/>
        <v xml:space="preserve"> </v>
      </c>
      <c r="IR205" s="10" t="str">
        <f t="shared" si="395"/>
        <v xml:space="preserve"> </v>
      </c>
      <c r="IS205" s="10" t="str">
        <f t="shared" si="395"/>
        <v xml:space="preserve"> </v>
      </c>
      <c r="IT205" s="10" t="str">
        <f t="shared" si="395"/>
        <v xml:space="preserve"> </v>
      </c>
      <c r="IU205" s="10" t="str">
        <f t="shared" si="395"/>
        <v xml:space="preserve"> </v>
      </c>
      <c r="IX205" s="10" t="str">
        <f t="shared" si="396"/>
        <v xml:space="preserve"> </v>
      </c>
      <c r="IY205" s="10" t="str">
        <f t="shared" si="396"/>
        <v xml:space="preserve"> </v>
      </c>
      <c r="IZ205" s="10" t="str">
        <f t="shared" si="396"/>
        <v xml:space="preserve"> </v>
      </c>
      <c r="JA205" s="10" t="str">
        <f t="shared" si="396"/>
        <v xml:space="preserve"> </v>
      </c>
      <c r="JB205" s="10" t="str">
        <f t="shared" si="396"/>
        <v xml:space="preserve"> </v>
      </c>
      <c r="JE205" s="10" t="str">
        <f t="shared" si="397"/>
        <v xml:space="preserve"> </v>
      </c>
      <c r="JF205" s="10" t="str">
        <f t="shared" si="397"/>
        <v xml:space="preserve"> </v>
      </c>
      <c r="JG205" s="10" t="str">
        <f t="shared" si="397"/>
        <v xml:space="preserve"> </v>
      </c>
      <c r="JH205" s="10" t="str">
        <f t="shared" si="397"/>
        <v xml:space="preserve"> </v>
      </c>
      <c r="JI205" s="10" t="str">
        <f t="shared" si="397"/>
        <v xml:space="preserve"> </v>
      </c>
    </row>
    <row r="206" spans="13:269">
      <c r="M206" s="10" t="str">
        <f t="shared" si="398"/>
        <v xml:space="preserve"> </v>
      </c>
      <c r="N206" s="10" t="str">
        <f t="shared" si="398"/>
        <v xml:space="preserve"> </v>
      </c>
      <c r="O206" s="10" t="str">
        <f t="shared" si="398"/>
        <v xml:space="preserve"> </v>
      </c>
      <c r="P206" s="10" t="str">
        <f t="shared" si="398"/>
        <v xml:space="preserve"> </v>
      </c>
      <c r="Q206" s="10" t="str">
        <f t="shared" si="398"/>
        <v xml:space="preserve"> </v>
      </c>
      <c r="R206" s="14"/>
      <c r="S206" s="14"/>
      <c r="T206" s="10" t="str">
        <f t="shared" si="362"/>
        <v xml:space="preserve"> </v>
      </c>
      <c r="U206" s="10" t="str">
        <f t="shared" si="362"/>
        <v xml:space="preserve"> </v>
      </c>
      <c r="V206" s="10" t="str">
        <f t="shared" si="362"/>
        <v xml:space="preserve"> </v>
      </c>
      <c r="W206" s="10" t="str">
        <f t="shared" si="362"/>
        <v xml:space="preserve"> </v>
      </c>
      <c r="X206" s="10" t="str">
        <f t="shared" si="362"/>
        <v xml:space="preserve"> </v>
      </c>
      <c r="Y206" s="14"/>
      <c r="Z206" s="14"/>
      <c r="AA206" s="10" t="str">
        <f t="shared" si="363"/>
        <v xml:space="preserve"> </v>
      </c>
      <c r="AB206" s="10" t="str">
        <f t="shared" si="363"/>
        <v xml:space="preserve"> </v>
      </c>
      <c r="AC206" s="10" t="str">
        <f t="shared" si="363"/>
        <v xml:space="preserve"> </v>
      </c>
      <c r="AD206" s="10" t="str">
        <f t="shared" si="363"/>
        <v xml:space="preserve"> </v>
      </c>
      <c r="AE206" s="10" t="str">
        <f t="shared" si="363"/>
        <v xml:space="preserve"> </v>
      </c>
      <c r="AF206" s="14"/>
      <c r="AG206" s="14"/>
      <c r="AH206" s="10" t="str">
        <f t="shared" si="364"/>
        <v xml:space="preserve"> </v>
      </c>
      <c r="AI206" s="10" t="str">
        <f t="shared" si="364"/>
        <v xml:space="preserve"> </v>
      </c>
      <c r="AJ206" s="10" t="str">
        <f t="shared" si="364"/>
        <v xml:space="preserve"> </v>
      </c>
      <c r="AK206" s="10" t="str">
        <f t="shared" si="364"/>
        <v xml:space="preserve"> </v>
      </c>
      <c r="AL206" s="10" t="str">
        <f t="shared" si="364"/>
        <v xml:space="preserve"> </v>
      </c>
      <c r="AM206" s="14"/>
      <c r="AN206" s="14"/>
      <c r="AO206" s="10" t="str">
        <f t="shared" si="365"/>
        <v xml:space="preserve"> </v>
      </c>
      <c r="AP206" s="10" t="str">
        <f t="shared" si="365"/>
        <v xml:space="preserve"> </v>
      </c>
      <c r="AQ206" s="10" t="str">
        <f t="shared" si="365"/>
        <v xml:space="preserve"> </v>
      </c>
      <c r="AR206" s="10" t="str">
        <f t="shared" si="365"/>
        <v xml:space="preserve"> </v>
      </c>
      <c r="AS206" s="10" t="str">
        <f t="shared" si="365"/>
        <v xml:space="preserve"> </v>
      </c>
      <c r="AT206" s="14"/>
      <c r="AU206" s="14"/>
      <c r="AV206" s="10" t="str">
        <f t="shared" si="366"/>
        <v xml:space="preserve"> </v>
      </c>
      <c r="AW206" s="10" t="str">
        <f t="shared" si="366"/>
        <v xml:space="preserve"> </v>
      </c>
      <c r="AX206" s="10" t="str">
        <f t="shared" si="366"/>
        <v xml:space="preserve"> </v>
      </c>
      <c r="AY206" s="10" t="str">
        <f t="shared" si="366"/>
        <v xml:space="preserve"> </v>
      </c>
      <c r="AZ206" s="10" t="str">
        <f t="shared" si="366"/>
        <v xml:space="preserve"> </v>
      </c>
      <c r="BA206" s="14"/>
      <c r="BB206" s="14"/>
      <c r="BC206" s="10" t="str">
        <f t="shared" si="367"/>
        <v xml:space="preserve"> </v>
      </c>
      <c r="BD206" s="10" t="str">
        <f t="shared" si="367"/>
        <v xml:space="preserve"> </v>
      </c>
      <c r="BE206" s="10" t="str">
        <f t="shared" si="367"/>
        <v xml:space="preserve"> </v>
      </c>
      <c r="BF206" s="10" t="str">
        <f t="shared" si="367"/>
        <v xml:space="preserve"> </v>
      </c>
      <c r="BG206" s="10" t="str">
        <f t="shared" si="367"/>
        <v xml:space="preserve"> </v>
      </c>
      <c r="BH206" s="14"/>
      <c r="BI206" s="14"/>
      <c r="BJ206" s="10" t="str">
        <f t="shared" si="368"/>
        <v xml:space="preserve"> </v>
      </c>
      <c r="BK206" s="10" t="str">
        <f t="shared" si="368"/>
        <v xml:space="preserve"> </v>
      </c>
      <c r="BL206" s="10" t="str">
        <f t="shared" si="368"/>
        <v xml:space="preserve"> </v>
      </c>
      <c r="BM206" s="10" t="str">
        <f t="shared" si="368"/>
        <v xml:space="preserve"> </v>
      </c>
      <c r="BN206" s="10" t="str">
        <f t="shared" si="368"/>
        <v xml:space="preserve"> </v>
      </c>
      <c r="BO206" s="14"/>
      <c r="BP206" s="14"/>
      <c r="BQ206" s="10" t="str">
        <f t="shared" si="369"/>
        <v xml:space="preserve"> </v>
      </c>
      <c r="BR206" s="10" t="str">
        <f t="shared" si="369"/>
        <v xml:space="preserve"> </v>
      </c>
      <c r="BS206" s="10" t="str">
        <f t="shared" si="369"/>
        <v xml:space="preserve"> </v>
      </c>
      <c r="BT206" s="10" t="str">
        <f t="shared" si="369"/>
        <v xml:space="preserve"> </v>
      </c>
      <c r="BU206" s="10" t="str">
        <f t="shared" si="369"/>
        <v xml:space="preserve"> </v>
      </c>
      <c r="BV206" s="14"/>
      <c r="BW206" s="14"/>
      <c r="BX206" s="10" t="str">
        <f t="shared" si="370"/>
        <v xml:space="preserve"> </v>
      </c>
      <c r="BY206" s="10" t="str">
        <f t="shared" si="370"/>
        <v xml:space="preserve"> </v>
      </c>
      <c r="BZ206" s="10" t="str">
        <f t="shared" si="370"/>
        <v xml:space="preserve"> </v>
      </c>
      <c r="CA206" s="10" t="str">
        <f t="shared" si="370"/>
        <v xml:space="preserve"> </v>
      </c>
      <c r="CB206" s="10" t="str">
        <f t="shared" si="370"/>
        <v xml:space="preserve"> </v>
      </c>
      <c r="CC206" s="14"/>
      <c r="CD206" s="14"/>
      <c r="CE206" s="10" t="str">
        <f t="shared" si="371"/>
        <v xml:space="preserve"> </v>
      </c>
      <c r="CF206" s="10" t="str">
        <f t="shared" si="371"/>
        <v xml:space="preserve"> </v>
      </c>
      <c r="CG206" s="10" t="str">
        <f t="shared" si="371"/>
        <v xml:space="preserve"> </v>
      </c>
      <c r="CH206" s="10" t="str">
        <f t="shared" si="371"/>
        <v xml:space="preserve"> </v>
      </c>
      <c r="CI206" s="10" t="str">
        <f t="shared" si="371"/>
        <v xml:space="preserve"> </v>
      </c>
      <c r="CJ206" s="14"/>
      <c r="CK206" s="14"/>
      <c r="CL206" s="10" t="str">
        <f t="shared" si="372"/>
        <v xml:space="preserve"> </v>
      </c>
      <c r="CM206" s="10" t="str">
        <f t="shared" si="372"/>
        <v xml:space="preserve"> </v>
      </c>
      <c r="CN206" s="10" t="str">
        <f t="shared" si="372"/>
        <v xml:space="preserve"> </v>
      </c>
      <c r="CO206" s="10" t="str">
        <f t="shared" si="372"/>
        <v xml:space="preserve"> </v>
      </c>
      <c r="CP206" s="10" t="str">
        <f t="shared" si="372"/>
        <v xml:space="preserve"> </v>
      </c>
      <c r="CQ206" s="14"/>
      <c r="CR206" s="14"/>
      <c r="CS206" s="10" t="str">
        <f t="shared" si="373"/>
        <v xml:space="preserve"> </v>
      </c>
      <c r="CT206" s="10" t="str">
        <f t="shared" si="373"/>
        <v xml:space="preserve"> </v>
      </c>
      <c r="CU206" s="10" t="str">
        <f t="shared" si="373"/>
        <v xml:space="preserve"> </v>
      </c>
      <c r="CV206" s="10" t="str">
        <f t="shared" si="373"/>
        <v xml:space="preserve"> </v>
      </c>
      <c r="CW206" s="10" t="str">
        <f t="shared" si="373"/>
        <v xml:space="preserve"> </v>
      </c>
      <c r="CZ206" s="10" t="str">
        <f t="shared" si="374"/>
        <v xml:space="preserve"> </v>
      </c>
      <c r="DA206" s="10" t="str">
        <f t="shared" si="374"/>
        <v xml:space="preserve"> </v>
      </c>
      <c r="DB206" s="10" t="str">
        <f t="shared" si="374"/>
        <v xml:space="preserve"> </v>
      </c>
      <c r="DC206" s="10" t="str">
        <f t="shared" si="374"/>
        <v xml:space="preserve"> </v>
      </c>
      <c r="DD206" s="10" t="str">
        <f t="shared" si="374"/>
        <v xml:space="preserve"> </v>
      </c>
      <c r="DG206" s="10" t="str">
        <f t="shared" si="375"/>
        <v xml:space="preserve"> </v>
      </c>
      <c r="DH206" s="10" t="str">
        <f t="shared" si="375"/>
        <v xml:space="preserve"> </v>
      </c>
      <c r="DI206" s="10" t="str">
        <f t="shared" si="375"/>
        <v xml:space="preserve"> </v>
      </c>
      <c r="DJ206" s="10" t="str">
        <f t="shared" si="375"/>
        <v xml:space="preserve"> </v>
      </c>
      <c r="DK206" s="10" t="str">
        <f t="shared" si="375"/>
        <v xml:space="preserve"> </v>
      </c>
      <c r="DN206" s="10" t="str">
        <f t="shared" si="376"/>
        <v xml:space="preserve"> </v>
      </c>
      <c r="DO206" s="10" t="str">
        <f t="shared" si="376"/>
        <v xml:space="preserve"> </v>
      </c>
      <c r="DP206" s="10" t="str">
        <f t="shared" si="376"/>
        <v xml:space="preserve"> </v>
      </c>
      <c r="DQ206" s="10" t="str">
        <f t="shared" si="376"/>
        <v xml:space="preserve"> </v>
      </c>
      <c r="DR206" s="10" t="str">
        <f t="shared" si="376"/>
        <v xml:space="preserve"> </v>
      </c>
      <c r="DU206" s="10" t="str">
        <f t="shared" si="377"/>
        <v xml:space="preserve"> </v>
      </c>
      <c r="DV206" s="10" t="str">
        <f t="shared" si="377"/>
        <v xml:space="preserve"> </v>
      </c>
      <c r="DW206" s="10" t="str">
        <f t="shared" si="377"/>
        <v xml:space="preserve"> </v>
      </c>
      <c r="DX206" s="10" t="str">
        <f t="shared" si="377"/>
        <v xml:space="preserve"> </v>
      </c>
      <c r="DY206" s="10" t="str">
        <f t="shared" si="377"/>
        <v xml:space="preserve"> </v>
      </c>
      <c r="EB206" s="10" t="str">
        <f t="shared" si="378"/>
        <v xml:space="preserve"> </v>
      </c>
      <c r="EC206" s="10" t="str">
        <f t="shared" si="378"/>
        <v xml:space="preserve"> </v>
      </c>
      <c r="ED206" s="10" t="str">
        <f t="shared" si="378"/>
        <v xml:space="preserve"> </v>
      </c>
      <c r="EE206" s="10" t="str">
        <f t="shared" si="378"/>
        <v xml:space="preserve"> </v>
      </c>
      <c r="EF206" s="10" t="str">
        <f t="shared" si="378"/>
        <v xml:space="preserve"> </v>
      </c>
      <c r="EI206" s="10" t="str">
        <f t="shared" si="379"/>
        <v xml:space="preserve"> </v>
      </c>
      <c r="EJ206" s="10" t="str">
        <f t="shared" si="379"/>
        <v xml:space="preserve"> </v>
      </c>
      <c r="EK206" s="10" t="str">
        <f t="shared" si="379"/>
        <v xml:space="preserve"> </v>
      </c>
      <c r="EL206" s="10" t="str">
        <f t="shared" si="379"/>
        <v xml:space="preserve"> </v>
      </c>
      <c r="EM206" s="10" t="str">
        <f t="shared" si="379"/>
        <v xml:space="preserve"> </v>
      </c>
      <c r="EP206" s="10" t="str">
        <f t="shared" si="380"/>
        <v xml:space="preserve"> </v>
      </c>
      <c r="EQ206" s="10" t="str">
        <f t="shared" si="380"/>
        <v xml:space="preserve"> </v>
      </c>
      <c r="ER206" s="10" t="str">
        <f t="shared" si="380"/>
        <v xml:space="preserve"> </v>
      </c>
      <c r="ES206" s="10" t="str">
        <f t="shared" si="380"/>
        <v xml:space="preserve"> </v>
      </c>
      <c r="ET206" s="10" t="str">
        <f t="shared" si="380"/>
        <v xml:space="preserve"> </v>
      </c>
      <c r="EW206" s="10" t="str">
        <f t="shared" si="381"/>
        <v xml:space="preserve"> </v>
      </c>
      <c r="EX206" s="10" t="str">
        <f t="shared" si="381"/>
        <v xml:space="preserve"> </v>
      </c>
      <c r="EY206" s="10" t="str">
        <f t="shared" si="381"/>
        <v xml:space="preserve"> </v>
      </c>
      <c r="EZ206" s="10" t="str">
        <f t="shared" si="381"/>
        <v xml:space="preserve"> </v>
      </c>
      <c r="FA206" s="10" t="str">
        <f t="shared" si="381"/>
        <v xml:space="preserve"> </v>
      </c>
      <c r="FD206" s="10" t="str">
        <f t="shared" si="382"/>
        <v xml:space="preserve"> </v>
      </c>
      <c r="FE206" s="10" t="str">
        <f t="shared" si="382"/>
        <v xml:space="preserve"> </v>
      </c>
      <c r="FF206" s="10" t="str">
        <f t="shared" si="382"/>
        <v xml:space="preserve"> </v>
      </c>
      <c r="FG206" s="10" t="str">
        <f t="shared" si="382"/>
        <v xml:space="preserve"> </v>
      </c>
      <c r="FH206" s="10" t="str">
        <f t="shared" si="382"/>
        <v xml:space="preserve"> </v>
      </c>
      <c r="FK206" s="10" t="str">
        <f t="shared" si="383"/>
        <v xml:space="preserve"> </v>
      </c>
      <c r="FL206" s="10" t="str">
        <f t="shared" si="383"/>
        <v xml:space="preserve"> </v>
      </c>
      <c r="FM206" s="10" t="str">
        <f t="shared" si="383"/>
        <v xml:space="preserve"> </v>
      </c>
      <c r="FN206" s="10" t="str">
        <f t="shared" si="383"/>
        <v xml:space="preserve"> </v>
      </c>
      <c r="FO206" s="10" t="str">
        <f t="shared" si="383"/>
        <v xml:space="preserve"> </v>
      </c>
      <c r="FR206" s="10" t="str">
        <f t="shared" si="384"/>
        <v xml:space="preserve"> </v>
      </c>
      <c r="FS206" s="10" t="str">
        <f t="shared" si="384"/>
        <v xml:space="preserve"> </v>
      </c>
      <c r="FT206" s="10" t="str">
        <f t="shared" si="384"/>
        <v xml:space="preserve"> </v>
      </c>
      <c r="FU206" s="10" t="str">
        <f t="shared" si="384"/>
        <v xml:space="preserve"> </v>
      </c>
      <c r="FV206" s="10" t="str">
        <f t="shared" si="384"/>
        <v xml:space="preserve"> </v>
      </c>
      <c r="FY206" s="10" t="str">
        <f t="shared" si="385"/>
        <v xml:space="preserve"> </v>
      </c>
      <c r="FZ206" s="10" t="str">
        <f t="shared" si="385"/>
        <v xml:space="preserve"> </v>
      </c>
      <c r="GA206" s="10" t="str">
        <f t="shared" si="385"/>
        <v xml:space="preserve"> </v>
      </c>
      <c r="GB206" s="10" t="str">
        <f t="shared" si="385"/>
        <v xml:space="preserve"> </v>
      </c>
      <c r="GC206" s="10" t="str">
        <f t="shared" si="385"/>
        <v xml:space="preserve"> </v>
      </c>
      <c r="GF206" s="10" t="str">
        <f t="shared" si="386"/>
        <v xml:space="preserve"> </v>
      </c>
      <c r="GG206" s="10" t="str">
        <f t="shared" si="386"/>
        <v xml:space="preserve"> </v>
      </c>
      <c r="GH206" s="10" t="str">
        <f t="shared" si="386"/>
        <v xml:space="preserve"> </v>
      </c>
      <c r="GI206" s="10" t="str">
        <f t="shared" si="386"/>
        <v xml:space="preserve"> </v>
      </c>
      <c r="GJ206" s="10" t="str">
        <f t="shared" si="386"/>
        <v xml:space="preserve"> </v>
      </c>
      <c r="GM206" s="10" t="str">
        <f t="shared" si="387"/>
        <v xml:space="preserve"> </v>
      </c>
      <c r="GN206" s="10" t="str">
        <f t="shared" si="387"/>
        <v xml:space="preserve"> </v>
      </c>
      <c r="GO206" s="10" t="str">
        <f t="shared" si="387"/>
        <v xml:space="preserve"> </v>
      </c>
      <c r="GP206" s="10" t="str">
        <f t="shared" si="387"/>
        <v xml:space="preserve"> </v>
      </c>
      <c r="GQ206" s="10" t="str">
        <f t="shared" si="387"/>
        <v xml:space="preserve"> </v>
      </c>
      <c r="GT206" s="10" t="str">
        <f t="shared" si="388"/>
        <v xml:space="preserve"> </v>
      </c>
      <c r="GU206" s="10" t="str">
        <f t="shared" si="388"/>
        <v xml:space="preserve"> </v>
      </c>
      <c r="GV206" s="10" t="str">
        <f t="shared" si="388"/>
        <v xml:space="preserve"> </v>
      </c>
      <c r="GW206" s="10" t="str">
        <f t="shared" si="388"/>
        <v xml:space="preserve"> </v>
      </c>
      <c r="GX206" s="10" t="str">
        <f t="shared" si="388"/>
        <v xml:space="preserve"> </v>
      </c>
      <c r="HA206" s="10" t="str">
        <f t="shared" si="389"/>
        <v xml:space="preserve"> </v>
      </c>
      <c r="HB206" s="10" t="str">
        <f t="shared" si="389"/>
        <v xml:space="preserve"> </v>
      </c>
      <c r="HC206" s="10" t="str">
        <f t="shared" si="389"/>
        <v xml:space="preserve"> </v>
      </c>
      <c r="HD206" s="10" t="str">
        <f t="shared" si="389"/>
        <v xml:space="preserve"> </v>
      </c>
      <c r="HE206" s="10" t="str">
        <f t="shared" si="389"/>
        <v xml:space="preserve"> </v>
      </c>
      <c r="HH206" s="10" t="str">
        <f t="shared" si="390"/>
        <v xml:space="preserve"> </v>
      </c>
      <c r="HI206" s="10" t="str">
        <f t="shared" si="390"/>
        <v xml:space="preserve"> </v>
      </c>
      <c r="HJ206" s="10" t="str">
        <f t="shared" si="390"/>
        <v xml:space="preserve"> </v>
      </c>
      <c r="HK206" s="10" t="str">
        <f t="shared" si="390"/>
        <v xml:space="preserve"> </v>
      </c>
      <c r="HL206" s="10" t="str">
        <f t="shared" si="390"/>
        <v xml:space="preserve"> </v>
      </c>
      <c r="HO206" s="10" t="str">
        <f t="shared" si="391"/>
        <v xml:space="preserve"> </v>
      </c>
      <c r="HP206" s="10" t="str">
        <f t="shared" si="391"/>
        <v xml:space="preserve"> </v>
      </c>
      <c r="HQ206" s="10" t="str">
        <f t="shared" si="391"/>
        <v xml:space="preserve"> </v>
      </c>
      <c r="HR206" s="10" t="str">
        <f t="shared" si="391"/>
        <v xml:space="preserve"> </v>
      </c>
      <c r="HS206" s="10" t="str">
        <f t="shared" si="391"/>
        <v xml:space="preserve"> </v>
      </c>
      <c r="HV206" s="10" t="str">
        <f t="shared" si="392"/>
        <v xml:space="preserve"> </v>
      </c>
      <c r="HW206" s="10" t="str">
        <f t="shared" si="392"/>
        <v xml:space="preserve"> </v>
      </c>
      <c r="HX206" s="10" t="str">
        <f t="shared" si="392"/>
        <v xml:space="preserve"> </v>
      </c>
      <c r="HY206" s="10" t="str">
        <f t="shared" si="392"/>
        <v xml:space="preserve"> </v>
      </c>
      <c r="HZ206" s="10" t="str">
        <f t="shared" si="392"/>
        <v xml:space="preserve"> </v>
      </c>
      <c r="IC206" s="10" t="str">
        <f t="shared" si="393"/>
        <v xml:space="preserve"> </v>
      </c>
      <c r="ID206" s="10" t="str">
        <f t="shared" si="393"/>
        <v xml:space="preserve"> </v>
      </c>
      <c r="IE206" s="10" t="str">
        <f t="shared" si="393"/>
        <v xml:space="preserve"> </v>
      </c>
      <c r="IF206" s="10" t="str">
        <f t="shared" si="393"/>
        <v xml:space="preserve"> </v>
      </c>
      <c r="IG206" s="10" t="str">
        <f t="shared" si="393"/>
        <v xml:space="preserve"> </v>
      </c>
      <c r="IJ206" s="10" t="str">
        <f t="shared" si="394"/>
        <v xml:space="preserve"> </v>
      </c>
      <c r="IK206" s="10" t="str">
        <f t="shared" si="394"/>
        <v xml:space="preserve"> </v>
      </c>
      <c r="IL206" s="10" t="str">
        <f t="shared" si="394"/>
        <v xml:space="preserve"> </v>
      </c>
      <c r="IM206" s="10" t="str">
        <f t="shared" si="394"/>
        <v xml:space="preserve"> </v>
      </c>
      <c r="IN206" s="10" t="str">
        <f t="shared" si="394"/>
        <v xml:space="preserve"> </v>
      </c>
      <c r="IQ206" s="10" t="str">
        <f t="shared" si="395"/>
        <v xml:space="preserve"> </v>
      </c>
      <c r="IR206" s="10" t="str">
        <f t="shared" si="395"/>
        <v xml:space="preserve"> </v>
      </c>
      <c r="IS206" s="10" t="str">
        <f t="shared" si="395"/>
        <v xml:space="preserve"> </v>
      </c>
      <c r="IT206" s="10" t="str">
        <f t="shared" si="395"/>
        <v xml:space="preserve"> </v>
      </c>
      <c r="IU206" s="10" t="str">
        <f t="shared" si="395"/>
        <v xml:space="preserve"> </v>
      </c>
      <c r="IX206" s="10" t="str">
        <f t="shared" si="396"/>
        <v xml:space="preserve"> </v>
      </c>
      <c r="IY206" s="10" t="str">
        <f t="shared" si="396"/>
        <v xml:space="preserve"> </v>
      </c>
      <c r="IZ206" s="10" t="str">
        <f t="shared" si="396"/>
        <v xml:space="preserve"> </v>
      </c>
      <c r="JA206" s="10" t="str">
        <f t="shared" si="396"/>
        <v xml:space="preserve"> </v>
      </c>
      <c r="JB206" s="10" t="str">
        <f t="shared" si="396"/>
        <v xml:space="preserve"> </v>
      </c>
      <c r="JE206" s="10" t="str">
        <f t="shared" si="397"/>
        <v xml:space="preserve"> </v>
      </c>
      <c r="JF206" s="10" t="str">
        <f t="shared" si="397"/>
        <v xml:space="preserve"> </v>
      </c>
      <c r="JG206" s="10" t="str">
        <f t="shared" si="397"/>
        <v xml:space="preserve"> </v>
      </c>
      <c r="JH206" s="10" t="str">
        <f t="shared" si="397"/>
        <v xml:space="preserve"> </v>
      </c>
      <c r="JI206" s="10" t="str">
        <f t="shared" si="397"/>
        <v xml:space="preserve"> </v>
      </c>
    </row>
    <row r="207" spans="13:269">
      <c r="M207" s="10" t="str">
        <f t="shared" si="398"/>
        <v xml:space="preserve"> </v>
      </c>
      <c r="N207" s="10" t="str">
        <f t="shared" si="398"/>
        <v xml:space="preserve"> </v>
      </c>
      <c r="O207" s="10" t="str">
        <f t="shared" si="398"/>
        <v xml:space="preserve"> </v>
      </c>
      <c r="P207" s="10" t="str">
        <f t="shared" si="398"/>
        <v xml:space="preserve"> </v>
      </c>
      <c r="Q207" s="10" t="str">
        <f t="shared" si="398"/>
        <v xml:space="preserve"> </v>
      </c>
      <c r="R207" s="14"/>
      <c r="S207" s="14"/>
      <c r="T207" s="10" t="str">
        <f t="shared" si="362"/>
        <v xml:space="preserve"> </v>
      </c>
      <c r="U207" s="10" t="str">
        <f t="shared" si="362"/>
        <v xml:space="preserve"> </v>
      </c>
      <c r="V207" s="10" t="str">
        <f t="shared" si="362"/>
        <v xml:space="preserve"> </v>
      </c>
      <c r="W207" s="10" t="str">
        <f t="shared" si="362"/>
        <v xml:space="preserve"> </v>
      </c>
      <c r="X207" s="10" t="str">
        <f t="shared" si="362"/>
        <v xml:space="preserve"> </v>
      </c>
      <c r="Y207" s="14"/>
      <c r="Z207" s="14"/>
      <c r="AA207" s="10" t="str">
        <f t="shared" si="363"/>
        <v xml:space="preserve"> </v>
      </c>
      <c r="AB207" s="10" t="str">
        <f t="shared" si="363"/>
        <v xml:space="preserve"> </v>
      </c>
      <c r="AC207" s="10" t="str">
        <f t="shared" si="363"/>
        <v xml:space="preserve"> </v>
      </c>
      <c r="AD207" s="10" t="str">
        <f t="shared" si="363"/>
        <v xml:space="preserve"> </v>
      </c>
      <c r="AE207" s="10" t="str">
        <f t="shared" si="363"/>
        <v xml:space="preserve"> </v>
      </c>
      <c r="AF207" s="14"/>
      <c r="AG207" s="14"/>
      <c r="AH207" s="10" t="str">
        <f t="shared" si="364"/>
        <v xml:space="preserve"> </v>
      </c>
      <c r="AI207" s="10" t="str">
        <f t="shared" si="364"/>
        <v xml:space="preserve"> </v>
      </c>
      <c r="AJ207" s="10" t="str">
        <f t="shared" si="364"/>
        <v xml:space="preserve"> </v>
      </c>
      <c r="AK207" s="10" t="str">
        <f t="shared" si="364"/>
        <v xml:space="preserve"> </v>
      </c>
      <c r="AL207" s="10" t="str">
        <f t="shared" si="364"/>
        <v xml:space="preserve"> </v>
      </c>
      <c r="AM207" s="14"/>
      <c r="AN207" s="14"/>
      <c r="AO207" s="10" t="str">
        <f t="shared" si="365"/>
        <v xml:space="preserve"> </v>
      </c>
      <c r="AP207" s="10" t="str">
        <f t="shared" si="365"/>
        <v xml:space="preserve"> </v>
      </c>
      <c r="AQ207" s="10" t="str">
        <f t="shared" si="365"/>
        <v xml:space="preserve"> </v>
      </c>
      <c r="AR207" s="10" t="str">
        <f t="shared" si="365"/>
        <v xml:space="preserve"> </v>
      </c>
      <c r="AS207" s="10" t="str">
        <f t="shared" si="365"/>
        <v xml:space="preserve"> </v>
      </c>
      <c r="AT207" s="14"/>
      <c r="AU207" s="14"/>
      <c r="AV207" s="10" t="str">
        <f t="shared" si="366"/>
        <v xml:space="preserve"> </v>
      </c>
      <c r="AW207" s="10" t="str">
        <f t="shared" si="366"/>
        <v xml:space="preserve"> </v>
      </c>
      <c r="AX207" s="10" t="str">
        <f t="shared" si="366"/>
        <v xml:space="preserve"> </v>
      </c>
      <c r="AY207" s="10" t="str">
        <f t="shared" si="366"/>
        <v xml:space="preserve"> </v>
      </c>
      <c r="AZ207" s="10" t="str">
        <f t="shared" si="366"/>
        <v xml:space="preserve"> </v>
      </c>
      <c r="BA207" s="14"/>
      <c r="BB207" s="14"/>
      <c r="BC207" s="10" t="str">
        <f t="shared" si="367"/>
        <v xml:space="preserve"> </v>
      </c>
      <c r="BD207" s="10" t="str">
        <f t="shared" si="367"/>
        <v xml:space="preserve"> </v>
      </c>
      <c r="BE207" s="10" t="str">
        <f t="shared" si="367"/>
        <v xml:space="preserve"> </v>
      </c>
      <c r="BF207" s="10" t="str">
        <f t="shared" si="367"/>
        <v xml:space="preserve"> </v>
      </c>
      <c r="BG207" s="10" t="str">
        <f t="shared" si="367"/>
        <v xml:space="preserve"> </v>
      </c>
      <c r="BH207" s="14"/>
      <c r="BI207" s="14"/>
      <c r="BJ207" s="10" t="str">
        <f t="shared" si="368"/>
        <v xml:space="preserve"> </v>
      </c>
      <c r="BK207" s="10" t="str">
        <f t="shared" si="368"/>
        <v xml:space="preserve"> </v>
      </c>
      <c r="BL207" s="10" t="str">
        <f t="shared" si="368"/>
        <v xml:space="preserve"> </v>
      </c>
      <c r="BM207" s="10" t="str">
        <f t="shared" si="368"/>
        <v xml:space="preserve"> </v>
      </c>
      <c r="BN207" s="10" t="str">
        <f t="shared" si="368"/>
        <v xml:space="preserve"> </v>
      </c>
      <c r="BO207" s="14"/>
      <c r="BP207" s="14"/>
      <c r="BQ207" s="10" t="str">
        <f t="shared" si="369"/>
        <v xml:space="preserve"> </v>
      </c>
      <c r="BR207" s="10" t="str">
        <f t="shared" si="369"/>
        <v xml:space="preserve"> </v>
      </c>
      <c r="BS207" s="10" t="str">
        <f t="shared" si="369"/>
        <v xml:space="preserve"> </v>
      </c>
      <c r="BT207" s="10" t="str">
        <f t="shared" si="369"/>
        <v xml:space="preserve"> </v>
      </c>
      <c r="BU207" s="10" t="str">
        <f t="shared" si="369"/>
        <v xml:space="preserve"> </v>
      </c>
      <c r="BV207" s="14"/>
      <c r="BW207" s="14"/>
      <c r="BX207" s="10" t="str">
        <f t="shared" si="370"/>
        <v xml:space="preserve"> </v>
      </c>
      <c r="BY207" s="10" t="str">
        <f t="shared" si="370"/>
        <v xml:space="preserve"> </v>
      </c>
      <c r="BZ207" s="10" t="str">
        <f t="shared" si="370"/>
        <v xml:space="preserve"> </v>
      </c>
      <c r="CA207" s="10" t="str">
        <f t="shared" si="370"/>
        <v xml:space="preserve"> </v>
      </c>
      <c r="CB207" s="10" t="str">
        <f t="shared" si="370"/>
        <v xml:space="preserve"> </v>
      </c>
      <c r="CC207" s="14"/>
      <c r="CD207" s="14"/>
      <c r="CE207" s="10" t="str">
        <f t="shared" si="371"/>
        <v xml:space="preserve"> </v>
      </c>
      <c r="CF207" s="10" t="str">
        <f t="shared" si="371"/>
        <v xml:space="preserve"> </v>
      </c>
      <c r="CG207" s="10" t="str">
        <f t="shared" si="371"/>
        <v xml:space="preserve"> </v>
      </c>
      <c r="CH207" s="10" t="str">
        <f t="shared" si="371"/>
        <v xml:space="preserve"> </v>
      </c>
      <c r="CI207" s="10" t="str">
        <f t="shared" si="371"/>
        <v xml:space="preserve"> </v>
      </c>
      <c r="CJ207" s="14"/>
      <c r="CK207" s="14"/>
      <c r="CL207" s="10" t="str">
        <f t="shared" si="372"/>
        <v xml:space="preserve"> </v>
      </c>
      <c r="CM207" s="10" t="str">
        <f t="shared" si="372"/>
        <v xml:space="preserve"> </v>
      </c>
      <c r="CN207" s="10" t="str">
        <f t="shared" si="372"/>
        <v xml:space="preserve"> </v>
      </c>
      <c r="CO207" s="10" t="str">
        <f t="shared" si="372"/>
        <v xml:space="preserve"> </v>
      </c>
      <c r="CP207" s="10" t="str">
        <f t="shared" si="372"/>
        <v xml:space="preserve"> </v>
      </c>
      <c r="CQ207" s="14"/>
      <c r="CR207" s="14"/>
      <c r="CS207" s="10" t="str">
        <f t="shared" si="373"/>
        <v xml:space="preserve"> </v>
      </c>
      <c r="CT207" s="10" t="str">
        <f t="shared" si="373"/>
        <v xml:space="preserve"> </v>
      </c>
      <c r="CU207" s="10" t="str">
        <f t="shared" si="373"/>
        <v xml:space="preserve"> </v>
      </c>
      <c r="CV207" s="10" t="str">
        <f t="shared" si="373"/>
        <v xml:space="preserve"> </v>
      </c>
      <c r="CW207" s="10" t="str">
        <f t="shared" si="373"/>
        <v xml:space="preserve"> </v>
      </c>
      <c r="CZ207" s="10" t="str">
        <f t="shared" si="374"/>
        <v xml:space="preserve"> </v>
      </c>
      <c r="DA207" s="10" t="str">
        <f t="shared" si="374"/>
        <v xml:space="preserve"> </v>
      </c>
      <c r="DB207" s="10" t="str">
        <f t="shared" si="374"/>
        <v xml:space="preserve"> </v>
      </c>
      <c r="DC207" s="10" t="str">
        <f t="shared" si="374"/>
        <v xml:space="preserve"> </v>
      </c>
      <c r="DD207" s="10" t="str">
        <f t="shared" si="374"/>
        <v xml:space="preserve"> </v>
      </c>
      <c r="DG207" s="10" t="str">
        <f t="shared" si="375"/>
        <v xml:space="preserve"> </v>
      </c>
      <c r="DH207" s="10" t="str">
        <f t="shared" si="375"/>
        <v xml:space="preserve"> </v>
      </c>
      <c r="DI207" s="10" t="str">
        <f t="shared" si="375"/>
        <v xml:space="preserve"> </v>
      </c>
      <c r="DJ207" s="10" t="str">
        <f t="shared" si="375"/>
        <v xml:space="preserve"> </v>
      </c>
      <c r="DK207" s="10" t="str">
        <f t="shared" si="375"/>
        <v xml:space="preserve"> </v>
      </c>
      <c r="DN207" s="10" t="str">
        <f t="shared" si="376"/>
        <v xml:space="preserve"> </v>
      </c>
      <c r="DO207" s="10" t="str">
        <f t="shared" si="376"/>
        <v xml:space="preserve"> </v>
      </c>
      <c r="DP207" s="10" t="str">
        <f t="shared" si="376"/>
        <v xml:space="preserve"> </v>
      </c>
      <c r="DQ207" s="10" t="str">
        <f t="shared" si="376"/>
        <v xml:space="preserve"> </v>
      </c>
      <c r="DR207" s="10" t="str">
        <f t="shared" si="376"/>
        <v xml:space="preserve"> </v>
      </c>
      <c r="DU207" s="10" t="str">
        <f t="shared" si="377"/>
        <v xml:space="preserve"> </v>
      </c>
      <c r="DV207" s="10" t="str">
        <f t="shared" si="377"/>
        <v xml:space="preserve"> </v>
      </c>
      <c r="DW207" s="10" t="str">
        <f t="shared" si="377"/>
        <v xml:space="preserve"> </v>
      </c>
      <c r="DX207" s="10" t="str">
        <f t="shared" si="377"/>
        <v xml:space="preserve"> </v>
      </c>
      <c r="DY207" s="10" t="str">
        <f t="shared" si="377"/>
        <v xml:space="preserve"> </v>
      </c>
      <c r="EB207" s="10" t="str">
        <f t="shared" si="378"/>
        <v xml:space="preserve"> </v>
      </c>
      <c r="EC207" s="10" t="str">
        <f t="shared" si="378"/>
        <v xml:space="preserve"> </v>
      </c>
      <c r="ED207" s="10" t="str">
        <f t="shared" si="378"/>
        <v xml:space="preserve"> </v>
      </c>
      <c r="EE207" s="10" t="str">
        <f t="shared" si="378"/>
        <v xml:space="preserve"> </v>
      </c>
      <c r="EF207" s="10" t="str">
        <f t="shared" si="378"/>
        <v xml:space="preserve"> </v>
      </c>
      <c r="EI207" s="10" t="str">
        <f t="shared" si="379"/>
        <v xml:space="preserve"> </v>
      </c>
      <c r="EJ207" s="10" t="str">
        <f t="shared" si="379"/>
        <v xml:space="preserve"> </v>
      </c>
      <c r="EK207" s="10" t="str">
        <f t="shared" si="379"/>
        <v xml:space="preserve"> </v>
      </c>
      <c r="EL207" s="10" t="str">
        <f t="shared" si="379"/>
        <v xml:space="preserve"> </v>
      </c>
      <c r="EM207" s="10" t="str">
        <f t="shared" si="379"/>
        <v xml:space="preserve"> </v>
      </c>
      <c r="EP207" s="10" t="str">
        <f t="shared" si="380"/>
        <v xml:space="preserve"> </v>
      </c>
      <c r="EQ207" s="10" t="str">
        <f t="shared" si="380"/>
        <v xml:space="preserve"> </v>
      </c>
      <c r="ER207" s="10" t="str">
        <f t="shared" si="380"/>
        <v xml:space="preserve"> </v>
      </c>
      <c r="ES207" s="10" t="str">
        <f t="shared" si="380"/>
        <v xml:space="preserve"> </v>
      </c>
      <c r="ET207" s="10" t="str">
        <f t="shared" si="380"/>
        <v xml:space="preserve"> </v>
      </c>
      <c r="EW207" s="10" t="str">
        <f t="shared" si="381"/>
        <v xml:space="preserve"> </v>
      </c>
      <c r="EX207" s="10" t="str">
        <f t="shared" si="381"/>
        <v xml:space="preserve"> </v>
      </c>
      <c r="EY207" s="10" t="str">
        <f t="shared" si="381"/>
        <v xml:space="preserve"> </v>
      </c>
      <c r="EZ207" s="10" t="str">
        <f t="shared" si="381"/>
        <v xml:space="preserve"> </v>
      </c>
      <c r="FA207" s="10" t="str">
        <f t="shared" si="381"/>
        <v xml:space="preserve"> </v>
      </c>
      <c r="FD207" s="10" t="str">
        <f t="shared" si="382"/>
        <v xml:space="preserve"> </v>
      </c>
      <c r="FE207" s="10" t="str">
        <f t="shared" si="382"/>
        <v xml:space="preserve"> </v>
      </c>
      <c r="FF207" s="10" t="str">
        <f t="shared" si="382"/>
        <v xml:space="preserve"> </v>
      </c>
      <c r="FG207" s="10" t="str">
        <f t="shared" si="382"/>
        <v xml:space="preserve"> </v>
      </c>
      <c r="FH207" s="10" t="str">
        <f t="shared" si="382"/>
        <v xml:space="preserve"> </v>
      </c>
      <c r="FK207" s="10" t="str">
        <f t="shared" si="383"/>
        <v xml:space="preserve"> </v>
      </c>
      <c r="FL207" s="10" t="str">
        <f t="shared" si="383"/>
        <v xml:space="preserve"> </v>
      </c>
      <c r="FM207" s="10" t="str">
        <f t="shared" si="383"/>
        <v xml:space="preserve"> </v>
      </c>
      <c r="FN207" s="10" t="str">
        <f t="shared" si="383"/>
        <v xml:space="preserve"> </v>
      </c>
      <c r="FO207" s="10" t="str">
        <f t="shared" si="383"/>
        <v xml:space="preserve"> </v>
      </c>
      <c r="FR207" s="10" t="str">
        <f t="shared" si="384"/>
        <v xml:space="preserve"> </v>
      </c>
      <c r="FS207" s="10" t="str">
        <f t="shared" si="384"/>
        <v xml:space="preserve"> </v>
      </c>
      <c r="FT207" s="10" t="str">
        <f t="shared" si="384"/>
        <v xml:space="preserve"> </v>
      </c>
      <c r="FU207" s="10" t="str">
        <f t="shared" si="384"/>
        <v xml:space="preserve"> </v>
      </c>
      <c r="FV207" s="10" t="str">
        <f t="shared" si="384"/>
        <v xml:space="preserve"> </v>
      </c>
      <c r="FY207" s="10" t="str">
        <f t="shared" si="385"/>
        <v xml:space="preserve"> </v>
      </c>
      <c r="FZ207" s="10" t="str">
        <f t="shared" si="385"/>
        <v xml:space="preserve"> </v>
      </c>
      <c r="GA207" s="10" t="str">
        <f t="shared" si="385"/>
        <v xml:space="preserve"> </v>
      </c>
      <c r="GB207" s="10" t="str">
        <f t="shared" si="385"/>
        <v xml:space="preserve"> </v>
      </c>
      <c r="GC207" s="10" t="str">
        <f t="shared" si="385"/>
        <v xml:space="preserve"> </v>
      </c>
      <c r="GF207" s="10" t="str">
        <f t="shared" si="386"/>
        <v xml:space="preserve"> </v>
      </c>
      <c r="GG207" s="10" t="str">
        <f t="shared" si="386"/>
        <v xml:space="preserve"> </v>
      </c>
      <c r="GH207" s="10" t="str">
        <f t="shared" si="386"/>
        <v xml:space="preserve"> </v>
      </c>
      <c r="GI207" s="10" t="str">
        <f t="shared" si="386"/>
        <v xml:space="preserve"> </v>
      </c>
      <c r="GJ207" s="10" t="str">
        <f t="shared" si="386"/>
        <v xml:space="preserve"> </v>
      </c>
      <c r="GM207" s="10" t="str">
        <f t="shared" si="387"/>
        <v xml:space="preserve"> </v>
      </c>
      <c r="GN207" s="10" t="str">
        <f t="shared" si="387"/>
        <v xml:space="preserve"> </v>
      </c>
      <c r="GO207" s="10" t="str">
        <f t="shared" si="387"/>
        <v xml:space="preserve"> </v>
      </c>
      <c r="GP207" s="10" t="str">
        <f t="shared" si="387"/>
        <v xml:space="preserve"> </v>
      </c>
      <c r="GQ207" s="10" t="str">
        <f t="shared" si="387"/>
        <v xml:space="preserve"> </v>
      </c>
      <c r="GT207" s="10" t="str">
        <f t="shared" si="388"/>
        <v xml:space="preserve"> </v>
      </c>
      <c r="GU207" s="10" t="str">
        <f t="shared" si="388"/>
        <v xml:space="preserve"> </v>
      </c>
      <c r="GV207" s="10" t="str">
        <f t="shared" si="388"/>
        <v xml:space="preserve"> </v>
      </c>
      <c r="GW207" s="10" t="str">
        <f t="shared" si="388"/>
        <v xml:space="preserve"> </v>
      </c>
      <c r="GX207" s="10" t="str">
        <f t="shared" si="388"/>
        <v xml:space="preserve"> </v>
      </c>
      <c r="HA207" s="10" t="str">
        <f t="shared" si="389"/>
        <v xml:space="preserve"> </v>
      </c>
      <c r="HB207" s="10" t="str">
        <f t="shared" si="389"/>
        <v xml:space="preserve"> </v>
      </c>
      <c r="HC207" s="10" t="str">
        <f t="shared" si="389"/>
        <v xml:space="preserve"> </v>
      </c>
      <c r="HD207" s="10" t="str">
        <f t="shared" si="389"/>
        <v xml:space="preserve"> </v>
      </c>
      <c r="HE207" s="10" t="str">
        <f t="shared" si="389"/>
        <v xml:space="preserve"> </v>
      </c>
      <c r="HH207" s="10" t="str">
        <f t="shared" si="390"/>
        <v xml:space="preserve"> </v>
      </c>
      <c r="HI207" s="10" t="str">
        <f t="shared" si="390"/>
        <v xml:space="preserve"> </v>
      </c>
      <c r="HJ207" s="10" t="str">
        <f t="shared" si="390"/>
        <v xml:space="preserve"> </v>
      </c>
      <c r="HK207" s="10" t="str">
        <f t="shared" si="390"/>
        <v xml:space="preserve"> </v>
      </c>
      <c r="HL207" s="10" t="str">
        <f t="shared" si="390"/>
        <v xml:space="preserve"> </v>
      </c>
      <c r="HO207" s="10" t="str">
        <f t="shared" si="391"/>
        <v xml:space="preserve"> </v>
      </c>
      <c r="HP207" s="10" t="str">
        <f t="shared" si="391"/>
        <v xml:space="preserve"> </v>
      </c>
      <c r="HQ207" s="10" t="str">
        <f t="shared" si="391"/>
        <v xml:space="preserve"> </v>
      </c>
      <c r="HR207" s="10" t="str">
        <f t="shared" si="391"/>
        <v xml:space="preserve"> </v>
      </c>
      <c r="HS207" s="10" t="str">
        <f t="shared" si="391"/>
        <v xml:space="preserve"> </v>
      </c>
      <c r="HV207" s="10" t="str">
        <f t="shared" si="392"/>
        <v xml:space="preserve"> </v>
      </c>
      <c r="HW207" s="10" t="str">
        <f t="shared" si="392"/>
        <v xml:space="preserve"> </v>
      </c>
      <c r="HX207" s="10" t="str">
        <f t="shared" si="392"/>
        <v xml:space="preserve"> </v>
      </c>
      <c r="HY207" s="10" t="str">
        <f t="shared" si="392"/>
        <v xml:space="preserve"> </v>
      </c>
      <c r="HZ207" s="10" t="str">
        <f t="shared" si="392"/>
        <v xml:space="preserve"> </v>
      </c>
      <c r="IC207" s="10" t="str">
        <f t="shared" si="393"/>
        <v xml:space="preserve"> </v>
      </c>
      <c r="ID207" s="10" t="str">
        <f t="shared" si="393"/>
        <v xml:space="preserve"> </v>
      </c>
      <c r="IE207" s="10" t="str">
        <f t="shared" si="393"/>
        <v xml:space="preserve"> </v>
      </c>
      <c r="IF207" s="10" t="str">
        <f t="shared" si="393"/>
        <v xml:space="preserve"> </v>
      </c>
      <c r="IG207" s="10" t="str">
        <f t="shared" si="393"/>
        <v xml:space="preserve"> </v>
      </c>
      <c r="IJ207" s="10" t="str">
        <f t="shared" si="394"/>
        <v xml:space="preserve"> </v>
      </c>
      <c r="IK207" s="10" t="str">
        <f t="shared" si="394"/>
        <v xml:space="preserve"> </v>
      </c>
      <c r="IL207" s="10" t="str">
        <f t="shared" si="394"/>
        <v xml:space="preserve"> </v>
      </c>
      <c r="IM207" s="10" t="str">
        <f t="shared" si="394"/>
        <v xml:space="preserve"> </v>
      </c>
      <c r="IN207" s="10" t="str">
        <f t="shared" si="394"/>
        <v xml:space="preserve"> </v>
      </c>
      <c r="IQ207" s="10" t="str">
        <f t="shared" si="395"/>
        <v xml:space="preserve"> </v>
      </c>
      <c r="IR207" s="10" t="str">
        <f t="shared" si="395"/>
        <v xml:space="preserve"> </v>
      </c>
      <c r="IS207" s="10" t="str">
        <f t="shared" si="395"/>
        <v xml:space="preserve"> </v>
      </c>
      <c r="IT207" s="10" t="str">
        <f t="shared" si="395"/>
        <v xml:space="preserve"> </v>
      </c>
      <c r="IU207" s="10" t="str">
        <f t="shared" si="395"/>
        <v xml:space="preserve"> </v>
      </c>
      <c r="IX207" s="10" t="str">
        <f t="shared" si="396"/>
        <v xml:space="preserve"> </v>
      </c>
      <c r="IY207" s="10" t="str">
        <f t="shared" si="396"/>
        <v xml:space="preserve"> </v>
      </c>
      <c r="IZ207" s="10" t="str">
        <f t="shared" si="396"/>
        <v xml:space="preserve"> </v>
      </c>
      <c r="JA207" s="10" t="str">
        <f t="shared" si="396"/>
        <v xml:space="preserve"> </v>
      </c>
      <c r="JB207" s="10" t="str">
        <f t="shared" si="396"/>
        <v xml:space="preserve"> </v>
      </c>
      <c r="JE207" s="10" t="str">
        <f t="shared" si="397"/>
        <v xml:space="preserve"> </v>
      </c>
      <c r="JF207" s="10" t="str">
        <f t="shared" si="397"/>
        <v xml:space="preserve"> </v>
      </c>
      <c r="JG207" s="10" t="str">
        <f t="shared" si="397"/>
        <v xml:space="preserve"> </v>
      </c>
      <c r="JH207" s="10" t="str">
        <f t="shared" si="397"/>
        <v xml:space="preserve"> </v>
      </c>
      <c r="JI207" s="10" t="str">
        <f t="shared" si="397"/>
        <v xml:space="preserve"> </v>
      </c>
    </row>
    <row r="208" spans="13:269">
      <c r="M208" s="10" t="str">
        <f t="shared" si="398"/>
        <v xml:space="preserve"> </v>
      </c>
      <c r="N208" s="10" t="str">
        <f t="shared" si="398"/>
        <v xml:space="preserve"> </v>
      </c>
      <c r="O208" s="10" t="str">
        <f t="shared" si="398"/>
        <v xml:space="preserve"> </v>
      </c>
      <c r="P208" s="10" t="str">
        <f t="shared" si="398"/>
        <v xml:space="preserve"> </v>
      </c>
      <c r="Q208" s="10" t="str">
        <f t="shared" si="398"/>
        <v xml:space="preserve"> </v>
      </c>
      <c r="R208" s="14"/>
      <c r="S208" s="14"/>
      <c r="T208" s="10" t="str">
        <f t="shared" si="362"/>
        <v xml:space="preserve"> </v>
      </c>
      <c r="U208" s="10" t="str">
        <f t="shared" si="362"/>
        <v xml:space="preserve"> </v>
      </c>
      <c r="V208" s="10" t="str">
        <f t="shared" si="362"/>
        <v xml:space="preserve"> </v>
      </c>
      <c r="W208" s="10" t="str">
        <f t="shared" si="362"/>
        <v xml:space="preserve"> </v>
      </c>
      <c r="X208" s="10" t="str">
        <f t="shared" si="362"/>
        <v xml:space="preserve"> </v>
      </c>
      <c r="Y208" s="14"/>
      <c r="Z208" s="14"/>
      <c r="AA208" s="10" t="str">
        <f t="shared" si="363"/>
        <v xml:space="preserve"> </v>
      </c>
      <c r="AB208" s="10" t="str">
        <f t="shared" si="363"/>
        <v xml:space="preserve"> </v>
      </c>
      <c r="AC208" s="10" t="str">
        <f t="shared" si="363"/>
        <v xml:space="preserve"> </v>
      </c>
      <c r="AD208" s="10" t="str">
        <f t="shared" si="363"/>
        <v xml:space="preserve"> </v>
      </c>
      <c r="AE208" s="10" t="str">
        <f t="shared" si="363"/>
        <v xml:space="preserve"> </v>
      </c>
      <c r="AF208" s="14"/>
      <c r="AG208" s="14"/>
      <c r="AH208" s="10" t="str">
        <f t="shared" si="364"/>
        <v xml:space="preserve"> </v>
      </c>
      <c r="AI208" s="10" t="str">
        <f t="shared" si="364"/>
        <v xml:space="preserve"> </v>
      </c>
      <c r="AJ208" s="10" t="str">
        <f t="shared" si="364"/>
        <v xml:space="preserve"> </v>
      </c>
      <c r="AK208" s="10" t="str">
        <f t="shared" si="364"/>
        <v xml:space="preserve"> </v>
      </c>
      <c r="AL208" s="10" t="str">
        <f t="shared" si="364"/>
        <v xml:space="preserve"> </v>
      </c>
      <c r="AM208" s="14"/>
      <c r="AN208" s="14"/>
      <c r="AO208" s="10" t="str">
        <f t="shared" si="365"/>
        <v xml:space="preserve"> </v>
      </c>
      <c r="AP208" s="10" t="str">
        <f t="shared" si="365"/>
        <v xml:space="preserve"> </v>
      </c>
      <c r="AQ208" s="10" t="str">
        <f t="shared" si="365"/>
        <v xml:space="preserve"> </v>
      </c>
      <c r="AR208" s="10" t="str">
        <f t="shared" si="365"/>
        <v xml:space="preserve"> </v>
      </c>
      <c r="AS208" s="10" t="str">
        <f t="shared" si="365"/>
        <v xml:space="preserve"> </v>
      </c>
      <c r="AT208" s="14"/>
      <c r="AU208" s="14"/>
      <c r="AV208" s="10" t="str">
        <f t="shared" si="366"/>
        <v xml:space="preserve"> </v>
      </c>
      <c r="AW208" s="10" t="str">
        <f t="shared" si="366"/>
        <v xml:space="preserve"> </v>
      </c>
      <c r="AX208" s="10" t="str">
        <f t="shared" si="366"/>
        <v xml:space="preserve"> </v>
      </c>
      <c r="AY208" s="10" t="str">
        <f t="shared" si="366"/>
        <v xml:space="preserve"> </v>
      </c>
      <c r="AZ208" s="10" t="str">
        <f t="shared" si="366"/>
        <v xml:space="preserve"> </v>
      </c>
      <c r="BA208" s="14"/>
      <c r="BB208" s="14"/>
      <c r="BC208" s="10" t="str">
        <f t="shared" si="367"/>
        <v xml:space="preserve"> </v>
      </c>
      <c r="BD208" s="10" t="str">
        <f t="shared" si="367"/>
        <v xml:space="preserve"> </v>
      </c>
      <c r="BE208" s="10" t="str">
        <f t="shared" si="367"/>
        <v xml:space="preserve"> </v>
      </c>
      <c r="BF208" s="10" t="str">
        <f t="shared" si="367"/>
        <v xml:space="preserve"> </v>
      </c>
      <c r="BG208" s="10" t="str">
        <f t="shared" si="367"/>
        <v xml:space="preserve"> </v>
      </c>
      <c r="BH208" s="14"/>
      <c r="BI208" s="14"/>
      <c r="BJ208" s="10" t="str">
        <f t="shared" si="368"/>
        <v xml:space="preserve"> </v>
      </c>
      <c r="BK208" s="10" t="str">
        <f t="shared" si="368"/>
        <v xml:space="preserve"> </v>
      </c>
      <c r="BL208" s="10" t="str">
        <f t="shared" si="368"/>
        <v xml:space="preserve"> </v>
      </c>
      <c r="BM208" s="10" t="str">
        <f t="shared" si="368"/>
        <v xml:space="preserve"> </v>
      </c>
      <c r="BN208" s="10" t="str">
        <f t="shared" si="368"/>
        <v xml:space="preserve"> </v>
      </c>
      <c r="BO208" s="14"/>
      <c r="BP208" s="14"/>
      <c r="BQ208" s="10" t="str">
        <f t="shared" si="369"/>
        <v xml:space="preserve"> </v>
      </c>
      <c r="BR208" s="10" t="str">
        <f t="shared" si="369"/>
        <v xml:space="preserve"> </v>
      </c>
      <c r="BS208" s="10" t="str">
        <f t="shared" si="369"/>
        <v xml:space="preserve"> </v>
      </c>
      <c r="BT208" s="10" t="str">
        <f t="shared" si="369"/>
        <v xml:space="preserve"> </v>
      </c>
      <c r="BU208" s="10" t="str">
        <f t="shared" si="369"/>
        <v xml:space="preserve"> </v>
      </c>
      <c r="BV208" s="14"/>
      <c r="BW208" s="14"/>
      <c r="BX208" s="10" t="str">
        <f t="shared" si="370"/>
        <v xml:space="preserve"> </v>
      </c>
      <c r="BY208" s="10" t="str">
        <f t="shared" si="370"/>
        <v xml:space="preserve"> </v>
      </c>
      <c r="BZ208" s="10" t="str">
        <f t="shared" si="370"/>
        <v xml:space="preserve"> </v>
      </c>
      <c r="CA208" s="10" t="str">
        <f t="shared" si="370"/>
        <v xml:space="preserve"> </v>
      </c>
      <c r="CB208" s="10" t="str">
        <f t="shared" si="370"/>
        <v xml:space="preserve"> </v>
      </c>
      <c r="CC208" s="14"/>
      <c r="CD208" s="14"/>
      <c r="CE208" s="10" t="str">
        <f t="shared" si="371"/>
        <v xml:space="preserve"> </v>
      </c>
      <c r="CF208" s="10" t="str">
        <f t="shared" si="371"/>
        <v xml:space="preserve"> </v>
      </c>
      <c r="CG208" s="10" t="str">
        <f t="shared" si="371"/>
        <v xml:space="preserve"> </v>
      </c>
      <c r="CH208" s="10" t="str">
        <f t="shared" si="371"/>
        <v xml:space="preserve"> </v>
      </c>
      <c r="CI208" s="10" t="str">
        <f t="shared" si="371"/>
        <v xml:space="preserve"> </v>
      </c>
      <c r="CJ208" s="14"/>
      <c r="CK208" s="14"/>
      <c r="CL208" s="10" t="str">
        <f t="shared" si="372"/>
        <v xml:space="preserve"> </v>
      </c>
      <c r="CM208" s="10" t="str">
        <f t="shared" si="372"/>
        <v xml:space="preserve"> </v>
      </c>
      <c r="CN208" s="10" t="str">
        <f t="shared" si="372"/>
        <v xml:space="preserve"> </v>
      </c>
      <c r="CO208" s="10" t="str">
        <f t="shared" si="372"/>
        <v xml:space="preserve"> </v>
      </c>
      <c r="CP208" s="10" t="str">
        <f t="shared" si="372"/>
        <v xml:space="preserve"> </v>
      </c>
      <c r="CQ208" s="14"/>
      <c r="CR208" s="14"/>
      <c r="CS208" s="10" t="str">
        <f t="shared" si="373"/>
        <v xml:space="preserve"> </v>
      </c>
      <c r="CT208" s="10" t="str">
        <f t="shared" si="373"/>
        <v xml:space="preserve"> </v>
      </c>
      <c r="CU208" s="10" t="str">
        <f t="shared" si="373"/>
        <v xml:space="preserve"> </v>
      </c>
      <c r="CV208" s="10" t="str">
        <f t="shared" si="373"/>
        <v xml:space="preserve"> </v>
      </c>
      <c r="CW208" s="10" t="str">
        <f t="shared" si="373"/>
        <v xml:space="preserve"> </v>
      </c>
      <c r="CZ208" s="10" t="str">
        <f t="shared" si="374"/>
        <v xml:space="preserve"> </v>
      </c>
      <c r="DA208" s="10" t="str">
        <f t="shared" si="374"/>
        <v xml:space="preserve"> </v>
      </c>
      <c r="DB208" s="10" t="str">
        <f t="shared" si="374"/>
        <v xml:space="preserve"> </v>
      </c>
      <c r="DC208" s="10" t="str">
        <f t="shared" si="374"/>
        <v xml:space="preserve"> </v>
      </c>
      <c r="DD208" s="10" t="str">
        <f t="shared" si="374"/>
        <v xml:space="preserve"> </v>
      </c>
      <c r="DG208" s="10" t="str">
        <f t="shared" si="375"/>
        <v xml:space="preserve"> </v>
      </c>
      <c r="DH208" s="10" t="str">
        <f t="shared" si="375"/>
        <v xml:space="preserve"> </v>
      </c>
      <c r="DI208" s="10" t="str">
        <f t="shared" si="375"/>
        <v xml:space="preserve"> </v>
      </c>
      <c r="DJ208" s="10" t="str">
        <f t="shared" si="375"/>
        <v xml:space="preserve"> </v>
      </c>
      <c r="DK208" s="10" t="str">
        <f t="shared" si="375"/>
        <v xml:space="preserve"> </v>
      </c>
      <c r="DN208" s="10" t="str">
        <f t="shared" si="376"/>
        <v xml:space="preserve"> </v>
      </c>
      <c r="DO208" s="10" t="str">
        <f t="shared" si="376"/>
        <v xml:space="preserve"> </v>
      </c>
      <c r="DP208" s="10" t="str">
        <f t="shared" si="376"/>
        <v xml:space="preserve"> </v>
      </c>
      <c r="DQ208" s="10" t="str">
        <f t="shared" si="376"/>
        <v xml:space="preserve"> </v>
      </c>
      <c r="DR208" s="10" t="str">
        <f t="shared" si="376"/>
        <v xml:space="preserve"> </v>
      </c>
      <c r="DU208" s="10" t="str">
        <f t="shared" si="377"/>
        <v xml:space="preserve"> </v>
      </c>
      <c r="DV208" s="10" t="str">
        <f t="shared" si="377"/>
        <v xml:space="preserve"> </v>
      </c>
      <c r="DW208" s="10" t="str">
        <f t="shared" si="377"/>
        <v xml:space="preserve"> </v>
      </c>
      <c r="DX208" s="10" t="str">
        <f t="shared" si="377"/>
        <v xml:space="preserve"> </v>
      </c>
      <c r="DY208" s="10" t="str">
        <f t="shared" si="377"/>
        <v xml:space="preserve"> </v>
      </c>
      <c r="EB208" s="10" t="str">
        <f t="shared" si="378"/>
        <v xml:space="preserve"> </v>
      </c>
      <c r="EC208" s="10" t="str">
        <f t="shared" si="378"/>
        <v xml:space="preserve"> </v>
      </c>
      <c r="ED208" s="10" t="str">
        <f t="shared" si="378"/>
        <v xml:space="preserve"> </v>
      </c>
      <c r="EE208" s="10" t="str">
        <f t="shared" si="378"/>
        <v xml:space="preserve"> </v>
      </c>
      <c r="EF208" s="10" t="str">
        <f t="shared" si="378"/>
        <v xml:space="preserve"> </v>
      </c>
      <c r="EI208" s="10" t="str">
        <f t="shared" si="379"/>
        <v xml:space="preserve"> </v>
      </c>
      <c r="EJ208" s="10" t="str">
        <f t="shared" si="379"/>
        <v xml:space="preserve"> </v>
      </c>
      <c r="EK208" s="10" t="str">
        <f t="shared" si="379"/>
        <v xml:space="preserve"> </v>
      </c>
      <c r="EL208" s="10" t="str">
        <f t="shared" si="379"/>
        <v xml:space="preserve"> </v>
      </c>
      <c r="EM208" s="10" t="str">
        <f t="shared" si="379"/>
        <v xml:space="preserve"> </v>
      </c>
      <c r="EP208" s="10" t="str">
        <f t="shared" si="380"/>
        <v xml:space="preserve"> </v>
      </c>
      <c r="EQ208" s="10" t="str">
        <f t="shared" si="380"/>
        <v xml:space="preserve"> </v>
      </c>
      <c r="ER208" s="10" t="str">
        <f t="shared" si="380"/>
        <v xml:space="preserve"> </v>
      </c>
      <c r="ES208" s="10" t="str">
        <f t="shared" si="380"/>
        <v xml:space="preserve"> </v>
      </c>
      <c r="ET208" s="10" t="str">
        <f t="shared" si="380"/>
        <v xml:space="preserve"> </v>
      </c>
      <c r="EW208" s="10" t="str">
        <f t="shared" si="381"/>
        <v xml:space="preserve"> </v>
      </c>
      <c r="EX208" s="10" t="str">
        <f t="shared" si="381"/>
        <v xml:space="preserve"> </v>
      </c>
      <c r="EY208" s="10" t="str">
        <f t="shared" si="381"/>
        <v xml:space="preserve"> </v>
      </c>
      <c r="EZ208" s="10" t="str">
        <f t="shared" si="381"/>
        <v xml:space="preserve"> </v>
      </c>
      <c r="FA208" s="10" t="str">
        <f t="shared" si="381"/>
        <v xml:space="preserve"> </v>
      </c>
      <c r="FD208" s="10" t="str">
        <f t="shared" si="382"/>
        <v xml:space="preserve"> </v>
      </c>
      <c r="FE208" s="10" t="str">
        <f t="shared" si="382"/>
        <v xml:space="preserve"> </v>
      </c>
      <c r="FF208" s="10" t="str">
        <f t="shared" si="382"/>
        <v xml:space="preserve"> </v>
      </c>
      <c r="FG208" s="10" t="str">
        <f t="shared" si="382"/>
        <v xml:space="preserve"> </v>
      </c>
      <c r="FH208" s="10" t="str">
        <f t="shared" si="382"/>
        <v xml:space="preserve"> </v>
      </c>
      <c r="FK208" s="10" t="str">
        <f t="shared" si="383"/>
        <v xml:space="preserve"> </v>
      </c>
      <c r="FL208" s="10" t="str">
        <f t="shared" si="383"/>
        <v xml:space="preserve"> </v>
      </c>
      <c r="FM208" s="10" t="str">
        <f t="shared" si="383"/>
        <v xml:space="preserve"> </v>
      </c>
      <c r="FN208" s="10" t="str">
        <f t="shared" si="383"/>
        <v xml:space="preserve"> </v>
      </c>
      <c r="FO208" s="10" t="str">
        <f t="shared" si="383"/>
        <v xml:space="preserve"> </v>
      </c>
      <c r="FR208" s="10" t="str">
        <f t="shared" si="384"/>
        <v xml:space="preserve"> </v>
      </c>
      <c r="FS208" s="10" t="str">
        <f t="shared" si="384"/>
        <v xml:space="preserve"> </v>
      </c>
      <c r="FT208" s="10" t="str">
        <f t="shared" si="384"/>
        <v xml:space="preserve"> </v>
      </c>
      <c r="FU208" s="10" t="str">
        <f t="shared" si="384"/>
        <v xml:space="preserve"> </v>
      </c>
      <c r="FV208" s="10" t="str">
        <f t="shared" si="384"/>
        <v xml:space="preserve"> </v>
      </c>
      <c r="FY208" s="10" t="str">
        <f t="shared" si="385"/>
        <v xml:space="preserve"> </v>
      </c>
      <c r="FZ208" s="10" t="str">
        <f t="shared" si="385"/>
        <v xml:space="preserve"> </v>
      </c>
      <c r="GA208" s="10" t="str">
        <f t="shared" si="385"/>
        <v xml:space="preserve"> </v>
      </c>
      <c r="GB208" s="10" t="str">
        <f t="shared" si="385"/>
        <v xml:space="preserve"> </v>
      </c>
      <c r="GC208" s="10" t="str">
        <f t="shared" si="385"/>
        <v xml:space="preserve"> </v>
      </c>
      <c r="GF208" s="10" t="str">
        <f t="shared" si="386"/>
        <v xml:space="preserve"> </v>
      </c>
      <c r="GG208" s="10" t="str">
        <f t="shared" si="386"/>
        <v xml:space="preserve"> </v>
      </c>
      <c r="GH208" s="10" t="str">
        <f t="shared" si="386"/>
        <v xml:space="preserve"> </v>
      </c>
      <c r="GI208" s="10" t="str">
        <f t="shared" si="386"/>
        <v xml:space="preserve"> </v>
      </c>
      <c r="GJ208" s="10" t="str">
        <f t="shared" si="386"/>
        <v xml:space="preserve"> </v>
      </c>
      <c r="GM208" s="10" t="str">
        <f t="shared" si="387"/>
        <v xml:space="preserve"> </v>
      </c>
      <c r="GN208" s="10" t="str">
        <f t="shared" si="387"/>
        <v xml:space="preserve"> </v>
      </c>
      <c r="GO208" s="10" t="str">
        <f t="shared" si="387"/>
        <v xml:space="preserve"> </v>
      </c>
      <c r="GP208" s="10" t="str">
        <f t="shared" si="387"/>
        <v xml:space="preserve"> </v>
      </c>
      <c r="GQ208" s="10" t="str">
        <f t="shared" si="387"/>
        <v xml:space="preserve"> </v>
      </c>
      <c r="GT208" s="10" t="str">
        <f t="shared" si="388"/>
        <v xml:space="preserve"> </v>
      </c>
      <c r="GU208" s="10" t="str">
        <f t="shared" si="388"/>
        <v xml:space="preserve"> </v>
      </c>
      <c r="GV208" s="10" t="str">
        <f t="shared" si="388"/>
        <v xml:space="preserve"> </v>
      </c>
      <c r="GW208" s="10" t="str">
        <f t="shared" si="388"/>
        <v xml:space="preserve"> </v>
      </c>
      <c r="GX208" s="10" t="str">
        <f t="shared" si="388"/>
        <v xml:space="preserve"> </v>
      </c>
      <c r="HA208" s="10" t="str">
        <f t="shared" si="389"/>
        <v xml:space="preserve"> </v>
      </c>
      <c r="HB208" s="10" t="str">
        <f t="shared" si="389"/>
        <v xml:space="preserve"> </v>
      </c>
      <c r="HC208" s="10" t="str">
        <f t="shared" si="389"/>
        <v xml:space="preserve"> </v>
      </c>
      <c r="HD208" s="10" t="str">
        <f t="shared" si="389"/>
        <v xml:space="preserve"> </v>
      </c>
      <c r="HE208" s="10" t="str">
        <f t="shared" si="389"/>
        <v xml:space="preserve"> </v>
      </c>
      <c r="HH208" s="10" t="str">
        <f t="shared" si="390"/>
        <v xml:space="preserve"> </v>
      </c>
      <c r="HI208" s="10" t="str">
        <f t="shared" si="390"/>
        <v xml:space="preserve"> </v>
      </c>
      <c r="HJ208" s="10" t="str">
        <f t="shared" si="390"/>
        <v xml:space="preserve"> </v>
      </c>
      <c r="HK208" s="10" t="str">
        <f t="shared" si="390"/>
        <v xml:space="preserve"> </v>
      </c>
      <c r="HL208" s="10" t="str">
        <f t="shared" si="390"/>
        <v xml:space="preserve"> </v>
      </c>
      <c r="HO208" s="10" t="str">
        <f t="shared" si="391"/>
        <v xml:space="preserve"> </v>
      </c>
      <c r="HP208" s="10" t="str">
        <f t="shared" si="391"/>
        <v xml:space="preserve"> </v>
      </c>
      <c r="HQ208" s="10" t="str">
        <f t="shared" si="391"/>
        <v xml:space="preserve"> </v>
      </c>
      <c r="HR208" s="10" t="str">
        <f t="shared" si="391"/>
        <v xml:space="preserve"> </v>
      </c>
      <c r="HS208" s="10" t="str">
        <f t="shared" si="391"/>
        <v xml:space="preserve"> </v>
      </c>
      <c r="HV208" s="10" t="str">
        <f t="shared" si="392"/>
        <v xml:space="preserve"> </v>
      </c>
      <c r="HW208" s="10" t="str">
        <f t="shared" si="392"/>
        <v xml:space="preserve"> </v>
      </c>
      <c r="HX208" s="10" t="str">
        <f t="shared" si="392"/>
        <v xml:space="preserve"> </v>
      </c>
      <c r="HY208" s="10" t="str">
        <f t="shared" si="392"/>
        <v xml:space="preserve"> </v>
      </c>
      <c r="HZ208" s="10" t="str">
        <f t="shared" si="392"/>
        <v xml:space="preserve"> </v>
      </c>
      <c r="IC208" s="10" t="str">
        <f t="shared" si="393"/>
        <v xml:space="preserve"> </v>
      </c>
      <c r="ID208" s="10" t="str">
        <f t="shared" si="393"/>
        <v xml:space="preserve"> </v>
      </c>
      <c r="IE208" s="10" t="str">
        <f t="shared" si="393"/>
        <v xml:space="preserve"> </v>
      </c>
      <c r="IF208" s="10" t="str">
        <f t="shared" si="393"/>
        <v xml:space="preserve"> </v>
      </c>
      <c r="IG208" s="10" t="str">
        <f t="shared" si="393"/>
        <v xml:space="preserve"> </v>
      </c>
      <c r="IJ208" s="10" t="str">
        <f t="shared" si="394"/>
        <v xml:space="preserve"> </v>
      </c>
      <c r="IK208" s="10" t="str">
        <f t="shared" si="394"/>
        <v xml:space="preserve"> </v>
      </c>
      <c r="IL208" s="10" t="str">
        <f t="shared" si="394"/>
        <v xml:space="preserve"> </v>
      </c>
      <c r="IM208" s="10" t="str">
        <f t="shared" si="394"/>
        <v xml:space="preserve"> </v>
      </c>
      <c r="IN208" s="10" t="str">
        <f t="shared" si="394"/>
        <v xml:space="preserve"> </v>
      </c>
      <c r="IQ208" s="10" t="str">
        <f t="shared" si="395"/>
        <v xml:space="preserve"> </v>
      </c>
      <c r="IR208" s="10" t="str">
        <f t="shared" si="395"/>
        <v xml:space="preserve"> </v>
      </c>
      <c r="IS208" s="10" t="str">
        <f t="shared" si="395"/>
        <v xml:space="preserve"> </v>
      </c>
      <c r="IT208" s="10" t="str">
        <f t="shared" si="395"/>
        <v xml:space="preserve"> </v>
      </c>
      <c r="IU208" s="10" t="str">
        <f t="shared" si="395"/>
        <v xml:space="preserve"> </v>
      </c>
      <c r="IX208" s="10" t="str">
        <f t="shared" si="396"/>
        <v xml:space="preserve"> </v>
      </c>
      <c r="IY208" s="10" t="str">
        <f t="shared" si="396"/>
        <v xml:space="preserve"> </v>
      </c>
      <c r="IZ208" s="10" t="str">
        <f t="shared" si="396"/>
        <v xml:space="preserve"> </v>
      </c>
      <c r="JA208" s="10" t="str">
        <f t="shared" si="396"/>
        <v xml:space="preserve"> </v>
      </c>
      <c r="JB208" s="10" t="str">
        <f t="shared" si="396"/>
        <v xml:space="preserve"> </v>
      </c>
      <c r="JE208" s="10" t="str">
        <f t="shared" si="397"/>
        <v xml:space="preserve"> </v>
      </c>
      <c r="JF208" s="10" t="str">
        <f t="shared" si="397"/>
        <v xml:space="preserve"> </v>
      </c>
      <c r="JG208" s="10" t="str">
        <f t="shared" si="397"/>
        <v xml:space="preserve"> </v>
      </c>
      <c r="JH208" s="10" t="str">
        <f t="shared" si="397"/>
        <v xml:space="preserve"> </v>
      </c>
      <c r="JI208" s="10" t="str">
        <f t="shared" si="397"/>
        <v xml:space="preserve"> </v>
      </c>
    </row>
    <row r="209" spans="13:269">
      <c r="M209" s="10" t="str">
        <f t="shared" si="398"/>
        <v xml:space="preserve"> </v>
      </c>
      <c r="N209" s="10" t="str">
        <f t="shared" si="398"/>
        <v xml:space="preserve"> </v>
      </c>
      <c r="O209" s="10" t="str">
        <f t="shared" si="398"/>
        <v xml:space="preserve"> </v>
      </c>
      <c r="P209" s="10" t="str">
        <f t="shared" si="398"/>
        <v xml:space="preserve"> </v>
      </c>
      <c r="Q209" s="10" t="str">
        <f t="shared" si="398"/>
        <v xml:space="preserve"> </v>
      </c>
      <c r="R209" s="14"/>
      <c r="S209" s="14"/>
      <c r="T209" s="10" t="str">
        <f t="shared" si="362"/>
        <v xml:space="preserve"> </v>
      </c>
      <c r="U209" s="10" t="str">
        <f t="shared" si="362"/>
        <v xml:space="preserve"> </v>
      </c>
      <c r="V209" s="10" t="str">
        <f t="shared" si="362"/>
        <v xml:space="preserve"> </v>
      </c>
      <c r="W209" s="10" t="str">
        <f t="shared" si="362"/>
        <v xml:space="preserve"> </v>
      </c>
      <c r="X209" s="10" t="str">
        <f t="shared" si="362"/>
        <v xml:space="preserve"> </v>
      </c>
      <c r="Y209" s="14"/>
      <c r="Z209" s="14"/>
      <c r="AA209" s="10" t="str">
        <f t="shared" si="363"/>
        <v xml:space="preserve"> </v>
      </c>
      <c r="AB209" s="10" t="str">
        <f t="shared" si="363"/>
        <v xml:space="preserve"> </v>
      </c>
      <c r="AC209" s="10" t="str">
        <f t="shared" si="363"/>
        <v xml:space="preserve"> </v>
      </c>
      <c r="AD209" s="10" t="str">
        <f t="shared" si="363"/>
        <v xml:space="preserve"> </v>
      </c>
      <c r="AE209" s="10" t="str">
        <f t="shared" si="363"/>
        <v xml:space="preserve"> </v>
      </c>
      <c r="AF209" s="14"/>
      <c r="AG209" s="14"/>
      <c r="AH209" s="10" t="str">
        <f t="shared" si="364"/>
        <v xml:space="preserve"> </v>
      </c>
      <c r="AI209" s="10" t="str">
        <f t="shared" si="364"/>
        <v xml:space="preserve"> </v>
      </c>
      <c r="AJ209" s="10" t="str">
        <f t="shared" si="364"/>
        <v xml:space="preserve"> </v>
      </c>
      <c r="AK209" s="10" t="str">
        <f t="shared" si="364"/>
        <v xml:space="preserve"> </v>
      </c>
      <c r="AL209" s="10" t="str">
        <f t="shared" si="364"/>
        <v xml:space="preserve"> </v>
      </c>
      <c r="AM209" s="14"/>
      <c r="AN209" s="14"/>
      <c r="AO209" s="10" t="str">
        <f t="shared" si="365"/>
        <v xml:space="preserve"> </v>
      </c>
      <c r="AP209" s="10" t="str">
        <f t="shared" si="365"/>
        <v xml:space="preserve"> </v>
      </c>
      <c r="AQ209" s="10" t="str">
        <f t="shared" si="365"/>
        <v xml:space="preserve"> </v>
      </c>
      <c r="AR209" s="10" t="str">
        <f t="shared" si="365"/>
        <v xml:space="preserve"> </v>
      </c>
      <c r="AS209" s="10" t="str">
        <f t="shared" si="365"/>
        <v xml:space="preserve"> </v>
      </c>
      <c r="AT209" s="14"/>
      <c r="AU209" s="14"/>
      <c r="AV209" s="10" t="str">
        <f t="shared" si="366"/>
        <v xml:space="preserve"> </v>
      </c>
      <c r="AW209" s="10" t="str">
        <f t="shared" si="366"/>
        <v xml:space="preserve"> </v>
      </c>
      <c r="AX209" s="10" t="str">
        <f t="shared" si="366"/>
        <v xml:space="preserve"> </v>
      </c>
      <c r="AY209" s="10" t="str">
        <f t="shared" si="366"/>
        <v xml:space="preserve"> </v>
      </c>
      <c r="AZ209" s="10" t="str">
        <f t="shared" si="366"/>
        <v xml:space="preserve"> </v>
      </c>
      <c r="BA209" s="14"/>
      <c r="BB209" s="14"/>
      <c r="BC209" s="10" t="str">
        <f t="shared" si="367"/>
        <v xml:space="preserve"> </v>
      </c>
      <c r="BD209" s="10" t="str">
        <f t="shared" si="367"/>
        <v xml:space="preserve"> </v>
      </c>
      <c r="BE209" s="10" t="str">
        <f t="shared" si="367"/>
        <v xml:space="preserve"> </v>
      </c>
      <c r="BF209" s="10" t="str">
        <f t="shared" si="367"/>
        <v xml:space="preserve"> </v>
      </c>
      <c r="BG209" s="10" t="str">
        <f t="shared" si="367"/>
        <v xml:space="preserve"> </v>
      </c>
      <c r="BH209" s="14"/>
      <c r="BI209" s="14"/>
      <c r="BJ209" s="10" t="str">
        <f t="shared" si="368"/>
        <v xml:space="preserve"> </v>
      </c>
      <c r="BK209" s="10" t="str">
        <f t="shared" si="368"/>
        <v xml:space="preserve"> </v>
      </c>
      <c r="BL209" s="10" t="str">
        <f t="shared" si="368"/>
        <v xml:space="preserve"> </v>
      </c>
      <c r="BM209" s="10" t="str">
        <f t="shared" si="368"/>
        <v xml:space="preserve"> </v>
      </c>
      <c r="BN209" s="10" t="str">
        <f t="shared" si="368"/>
        <v xml:space="preserve"> </v>
      </c>
      <c r="BO209" s="14"/>
      <c r="BP209" s="14"/>
      <c r="BQ209" s="10" t="str">
        <f t="shared" si="369"/>
        <v xml:space="preserve"> </v>
      </c>
      <c r="BR209" s="10" t="str">
        <f t="shared" si="369"/>
        <v xml:space="preserve"> </v>
      </c>
      <c r="BS209" s="10" t="str">
        <f t="shared" si="369"/>
        <v xml:space="preserve"> </v>
      </c>
      <c r="BT209" s="10" t="str">
        <f t="shared" si="369"/>
        <v xml:space="preserve"> </v>
      </c>
      <c r="BU209" s="10" t="str">
        <f t="shared" si="369"/>
        <v xml:space="preserve"> </v>
      </c>
      <c r="BV209" s="14"/>
      <c r="BW209" s="14"/>
      <c r="BX209" s="10" t="str">
        <f t="shared" si="370"/>
        <v xml:space="preserve"> </v>
      </c>
      <c r="BY209" s="10" t="str">
        <f t="shared" si="370"/>
        <v xml:space="preserve"> </v>
      </c>
      <c r="BZ209" s="10" t="str">
        <f t="shared" si="370"/>
        <v xml:space="preserve"> </v>
      </c>
      <c r="CA209" s="10" t="str">
        <f t="shared" si="370"/>
        <v xml:space="preserve"> </v>
      </c>
      <c r="CB209" s="10" t="str">
        <f t="shared" si="370"/>
        <v xml:space="preserve"> </v>
      </c>
      <c r="CC209" s="14"/>
      <c r="CD209" s="14"/>
      <c r="CE209" s="10" t="str">
        <f t="shared" si="371"/>
        <v xml:space="preserve"> </v>
      </c>
      <c r="CF209" s="10" t="str">
        <f t="shared" si="371"/>
        <v xml:space="preserve"> </v>
      </c>
      <c r="CG209" s="10" t="str">
        <f t="shared" si="371"/>
        <v xml:space="preserve"> </v>
      </c>
      <c r="CH209" s="10" t="str">
        <f t="shared" si="371"/>
        <v xml:space="preserve"> </v>
      </c>
      <c r="CI209" s="10" t="str">
        <f t="shared" si="371"/>
        <v xml:space="preserve"> </v>
      </c>
      <c r="CJ209" s="14"/>
      <c r="CK209" s="14"/>
      <c r="CL209" s="10" t="str">
        <f t="shared" si="372"/>
        <v xml:space="preserve"> </v>
      </c>
      <c r="CM209" s="10" t="str">
        <f t="shared" si="372"/>
        <v xml:space="preserve"> </v>
      </c>
      <c r="CN209" s="10" t="str">
        <f t="shared" si="372"/>
        <v xml:space="preserve"> </v>
      </c>
      <c r="CO209" s="10" t="str">
        <f t="shared" si="372"/>
        <v xml:space="preserve"> </v>
      </c>
      <c r="CP209" s="10" t="str">
        <f t="shared" si="372"/>
        <v xml:space="preserve"> </v>
      </c>
      <c r="CQ209" s="14"/>
      <c r="CR209" s="14"/>
      <c r="CS209" s="10" t="str">
        <f t="shared" si="373"/>
        <v xml:space="preserve"> </v>
      </c>
      <c r="CT209" s="10" t="str">
        <f t="shared" si="373"/>
        <v xml:space="preserve"> </v>
      </c>
      <c r="CU209" s="10" t="str">
        <f t="shared" si="373"/>
        <v xml:space="preserve"> </v>
      </c>
      <c r="CV209" s="10" t="str">
        <f t="shared" si="373"/>
        <v xml:space="preserve"> </v>
      </c>
      <c r="CW209" s="10" t="str">
        <f t="shared" si="373"/>
        <v xml:space="preserve"> </v>
      </c>
      <c r="CZ209" s="10" t="str">
        <f t="shared" si="374"/>
        <v xml:space="preserve"> </v>
      </c>
      <c r="DA209" s="10" t="str">
        <f t="shared" si="374"/>
        <v xml:space="preserve"> </v>
      </c>
      <c r="DB209" s="10" t="str">
        <f t="shared" si="374"/>
        <v xml:space="preserve"> </v>
      </c>
      <c r="DC209" s="10" t="str">
        <f t="shared" si="374"/>
        <v xml:space="preserve"> </v>
      </c>
      <c r="DD209" s="10" t="str">
        <f t="shared" si="374"/>
        <v xml:space="preserve"> </v>
      </c>
      <c r="DG209" s="10" t="str">
        <f t="shared" si="375"/>
        <v xml:space="preserve"> </v>
      </c>
      <c r="DH209" s="10" t="str">
        <f t="shared" si="375"/>
        <v xml:space="preserve"> </v>
      </c>
      <c r="DI209" s="10" t="str">
        <f t="shared" si="375"/>
        <v xml:space="preserve"> </v>
      </c>
      <c r="DJ209" s="10" t="str">
        <f t="shared" si="375"/>
        <v xml:space="preserve"> </v>
      </c>
      <c r="DK209" s="10" t="str">
        <f t="shared" si="375"/>
        <v xml:space="preserve"> </v>
      </c>
      <c r="DN209" s="10" t="str">
        <f t="shared" si="376"/>
        <v xml:space="preserve"> </v>
      </c>
      <c r="DO209" s="10" t="str">
        <f t="shared" si="376"/>
        <v xml:space="preserve"> </v>
      </c>
      <c r="DP209" s="10" t="str">
        <f t="shared" si="376"/>
        <v xml:space="preserve"> </v>
      </c>
      <c r="DQ209" s="10" t="str">
        <f t="shared" si="376"/>
        <v xml:space="preserve"> </v>
      </c>
      <c r="DR209" s="10" t="str">
        <f t="shared" si="376"/>
        <v xml:space="preserve"> </v>
      </c>
      <c r="DU209" s="10" t="str">
        <f t="shared" si="377"/>
        <v xml:space="preserve"> </v>
      </c>
      <c r="DV209" s="10" t="str">
        <f t="shared" si="377"/>
        <v xml:space="preserve"> </v>
      </c>
      <c r="DW209" s="10" t="str">
        <f t="shared" si="377"/>
        <v xml:space="preserve"> </v>
      </c>
      <c r="DX209" s="10" t="str">
        <f t="shared" si="377"/>
        <v xml:space="preserve"> </v>
      </c>
      <c r="DY209" s="10" t="str">
        <f t="shared" si="377"/>
        <v xml:space="preserve"> </v>
      </c>
      <c r="EB209" s="10" t="str">
        <f t="shared" si="378"/>
        <v xml:space="preserve"> </v>
      </c>
      <c r="EC209" s="10" t="str">
        <f t="shared" si="378"/>
        <v xml:space="preserve"> </v>
      </c>
      <c r="ED209" s="10" t="str">
        <f t="shared" si="378"/>
        <v xml:space="preserve"> </v>
      </c>
      <c r="EE209" s="10" t="str">
        <f t="shared" si="378"/>
        <v xml:space="preserve"> </v>
      </c>
      <c r="EF209" s="10" t="str">
        <f t="shared" si="378"/>
        <v xml:space="preserve"> </v>
      </c>
      <c r="EI209" s="10" t="str">
        <f t="shared" si="379"/>
        <v xml:space="preserve"> </v>
      </c>
      <c r="EJ209" s="10" t="str">
        <f t="shared" si="379"/>
        <v xml:space="preserve"> </v>
      </c>
      <c r="EK209" s="10" t="str">
        <f t="shared" si="379"/>
        <v xml:space="preserve"> </v>
      </c>
      <c r="EL209" s="10" t="str">
        <f t="shared" si="379"/>
        <v xml:space="preserve"> </v>
      </c>
      <c r="EM209" s="10" t="str">
        <f t="shared" si="379"/>
        <v xml:space="preserve"> </v>
      </c>
      <c r="EP209" s="10" t="str">
        <f t="shared" si="380"/>
        <v xml:space="preserve"> </v>
      </c>
      <c r="EQ209" s="10" t="str">
        <f t="shared" si="380"/>
        <v xml:space="preserve"> </v>
      </c>
      <c r="ER209" s="10" t="str">
        <f t="shared" si="380"/>
        <v xml:space="preserve"> </v>
      </c>
      <c r="ES209" s="10" t="str">
        <f t="shared" si="380"/>
        <v xml:space="preserve"> </v>
      </c>
      <c r="ET209" s="10" t="str">
        <f t="shared" si="380"/>
        <v xml:space="preserve"> </v>
      </c>
      <c r="EW209" s="10" t="str">
        <f t="shared" si="381"/>
        <v xml:space="preserve"> </v>
      </c>
      <c r="EX209" s="10" t="str">
        <f t="shared" si="381"/>
        <v xml:space="preserve"> </v>
      </c>
      <c r="EY209" s="10" t="str">
        <f t="shared" si="381"/>
        <v xml:space="preserve"> </v>
      </c>
      <c r="EZ209" s="10" t="str">
        <f t="shared" si="381"/>
        <v xml:space="preserve"> </v>
      </c>
      <c r="FA209" s="10" t="str">
        <f t="shared" si="381"/>
        <v xml:space="preserve"> </v>
      </c>
      <c r="FD209" s="10" t="str">
        <f t="shared" si="382"/>
        <v xml:space="preserve"> </v>
      </c>
      <c r="FE209" s="10" t="str">
        <f t="shared" si="382"/>
        <v xml:space="preserve"> </v>
      </c>
      <c r="FF209" s="10" t="str">
        <f t="shared" si="382"/>
        <v xml:space="preserve"> </v>
      </c>
      <c r="FG209" s="10" t="str">
        <f t="shared" si="382"/>
        <v xml:space="preserve"> </v>
      </c>
      <c r="FH209" s="10" t="str">
        <f t="shared" si="382"/>
        <v xml:space="preserve"> </v>
      </c>
      <c r="FK209" s="10" t="str">
        <f t="shared" si="383"/>
        <v xml:space="preserve"> </v>
      </c>
      <c r="FL209" s="10" t="str">
        <f t="shared" si="383"/>
        <v xml:space="preserve"> </v>
      </c>
      <c r="FM209" s="10" t="str">
        <f t="shared" si="383"/>
        <v xml:space="preserve"> </v>
      </c>
      <c r="FN209" s="10" t="str">
        <f t="shared" si="383"/>
        <v xml:space="preserve"> </v>
      </c>
      <c r="FO209" s="10" t="str">
        <f t="shared" si="383"/>
        <v xml:space="preserve"> </v>
      </c>
      <c r="FR209" s="10" t="str">
        <f t="shared" si="384"/>
        <v xml:space="preserve"> </v>
      </c>
      <c r="FS209" s="10" t="str">
        <f t="shared" si="384"/>
        <v xml:space="preserve"> </v>
      </c>
      <c r="FT209" s="10" t="str">
        <f t="shared" si="384"/>
        <v xml:space="preserve"> </v>
      </c>
      <c r="FU209" s="10" t="str">
        <f t="shared" si="384"/>
        <v xml:space="preserve"> </v>
      </c>
      <c r="FV209" s="10" t="str">
        <f t="shared" si="384"/>
        <v xml:space="preserve"> </v>
      </c>
      <c r="FY209" s="10" t="str">
        <f t="shared" si="385"/>
        <v xml:space="preserve"> </v>
      </c>
      <c r="FZ209" s="10" t="str">
        <f t="shared" si="385"/>
        <v xml:space="preserve"> </v>
      </c>
      <c r="GA209" s="10" t="str">
        <f t="shared" si="385"/>
        <v xml:space="preserve"> </v>
      </c>
      <c r="GB209" s="10" t="str">
        <f t="shared" si="385"/>
        <v xml:space="preserve"> </v>
      </c>
      <c r="GC209" s="10" t="str">
        <f t="shared" si="385"/>
        <v xml:space="preserve"> </v>
      </c>
      <c r="GF209" s="10" t="str">
        <f t="shared" si="386"/>
        <v xml:space="preserve"> </v>
      </c>
      <c r="GG209" s="10" t="str">
        <f t="shared" si="386"/>
        <v xml:space="preserve"> </v>
      </c>
      <c r="GH209" s="10" t="str">
        <f t="shared" si="386"/>
        <v xml:space="preserve"> </v>
      </c>
      <c r="GI209" s="10" t="str">
        <f t="shared" si="386"/>
        <v xml:space="preserve"> </v>
      </c>
      <c r="GJ209" s="10" t="str">
        <f t="shared" si="386"/>
        <v xml:space="preserve"> </v>
      </c>
      <c r="GM209" s="10" t="str">
        <f t="shared" si="387"/>
        <v xml:space="preserve"> </v>
      </c>
      <c r="GN209" s="10" t="str">
        <f t="shared" si="387"/>
        <v xml:space="preserve"> </v>
      </c>
      <c r="GO209" s="10" t="str">
        <f t="shared" si="387"/>
        <v xml:space="preserve"> </v>
      </c>
      <c r="GP209" s="10" t="str">
        <f t="shared" si="387"/>
        <v xml:space="preserve"> </v>
      </c>
      <c r="GQ209" s="10" t="str">
        <f t="shared" si="387"/>
        <v xml:space="preserve"> </v>
      </c>
      <c r="GT209" s="10" t="str">
        <f t="shared" si="388"/>
        <v xml:space="preserve"> </v>
      </c>
      <c r="GU209" s="10" t="str">
        <f t="shared" si="388"/>
        <v xml:space="preserve"> </v>
      </c>
      <c r="GV209" s="10" t="str">
        <f t="shared" si="388"/>
        <v xml:space="preserve"> </v>
      </c>
      <c r="GW209" s="10" t="str">
        <f t="shared" si="388"/>
        <v xml:space="preserve"> </v>
      </c>
      <c r="GX209" s="10" t="str">
        <f t="shared" si="388"/>
        <v xml:space="preserve"> </v>
      </c>
      <c r="HA209" s="10" t="str">
        <f t="shared" si="389"/>
        <v xml:space="preserve"> </v>
      </c>
      <c r="HB209" s="10" t="str">
        <f t="shared" si="389"/>
        <v xml:space="preserve"> </v>
      </c>
      <c r="HC209" s="10" t="str">
        <f t="shared" si="389"/>
        <v xml:space="preserve"> </v>
      </c>
      <c r="HD209" s="10" t="str">
        <f t="shared" si="389"/>
        <v xml:space="preserve"> </v>
      </c>
      <c r="HE209" s="10" t="str">
        <f t="shared" si="389"/>
        <v xml:space="preserve"> </v>
      </c>
      <c r="HH209" s="10" t="str">
        <f t="shared" si="390"/>
        <v xml:space="preserve"> </v>
      </c>
      <c r="HI209" s="10" t="str">
        <f t="shared" si="390"/>
        <v xml:space="preserve"> </v>
      </c>
      <c r="HJ209" s="10" t="str">
        <f t="shared" si="390"/>
        <v xml:space="preserve"> </v>
      </c>
      <c r="HK209" s="10" t="str">
        <f t="shared" si="390"/>
        <v xml:space="preserve"> </v>
      </c>
      <c r="HL209" s="10" t="str">
        <f t="shared" si="390"/>
        <v xml:space="preserve"> </v>
      </c>
      <c r="HO209" s="10" t="str">
        <f t="shared" si="391"/>
        <v xml:space="preserve"> </v>
      </c>
      <c r="HP209" s="10" t="str">
        <f t="shared" si="391"/>
        <v xml:space="preserve"> </v>
      </c>
      <c r="HQ209" s="10" t="str">
        <f t="shared" si="391"/>
        <v xml:space="preserve"> </v>
      </c>
      <c r="HR209" s="10" t="str">
        <f t="shared" si="391"/>
        <v xml:space="preserve"> </v>
      </c>
      <c r="HS209" s="10" t="str">
        <f t="shared" si="391"/>
        <v xml:space="preserve"> </v>
      </c>
      <c r="HV209" s="10" t="str">
        <f t="shared" si="392"/>
        <v xml:space="preserve"> </v>
      </c>
      <c r="HW209" s="10" t="str">
        <f t="shared" si="392"/>
        <v xml:space="preserve"> </v>
      </c>
      <c r="HX209" s="10" t="str">
        <f t="shared" si="392"/>
        <v xml:space="preserve"> </v>
      </c>
      <c r="HY209" s="10" t="str">
        <f t="shared" si="392"/>
        <v xml:space="preserve"> </v>
      </c>
      <c r="HZ209" s="10" t="str">
        <f t="shared" si="392"/>
        <v xml:space="preserve"> </v>
      </c>
      <c r="IC209" s="10" t="str">
        <f t="shared" si="393"/>
        <v xml:space="preserve"> </v>
      </c>
      <c r="ID209" s="10" t="str">
        <f t="shared" si="393"/>
        <v xml:space="preserve"> </v>
      </c>
      <c r="IE209" s="10" t="str">
        <f t="shared" si="393"/>
        <v xml:space="preserve"> </v>
      </c>
      <c r="IF209" s="10" t="str">
        <f t="shared" si="393"/>
        <v xml:space="preserve"> </v>
      </c>
      <c r="IG209" s="10" t="str">
        <f t="shared" si="393"/>
        <v xml:space="preserve"> </v>
      </c>
      <c r="IJ209" s="10" t="str">
        <f t="shared" si="394"/>
        <v xml:space="preserve"> </v>
      </c>
      <c r="IK209" s="10" t="str">
        <f t="shared" si="394"/>
        <v xml:space="preserve"> </v>
      </c>
      <c r="IL209" s="10" t="str">
        <f t="shared" si="394"/>
        <v xml:space="preserve"> </v>
      </c>
      <c r="IM209" s="10" t="str">
        <f t="shared" si="394"/>
        <v xml:space="preserve"> </v>
      </c>
      <c r="IN209" s="10" t="str">
        <f t="shared" si="394"/>
        <v xml:space="preserve"> </v>
      </c>
      <c r="IQ209" s="10" t="str">
        <f t="shared" si="395"/>
        <v xml:space="preserve"> </v>
      </c>
      <c r="IR209" s="10" t="str">
        <f t="shared" si="395"/>
        <v xml:space="preserve"> </v>
      </c>
      <c r="IS209" s="10" t="str">
        <f t="shared" si="395"/>
        <v xml:space="preserve"> </v>
      </c>
      <c r="IT209" s="10" t="str">
        <f t="shared" si="395"/>
        <v xml:space="preserve"> </v>
      </c>
      <c r="IU209" s="10" t="str">
        <f t="shared" si="395"/>
        <v xml:space="preserve"> </v>
      </c>
      <c r="IX209" s="10" t="str">
        <f t="shared" si="396"/>
        <v xml:space="preserve"> </v>
      </c>
      <c r="IY209" s="10" t="str">
        <f t="shared" si="396"/>
        <v xml:space="preserve"> </v>
      </c>
      <c r="IZ209" s="10" t="str">
        <f t="shared" si="396"/>
        <v xml:space="preserve"> </v>
      </c>
      <c r="JA209" s="10" t="str">
        <f t="shared" si="396"/>
        <v xml:space="preserve"> </v>
      </c>
      <c r="JB209" s="10" t="str">
        <f t="shared" si="396"/>
        <v xml:space="preserve"> </v>
      </c>
      <c r="JE209" s="10" t="str">
        <f t="shared" si="397"/>
        <v xml:space="preserve"> </v>
      </c>
      <c r="JF209" s="10" t="str">
        <f t="shared" si="397"/>
        <v xml:space="preserve"> </v>
      </c>
      <c r="JG209" s="10" t="str">
        <f t="shared" si="397"/>
        <v xml:space="preserve"> </v>
      </c>
      <c r="JH209" s="10" t="str">
        <f t="shared" si="397"/>
        <v xml:space="preserve"> </v>
      </c>
      <c r="JI209" s="10" t="str">
        <f t="shared" si="397"/>
        <v xml:space="preserve"> </v>
      </c>
    </row>
    <row r="210" spans="13:269">
      <c r="M210" s="10" t="str">
        <f t="shared" si="398"/>
        <v xml:space="preserve"> </v>
      </c>
      <c r="N210" s="10" t="str">
        <f t="shared" si="398"/>
        <v xml:space="preserve"> </v>
      </c>
      <c r="O210" s="10" t="str">
        <f t="shared" si="398"/>
        <v xml:space="preserve"> </v>
      </c>
      <c r="P210" s="10" t="str">
        <f t="shared" si="398"/>
        <v xml:space="preserve"> </v>
      </c>
      <c r="Q210" s="10" t="str">
        <f t="shared" si="398"/>
        <v xml:space="preserve"> </v>
      </c>
      <c r="R210" s="14"/>
      <c r="S210" s="14"/>
      <c r="T210" s="10" t="str">
        <f t="shared" si="362"/>
        <v xml:space="preserve"> </v>
      </c>
      <c r="U210" s="10" t="str">
        <f t="shared" si="362"/>
        <v xml:space="preserve"> </v>
      </c>
      <c r="V210" s="10" t="str">
        <f t="shared" si="362"/>
        <v xml:space="preserve"> </v>
      </c>
      <c r="W210" s="10" t="str">
        <f t="shared" si="362"/>
        <v xml:space="preserve"> </v>
      </c>
      <c r="X210" s="10" t="str">
        <f t="shared" si="362"/>
        <v xml:space="preserve"> </v>
      </c>
      <c r="Y210" s="14"/>
      <c r="Z210" s="14"/>
      <c r="AA210" s="10" t="str">
        <f t="shared" si="363"/>
        <v xml:space="preserve"> </v>
      </c>
      <c r="AB210" s="10" t="str">
        <f t="shared" si="363"/>
        <v xml:space="preserve"> </v>
      </c>
      <c r="AC210" s="10" t="str">
        <f t="shared" si="363"/>
        <v xml:space="preserve"> </v>
      </c>
      <c r="AD210" s="10" t="str">
        <f t="shared" si="363"/>
        <v xml:space="preserve"> </v>
      </c>
      <c r="AE210" s="10" t="str">
        <f t="shared" si="363"/>
        <v xml:space="preserve"> </v>
      </c>
      <c r="AF210" s="14"/>
      <c r="AG210" s="14"/>
      <c r="AH210" s="10" t="str">
        <f t="shared" si="364"/>
        <v xml:space="preserve"> </v>
      </c>
      <c r="AI210" s="10" t="str">
        <f t="shared" si="364"/>
        <v xml:space="preserve"> </v>
      </c>
      <c r="AJ210" s="10" t="str">
        <f t="shared" si="364"/>
        <v xml:space="preserve"> </v>
      </c>
      <c r="AK210" s="10" t="str">
        <f t="shared" si="364"/>
        <v xml:space="preserve"> </v>
      </c>
      <c r="AL210" s="10" t="str">
        <f t="shared" si="364"/>
        <v xml:space="preserve"> </v>
      </c>
      <c r="AM210" s="14"/>
      <c r="AN210" s="14"/>
      <c r="AO210" s="10" t="str">
        <f t="shared" si="365"/>
        <v xml:space="preserve"> </v>
      </c>
      <c r="AP210" s="10" t="str">
        <f t="shared" si="365"/>
        <v xml:space="preserve"> </v>
      </c>
      <c r="AQ210" s="10" t="str">
        <f t="shared" si="365"/>
        <v xml:space="preserve"> </v>
      </c>
      <c r="AR210" s="10" t="str">
        <f t="shared" si="365"/>
        <v xml:space="preserve"> </v>
      </c>
      <c r="AS210" s="10" t="str">
        <f t="shared" si="365"/>
        <v xml:space="preserve"> </v>
      </c>
      <c r="AT210" s="14"/>
      <c r="AU210" s="14"/>
      <c r="AV210" s="10" t="str">
        <f t="shared" si="366"/>
        <v xml:space="preserve"> </v>
      </c>
      <c r="AW210" s="10" t="str">
        <f t="shared" si="366"/>
        <v xml:space="preserve"> </v>
      </c>
      <c r="AX210" s="10" t="str">
        <f t="shared" si="366"/>
        <v xml:space="preserve"> </v>
      </c>
      <c r="AY210" s="10" t="str">
        <f t="shared" si="366"/>
        <v xml:space="preserve"> </v>
      </c>
      <c r="AZ210" s="10" t="str">
        <f t="shared" si="366"/>
        <v xml:space="preserve"> </v>
      </c>
      <c r="BA210" s="14"/>
      <c r="BB210" s="14"/>
      <c r="BC210" s="10" t="str">
        <f t="shared" si="367"/>
        <v xml:space="preserve"> </v>
      </c>
      <c r="BD210" s="10" t="str">
        <f t="shared" si="367"/>
        <v xml:space="preserve"> </v>
      </c>
      <c r="BE210" s="10" t="str">
        <f t="shared" si="367"/>
        <v xml:space="preserve"> </v>
      </c>
      <c r="BF210" s="10" t="str">
        <f t="shared" si="367"/>
        <v xml:space="preserve"> </v>
      </c>
      <c r="BG210" s="10" t="str">
        <f t="shared" si="367"/>
        <v xml:space="preserve"> </v>
      </c>
      <c r="BH210" s="14"/>
      <c r="BI210" s="14"/>
      <c r="BJ210" s="10" t="str">
        <f t="shared" si="368"/>
        <v xml:space="preserve"> </v>
      </c>
      <c r="BK210" s="10" t="str">
        <f t="shared" si="368"/>
        <v xml:space="preserve"> </v>
      </c>
      <c r="BL210" s="10" t="str">
        <f t="shared" si="368"/>
        <v xml:space="preserve"> </v>
      </c>
      <c r="BM210" s="10" t="str">
        <f t="shared" si="368"/>
        <v xml:space="preserve"> </v>
      </c>
      <c r="BN210" s="10" t="str">
        <f t="shared" si="368"/>
        <v xml:space="preserve"> </v>
      </c>
      <c r="BO210" s="14"/>
      <c r="BP210" s="14"/>
      <c r="BQ210" s="10" t="str">
        <f t="shared" si="369"/>
        <v xml:space="preserve"> </v>
      </c>
      <c r="BR210" s="10" t="str">
        <f t="shared" si="369"/>
        <v xml:space="preserve"> </v>
      </c>
      <c r="BS210" s="10" t="str">
        <f t="shared" si="369"/>
        <v xml:space="preserve"> </v>
      </c>
      <c r="BT210" s="10" t="str">
        <f t="shared" si="369"/>
        <v xml:space="preserve"> </v>
      </c>
      <c r="BU210" s="10" t="str">
        <f t="shared" si="369"/>
        <v xml:space="preserve"> </v>
      </c>
      <c r="BV210" s="14"/>
      <c r="BW210" s="14"/>
      <c r="BX210" s="10" t="str">
        <f t="shared" si="370"/>
        <v xml:space="preserve"> </v>
      </c>
      <c r="BY210" s="10" t="str">
        <f t="shared" si="370"/>
        <v xml:space="preserve"> </v>
      </c>
      <c r="BZ210" s="10" t="str">
        <f t="shared" si="370"/>
        <v xml:space="preserve"> </v>
      </c>
      <c r="CA210" s="10" t="str">
        <f t="shared" si="370"/>
        <v xml:space="preserve"> </v>
      </c>
      <c r="CB210" s="10" t="str">
        <f t="shared" si="370"/>
        <v xml:space="preserve"> </v>
      </c>
      <c r="CC210" s="14"/>
      <c r="CD210" s="14"/>
      <c r="CE210" s="10" t="str">
        <f t="shared" si="371"/>
        <v xml:space="preserve"> </v>
      </c>
      <c r="CF210" s="10" t="str">
        <f t="shared" si="371"/>
        <v xml:space="preserve"> </v>
      </c>
      <c r="CG210" s="10" t="str">
        <f t="shared" si="371"/>
        <v xml:space="preserve"> </v>
      </c>
      <c r="CH210" s="10" t="str">
        <f t="shared" si="371"/>
        <v xml:space="preserve"> </v>
      </c>
      <c r="CI210" s="10" t="str">
        <f t="shared" si="371"/>
        <v xml:space="preserve"> </v>
      </c>
      <c r="CJ210" s="14"/>
      <c r="CK210" s="14"/>
      <c r="CL210" s="10" t="str">
        <f t="shared" si="372"/>
        <v xml:space="preserve"> </v>
      </c>
      <c r="CM210" s="10" t="str">
        <f t="shared" si="372"/>
        <v xml:space="preserve"> </v>
      </c>
      <c r="CN210" s="10" t="str">
        <f t="shared" si="372"/>
        <v xml:space="preserve"> </v>
      </c>
      <c r="CO210" s="10" t="str">
        <f t="shared" si="372"/>
        <v xml:space="preserve"> </v>
      </c>
      <c r="CP210" s="10" t="str">
        <f t="shared" si="372"/>
        <v xml:space="preserve"> </v>
      </c>
      <c r="CQ210" s="14"/>
      <c r="CR210" s="14"/>
      <c r="CS210" s="10" t="str">
        <f t="shared" si="373"/>
        <v xml:space="preserve"> </v>
      </c>
      <c r="CT210" s="10" t="str">
        <f t="shared" si="373"/>
        <v xml:space="preserve"> </v>
      </c>
      <c r="CU210" s="10" t="str">
        <f t="shared" si="373"/>
        <v xml:space="preserve"> </v>
      </c>
      <c r="CV210" s="10" t="str">
        <f t="shared" si="373"/>
        <v xml:space="preserve"> </v>
      </c>
      <c r="CW210" s="10" t="str">
        <f t="shared" si="373"/>
        <v xml:space="preserve"> </v>
      </c>
      <c r="CZ210" s="10" t="str">
        <f t="shared" si="374"/>
        <v xml:space="preserve"> </v>
      </c>
      <c r="DA210" s="10" t="str">
        <f t="shared" si="374"/>
        <v xml:space="preserve"> </v>
      </c>
      <c r="DB210" s="10" t="str">
        <f t="shared" si="374"/>
        <v xml:space="preserve"> </v>
      </c>
      <c r="DC210" s="10" t="str">
        <f t="shared" si="374"/>
        <v xml:space="preserve"> </v>
      </c>
      <c r="DD210" s="10" t="str">
        <f t="shared" si="374"/>
        <v xml:space="preserve"> </v>
      </c>
      <c r="DG210" s="10" t="str">
        <f t="shared" si="375"/>
        <v xml:space="preserve"> </v>
      </c>
      <c r="DH210" s="10" t="str">
        <f t="shared" si="375"/>
        <v xml:space="preserve"> </v>
      </c>
      <c r="DI210" s="10" t="str">
        <f t="shared" si="375"/>
        <v xml:space="preserve"> </v>
      </c>
      <c r="DJ210" s="10" t="str">
        <f t="shared" si="375"/>
        <v xml:space="preserve"> </v>
      </c>
      <c r="DK210" s="10" t="str">
        <f t="shared" si="375"/>
        <v xml:space="preserve"> </v>
      </c>
      <c r="DN210" s="10" t="str">
        <f t="shared" si="376"/>
        <v xml:space="preserve"> </v>
      </c>
      <c r="DO210" s="10" t="str">
        <f t="shared" si="376"/>
        <v xml:space="preserve"> </v>
      </c>
      <c r="DP210" s="10" t="str">
        <f t="shared" si="376"/>
        <v xml:space="preserve"> </v>
      </c>
      <c r="DQ210" s="10" t="str">
        <f t="shared" si="376"/>
        <v xml:space="preserve"> </v>
      </c>
      <c r="DR210" s="10" t="str">
        <f t="shared" si="376"/>
        <v xml:space="preserve"> </v>
      </c>
      <c r="DU210" s="10" t="str">
        <f t="shared" si="377"/>
        <v xml:space="preserve"> </v>
      </c>
      <c r="DV210" s="10" t="str">
        <f t="shared" si="377"/>
        <v xml:space="preserve"> </v>
      </c>
      <c r="DW210" s="10" t="str">
        <f t="shared" si="377"/>
        <v xml:space="preserve"> </v>
      </c>
      <c r="DX210" s="10" t="str">
        <f t="shared" si="377"/>
        <v xml:space="preserve"> </v>
      </c>
      <c r="DY210" s="10" t="str">
        <f t="shared" si="377"/>
        <v xml:space="preserve"> </v>
      </c>
      <c r="EB210" s="10" t="str">
        <f t="shared" si="378"/>
        <v xml:space="preserve"> </v>
      </c>
      <c r="EC210" s="10" t="str">
        <f t="shared" si="378"/>
        <v xml:space="preserve"> </v>
      </c>
      <c r="ED210" s="10" t="str">
        <f t="shared" si="378"/>
        <v xml:space="preserve"> </v>
      </c>
      <c r="EE210" s="10" t="str">
        <f t="shared" si="378"/>
        <v xml:space="preserve"> </v>
      </c>
      <c r="EF210" s="10" t="str">
        <f t="shared" si="378"/>
        <v xml:space="preserve"> </v>
      </c>
      <c r="EI210" s="10" t="str">
        <f t="shared" si="379"/>
        <v xml:space="preserve"> </v>
      </c>
      <c r="EJ210" s="10" t="str">
        <f t="shared" si="379"/>
        <v xml:space="preserve"> </v>
      </c>
      <c r="EK210" s="10" t="str">
        <f t="shared" si="379"/>
        <v xml:space="preserve"> </v>
      </c>
      <c r="EL210" s="10" t="str">
        <f t="shared" si="379"/>
        <v xml:space="preserve"> </v>
      </c>
      <c r="EM210" s="10" t="str">
        <f t="shared" si="379"/>
        <v xml:space="preserve"> </v>
      </c>
      <c r="EP210" s="10" t="str">
        <f t="shared" si="380"/>
        <v xml:space="preserve"> </v>
      </c>
      <c r="EQ210" s="10" t="str">
        <f t="shared" si="380"/>
        <v xml:space="preserve"> </v>
      </c>
      <c r="ER210" s="10" t="str">
        <f t="shared" si="380"/>
        <v xml:space="preserve"> </v>
      </c>
      <c r="ES210" s="10" t="str">
        <f t="shared" si="380"/>
        <v xml:space="preserve"> </v>
      </c>
      <c r="ET210" s="10" t="str">
        <f t="shared" si="380"/>
        <v xml:space="preserve"> </v>
      </c>
      <c r="EW210" s="10" t="str">
        <f t="shared" si="381"/>
        <v xml:space="preserve"> </v>
      </c>
      <c r="EX210" s="10" t="str">
        <f t="shared" si="381"/>
        <v xml:space="preserve"> </v>
      </c>
      <c r="EY210" s="10" t="str">
        <f t="shared" si="381"/>
        <v xml:space="preserve"> </v>
      </c>
      <c r="EZ210" s="10" t="str">
        <f t="shared" si="381"/>
        <v xml:space="preserve"> </v>
      </c>
      <c r="FA210" s="10" t="str">
        <f t="shared" si="381"/>
        <v xml:space="preserve"> </v>
      </c>
      <c r="FD210" s="10" t="str">
        <f t="shared" si="382"/>
        <v xml:space="preserve"> </v>
      </c>
      <c r="FE210" s="10" t="str">
        <f t="shared" si="382"/>
        <v xml:space="preserve"> </v>
      </c>
      <c r="FF210" s="10" t="str">
        <f t="shared" si="382"/>
        <v xml:space="preserve"> </v>
      </c>
      <c r="FG210" s="10" t="str">
        <f t="shared" si="382"/>
        <v xml:space="preserve"> </v>
      </c>
      <c r="FH210" s="10" t="str">
        <f t="shared" si="382"/>
        <v xml:space="preserve"> </v>
      </c>
      <c r="FK210" s="10" t="str">
        <f t="shared" si="383"/>
        <v xml:space="preserve"> </v>
      </c>
      <c r="FL210" s="10" t="str">
        <f t="shared" si="383"/>
        <v xml:space="preserve"> </v>
      </c>
      <c r="FM210" s="10" t="str">
        <f t="shared" si="383"/>
        <v xml:space="preserve"> </v>
      </c>
      <c r="FN210" s="10" t="str">
        <f t="shared" si="383"/>
        <v xml:space="preserve"> </v>
      </c>
      <c r="FO210" s="10" t="str">
        <f t="shared" si="383"/>
        <v xml:space="preserve"> </v>
      </c>
      <c r="FR210" s="10" t="str">
        <f t="shared" si="384"/>
        <v xml:space="preserve"> </v>
      </c>
      <c r="FS210" s="10" t="str">
        <f t="shared" si="384"/>
        <v xml:space="preserve"> </v>
      </c>
      <c r="FT210" s="10" t="str">
        <f t="shared" si="384"/>
        <v xml:space="preserve"> </v>
      </c>
      <c r="FU210" s="10" t="str">
        <f t="shared" si="384"/>
        <v xml:space="preserve"> </v>
      </c>
      <c r="FV210" s="10" t="str">
        <f t="shared" si="384"/>
        <v xml:space="preserve"> </v>
      </c>
      <c r="FY210" s="10" t="str">
        <f t="shared" si="385"/>
        <v xml:space="preserve"> </v>
      </c>
      <c r="FZ210" s="10" t="str">
        <f t="shared" si="385"/>
        <v xml:space="preserve"> </v>
      </c>
      <c r="GA210" s="10" t="str">
        <f t="shared" si="385"/>
        <v xml:space="preserve"> </v>
      </c>
      <c r="GB210" s="10" t="str">
        <f t="shared" si="385"/>
        <v xml:space="preserve"> </v>
      </c>
      <c r="GC210" s="10" t="str">
        <f t="shared" si="385"/>
        <v xml:space="preserve"> </v>
      </c>
      <c r="GF210" s="10" t="str">
        <f t="shared" si="386"/>
        <v xml:space="preserve"> </v>
      </c>
      <c r="GG210" s="10" t="str">
        <f t="shared" si="386"/>
        <v xml:space="preserve"> </v>
      </c>
      <c r="GH210" s="10" t="str">
        <f t="shared" si="386"/>
        <v xml:space="preserve"> </v>
      </c>
      <c r="GI210" s="10" t="str">
        <f t="shared" si="386"/>
        <v xml:space="preserve"> </v>
      </c>
      <c r="GJ210" s="10" t="str">
        <f t="shared" si="386"/>
        <v xml:space="preserve"> </v>
      </c>
      <c r="GM210" s="10" t="str">
        <f t="shared" si="387"/>
        <v xml:space="preserve"> </v>
      </c>
      <c r="GN210" s="10" t="str">
        <f t="shared" si="387"/>
        <v xml:space="preserve"> </v>
      </c>
      <c r="GO210" s="10" t="str">
        <f t="shared" si="387"/>
        <v xml:space="preserve"> </v>
      </c>
      <c r="GP210" s="10" t="str">
        <f t="shared" si="387"/>
        <v xml:space="preserve"> </v>
      </c>
      <c r="GQ210" s="10" t="str">
        <f t="shared" si="387"/>
        <v xml:space="preserve"> </v>
      </c>
      <c r="GT210" s="10" t="str">
        <f t="shared" si="388"/>
        <v xml:space="preserve"> </v>
      </c>
      <c r="GU210" s="10" t="str">
        <f t="shared" si="388"/>
        <v xml:space="preserve"> </v>
      </c>
      <c r="GV210" s="10" t="str">
        <f t="shared" si="388"/>
        <v xml:space="preserve"> </v>
      </c>
      <c r="GW210" s="10" t="str">
        <f t="shared" si="388"/>
        <v xml:space="preserve"> </v>
      </c>
      <c r="GX210" s="10" t="str">
        <f t="shared" si="388"/>
        <v xml:space="preserve"> </v>
      </c>
      <c r="HA210" s="10" t="str">
        <f t="shared" si="389"/>
        <v xml:space="preserve"> </v>
      </c>
      <c r="HB210" s="10" t="str">
        <f t="shared" si="389"/>
        <v xml:space="preserve"> </v>
      </c>
      <c r="HC210" s="10" t="str">
        <f t="shared" si="389"/>
        <v xml:space="preserve"> </v>
      </c>
      <c r="HD210" s="10" t="str">
        <f t="shared" si="389"/>
        <v xml:space="preserve"> </v>
      </c>
      <c r="HE210" s="10" t="str">
        <f t="shared" si="389"/>
        <v xml:space="preserve"> </v>
      </c>
      <c r="HH210" s="10" t="str">
        <f t="shared" si="390"/>
        <v xml:space="preserve"> </v>
      </c>
      <c r="HI210" s="10" t="str">
        <f t="shared" si="390"/>
        <v xml:space="preserve"> </v>
      </c>
      <c r="HJ210" s="10" t="str">
        <f t="shared" si="390"/>
        <v xml:space="preserve"> </v>
      </c>
      <c r="HK210" s="10" t="str">
        <f t="shared" si="390"/>
        <v xml:space="preserve"> </v>
      </c>
      <c r="HL210" s="10" t="str">
        <f t="shared" si="390"/>
        <v xml:space="preserve"> </v>
      </c>
      <c r="HO210" s="10" t="str">
        <f t="shared" si="391"/>
        <v xml:space="preserve"> </v>
      </c>
      <c r="HP210" s="10" t="str">
        <f t="shared" si="391"/>
        <v xml:space="preserve"> </v>
      </c>
      <c r="HQ210" s="10" t="str">
        <f t="shared" si="391"/>
        <v xml:space="preserve"> </v>
      </c>
      <c r="HR210" s="10" t="str">
        <f t="shared" si="391"/>
        <v xml:space="preserve"> </v>
      </c>
      <c r="HS210" s="10" t="str">
        <f t="shared" si="391"/>
        <v xml:space="preserve"> </v>
      </c>
      <c r="HV210" s="10" t="str">
        <f t="shared" si="392"/>
        <v xml:space="preserve"> </v>
      </c>
      <c r="HW210" s="10" t="str">
        <f t="shared" si="392"/>
        <v xml:space="preserve"> </v>
      </c>
      <c r="HX210" s="10" t="str">
        <f t="shared" si="392"/>
        <v xml:space="preserve"> </v>
      </c>
      <c r="HY210" s="10" t="str">
        <f t="shared" si="392"/>
        <v xml:space="preserve"> </v>
      </c>
      <c r="HZ210" s="10" t="str">
        <f t="shared" si="392"/>
        <v xml:space="preserve"> </v>
      </c>
      <c r="IC210" s="10" t="str">
        <f t="shared" si="393"/>
        <v xml:space="preserve"> </v>
      </c>
      <c r="ID210" s="10" t="str">
        <f t="shared" si="393"/>
        <v xml:space="preserve"> </v>
      </c>
      <c r="IE210" s="10" t="str">
        <f t="shared" si="393"/>
        <v xml:space="preserve"> </v>
      </c>
      <c r="IF210" s="10" t="str">
        <f t="shared" si="393"/>
        <v xml:space="preserve"> </v>
      </c>
      <c r="IG210" s="10" t="str">
        <f t="shared" si="393"/>
        <v xml:space="preserve"> </v>
      </c>
      <c r="IJ210" s="10" t="str">
        <f t="shared" si="394"/>
        <v xml:space="preserve"> </v>
      </c>
      <c r="IK210" s="10" t="str">
        <f t="shared" si="394"/>
        <v xml:space="preserve"> </v>
      </c>
      <c r="IL210" s="10" t="str">
        <f t="shared" si="394"/>
        <v xml:space="preserve"> </v>
      </c>
      <c r="IM210" s="10" t="str">
        <f t="shared" si="394"/>
        <v xml:space="preserve"> </v>
      </c>
      <c r="IN210" s="10" t="str">
        <f t="shared" si="394"/>
        <v xml:space="preserve"> </v>
      </c>
      <c r="IQ210" s="10" t="str">
        <f t="shared" si="395"/>
        <v xml:space="preserve"> </v>
      </c>
      <c r="IR210" s="10" t="str">
        <f t="shared" si="395"/>
        <v xml:space="preserve"> </v>
      </c>
      <c r="IS210" s="10" t="str">
        <f t="shared" si="395"/>
        <v xml:space="preserve"> </v>
      </c>
      <c r="IT210" s="10" t="str">
        <f t="shared" si="395"/>
        <v xml:space="preserve"> </v>
      </c>
      <c r="IU210" s="10" t="str">
        <f t="shared" si="395"/>
        <v xml:space="preserve"> </v>
      </c>
      <c r="IX210" s="10" t="str">
        <f t="shared" si="396"/>
        <v xml:space="preserve"> </v>
      </c>
      <c r="IY210" s="10" t="str">
        <f t="shared" si="396"/>
        <v xml:space="preserve"> </v>
      </c>
      <c r="IZ210" s="10" t="str">
        <f t="shared" si="396"/>
        <v xml:space="preserve"> </v>
      </c>
      <c r="JA210" s="10" t="str">
        <f t="shared" si="396"/>
        <v xml:space="preserve"> </v>
      </c>
      <c r="JB210" s="10" t="str">
        <f t="shared" si="396"/>
        <v xml:space="preserve"> </v>
      </c>
      <c r="JE210" s="10" t="str">
        <f t="shared" si="397"/>
        <v xml:space="preserve"> </v>
      </c>
      <c r="JF210" s="10" t="str">
        <f t="shared" si="397"/>
        <v xml:space="preserve"> </v>
      </c>
      <c r="JG210" s="10" t="str">
        <f t="shared" si="397"/>
        <v xml:space="preserve"> </v>
      </c>
      <c r="JH210" s="10" t="str">
        <f t="shared" si="397"/>
        <v xml:space="preserve"> </v>
      </c>
      <c r="JI210" s="10" t="str">
        <f t="shared" si="397"/>
        <v xml:space="preserve"> </v>
      </c>
    </row>
    <row r="211" spans="13:269">
      <c r="M211" s="10" t="str">
        <f t="shared" si="398"/>
        <v xml:space="preserve"> </v>
      </c>
      <c r="N211" s="10" t="str">
        <f t="shared" si="398"/>
        <v xml:space="preserve"> </v>
      </c>
      <c r="O211" s="10" t="str">
        <f t="shared" si="398"/>
        <v xml:space="preserve"> </v>
      </c>
      <c r="P211" s="10" t="str">
        <f t="shared" si="398"/>
        <v xml:space="preserve"> </v>
      </c>
      <c r="Q211" s="10" t="str">
        <f t="shared" si="398"/>
        <v xml:space="preserve"> </v>
      </c>
      <c r="R211" s="14"/>
      <c r="S211" s="14"/>
      <c r="T211" s="10" t="str">
        <f t="shared" si="362"/>
        <v xml:space="preserve"> </v>
      </c>
      <c r="U211" s="10" t="str">
        <f t="shared" si="362"/>
        <v xml:space="preserve"> </v>
      </c>
      <c r="V211" s="10" t="str">
        <f t="shared" si="362"/>
        <v xml:space="preserve"> </v>
      </c>
      <c r="W211" s="10" t="str">
        <f t="shared" si="362"/>
        <v xml:space="preserve"> </v>
      </c>
      <c r="X211" s="10" t="str">
        <f t="shared" si="362"/>
        <v xml:space="preserve"> </v>
      </c>
      <c r="Y211" s="14"/>
      <c r="Z211" s="14"/>
      <c r="AA211" s="10" t="str">
        <f t="shared" si="363"/>
        <v xml:space="preserve"> </v>
      </c>
      <c r="AB211" s="10" t="str">
        <f t="shared" si="363"/>
        <v xml:space="preserve"> </v>
      </c>
      <c r="AC211" s="10" t="str">
        <f t="shared" si="363"/>
        <v xml:space="preserve"> </v>
      </c>
      <c r="AD211" s="10" t="str">
        <f t="shared" si="363"/>
        <v xml:space="preserve"> </v>
      </c>
      <c r="AE211" s="10" t="str">
        <f t="shared" si="363"/>
        <v xml:space="preserve"> </v>
      </c>
      <c r="AF211" s="14"/>
      <c r="AG211" s="14"/>
      <c r="AH211" s="10" t="str">
        <f t="shared" si="364"/>
        <v xml:space="preserve"> </v>
      </c>
      <c r="AI211" s="10" t="str">
        <f t="shared" si="364"/>
        <v xml:space="preserve"> </v>
      </c>
      <c r="AJ211" s="10" t="str">
        <f t="shared" si="364"/>
        <v xml:space="preserve"> </v>
      </c>
      <c r="AK211" s="10" t="str">
        <f t="shared" si="364"/>
        <v xml:space="preserve"> </v>
      </c>
      <c r="AL211" s="10" t="str">
        <f t="shared" si="364"/>
        <v xml:space="preserve"> </v>
      </c>
      <c r="AM211" s="14"/>
      <c r="AN211" s="14"/>
      <c r="AO211" s="10" t="str">
        <f t="shared" si="365"/>
        <v xml:space="preserve"> </v>
      </c>
      <c r="AP211" s="10" t="str">
        <f t="shared" si="365"/>
        <v xml:space="preserve"> </v>
      </c>
      <c r="AQ211" s="10" t="str">
        <f t="shared" si="365"/>
        <v xml:space="preserve"> </v>
      </c>
      <c r="AR211" s="10" t="str">
        <f t="shared" si="365"/>
        <v xml:space="preserve"> </v>
      </c>
      <c r="AS211" s="10" t="str">
        <f t="shared" si="365"/>
        <v xml:space="preserve"> </v>
      </c>
      <c r="AT211" s="14"/>
      <c r="AU211" s="14"/>
      <c r="AV211" s="10" t="str">
        <f t="shared" si="366"/>
        <v xml:space="preserve"> </v>
      </c>
      <c r="AW211" s="10" t="str">
        <f t="shared" si="366"/>
        <v xml:space="preserve"> </v>
      </c>
      <c r="AX211" s="10" t="str">
        <f t="shared" si="366"/>
        <v xml:space="preserve"> </v>
      </c>
      <c r="AY211" s="10" t="str">
        <f t="shared" si="366"/>
        <v xml:space="preserve"> </v>
      </c>
      <c r="AZ211" s="10" t="str">
        <f t="shared" si="366"/>
        <v xml:space="preserve"> </v>
      </c>
      <c r="BA211" s="14"/>
      <c r="BB211" s="14"/>
      <c r="BC211" s="10" t="str">
        <f t="shared" si="367"/>
        <v xml:space="preserve"> </v>
      </c>
      <c r="BD211" s="10" t="str">
        <f t="shared" si="367"/>
        <v xml:space="preserve"> </v>
      </c>
      <c r="BE211" s="10" t="str">
        <f t="shared" si="367"/>
        <v xml:space="preserve"> </v>
      </c>
      <c r="BF211" s="10" t="str">
        <f t="shared" si="367"/>
        <v xml:space="preserve"> </v>
      </c>
      <c r="BG211" s="10" t="str">
        <f t="shared" si="367"/>
        <v xml:space="preserve"> </v>
      </c>
      <c r="BH211" s="14"/>
      <c r="BI211" s="14"/>
      <c r="BJ211" s="10" t="str">
        <f t="shared" si="368"/>
        <v xml:space="preserve"> </v>
      </c>
      <c r="BK211" s="10" t="str">
        <f t="shared" si="368"/>
        <v xml:space="preserve"> </v>
      </c>
      <c r="BL211" s="10" t="str">
        <f t="shared" si="368"/>
        <v xml:space="preserve"> </v>
      </c>
      <c r="BM211" s="10" t="str">
        <f t="shared" si="368"/>
        <v xml:space="preserve"> </v>
      </c>
      <c r="BN211" s="10" t="str">
        <f t="shared" si="368"/>
        <v xml:space="preserve"> </v>
      </c>
      <c r="BO211" s="14"/>
      <c r="BP211" s="14"/>
      <c r="BQ211" s="10" t="str">
        <f t="shared" si="369"/>
        <v xml:space="preserve"> </v>
      </c>
      <c r="BR211" s="10" t="str">
        <f t="shared" si="369"/>
        <v xml:space="preserve"> </v>
      </c>
      <c r="BS211" s="10" t="str">
        <f t="shared" si="369"/>
        <v xml:space="preserve"> </v>
      </c>
      <c r="BT211" s="10" t="str">
        <f t="shared" si="369"/>
        <v xml:space="preserve"> </v>
      </c>
      <c r="BU211" s="10" t="str">
        <f t="shared" si="369"/>
        <v xml:space="preserve"> </v>
      </c>
      <c r="BV211" s="14"/>
      <c r="BW211" s="14"/>
      <c r="BX211" s="10" t="str">
        <f t="shared" si="370"/>
        <v xml:space="preserve"> </v>
      </c>
      <c r="BY211" s="10" t="str">
        <f t="shared" si="370"/>
        <v xml:space="preserve"> </v>
      </c>
      <c r="BZ211" s="10" t="str">
        <f t="shared" si="370"/>
        <v xml:space="preserve"> </v>
      </c>
      <c r="CA211" s="10" t="str">
        <f t="shared" si="370"/>
        <v xml:space="preserve"> </v>
      </c>
      <c r="CB211" s="10" t="str">
        <f t="shared" si="370"/>
        <v xml:space="preserve"> </v>
      </c>
      <c r="CC211" s="14"/>
      <c r="CD211" s="14"/>
      <c r="CE211" s="10" t="str">
        <f t="shared" si="371"/>
        <v xml:space="preserve"> </v>
      </c>
      <c r="CF211" s="10" t="str">
        <f t="shared" si="371"/>
        <v xml:space="preserve"> </v>
      </c>
      <c r="CG211" s="10" t="str">
        <f t="shared" si="371"/>
        <v xml:space="preserve"> </v>
      </c>
      <c r="CH211" s="10" t="str">
        <f t="shared" si="371"/>
        <v xml:space="preserve"> </v>
      </c>
      <c r="CI211" s="10" t="str">
        <f t="shared" si="371"/>
        <v xml:space="preserve"> </v>
      </c>
      <c r="CJ211" s="14"/>
      <c r="CK211" s="14"/>
      <c r="CL211" s="10" t="str">
        <f t="shared" si="372"/>
        <v xml:space="preserve"> </v>
      </c>
      <c r="CM211" s="10" t="str">
        <f t="shared" si="372"/>
        <v xml:space="preserve"> </v>
      </c>
      <c r="CN211" s="10" t="str">
        <f t="shared" si="372"/>
        <v xml:space="preserve"> </v>
      </c>
      <c r="CO211" s="10" t="str">
        <f t="shared" si="372"/>
        <v xml:space="preserve"> </v>
      </c>
      <c r="CP211" s="10" t="str">
        <f t="shared" si="372"/>
        <v xml:space="preserve"> </v>
      </c>
      <c r="CQ211" s="14"/>
      <c r="CR211" s="14"/>
      <c r="CS211" s="10" t="str">
        <f t="shared" si="373"/>
        <v xml:space="preserve"> </v>
      </c>
      <c r="CT211" s="10" t="str">
        <f t="shared" si="373"/>
        <v xml:space="preserve"> </v>
      </c>
      <c r="CU211" s="10" t="str">
        <f t="shared" si="373"/>
        <v xml:space="preserve"> </v>
      </c>
      <c r="CV211" s="10" t="str">
        <f t="shared" si="373"/>
        <v xml:space="preserve"> </v>
      </c>
      <c r="CW211" s="10" t="str">
        <f t="shared" si="373"/>
        <v xml:space="preserve"> </v>
      </c>
      <c r="CZ211" s="10" t="str">
        <f t="shared" si="374"/>
        <v xml:space="preserve"> </v>
      </c>
      <c r="DA211" s="10" t="str">
        <f t="shared" si="374"/>
        <v xml:space="preserve"> </v>
      </c>
      <c r="DB211" s="10" t="str">
        <f t="shared" si="374"/>
        <v xml:space="preserve"> </v>
      </c>
      <c r="DC211" s="10" t="str">
        <f t="shared" si="374"/>
        <v xml:space="preserve"> </v>
      </c>
      <c r="DD211" s="10" t="str">
        <f t="shared" si="374"/>
        <v xml:space="preserve"> </v>
      </c>
      <c r="DG211" s="10" t="str">
        <f t="shared" si="375"/>
        <v xml:space="preserve"> </v>
      </c>
      <c r="DH211" s="10" t="str">
        <f t="shared" si="375"/>
        <v xml:space="preserve"> </v>
      </c>
      <c r="DI211" s="10" t="str">
        <f t="shared" si="375"/>
        <v xml:space="preserve"> </v>
      </c>
      <c r="DJ211" s="10" t="str">
        <f t="shared" si="375"/>
        <v xml:space="preserve"> </v>
      </c>
      <c r="DK211" s="10" t="str">
        <f t="shared" si="375"/>
        <v xml:space="preserve"> </v>
      </c>
      <c r="DN211" s="10" t="str">
        <f t="shared" si="376"/>
        <v xml:space="preserve"> </v>
      </c>
      <c r="DO211" s="10" t="str">
        <f t="shared" si="376"/>
        <v xml:space="preserve"> </v>
      </c>
      <c r="DP211" s="10" t="str">
        <f t="shared" si="376"/>
        <v xml:space="preserve"> </v>
      </c>
      <c r="DQ211" s="10" t="str">
        <f t="shared" si="376"/>
        <v xml:space="preserve"> </v>
      </c>
      <c r="DR211" s="10" t="str">
        <f t="shared" si="376"/>
        <v xml:space="preserve"> </v>
      </c>
      <c r="DU211" s="10" t="str">
        <f t="shared" si="377"/>
        <v xml:space="preserve"> </v>
      </c>
      <c r="DV211" s="10" t="str">
        <f t="shared" si="377"/>
        <v xml:space="preserve"> </v>
      </c>
      <c r="DW211" s="10" t="str">
        <f t="shared" si="377"/>
        <v xml:space="preserve"> </v>
      </c>
      <c r="DX211" s="10" t="str">
        <f t="shared" si="377"/>
        <v xml:space="preserve"> </v>
      </c>
      <c r="DY211" s="10" t="str">
        <f t="shared" si="377"/>
        <v xml:space="preserve"> </v>
      </c>
      <c r="EB211" s="10" t="str">
        <f t="shared" si="378"/>
        <v xml:space="preserve"> </v>
      </c>
      <c r="EC211" s="10" t="str">
        <f t="shared" si="378"/>
        <v xml:space="preserve"> </v>
      </c>
      <c r="ED211" s="10" t="str">
        <f t="shared" si="378"/>
        <v xml:space="preserve"> </v>
      </c>
      <c r="EE211" s="10" t="str">
        <f t="shared" si="378"/>
        <v xml:space="preserve"> </v>
      </c>
      <c r="EF211" s="10" t="str">
        <f t="shared" si="378"/>
        <v xml:space="preserve"> </v>
      </c>
      <c r="EI211" s="10" t="str">
        <f t="shared" si="379"/>
        <v xml:space="preserve"> </v>
      </c>
      <c r="EJ211" s="10" t="str">
        <f t="shared" si="379"/>
        <v xml:space="preserve"> </v>
      </c>
      <c r="EK211" s="10" t="str">
        <f t="shared" si="379"/>
        <v xml:space="preserve"> </v>
      </c>
      <c r="EL211" s="10" t="str">
        <f t="shared" si="379"/>
        <v xml:space="preserve"> </v>
      </c>
      <c r="EM211" s="10" t="str">
        <f t="shared" si="379"/>
        <v xml:space="preserve"> </v>
      </c>
      <c r="EP211" s="10" t="str">
        <f t="shared" si="380"/>
        <v xml:space="preserve"> </v>
      </c>
      <c r="EQ211" s="10" t="str">
        <f t="shared" si="380"/>
        <v xml:space="preserve"> </v>
      </c>
      <c r="ER211" s="10" t="str">
        <f t="shared" si="380"/>
        <v xml:space="preserve"> </v>
      </c>
      <c r="ES211" s="10" t="str">
        <f t="shared" si="380"/>
        <v xml:space="preserve"> </v>
      </c>
      <c r="ET211" s="10" t="str">
        <f t="shared" si="380"/>
        <v xml:space="preserve"> </v>
      </c>
      <c r="EW211" s="10" t="str">
        <f t="shared" si="381"/>
        <v xml:space="preserve"> </v>
      </c>
      <c r="EX211" s="10" t="str">
        <f t="shared" si="381"/>
        <v xml:space="preserve"> </v>
      </c>
      <c r="EY211" s="10" t="str">
        <f t="shared" si="381"/>
        <v xml:space="preserve"> </v>
      </c>
      <c r="EZ211" s="10" t="str">
        <f t="shared" si="381"/>
        <v xml:space="preserve"> </v>
      </c>
      <c r="FA211" s="10" t="str">
        <f t="shared" si="381"/>
        <v xml:space="preserve"> </v>
      </c>
      <c r="FD211" s="10" t="str">
        <f t="shared" si="382"/>
        <v xml:space="preserve"> </v>
      </c>
      <c r="FE211" s="10" t="str">
        <f t="shared" si="382"/>
        <v xml:space="preserve"> </v>
      </c>
      <c r="FF211" s="10" t="str">
        <f t="shared" si="382"/>
        <v xml:space="preserve"> </v>
      </c>
      <c r="FG211" s="10" t="str">
        <f t="shared" si="382"/>
        <v xml:space="preserve"> </v>
      </c>
      <c r="FH211" s="10" t="str">
        <f t="shared" si="382"/>
        <v xml:space="preserve"> </v>
      </c>
      <c r="FK211" s="10" t="str">
        <f t="shared" si="383"/>
        <v xml:space="preserve"> </v>
      </c>
      <c r="FL211" s="10" t="str">
        <f t="shared" si="383"/>
        <v xml:space="preserve"> </v>
      </c>
      <c r="FM211" s="10" t="str">
        <f t="shared" si="383"/>
        <v xml:space="preserve"> </v>
      </c>
      <c r="FN211" s="10" t="str">
        <f t="shared" si="383"/>
        <v xml:space="preserve"> </v>
      </c>
      <c r="FO211" s="10" t="str">
        <f t="shared" si="383"/>
        <v xml:space="preserve"> </v>
      </c>
      <c r="FR211" s="10" t="str">
        <f t="shared" si="384"/>
        <v xml:space="preserve"> </v>
      </c>
      <c r="FS211" s="10" t="str">
        <f t="shared" si="384"/>
        <v xml:space="preserve"> </v>
      </c>
      <c r="FT211" s="10" t="str">
        <f t="shared" si="384"/>
        <v xml:space="preserve"> </v>
      </c>
      <c r="FU211" s="10" t="str">
        <f t="shared" si="384"/>
        <v xml:space="preserve"> </v>
      </c>
      <c r="FV211" s="10" t="str">
        <f t="shared" si="384"/>
        <v xml:space="preserve"> </v>
      </c>
      <c r="FY211" s="10" t="str">
        <f t="shared" si="385"/>
        <v xml:space="preserve"> </v>
      </c>
      <c r="FZ211" s="10" t="str">
        <f t="shared" si="385"/>
        <v xml:space="preserve"> </v>
      </c>
      <c r="GA211" s="10" t="str">
        <f t="shared" si="385"/>
        <v xml:space="preserve"> </v>
      </c>
      <c r="GB211" s="10" t="str">
        <f t="shared" si="385"/>
        <v xml:space="preserve"> </v>
      </c>
      <c r="GC211" s="10" t="str">
        <f t="shared" si="385"/>
        <v xml:space="preserve"> </v>
      </c>
      <c r="GF211" s="10" t="str">
        <f t="shared" si="386"/>
        <v xml:space="preserve"> </v>
      </c>
      <c r="GG211" s="10" t="str">
        <f t="shared" si="386"/>
        <v xml:space="preserve"> </v>
      </c>
      <c r="GH211" s="10" t="str">
        <f t="shared" si="386"/>
        <v xml:space="preserve"> </v>
      </c>
      <c r="GI211" s="10" t="str">
        <f t="shared" si="386"/>
        <v xml:space="preserve"> </v>
      </c>
      <c r="GJ211" s="10" t="str">
        <f t="shared" si="386"/>
        <v xml:space="preserve"> </v>
      </c>
      <c r="GM211" s="10" t="str">
        <f t="shared" si="387"/>
        <v xml:space="preserve"> </v>
      </c>
      <c r="GN211" s="10" t="str">
        <f t="shared" si="387"/>
        <v xml:space="preserve"> </v>
      </c>
      <c r="GO211" s="10" t="str">
        <f t="shared" si="387"/>
        <v xml:space="preserve"> </v>
      </c>
      <c r="GP211" s="10" t="str">
        <f t="shared" si="387"/>
        <v xml:space="preserve"> </v>
      </c>
      <c r="GQ211" s="10" t="str">
        <f t="shared" si="387"/>
        <v xml:space="preserve"> </v>
      </c>
      <c r="GT211" s="10" t="str">
        <f t="shared" si="388"/>
        <v xml:space="preserve"> </v>
      </c>
      <c r="GU211" s="10" t="str">
        <f t="shared" si="388"/>
        <v xml:space="preserve"> </v>
      </c>
      <c r="GV211" s="10" t="str">
        <f t="shared" si="388"/>
        <v xml:space="preserve"> </v>
      </c>
      <c r="GW211" s="10" t="str">
        <f t="shared" si="388"/>
        <v xml:space="preserve"> </v>
      </c>
      <c r="GX211" s="10" t="str">
        <f t="shared" si="388"/>
        <v xml:space="preserve"> </v>
      </c>
      <c r="HA211" s="10" t="str">
        <f t="shared" si="389"/>
        <v xml:space="preserve"> </v>
      </c>
      <c r="HB211" s="10" t="str">
        <f t="shared" si="389"/>
        <v xml:space="preserve"> </v>
      </c>
      <c r="HC211" s="10" t="str">
        <f t="shared" si="389"/>
        <v xml:space="preserve"> </v>
      </c>
      <c r="HD211" s="10" t="str">
        <f t="shared" si="389"/>
        <v xml:space="preserve"> </v>
      </c>
      <c r="HE211" s="10" t="str">
        <f t="shared" si="389"/>
        <v xml:space="preserve"> </v>
      </c>
      <c r="HH211" s="10" t="str">
        <f t="shared" si="390"/>
        <v xml:space="preserve"> </v>
      </c>
      <c r="HI211" s="10" t="str">
        <f t="shared" si="390"/>
        <v xml:space="preserve"> </v>
      </c>
      <c r="HJ211" s="10" t="str">
        <f t="shared" si="390"/>
        <v xml:space="preserve"> </v>
      </c>
      <c r="HK211" s="10" t="str">
        <f t="shared" si="390"/>
        <v xml:space="preserve"> </v>
      </c>
      <c r="HL211" s="10" t="str">
        <f t="shared" si="390"/>
        <v xml:space="preserve"> </v>
      </c>
      <c r="HO211" s="10" t="str">
        <f t="shared" si="391"/>
        <v xml:space="preserve"> </v>
      </c>
      <c r="HP211" s="10" t="str">
        <f t="shared" si="391"/>
        <v xml:space="preserve"> </v>
      </c>
      <c r="HQ211" s="10" t="str">
        <f t="shared" si="391"/>
        <v xml:space="preserve"> </v>
      </c>
      <c r="HR211" s="10" t="str">
        <f t="shared" si="391"/>
        <v xml:space="preserve"> </v>
      </c>
      <c r="HS211" s="10" t="str">
        <f t="shared" si="391"/>
        <v xml:space="preserve"> </v>
      </c>
      <c r="HV211" s="10" t="str">
        <f t="shared" si="392"/>
        <v xml:space="preserve"> </v>
      </c>
      <c r="HW211" s="10" t="str">
        <f t="shared" si="392"/>
        <v xml:space="preserve"> </v>
      </c>
      <c r="HX211" s="10" t="str">
        <f t="shared" si="392"/>
        <v xml:space="preserve"> </v>
      </c>
      <c r="HY211" s="10" t="str">
        <f t="shared" si="392"/>
        <v xml:space="preserve"> </v>
      </c>
      <c r="HZ211" s="10" t="str">
        <f t="shared" si="392"/>
        <v xml:space="preserve"> </v>
      </c>
      <c r="IC211" s="10" t="str">
        <f t="shared" si="393"/>
        <v xml:space="preserve"> </v>
      </c>
      <c r="ID211" s="10" t="str">
        <f t="shared" si="393"/>
        <v xml:space="preserve"> </v>
      </c>
      <c r="IE211" s="10" t="str">
        <f t="shared" si="393"/>
        <v xml:space="preserve"> </v>
      </c>
      <c r="IF211" s="10" t="str">
        <f t="shared" si="393"/>
        <v xml:space="preserve"> </v>
      </c>
      <c r="IG211" s="10" t="str">
        <f t="shared" si="393"/>
        <v xml:space="preserve"> </v>
      </c>
      <c r="IJ211" s="10" t="str">
        <f t="shared" si="394"/>
        <v xml:space="preserve"> </v>
      </c>
      <c r="IK211" s="10" t="str">
        <f t="shared" si="394"/>
        <v xml:space="preserve"> </v>
      </c>
      <c r="IL211" s="10" t="str">
        <f t="shared" si="394"/>
        <v xml:space="preserve"> </v>
      </c>
      <c r="IM211" s="10" t="str">
        <f t="shared" si="394"/>
        <v xml:space="preserve"> </v>
      </c>
      <c r="IN211" s="10" t="str">
        <f t="shared" si="394"/>
        <v xml:space="preserve"> </v>
      </c>
      <c r="IQ211" s="10" t="str">
        <f t="shared" si="395"/>
        <v xml:space="preserve"> </v>
      </c>
      <c r="IR211" s="10" t="str">
        <f t="shared" si="395"/>
        <v xml:space="preserve"> </v>
      </c>
      <c r="IS211" s="10" t="str">
        <f t="shared" si="395"/>
        <v xml:space="preserve"> </v>
      </c>
      <c r="IT211" s="10" t="str">
        <f t="shared" si="395"/>
        <v xml:space="preserve"> </v>
      </c>
      <c r="IU211" s="10" t="str">
        <f t="shared" si="395"/>
        <v xml:space="preserve"> </v>
      </c>
      <c r="IX211" s="10" t="str">
        <f t="shared" si="396"/>
        <v xml:space="preserve"> </v>
      </c>
      <c r="IY211" s="10" t="str">
        <f t="shared" si="396"/>
        <v xml:space="preserve"> </v>
      </c>
      <c r="IZ211" s="10" t="str">
        <f t="shared" si="396"/>
        <v xml:space="preserve"> </v>
      </c>
      <c r="JA211" s="10" t="str">
        <f t="shared" si="396"/>
        <v xml:space="preserve"> </v>
      </c>
      <c r="JB211" s="10" t="str">
        <f t="shared" si="396"/>
        <v xml:space="preserve"> </v>
      </c>
      <c r="JE211" s="10" t="str">
        <f t="shared" si="397"/>
        <v xml:space="preserve"> </v>
      </c>
      <c r="JF211" s="10" t="str">
        <f t="shared" si="397"/>
        <v xml:space="preserve"> </v>
      </c>
      <c r="JG211" s="10" t="str">
        <f t="shared" si="397"/>
        <v xml:space="preserve"> </v>
      </c>
      <c r="JH211" s="10" t="str">
        <f t="shared" si="397"/>
        <v xml:space="preserve"> </v>
      </c>
      <c r="JI211" s="10" t="str">
        <f t="shared" si="397"/>
        <v xml:space="preserve"> </v>
      </c>
    </row>
    <row r="212" spans="13:269">
      <c r="M212" s="10" t="str">
        <f t="shared" si="398"/>
        <v xml:space="preserve"> </v>
      </c>
      <c r="N212" s="10" t="str">
        <f t="shared" si="398"/>
        <v xml:space="preserve"> </v>
      </c>
      <c r="O212" s="10" t="str">
        <f t="shared" si="398"/>
        <v xml:space="preserve"> </v>
      </c>
      <c r="P212" s="10" t="str">
        <f t="shared" si="398"/>
        <v xml:space="preserve"> </v>
      </c>
      <c r="Q212" s="10" t="str">
        <f t="shared" si="398"/>
        <v xml:space="preserve"> </v>
      </c>
      <c r="R212" s="14"/>
      <c r="S212" s="14"/>
      <c r="T212" s="10" t="str">
        <f t="shared" si="362"/>
        <v xml:space="preserve"> </v>
      </c>
      <c r="U212" s="10" t="str">
        <f t="shared" si="362"/>
        <v xml:space="preserve"> </v>
      </c>
      <c r="V212" s="10" t="str">
        <f t="shared" si="362"/>
        <v xml:space="preserve"> </v>
      </c>
      <c r="W212" s="10" t="str">
        <f t="shared" si="362"/>
        <v xml:space="preserve"> </v>
      </c>
      <c r="X212" s="10" t="str">
        <f t="shared" si="362"/>
        <v xml:space="preserve"> </v>
      </c>
      <c r="Y212" s="14"/>
      <c r="Z212" s="14"/>
      <c r="AA212" s="10" t="str">
        <f t="shared" si="363"/>
        <v xml:space="preserve"> </v>
      </c>
      <c r="AB212" s="10" t="str">
        <f t="shared" si="363"/>
        <v xml:space="preserve"> </v>
      </c>
      <c r="AC212" s="10" t="str">
        <f t="shared" si="363"/>
        <v xml:space="preserve"> </v>
      </c>
      <c r="AD212" s="10" t="str">
        <f t="shared" si="363"/>
        <v xml:space="preserve"> </v>
      </c>
      <c r="AE212" s="10" t="str">
        <f t="shared" si="363"/>
        <v xml:space="preserve"> </v>
      </c>
      <c r="AF212" s="14"/>
      <c r="AG212" s="14"/>
      <c r="AH212" s="10" t="str">
        <f t="shared" si="364"/>
        <v xml:space="preserve"> </v>
      </c>
      <c r="AI212" s="10" t="str">
        <f t="shared" si="364"/>
        <v xml:space="preserve"> </v>
      </c>
      <c r="AJ212" s="10" t="str">
        <f t="shared" si="364"/>
        <v xml:space="preserve"> </v>
      </c>
      <c r="AK212" s="10" t="str">
        <f t="shared" si="364"/>
        <v xml:space="preserve"> </v>
      </c>
      <c r="AL212" s="10" t="str">
        <f t="shared" si="364"/>
        <v xml:space="preserve"> </v>
      </c>
      <c r="AM212" s="14"/>
      <c r="AN212" s="14"/>
      <c r="AO212" s="10" t="str">
        <f t="shared" si="365"/>
        <v xml:space="preserve"> </v>
      </c>
      <c r="AP212" s="10" t="str">
        <f t="shared" si="365"/>
        <v xml:space="preserve"> </v>
      </c>
      <c r="AQ212" s="10" t="str">
        <f t="shared" si="365"/>
        <v xml:space="preserve"> </v>
      </c>
      <c r="AR212" s="10" t="str">
        <f t="shared" si="365"/>
        <v xml:space="preserve"> </v>
      </c>
      <c r="AS212" s="10" t="str">
        <f t="shared" si="365"/>
        <v xml:space="preserve"> </v>
      </c>
      <c r="AT212" s="14"/>
      <c r="AU212" s="14"/>
      <c r="AV212" s="10" t="str">
        <f t="shared" si="366"/>
        <v xml:space="preserve"> </v>
      </c>
      <c r="AW212" s="10" t="str">
        <f t="shared" si="366"/>
        <v xml:space="preserve"> </v>
      </c>
      <c r="AX212" s="10" t="str">
        <f t="shared" si="366"/>
        <v xml:space="preserve"> </v>
      </c>
      <c r="AY212" s="10" t="str">
        <f t="shared" si="366"/>
        <v xml:space="preserve"> </v>
      </c>
      <c r="AZ212" s="10" t="str">
        <f t="shared" si="366"/>
        <v xml:space="preserve"> </v>
      </c>
      <c r="BA212" s="14"/>
      <c r="BB212" s="14"/>
      <c r="BC212" s="10" t="str">
        <f t="shared" si="367"/>
        <v xml:space="preserve"> </v>
      </c>
      <c r="BD212" s="10" t="str">
        <f t="shared" si="367"/>
        <v xml:space="preserve"> </v>
      </c>
      <c r="BE212" s="10" t="str">
        <f t="shared" si="367"/>
        <v xml:space="preserve"> </v>
      </c>
      <c r="BF212" s="10" t="str">
        <f t="shared" si="367"/>
        <v xml:space="preserve"> </v>
      </c>
      <c r="BG212" s="10" t="str">
        <f t="shared" si="367"/>
        <v xml:space="preserve"> </v>
      </c>
      <c r="BH212" s="14"/>
      <c r="BI212" s="14"/>
      <c r="BJ212" s="10" t="str">
        <f t="shared" si="368"/>
        <v xml:space="preserve"> </v>
      </c>
      <c r="BK212" s="10" t="str">
        <f t="shared" si="368"/>
        <v xml:space="preserve"> </v>
      </c>
      <c r="BL212" s="10" t="str">
        <f t="shared" si="368"/>
        <v xml:space="preserve"> </v>
      </c>
      <c r="BM212" s="10" t="str">
        <f t="shared" si="368"/>
        <v xml:space="preserve"> </v>
      </c>
      <c r="BN212" s="10" t="str">
        <f t="shared" si="368"/>
        <v xml:space="preserve"> </v>
      </c>
      <c r="BO212" s="14"/>
      <c r="BP212" s="14"/>
      <c r="BQ212" s="10" t="str">
        <f t="shared" si="369"/>
        <v xml:space="preserve"> </v>
      </c>
      <c r="BR212" s="10" t="str">
        <f t="shared" si="369"/>
        <v xml:space="preserve"> </v>
      </c>
      <c r="BS212" s="10" t="str">
        <f t="shared" si="369"/>
        <v xml:space="preserve"> </v>
      </c>
      <c r="BT212" s="10" t="str">
        <f t="shared" si="369"/>
        <v xml:space="preserve"> </v>
      </c>
      <c r="BU212" s="10" t="str">
        <f t="shared" si="369"/>
        <v xml:space="preserve"> </v>
      </c>
      <c r="BV212" s="14"/>
      <c r="BW212" s="14"/>
      <c r="BX212" s="10" t="str">
        <f t="shared" si="370"/>
        <v xml:space="preserve"> </v>
      </c>
      <c r="BY212" s="10" t="str">
        <f t="shared" si="370"/>
        <v xml:space="preserve"> </v>
      </c>
      <c r="BZ212" s="10" t="str">
        <f t="shared" si="370"/>
        <v xml:space="preserve"> </v>
      </c>
      <c r="CA212" s="10" t="str">
        <f t="shared" si="370"/>
        <v xml:space="preserve"> </v>
      </c>
      <c r="CB212" s="10" t="str">
        <f t="shared" si="370"/>
        <v xml:space="preserve"> </v>
      </c>
      <c r="CC212" s="14"/>
      <c r="CD212" s="14"/>
      <c r="CE212" s="10" t="str">
        <f t="shared" si="371"/>
        <v xml:space="preserve"> </v>
      </c>
      <c r="CF212" s="10" t="str">
        <f t="shared" si="371"/>
        <v xml:space="preserve"> </v>
      </c>
      <c r="CG212" s="10" t="str">
        <f t="shared" si="371"/>
        <v xml:space="preserve"> </v>
      </c>
      <c r="CH212" s="10" t="str">
        <f t="shared" si="371"/>
        <v xml:space="preserve"> </v>
      </c>
      <c r="CI212" s="10" t="str">
        <f t="shared" si="371"/>
        <v xml:space="preserve"> </v>
      </c>
      <c r="CJ212" s="14"/>
      <c r="CK212" s="14"/>
      <c r="CL212" s="10" t="str">
        <f t="shared" si="372"/>
        <v xml:space="preserve"> </v>
      </c>
      <c r="CM212" s="10" t="str">
        <f t="shared" si="372"/>
        <v xml:space="preserve"> </v>
      </c>
      <c r="CN212" s="10" t="str">
        <f t="shared" si="372"/>
        <v xml:space="preserve"> </v>
      </c>
      <c r="CO212" s="10" t="str">
        <f t="shared" si="372"/>
        <v xml:space="preserve"> </v>
      </c>
      <c r="CP212" s="10" t="str">
        <f t="shared" si="372"/>
        <v xml:space="preserve"> </v>
      </c>
      <c r="CQ212" s="14"/>
      <c r="CR212" s="14"/>
      <c r="CS212" s="10" t="str">
        <f t="shared" si="373"/>
        <v xml:space="preserve"> </v>
      </c>
      <c r="CT212" s="10" t="str">
        <f t="shared" si="373"/>
        <v xml:space="preserve"> </v>
      </c>
      <c r="CU212" s="10" t="str">
        <f t="shared" si="373"/>
        <v xml:space="preserve"> </v>
      </c>
      <c r="CV212" s="10" t="str">
        <f t="shared" si="373"/>
        <v xml:space="preserve"> </v>
      </c>
      <c r="CW212" s="10" t="str">
        <f t="shared" si="373"/>
        <v xml:space="preserve"> </v>
      </c>
      <c r="CZ212" s="10" t="str">
        <f t="shared" si="374"/>
        <v xml:space="preserve"> </v>
      </c>
      <c r="DA212" s="10" t="str">
        <f t="shared" si="374"/>
        <v xml:space="preserve"> </v>
      </c>
      <c r="DB212" s="10" t="str">
        <f t="shared" si="374"/>
        <v xml:space="preserve"> </v>
      </c>
      <c r="DC212" s="10" t="str">
        <f t="shared" si="374"/>
        <v xml:space="preserve"> </v>
      </c>
      <c r="DD212" s="10" t="str">
        <f t="shared" si="374"/>
        <v xml:space="preserve"> </v>
      </c>
      <c r="DG212" s="10" t="str">
        <f t="shared" si="375"/>
        <v xml:space="preserve"> </v>
      </c>
      <c r="DH212" s="10" t="str">
        <f t="shared" si="375"/>
        <v xml:space="preserve"> </v>
      </c>
      <c r="DI212" s="10" t="str">
        <f t="shared" si="375"/>
        <v xml:space="preserve"> </v>
      </c>
      <c r="DJ212" s="10" t="str">
        <f t="shared" si="375"/>
        <v xml:space="preserve"> </v>
      </c>
      <c r="DK212" s="10" t="str">
        <f t="shared" si="375"/>
        <v xml:space="preserve"> </v>
      </c>
      <c r="DN212" s="10" t="str">
        <f t="shared" si="376"/>
        <v xml:space="preserve"> </v>
      </c>
      <c r="DO212" s="10" t="str">
        <f t="shared" si="376"/>
        <v xml:space="preserve"> </v>
      </c>
      <c r="DP212" s="10" t="str">
        <f t="shared" si="376"/>
        <v xml:space="preserve"> </v>
      </c>
      <c r="DQ212" s="10" t="str">
        <f t="shared" si="376"/>
        <v xml:space="preserve"> </v>
      </c>
      <c r="DR212" s="10" t="str">
        <f t="shared" si="376"/>
        <v xml:space="preserve"> </v>
      </c>
      <c r="DU212" s="10" t="str">
        <f t="shared" si="377"/>
        <v xml:space="preserve"> </v>
      </c>
      <c r="DV212" s="10" t="str">
        <f t="shared" si="377"/>
        <v xml:space="preserve"> </v>
      </c>
      <c r="DW212" s="10" t="str">
        <f t="shared" si="377"/>
        <v xml:space="preserve"> </v>
      </c>
      <c r="DX212" s="10" t="str">
        <f t="shared" si="377"/>
        <v xml:space="preserve"> </v>
      </c>
      <c r="DY212" s="10" t="str">
        <f t="shared" si="377"/>
        <v xml:space="preserve"> </v>
      </c>
      <c r="EB212" s="10" t="str">
        <f t="shared" si="378"/>
        <v xml:space="preserve"> </v>
      </c>
      <c r="EC212" s="10" t="str">
        <f t="shared" si="378"/>
        <v xml:space="preserve"> </v>
      </c>
      <c r="ED212" s="10" t="str">
        <f t="shared" si="378"/>
        <v xml:space="preserve"> </v>
      </c>
      <c r="EE212" s="10" t="str">
        <f t="shared" si="378"/>
        <v xml:space="preserve"> </v>
      </c>
      <c r="EF212" s="10" t="str">
        <f t="shared" si="378"/>
        <v xml:space="preserve"> </v>
      </c>
      <c r="EI212" s="10" t="str">
        <f t="shared" si="379"/>
        <v xml:space="preserve"> </v>
      </c>
      <c r="EJ212" s="10" t="str">
        <f t="shared" si="379"/>
        <v xml:space="preserve"> </v>
      </c>
      <c r="EK212" s="10" t="str">
        <f t="shared" si="379"/>
        <v xml:space="preserve"> </v>
      </c>
      <c r="EL212" s="10" t="str">
        <f t="shared" si="379"/>
        <v xml:space="preserve"> </v>
      </c>
      <c r="EM212" s="10" t="str">
        <f t="shared" si="379"/>
        <v xml:space="preserve"> </v>
      </c>
      <c r="EP212" s="10" t="str">
        <f t="shared" si="380"/>
        <v xml:space="preserve"> </v>
      </c>
      <c r="EQ212" s="10" t="str">
        <f t="shared" si="380"/>
        <v xml:space="preserve"> </v>
      </c>
      <c r="ER212" s="10" t="str">
        <f t="shared" si="380"/>
        <v xml:space="preserve"> </v>
      </c>
      <c r="ES212" s="10" t="str">
        <f t="shared" si="380"/>
        <v xml:space="preserve"> </v>
      </c>
      <c r="ET212" s="10" t="str">
        <f t="shared" si="380"/>
        <v xml:space="preserve"> </v>
      </c>
      <c r="EW212" s="10" t="str">
        <f t="shared" si="381"/>
        <v xml:space="preserve"> </v>
      </c>
      <c r="EX212" s="10" t="str">
        <f t="shared" si="381"/>
        <v xml:space="preserve"> </v>
      </c>
      <c r="EY212" s="10" t="str">
        <f t="shared" si="381"/>
        <v xml:space="preserve"> </v>
      </c>
      <c r="EZ212" s="10" t="str">
        <f t="shared" si="381"/>
        <v xml:space="preserve"> </v>
      </c>
      <c r="FA212" s="10" t="str">
        <f t="shared" si="381"/>
        <v xml:space="preserve"> </v>
      </c>
      <c r="FD212" s="10" t="str">
        <f t="shared" si="382"/>
        <v xml:space="preserve"> </v>
      </c>
      <c r="FE212" s="10" t="str">
        <f t="shared" si="382"/>
        <v xml:space="preserve"> </v>
      </c>
      <c r="FF212" s="10" t="str">
        <f t="shared" si="382"/>
        <v xml:space="preserve"> </v>
      </c>
      <c r="FG212" s="10" t="str">
        <f t="shared" si="382"/>
        <v xml:space="preserve"> </v>
      </c>
      <c r="FH212" s="10" t="str">
        <f t="shared" si="382"/>
        <v xml:space="preserve"> </v>
      </c>
      <c r="FK212" s="10" t="str">
        <f t="shared" si="383"/>
        <v xml:space="preserve"> </v>
      </c>
      <c r="FL212" s="10" t="str">
        <f t="shared" si="383"/>
        <v xml:space="preserve"> </v>
      </c>
      <c r="FM212" s="10" t="str">
        <f t="shared" si="383"/>
        <v xml:space="preserve"> </v>
      </c>
      <c r="FN212" s="10" t="str">
        <f t="shared" si="383"/>
        <v xml:space="preserve"> </v>
      </c>
      <c r="FO212" s="10" t="str">
        <f t="shared" si="383"/>
        <v xml:space="preserve"> </v>
      </c>
      <c r="FR212" s="10" t="str">
        <f t="shared" si="384"/>
        <v xml:space="preserve"> </v>
      </c>
      <c r="FS212" s="10" t="str">
        <f t="shared" si="384"/>
        <v xml:space="preserve"> </v>
      </c>
      <c r="FT212" s="10" t="str">
        <f t="shared" si="384"/>
        <v xml:space="preserve"> </v>
      </c>
      <c r="FU212" s="10" t="str">
        <f t="shared" si="384"/>
        <v xml:space="preserve"> </v>
      </c>
      <c r="FV212" s="10" t="str">
        <f t="shared" si="384"/>
        <v xml:space="preserve"> </v>
      </c>
      <c r="FY212" s="10" t="str">
        <f t="shared" si="385"/>
        <v xml:space="preserve"> </v>
      </c>
      <c r="FZ212" s="10" t="str">
        <f t="shared" si="385"/>
        <v xml:space="preserve"> </v>
      </c>
      <c r="GA212" s="10" t="str">
        <f t="shared" si="385"/>
        <v xml:space="preserve"> </v>
      </c>
      <c r="GB212" s="10" t="str">
        <f t="shared" si="385"/>
        <v xml:space="preserve"> </v>
      </c>
      <c r="GC212" s="10" t="str">
        <f t="shared" si="385"/>
        <v xml:space="preserve"> </v>
      </c>
      <c r="GF212" s="10" t="str">
        <f t="shared" si="386"/>
        <v xml:space="preserve"> </v>
      </c>
      <c r="GG212" s="10" t="str">
        <f t="shared" si="386"/>
        <v xml:space="preserve"> </v>
      </c>
      <c r="GH212" s="10" t="str">
        <f t="shared" si="386"/>
        <v xml:space="preserve"> </v>
      </c>
      <c r="GI212" s="10" t="str">
        <f t="shared" si="386"/>
        <v xml:space="preserve"> </v>
      </c>
      <c r="GJ212" s="10" t="str">
        <f t="shared" si="386"/>
        <v xml:space="preserve"> </v>
      </c>
      <c r="GM212" s="10" t="str">
        <f t="shared" si="387"/>
        <v xml:space="preserve"> </v>
      </c>
      <c r="GN212" s="10" t="str">
        <f t="shared" si="387"/>
        <v xml:space="preserve"> </v>
      </c>
      <c r="GO212" s="10" t="str">
        <f t="shared" si="387"/>
        <v xml:space="preserve"> </v>
      </c>
      <c r="GP212" s="10" t="str">
        <f t="shared" si="387"/>
        <v xml:space="preserve"> </v>
      </c>
      <c r="GQ212" s="10" t="str">
        <f t="shared" si="387"/>
        <v xml:space="preserve"> </v>
      </c>
      <c r="GT212" s="10" t="str">
        <f t="shared" si="388"/>
        <v xml:space="preserve"> </v>
      </c>
      <c r="GU212" s="10" t="str">
        <f t="shared" si="388"/>
        <v xml:space="preserve"> </v>
      </c>
      <c r="GV212" s="10" t="str">
        <f t="shared" si="388"/>
        <v xml:space="preserve"> </v>
      </c>
      <c r="GW212" s="10" t="str">
        <f t="shared" si="388"/>
        <v xml:space="preserve"> </v>
      </c>
      <c r="GX212" s="10" t="str">
        <f t="shared" si="388"/>
        <v xml:space="preserve"> </v>
      </c>
      <c r="HA212" s="10" t="str">
        <f t="shared" si="389"/>
        <v xml:space="preserve"> </v>
      </c>
      <c r="HB212" s="10" t="str">
        <f t="shared" si="389"/>
        <v xml:space="preserve"> </v>
      </c>
      <c r="HC212" s="10" t="str">
        <f t="shared" si="389"/>
        <v xml:space="preserve"> </v>
      </c>
      <c r="HD212" s="10" t="str">
        <f t="shared" si="389"/>
        <v xml:space="preserve"> </v>
      </c>
      <c r="HE212" s="10" t="str">
        <f t="shared" si="389"/>
        <v xml:space="preserve"> </v>
      </c>
      <c r="HH212" s="10" t="str">
        <f t="shared" si="390"/>
        <v xml:space="preserve"> </v>
      </c>
      <c r="HI212" s="10" t="str">
        <f t="shared" si="390"/>
        <v xml:space="preserve"> </v>
      </c>
      <c r="HJ212" s="10" t="str">
        <f t="shared" si="390"/>
        <v xml:space="preserve"> </v>
      </c>
      <c r="HK212" s="10" t="str">
        <f t="shared" si="390"/>
        <v xml:space="preserve"> </v>
      </c>
      <c r="HL212" s="10" t="str">
        <f t="shared" si="390"/>
        <v xml:space="preserve"> </v>
      </c>
      <c r="HO212" s="10" t="str">
        <f t="shared" si="391"/>
        <v xml:space="preserve"> </v>
      </c>
      <c r="HP212" s="10" t="str">
        <f t="shared" si="391"/>
        <v xml:space="preserve"> </v>
      </c>
      <c r="HQ212" s="10" t="str">
        <f t="shared" si="391"/>
        <v xml:space="preserve"> </v>
      </c>
      <c r="HR212" s="10" t="str">
        <f t="shared" si="391"/>
        <v xml:space="preserve"> </v>
      </c>
      <c r="HS212" s="10" t="str">
        <f t="shared" si="391"/>
        <v xml:space="preserve"> </v>
      </c>
      <c r="HV212" s="10" t="str">
        <f t="shared" si="392"/>
        <v xml:space="preserve"> </v>
      </c>
      <c r="HW212" s="10" t="str">
        <f t="shared" si="392"/>
        <v xml:space="preserve"> </v>
      </c>
      <c r="HX212" s="10" t="str">
        <f t="shared" si="392"/>
        <v xml:space="preserve"> </v>
      </c>
      <c r="HY212" s="10" t="str">
        <f t="shared" si="392"/>
        <v xml:space="preserve"> </v>
      </c>
      <c r="HZ212" s="10" t="str">
        <f t="shared" si="392"/>
        <v xml:space="preserve"> </v>
      </c>
      <c r="IC212" s="10" t="str">
        <f t="shared" si="393"/>
        <v xml:space="preserve"> </v>
      </c>
      <c r="ID212" s="10" t="str">
        <f t="shared" si="393"/>
        <v xml:space="preserve"> </v>
      </c>
      <c r="IE212" s="10" t="str">
        <f t="shared" si="393"/>
        <v xml:space="preserve"> </v>
      </c>
      <c r="IF212" s="10" t="str">
        <f t="shared" si="393"/>
        <v xml:space="preserve"> </v>
      </c>
      <c r="IG212" s="10" t="str">
        <f t="shared" si="393"/>
        <v xml:space="preserve"> </v>
      </c>
      <c r="IJ212" s="10" t="str">
        <f t="shared" si="394"/>
        <v xml:space="preserve"> </v>
      </c>
      <c r="IK212" s="10" t="str">
        <f t="shared" si="394"/>
        <v xml:space="preserve"> </v>
      </c>
      <c r="IL212" s="10" t="str">
        <f t="shared" si="394"/>
        <v xml:space="preserve"> </v>
      </c>
      <c r="IM212" s="10" t="str">
        <f t="shared" si="394"/>
        <v xml:space="preserve"> </v>
      </c>
      <c r="IN212" s="10" t="str">
        <f t="shared" si="394"/>
        <v xml:space="preserve"> </v>
      </c>
      <c r="IQ212" s="10" t="str">
        <f t="shared" si="395"/>
        <v xml:space="preserve"> </v>
      </c>
      <c r="IR212" s="10" t="str">
        <f t="shared" si="395"/>
        <v xml:space="preserve"> </v>
      </c>
      <c r="IS212" s="10" t="str">
        <f t="shared" si="395"/>
        <v xml:space="preserve"> </v>
      </c>
      <c r="IT212" s="10" t="str">
        <f t="shared" si="395"/>
        <v xml:space="preserve"> </v>
      </c>
      <c r="IU212" s="10" t="str">
        <f t="shared" si="395"/>
        <v xml:space="preserve"> </v>
      </c>
      <c r="IX212" s="10" t="str">
        <f t="shared" si="396"/>
        <v xml:space="preserve"> </v>
      </c>
      <c r="IY212" s="10" t="str">
        <f t="shared" si="396"/>
        <v xml:space="preserve"> </v>
      </c>
      <c r="IZ212" s="10" t="str">
        <f t="shared" si="396"/>
        <v xml:space="preserve"> </v>
      </c>
      <c r="JA212" s="10" t="str">
        <f t="shared" si="396"/>
        <v xml:space="preserve"> </v>
      </c>
      <c r="JB212" s="10" t="str">
        <f t="shared" si="396"/>
        <v xml:space="preserve"> </v>
      </c>
      <c r="JE212" s="10" t="str">
        <f t="shared" si="397"/>
        <v xml:space="preserve"> </v>
      </c>
      <c r="JF212" s="10" t="str">
        <f t="shared" si="397"/>
        <v xml:space="preserve"> </v>
      </c>
      <c r="JG212" s="10" t="str">
        <f t="shared" si="397"/>
        <v xml:space="preserve"> </v>
      </c>
      <c r="JH212" s="10" t="str">
        <f t="shared" si="397"/>
        <v xml:space="preserve"> </v>
      </c>
      <c r="JI212" s="10" t="str">
        <f t="shared" si="397"/>
        <v xml:space="preserve"> </v>
      </c>
    </row>
    <row r="213" spans="13:269">
      <c r="M213" s="10" t="str">
        <f t="shared" si="398"/>
        <v xml:space="preserve"> </v>
      </c>
      <c r="N213" s="10" t="str">
        <f t="shared" si="398"/>
        <v xml:space="preserve"> </v>
      </c>
      <c r="O213" s="10" t="str">
        <f t="shared" si="398"/>
        <v xml:space="preserve"> </v>
      </c>
      <c r="P213" s="10" t="str">
        <f t="shared" si="398"/>
        <v xml:space="preserve"> </v>
      </c>
      <c r="Q213" s="10" t="str">
        <f t="shared" si="398"/>
        <v xml:space="preserve"> </v>
      </c>
      <c r="R213" s="14"/>
      <c r="S213" s="14"/>
      <c r="T213" s="10" t="str">
        <f t="shared" si="362"/>
        <v xml:space="preserve"> </v>
      </c>
      <c r="U213" s="10" t="str">
        <f t="shared" si="362"/>
        <v xml:space="preserve"> </v>
      </c>
      <c r="V213" s="10" t="str">
        <f t="shared" si="362"/>
        <v xml:space="preserve"> </v>
      </c>
      <c r="W213" s="10" t="str">
        <f t="shared" si="362"/>
        <v xml:space="preserve"> </v>
      </c>
      <c r="X213" s="10" t="str">
        <f t="shared" si="362"/>
        <v xml:space="preserve"> </v>
      </c>
      <c r="Y213" s="14"/>
      <c r="Z213" s="14"/>
      <c r="AA213" s="10" t="str">
        <f t="shared" si="363"/>
        <v xml:space="preserve"> </v>
      </c>
      <c r="AB213" s="10" t="str">
        <f t="shared" si="363"/>
        <v xml:space="preserve"> </v>
      </c>
      <c r="AC213" s="10" t="str">
        <f t="shared" si="363"/>
        <v xml:space="preserve"> </v>
      </c>
      <c r="AD213" s="10" t="str">
        <f t="shared" si="363"/>
        <v xml:space="preserve"> </v>
      </c>
      <c r="AE213" s="10" t="str">
        <f t="shared" si="363"/>
        <v xml:space="preserve"> </v>
      </c>
      <c r="AF213" s="14"/>
      <c r="AG213" s="14"/>
      <c r="AH213" s="10" t="str">
        <f t="shared" si="364"/>
        <v xml:space="preserve"> </v>
      </c>
      <c r="AI213" s="10" t="str">
        <f t="shared" si="364"/>
        <v xml:space="preserve"> </v>
      </c>
      <c r="AJ213" s="10" t="str">
        <f t="shared" si="364"/>
        <v xml:space="preserve"> </v>
      </c>
      <c r="AK213" s="10" t="str">
        <f t="shared" si="364"/>
        <v xml:space="preserve"> </v>
      </c>
      <c r="AL213" s="10" t="str">
        <f t="shared" si="364"/>
        <v xml:space="preserve"> </v>
      </c>
      <c r="AM213" s="14"/>
      <c r="AN213" s="14"/>
      <c r="AO213" s="10" t="str">
        <f t="shared" si="365"/>
        <v xml:space="preserve"> </v>
      </c>
      <c r="AP213" s="10" t="str">
        <f t="shared" si="365"/>
        <v xml:space="preserve"> </v>
      </c>
      <c r="AQ213" s="10" t="str">
        <f t="shared" si="365"/>
        <v xml:space="preserve"> </v>
      </c>
      <c r="AR213" s="10" t="str">
        <f t="shared" si="365"/>
        <v xml:space="preserve"> </v>
      </c>
      <c r="AS213" s="10" t="str">
        <f t="shared" si="365"/>
        <v xml:space="preserve"> </v>
      </c>
      <c r="AT213" s="14"/>
      <c r="AU213" s="14"/>
      <c r="AV213" s="10" t="str">
        <f t="shared" si="366"/>
        <v xml:space="preserve"> </v>
      </c>
      <c r="AW213" s="10" t="str">
        <f t="shared" si="366"/>
        <v xml:space="preserve"> </v>
      </c>
      <c r="AX213" s="10" t="str">
        <f t="shared" si="366"/>
        <v xml:space="preserve"> </v>
      </c>
      <c r="AY213" s="10" t="str">
        <f t="shared" si="366"/>
        <v xml:space="preserve"> </v>
      </c>
      <c r="AZ213" s="10" t="str">
        <f t="shared" si="366"/>
        <v xml:space="preserve"> </v>
      </c>
      <c r="BA213" s="14"/>
      <c r="BB213" s="14"/>
      <c r="BC213" s="10" t="str">
        <f t="shared" si="367"/>
        <v xml:space="preserve"> </v>
      </c>
      <c r="BD213" s="10" t="str">
        <f t="shared" si="367"/>
        <v xml:space="preserve"> </v>
      </c>
      <c r="BE213" s="10" t="str">
        <f t="shared" si="367"/>
        <v xml:space="preserve"> </v>
      </c>
      <c r="BF213" s="10" t="str">
        <f t="shared" si="367"/>
        <v xml:space="preserve"> </v>
      </c>
      <c r="BG213" s="10" t="str">
        <f t="shared" si="367"/>
        <v xml:space="preserve"> </v>
      </c>
      <c r="BH213" s="14"/>
      <c r="BI213" s="14"/>
      <c r="BJ213" s="10" t="str">
        <f t="shared" si="368"/>
        <v xml:space="preserve"> </v>
      </c>
      <c r="BK213" s="10" t="str">
        <f t="shared" si="368"/>
        <v xml:space="preserve"> </v>
      </c>
      <c r="BL213" s="10" t="str">
        <f t="shared" si="368"/>
        <v xml:space="preserve"> </v>
      </c>
      <c r="BM213" s="10" t="str">
        <f t="shared" si="368"/>
        <v xml:space="preserve"> </v>
      </c>
      <c r="BN213" s="10" t="str">
        <f t="shared" si="368"/>
        <v xml:space="preserve"> </v>
      </c>
      <c r="BO213" s="14"/>
      <c r="BP213" s="14"/>
      <c r="BQ213" s="10" t="str">
        <f t="shared" si="369"/>
        <v xml:space="preserve"> </v>
      </c>
      <c r="BR213" s="10" t="str">
        <f t="shared" si="369"/>
        <v xml:space="preserve"> </v>
      </c>
      <c r="BS213" s="10" t="str">
        <f t="shared" si="369"/>
        <v xml:space="preserve"> </v>
      </c>
      <c r="BT213" s="10" t="str">
        <f t="shared" si="369"/>
        <v xml:space="preserve"> </v>
      </c>
      <c r="BU213" s="10" t="str">
        <f t="shared" si="369"/>
        <v xml:space="preserve"> </v>
      </c>
      <c r="BV213" s="14"/>
      <c r="BW213" s="14"/>
      <c r="BX213" s="10" t="str">
        <f t="shared" si="370"/>
        <v xml:space="preserve"> </v>
      </c>
      <c r="BY213" s="10" t="str">
        <f t="shared" si="370"/>
        <v xml:space="preserve"> </v>
      </c>
      <c r="BZ213" s="10" t="str">
        <f t="shared" si="370"/>
        <v xml:space="preserve"> </v>
      </c>
      <c r="CA213" s="10" t="str">
        <f t="shared" si="370"/>
        <v xml:space="preserve"> </v>
      </c>
      <c r="CB213" s="10" t="str">
        <f t="shared" si="370"/>
        <v xml:space="preserve"> </v>
      </c>
      <c r="CC213" s="14"/>
      <c r="CD213" s="14"/>
      <c r="CE213" s="10" t="str">
        <f t="shared" si="371"/>
        <v xml:space="preserve"> </v>
      </c>
      <c r="CF213" s="10" t="str">
        <f t="shared" si="371"/>
        <v xml:space="preserve"> </v>
      </c>
      <c r="CG213" s="10" t="str">
        <f t="shared" si="371"/>
        <v xml:space="preserve"> </v>
      </c>
      <c r="CH213" s="10" t="str">
        <f t="shared" si="371"/>
        <v xml:space="preserve"> </v>
      </c>
      <c r="CI213" s="10" t="str">
        <f t="shared" si="371"/>
        <v xml:space="preserve"> </v>
      </c>
      <c r="CJ213" s="14"/>
      <c r="CK213" s="14"/>
      <c r="CL213" s="10" t="str">
        <f t="shared" si="372"/>
        <v xml:space="preserve"> </v>
      </c>
      <c r="CM213" s="10" t="str">
        <f t="shared" si="372"/>
        <v xml:space="preserve"> </v>
      </c>
      <c r="CN213" s="10" t="str">
        <f t="shared" si="372"/>
        <v xml:space="preserve"> </v>
      </c>
      <c r="CO213" s="10" t="str">
        <f t="shared" si="372"/>
        <v xml:space="preserve"> </v>
      </c>
      <c r="CP213" s="10" t="str">
        <f t="shared" si="372"/>
        <v xml:space="preserve"> </v>
      </c>
      <c r="CQ213" s="14"/>
      <c r="CR213" s="14"/>
      <c r="CS213" s="10" t="str">
        <f t="shared" si="373"/>
        <v xml:space="preserve"> </v>
      </c>
      <c r="CT213" s="10" t="str">
        <f t="shared" si="373"/>
        <v xml:space="preserve"> </v>
      </c>
      <c r="CU213" s="10" t="str">
        <f t="shared" si="373"/>
        <v xml:space="preserve"> </v>
      </c>
      <c r="CV213" s="10" t="str">
        <f t="shared" si="373"/>
        <v xml:space="preserve"> </v>
      </c>
      <c r="CW213" s="10" t="str">
        <f t="shared" si="373"/>
        <v xml:space="preserve"> </v>
      </c>
      <c r="CZ213" s="10" t="str">
        <f t="shared" si="374"/>
        <v xml:space="preserve"> </v>
      </c>
      <c r="DA213" s="10" t="str">
        <f t="shared" si="374"/>
        <v xml:space="preserve"> </v>
      </c>
      <c r="DB213" s="10" t="str">
        <f t="shared" si="374"/>
        <v xml:space="preserve"> </v>
      </c>
      <c r="DC213" s="10" t="str">
        <f t="shared" si="374"/>
        <v xml:space="preserve"> </v>
      </c>
      <c r="DD213" s="10" t="str">
        <f t="shared" si="374"/>
        <v xml:space="preserve"> </v>
      </c>
      <c r="DG213" s="10" t="str">
        <f t="shared" si="375"/>
        <v xml:space="preserve"> </v>
      </c>
      <c r="DH213" s="10" t="str">
        <f t="shared" si="375"/>
        <v xml:space="preserve"> </v>
      </c>
      <c r="DI213" s="10" t="str">
        <f t="shared" si="375"/>
        <v xml:space="preserve"> </v>
      </c>
      <c r="DJ213" s="10" t="str">
        <f t="shared" si="375"/>
        <v xml:space="preserve"> </v>
      </c>
      <c r="DK213" s="10" t="str">
        <f t="shared" si="375"/>
        <v xml:space="preserve"> </v>
      </c>
      <c r="DN213" s="10" t="str">
        <f t="shared" si="376"/>
        <v xml:space="preserve"> </v>
      </c>
      <c r="DO213" s="10" t="str">
        <f t="shared" si="376"/>
        <v xml:space="preserve"> </v>
      </c>
      <c r="DP213" s="10" t="str">
        <f t="shared" si="376"/>
        <v xml:space="preserve"> </v>
      </c>
      <c r="DQ213" s="10" t="str">
        <f t="shared" si="376"/>
        <v xml:space="preserve"> </v>
      </c>
      <c r="DR213" s="10" t="str">
        <f t="shared" si="376"/>
        <v xml:space="preserve"> </v>
      </c>
      <c r="DU213" s="10" t="str">
        <f t="shared" si="377"/>
        <v xml:space="preserve"> </v>
      </c>
      <c r="DV213" s="10" t="str">
        <f t="shared" si="377"/>
        <v xml:space="preserve"> </v>
      </c>
      <c r="DW213" s="10" t="str">
        <f t="shared" si="377"/>
        <v xml:space="preserve"> </v>
      </c>
      <c r="DX213" s="10" t="str">
        <f t="shared" si="377"/>
        <v xml:space="preserve"> </v>
      </c>
      <c r="DY213" s="10" t="str">
        <f t="shared" si="377"/>
        <v xml:space="preserve"> </v>
      </c>
      <c r="EB213" s="10" t="str">
        <f t="shared" si="378"/>
        <v xml:space="preserve"> </v>
      </c>
      <c r="EC213" s="10" t="str">
        <f t="shared" si="378"/>
        <v xml:space="preserve"> </v>
      </c>
      <c r="ED213" s="10" t="str">
        <f t="shared" si="378"/>
        <v xml:space="preserve"> </v>
      </c>
      <c r="EE213" s="10" t="str">
        <f t="shared" si="378"/>
        <v xml:space="preserve"> </v>
      </c>
      <c r="EF213" s="10" t="str">
        <f t="shared" si="378"/>
        <v xml:space="preserve"> </v>
      </c>
      <c r="EI213" s="10" t="str">
        <f t="shared" si="379"/>
        <v xml:space="preserve"> </v>
      </c>
      <c r="EJ213" s="10" t="str">
        <f t="shared" si="379"/>
        <v xml:space="preserve"> </v>
      </c>
      <c r="EK213" s="10" t="str">
        <f t="shared" si="379"/>
        <v xml:space="preserve"> </v>
      </c>
      <c r="EL213" s="10" t="str">
        <f t="shared" si="379"/>
        <v xml:space="preserve"> </v>
      </c>
      <c r="EM213" s="10" t="str">
        <f t="shared" si="379"/>
        <v xml:space="preserve"> </v>
      </c>
      <c r="EP213" s="10" t="str">
        <f t="shared" si="380"/>
        <v xml:space="preserve"> </v>
      </c>
      <c r="EQ213" s="10" t="str">
        <f t="shared" si="380"/>
        <v xml:space="preserve"> </v>
      </c>
      <c r="ER213" s="10" t="str">
        <f t="shared" si="380"/>
        <v xml:space="preserve"> </v>
      </c>
      <c r="ES213" s="10" t="str">
        <f t="shared" si="380"/>
        <v xml:space="preserve"> </v>
      </c>
      <c r="ET213" s="10" t="str">
        <f t="shared" si="380"/>
        <v xml:space="preserve"> </v>
      </c>
      <c r="EW213" s="10" t="str">
        <f t="shared" si="381"/>
        <v xml:space="preserve"> </v>
      </c>
      <c r="EX213" s="10" t="str">
        <f t="shared" si="381"/>
        <v xml:space="preserve"> </v>
      </c>
      <c r="EY213" s="10" t="str">
        <f t="shared" si="381"/>
        <v xml:space="preserve"> </v>
      </c>
      <c r="EZ213" s="10" t="str">
        <f t="shared" si="381"/>
        <v xml:space="preserve"> </v>
      </c>
      <c r="FA213" s="10" t="str">
        <f t="shared" si="381"/>
        <v xml:space="preserve"> </v>
      </c>
      <c r="FD213" s="10" t="str">
        <f t="shared" si="382"/>
        <v xml:space="preserve"> </v>
      </c>
      <c r="FE213" s="10" t="str">
        <f t="shared" si="382"/>
        <v xml:space="preserve"> </v>
      </c>
      <c r="FF213" s="10" t="str">
        <f t="shared" si="382"/>
        <v xml:space="preserve"> </v>
      </c>
      <c r="FG213" s="10" t="str">
        <f t="shared" si="382"/>
        <v xml:space="preserve"> </v>
      </c>
      <c r="FH213" s="10" t="str">
        <f t="shared" si="382"/>
        <v xml:space="preserve"> </v>
      </c>
      <c r="FK213" s="10" t="str">
        <f t="shared" si="383"/>
        <v xml:space="preserve"> </v>
      </c>
      <c r="FL213" s="10" t="str">
        <f t="shared" si="383"/>
        <v xml:space="preserve"> </v>
      </c>
      <c r="FM213" s="10" t="str">
        <f t="shared" si="383"/>
        <v xml:space="preserve"> </v>
      </c>
      <c r="FN213" s="10" t="str">
        <f t="shared" si="383"/>
        <v xml:space="preserve"> </v>
      </c>
      <c r="FO213" s="10" t="str">
        <f t="shared" si="383"/>
        <v xml:space="preserve"> </v>
      </c>
      <c r="FR213" s="10" t="str">
        <f t="shared" si="384"/>
        <v xml:space="preserve"> </v>
      </c>
      <c r="FS213" s="10" t="str">
        <f t="shared" si="384"/>
        <v xml:space="preserve"> </v>
      </c>
      <c r="FT213" s="10" t="str">
        <f t="shared" si="384"/>
        <v xml:space="preserve"> </v>
      </c>
      <c r="FU213" s="10" t="str">
        <f t="shared" si="384"/>
        <v xml:space="preserve"> </v>
      </c>
      <c r="FV213" s="10" t="str">
        <f t="shared" si="384"/>
        <v xml:space="preserve"> </v>
      </c>
      <c r="FY213" s="10" t="str">
        <f t="shared" si="385"/>
        <v xml:space="preserve"> </v>
      </c>
      <c r="FZ213" s="10" t="str">
        <f t="shared" si="385"/>
        <v xml:space="preserve"> </v>
      </c>
      <c r="GA213" s="10" t="str">
        <f t="shared" si="385"/>
        <v xml:space="preserve"> </v>
      </c>
      <c r="GB213" s="10" t="str">
        <f t="shared" si="385"/>
        <v xml:space="preserve"> </v>
      </c>
      <c r="GC213" s="10" t="str">
        <f t="shared" si="385"/>
        <v xml:space="preserve"> </v>
      </c>
      <c r="GF213" s="10" t="str">
        <f t="shared" si="386"/>
        <v xml:space="preserve"> </v>
      </c>
      <c r="GG213" s="10" t="str">
        <f t="shared" si="386"/>
        <v xml:space="preserve"> </v>
      </c>
      <c r="GH213" s="10" t="str">
        <f t="shared" si="386"/>
        <v xml:space="preserve"> </v>
      </c>
      <c r="GI213" s="10" t="str">
        <f t="shared" si="386"/>
        <v xml:space="preserve"> </v>
      </c>
      <c r="GJ213" s="10" t="str">
        <f t="shared" si="386"/>
        <v xml:space="preserve"> </v>
      </c>
      <c r="GM213" s="10" t="str">
        <f t="shared" si="387"/>
        <v xml:space="preserve"> </v>
      </c>
      <c r="GN213" s="10" t="str">
        <f t="shared" si="387"/>
        <v xml:space="preserve"> </v>
      </c>
      <c r="GO213" s="10" t="str">
        <f t="shared" si="387"/>
        <v xml:space="preserve"> </v>
      </c>
      <c r="GP213" s="10" t="str">
        <f t="shared" si="387"/>
        <v xml:space="preserve"> </v>
      </c>
      <c r="GQ213" s="10" t="str">
        <f t="shared" si="387"/>
        <v xml:space="preserve"> </v>
      </c>
      <c r="GT213" s="10" t="str">
        <f t="shared" si="388"/>
        <v xml:space="preserve"> </v>
      </c>
      <c r="GU213" s="10" t="str">
        <f t="shared" si="388"/>
        <v xml:space="preserve"> </v>
      </c>
      <c r="GV213" s="10" t="str">
        <f t="shared" si="388"/>
        <v xml:space="preserve"> </v>
      </c>
      <c r="GW213" s="10" t="str">
        <f t="shared" si="388"/>
        <v xml:space="preserve"> </v>
      </c>
      <c r="GX213" s="10" t="str">
        <f t="shared" si="388"/>
        <v xml:space="preserve"> </v>
      </c>
      <c r="HA213" s="10" t="str">
        <f t="shared" si="389"/>
        <v xml:space="preserve"> </v>
      </c>
      <c r="HB213" s="10" t="str">
        <f t="shared" si="389"/>
        <v xml:space="preserve"> </v>
      </c>
      <c r="HC213" s="10" t="str">
        <f t="shared" si="389"/>
        <v xml:space="preserve"> </v>
      </c>
      <c r="HD213" s="10" t="str">
        <f t="shared" si="389"/>
        <v xml:space="preserve"> </v>
      </c>
      <c r="HE213" s="10" t="str">
        <f t="shared" si="389"/>
        <v xml:space="preserve"> </v>
      </c>
      <c r="HH213" s="10" t="str">
        <f t="shared" si="390"/>
        <v xml:space="preserve"> </v>
      </c>
      <c r="HI213" s="10" t="str">
        <f t="shared" si="390"/>
        <v xml:space="preserve"> </v>
      </c>
      <c r="HJ213" s="10" t="str">
        <f t="shared" si="390"/>
        <v xml:space="preserve"> </v>
      </c>
      <c r="HK213" s="10" t="str">
        <f t="shared" si="390"/>
        <v xml:space="preserve"> </v>
      </c>
      <c r="HL213" s="10" t="str">
        <f t="shared" si="390"/>
        <v xml:space="preserve"> </v>
      </c>
      <c r="HO213" s="10" t="str">
        <f t="shared" si="391"/>
        <v xml:space="preserve"> </v>
      </c>
      <c r="HP213" s="10" t="str">
        <f t="shared" si="391"/>
        <v xml:space="preserve"> </v>
      </c>
      <c r="HQ213" s="10" t="str">
        <f t="shared" si="391"/>
        <v xml:space="preserve"> </v>
      </c>
      <c r="HR213" s="10" t="str">
        <f t="shared" si="391"/>
        <v xml:space="preserve"> </v>
      </c>
      <c r="HS213" s="10" t="str">
        <f t="shared" si="391"/>
        <v xml:space="preserve"> </v>
      </c>
      <c r="HV213" s="10" t="str">
        <f t="shared" si="392"/>
        <v xml:space="preserve"> </v>
      </c>
      <c r="HW213" s="10" t="str">
        <f t="shared" si="392"/>
        <v xml:space="preserve"> </v>
      </c>
      <c r="HX213" s="10" t="str">
        <f t="shared" si="392"/>
        <v xml:space="preserve"> </v>
      </c>
      <c r="HY213" s="10" t="str">
        <f t="shared" si="392"/>
        <v xml:space="preserve"> </v>
      </c>
      <c r="HZ213" s="10" t="str">
        <f t="shared" si="392"/>
        <v xml:space="preserve"> </v>
      </c>
      <c r="IC213" s="10" t="str">
        <f t="shared" si="393"/>
        <v xml:space="preserve"> </v>
      </c>
      <c r="ID213" s="10" t="str">
        <f t="shared" si="393"/>
        <v xml:space="preserve"> </v>
      </c>
      <c r="IE213" s="10" t="str">
        <f t="shared" si="393"/>
        <v xml:space="preserve"> </v>
      </c>
      <c r="IF213" s="10" t="str">
        <f t="shared" si="393"/>
        <v xml:space="preserve"> </v>
      </c>
      <c r="IG213" s="10" t="str">
        <f t="shared" si="393"/>
        <v xml:space="preserve"> </v>
      </c>
      <c r="IJ213" s="10" t="str">
        <f t="shared" si="394"/>
        <v xml:space="preserve"> </v>
      </c>
      <c r="IK213" s="10" t="str">
        <f t="shared" si="394"/>
        <v xml:space="preserve"> </v>
      </c>
      <c r="IL213" s="10" t="str">
        <f t="shared" si="394"/>
        <v xml:space="preserve"> </v>
      </c>
      <c r="IM213" s="10" t="str">
        <f t="shared" si="394"/>
        <v xml:space="preserve"> </v>
      </c>
      <c r="IN213" s="10" t="str">
        <f t="shared" si="394"/>
        <v xml:space="preserve"> </v>
      </c>
      <c r="IQ213" s="10" t="str">
        <f t="shared" si="395"/>
        <v xml:space="preserve"> </v>
      </c>
      <c r="IR213" s="10" t="str">
        <f t="shared" si="395"/>
        <v xml:space="preserve"> </v>
      </c>
      <c r="IS213" s="10" t="str">
        <f t="shared" si="395"/>
        <v xml:space="preserve"> </v>
      </c>
      <c r="IT213" s="10" t="str">
        <f t="shared" si="395"/>
        <v xml:space="preserve"> </v>
      </c>
      <c r="IU213" s="10" t="str">
        <f t="shared" si="395"/>
        <v xml:space="preserve"> </v>
      </c>
      <c r="IX213" s="10" t="str">
        <f t="shared" si="396"/>
        <v xml:space="preserve"> </v>
      </c>
      <c r="IY213" s="10" t="str">
        <f t="shared" si="396"/>
        <v xml:space="preserve"> </v>
      </c>
      <c r="IZ213" s="10" t="str">
        <f t="shared" si="396"/>
        <v xml:space="preserve"> </v>
      </c>
      <c r="JA213" s="10" t="str">
        <f t="shared" si="396"/>
        <v xml:space="preserve"> </v>
      </c>
      <c r="JB213" s="10" t="str">
        <f t="shared" si="396"/>
        <v xml:space="preserve"> </v>
      </c>
      <c r="JE213" s="10" t="str">
        <f t="shared" si="397"/>
        <v xml:space="preserve"> </v>
      </c>
      <c r="JF213" s="10" t="str">
        <f t="shared" si="397"/>
        <v xml:space="preserve"> </v>
      </c>
      <c r="JG213" s="10" t="str">
        <f t="shared" si="397"/>
        <v xml:space="preserve"> </v>
      </c>
      <c r="JH213" s="10" t="str">
        <f t="shared" si="397"/>
        <v xml:space="preserve"> </v>
      </c>
      <c r="JI213" s="10" t="str">
        <f t="shared" si="397"/>
        <v xml:space="preserve"> </v>
      </c>
    </row>
    <row r="214" spans="13:269">
      <c r="R214" s="14"/>
      <c r="S214" s="14"/>
    </row>
    <row r="215" spans="13:269">
      <c r="R215" s="14"/>
      <c r="S215" s="14"/>
    </row>
  </sheetData>
  <autoFilter ref="B8:JK213" xr:uid="{00000000-0009-0000-0000-000001000000}"/>
  <mergeCells count="267">
    <mergeCell ref="JH6:JH7"/>
    <mergeCell ref="JI6:JI7"/>
    <mergeCell ref="JJ6:JJ7"/>
    <mergeCell ref="JK6:JK7"/>
    <mergeCell ref="B7:B8"/>
    <mergeCell ref="C7:C8"/>
    <mergeCell ref="D7:D8"/>
    <mergeCell ref="E7:E8"/>
    <mergeCell ref="F7:F8"/>
    <mergeCell ref="H7:H8"/>
    <mergeCell ref="JB6:JB7"/>
    <mergeCell ref="JC6:JC7"/>
    <mergeCell ref="JD6:JD7"/>
    <mergeCell ref="JE6:JE7"/>
    <mergeCell ref="JF6:JF7"/>
    <mergeCell ref="JG6:JG7"/>
    <mergeCell ref="IV6:IV7"/>
    <mergeCell ref="IW6:IW7"/>
    <mergeCell ref="IX6:IX7"/>
    <mergeCell ref="IY6:IY7"/>
    <mergeCell ref="IZ6:IZ7"/>
    <mergeCell ref="JA6:JA7"/>
    <mergeCell ref="IP6:IP7"/>
    <mergeCell ref="IQ6:IQ7"/>
    <mergeCell ref="IR6:IR7"/>
    <mergeCell ref="IS6:IS7"/>
    <mergeCell ref="IT6:IT7"/>
    <mergeCell ref="IU6:IU7"/>
    <mergeCell ref="IJ6:IJ7"/>
    <mergeCell ref="IK6:IK7"/>
    <mergeCell ref="IL6:IL7"/>
    <mergeCell ref="IM6:IM7"/>
    <mergeCell ref="IN6:IN7"/>
    <mergeCell ref="IO6:IO7"/>
    <mergeCell ref="ID6:ID7"/>
    <mergeCell ref="IE6:IE7"/>
    <mergeCell ref="IF6:IF7"/>
    <mergeCell ref="IG6:IG7"/>
    <mergeCell ref="IH6:IH7"/>
    <mergeCell ref="II6:II7"/>
    <mergeCell ref="HX6:HX7"/>
    <mergeCell ref="HY6:HY7"/>
    <mergeCell ref="HZ6:HZ7"/>
    <mergeCell ref="IA6:IA7"/>
    <mergeCell ref="IB6:IB7"/>
    <mergeCell ref="IC6:IC7"/>
    <mergeCell ref="HR6:HR7"/>
    <mergeCell ref="HS6:HS7"/>
    <mergeCell ref="HT6:HT7"/>
    <mergeCell ref="HU6:HU7"/>
    <mergeCell ref="HV6:HV7"/>
    <mergeCell ref="HW6:HW7"/>
    <mergeCell ref="HL6:HL7"/>
    <mergeCell ref="HM6:HM7"/>
    <mergeCell ref="HN6:HN7"/>
    <mergeCell ref="HO6:HO7"/>
    <mergeCell ref="HP6:HP7"/>
    <mergeCell ref="HQ6:HQ7"/>
    <mergeCell ref="HF6:HF7"/>
    <mergeCell ref="HG6:HG7"/>
    <mergeCell ref="HH6:HH7"/>
    <mergeCell ref="HI6:HI7"/>
    <mergeCell ref="HJ6:HJ7"/>
    <mergeCell ref="HK6:HK7"/>
    <mergeCell ref="GZ6:GZ7"/>
    <mergeCell ref="HA6:HA7"/>
    <mergeCell ref="HB6:HB7"/>
    <mergeCell ref="HC6:HC7"/>
    <mergeCell ref="HD6:HD7"/>
    <mergeCell ref="HE6:HE7"/>
    <mergeCell ref="GT6:GT7"/>
    <mergeCell ref="GU6:GU7"/>
    <mergeCell ref="GV6:GV7"/>
    <mergeCell ref="GW6:GW7"/>
    <mergeCell ref="GX6:GX7"/>
    <mergeCell ref="GY6:GY7"/>
    <mergeCell ref="GN6:GN7"/>
    <mergeCell ref="GO6:GO7"/>
    <mergeCell ref="GP6:GP7"/>
    <mergeCell ref="GQ6:GQ7"/>
    <mergeCell ref="GR6:GR7"/>
    <mergeCell ref="GS6:GS7"/>
    <mergeCell ref="GH6:GH7"/>
    <mergeCell ref="GI6:GI7"/>
    <mergeCell ref="GJ6:GJ7"/>
    <mergeCell ref="GK6:GK7"/>
    <mergeCell ref="GL6:GL7"/>
    <mergeCell ref="GM6:GM7"/>
    <mergeCell ref="GB6:GB7"/>
    <mergeCell ref="GC6:GC7"/>
    <mergeCell ref="GD6:GD7"/>
    <mergeCell ref="GE6:GE7"/>
    <mergeCell ref="GF6:GF7"/>
    <mergeCell ref="GG6:GG7"/>
    <mergeCell ref="FV6:FV7"/>
    <mergeCell ref="FW6:FW7"/>
    <mergeCell ref="FX6:FX7"/>
    <mergeCell ref="FY6:FY7"/>
    <mergeCell ref="FZ6:FZ7"/>
    <mergeCell ref="GA6:GA7"/>
    <mergeCell ref="FP6:FP7"/>
    <mergeCell ref="FQ6:FQ7"/>
    <mergeCell ref="FR6:FR7"/>
    <mergeCell ref="FS6:FS7"/>
    <mergeCell ref="FT6:FT7"/>
    <mergeCell ref="FU6:FU7"/>
    <mergeCell ref="FJ6:FJ7"/>
    <mergeCell ref="FK6:FK7"/>
    <mergeCell ref="FL6:FL7"/>
    <mergeCell ref="FM6:FM7"/>
    <mergeCell ref="FN6:FN7"/>
    <mergeCell ref="FO6:FO7"/>
    <mergeCell ref="FD6:FD7"/>
    <mergeCell ref="FE6:FE7"/>
    <mergeCell ref="FF6:FF7"/>
    <mergeCell ref="FG6:FG7"/>
    <mergeCell ref="FH6:FH7"/>
    <mergeCell ref="FI6:FI7"/>
    <mergeCell ref="EX6:EX7"/>
    <mergeCell ref="EY6:EY7"/>
    <mergeCell ref="EZ6:EZ7"/>
    <mergeCell ref="FA6:FA7"/>
    <mergeCell ref="FB6:FB7"/>
    <mergeCell ref="FC6:FC7"/>
    <mergeCell ref="ER6:ER7"/>
    <mergeCell ref="ES6:ES7"/>
    <mergeCell ref="ET6:ET7"/>
    <mergeCell ref="EU6:EU7"/>
    <mergeCell ref="EV6:EV7"/>
    <mergeCell ref="EW6:EW7"/>
    <mergeCell ref="EL6:EL7"/>
    <mergeCell ref="EM6:EM7"/>
    <mergeCell ref="EN6:EN7"/>
    <mergeCell ref="EO6:EO7"/>
    <mergeCell ref="EP6:EP7"/>
    <mergeCell ref="EQ6:EQ7"/>
    <mergeCell ref="EF6:EF7"/>
    <mergeCell ref="EG6:EG7"/>
    <mergeCell ref="EH6:EH7"/>
    <mergeCell ref="EI6:EI7"/>
    <mergeCell ref="EJ6:EJ7"/>
    <mergeCell ref="EK6:EK7"/>
    <mergeCell ref="DZ6:DZ7"/>
    <mergeCell ref="EA6:EA7"/>
    <mergeCell ref="EB6:EB7"/>
    <mergeCell ref="EC6:EC7"/>
    <mergeCell ref="ED6:ED7"/>
    <mergeCell ref="EE6:EE7"/>
    <mergeCell ref="DT6:DT7"/>
    <mergeCell ref="DU6:DU7"/>
    <mergeCell ref="DV6:DV7"/>
    <mergeCell ref="DW6:DW7"/>
    <mergeCell ref="DX6:DX7"/>
    <mergeCell ref="DY6:DY7"/>
    <mergeCell ref="DN6:DN7"/>
    <mergeCell ref="DO6:DO7"/>
    <mergeCell ref="DP6:DP7"/>
    <mergeCell ref="DQ6:DQ7"/>
    <mergeCell ref="DR6:DR7"/>
    <mergeCell ref="DS6:DS7"/>
    <mergeCell ref="DH6:DH7"/>
    <mergeCell ref="DI6:DI7"/>
    <mergeCell ref="DJ6:DJ7"/>
    <mergeCell ref="DK6:DK7"/>
    <mergeCell ref="DL6:DL7"/>
    <mergeCell ref="DM6:DM7"/>
    <mergeCell ref="DB6:DB7"/>
    <mergeCell ref="DC6:DC7"/>
    <mergeCell ref="DD6:DD7"/>
    <mergeCell ref="DE6:DE7"/>
    <mergeCell ref="DF6:DF7"/>
    <mergeCell ref="DG6:DG7"/>
    <mergeCell ref="CV6:CV7"/>
    <mergeCell ref="CW6:CW7"/>
    <mergeCell ref="CX6:CX7"/>
    <mergeCell ref="CY6:CY7"/>
    <mergeCell ref="CZ6:CZ7"/>
    <mergeCell ref="DA6:DA7"/>
    <mergeCell ref="CP6:CP7"/>
    <mergeCell ref="CQ6:CQ7"/>
    <mergeCell ref="CR6:CR7"/>
    <mergeCell ref="CS6:CS7"/>
    <mergeCell ref="CT6:CT7"/>
    <mergeCell ref="CU6:CU7"/>
    <mergeCell ref="CJ6:CJ7"/>
    <mergeCell ref="CK6:CK7"/>
    <mergeCell ref="CL6:CL7"/>
    <mergeCell ref="CM6:CM7"/>
    <mergeCell ref="CN6:CN7"/>
    <mergeCell ref="CO6:CO7"/>
    <mergeCell ref="CD6:CD7"/>
    <mergeCell ref="CE6:CE7"/>
    <mergeCell ref="CF6:CF7"/>
    <mergeCell ref="CG6:CG7"/>
    <mergeCell ref="CH6:CH7"/>
    <mergeCell ref="CI6:CI7"/>
    <mergeCell ref="BX6:BX7"/>
    <mergeCell ref="BY6:BY7"/>
    <mergeCell ref="BZ6:BZ7"/>
    <mergeCell ref="CA6:CA7"/>
    <mergeCell ref="CB6:CB7"/>
    <mergeCell ref="CC6:CC7"/>
    <mergeCell ref="BR6:BR7"/>
    <mergeCell ref="BS6:BS7"/>
    <mergeCell ref="BT6:BT7"/>
    <mergeCell ref="BU6:BU7"/>
    <mergeCell ref="BV6:BV7"/>
    <mergeCell ref="BW6:BW7"/>
    <mergeCell ref="BL6:BL7"/>
    <mergeCell ref="BM6:BM7"/>
    <mergeCell ref="BN6:BN7"/>
    <mergeCell ref="BO6:BO7"/>
    <mergeCell ref="BP6:BP7"/>
    <mergeCell ref="BQ6:BQ7"/>
    <mergeCell ref="BF6:BF7"/>
    <mergeCell ref="BG6:BG7"/>
    <mergeCell ref="BH6:BH7"/>
    <mergeCell ref="BI6:BI7"/>
    <mergeCell ref="BJ6:BJ7"/>
    <mergeCell ref="BK6:BK7"/>
    <mergeCell ref="AZ6:AZ7"/>
    <mergeCell ref="BA6:BA7"/>
    <mergeCell ref="BB6:BB7"/>
    <mergeCell ref="BC6:BC7"/>
    <mergeCell ref="BD6:BD7"/>
    <mergeCell ref="BE6:BE7"/>
    <mergeCell ref="AT6:AT7"/>
    <mergeCell ref="AU6:AU7"/>
    <mergeCell ref="AV6:AV7"/>
    <mergeCell ref="AW6:AW7"/>
    <mergeCell ref="AX6:AX7"/>
    <mergeCell ref="AY6:AY7"/>
    <mergeCell ref="AN6:AN7"/>
    <mergeCell ref="AO6:AO7"/>
    <mergeCell ref="AP6:AP7"/>
    <mergeCell ref="AQ6:AQ7"/>
    <mergeCell ref="AR6:AR7"/>
    <mergeCell ref="AS6:AS7"/>
    <mergeCell ref="AI6:AI7"/>
    <mergeCell ref="AJ6:AJ7"/>
    <mergeCell ref="AK6:AK7"/>
    <mergeCell ref="AL6:AL7"/>
    <mergeCell ref="AM6:AM7"/>
    <mergeCell ref="AB6:AB7"/>
    <mergeCell ref="AC6:AC7"/>
    <mergeCell ref="AD6:AD7"/>
    <mergeCell ref="AE6:AE7"/>
    <mergeCell ref="AF6:AF7"/>
    <mergeCell ref="AG6:AG7"/>
    <mergeCell ref="Z6:Z7"/>
    <mergeCell ref="AA6:AA7"/>
    <mergeCell ref="P6:P7"/>
    <mergeCell ref="Q6:Q7"/>
    <mergeCell ref="R6:R7"/>
    <mergeCell ref="S6:S7"/>
    <mergeCell ref="T6:T7"/>
    <mergeCell ref="U6:U7"/>
    <mergeCell ref="AH6:AH7"/>
    <mergeCell ref="B6:C6"/>
    <mergeCell ref="M6:M7"/>
    <mergeCell ref="N6:N7"/>
    <mergeCell ref="O6:O7"/>
    <mergeCell ref="L7:L8"/>
    <mergeCell ref="V6:V7"/>
    <mergeCell ref="W6:W7"/>
    <mergeCell ref="X6:X7"/>
    <mergeCell ref="Y6:Y7"/>
  </mergeCells>
  <conditionalFormatting sqref="M62:Q213 R62:S215 M9:S14 M21:S33">
    <cfRule type="cellIs" dxfId="224" priority="170" operator="equal">
      <formula>"."</formula>
    </cfRule>
  </conditionalFormatting>
  <conditionalFormatting sqref="M6:GL7">
    <cfRule type="expression" dxfId="223" priority="169">
      <formula>M6=TODAY()</formula>
    </cfRule>
  </conditionalFormatting>
  <conditionalFormatting sqref="Y62:Z213 Y9:Z14 Y21:Z33">
    <cfRule type="cellIs" dxfId="222" priority="168" operator="equal">
      <formula>"."</formula>
    </cfRule>
  </conditionalFormatting>
  <conditionalFormatting sqref="AF62:AG213 AF9:AG14 AF21:AG33">
    <cfRule type="cellIs" dxfId="221" priority="167" operator="equal">
      <formula>"."</formula>
    </cfRule>
  </conditionalFormatting>
  <conditionalFormatting sqref="AM62:AN213 AM9:AN14 AM21:AN33">
    <cfRule type="cellIs" dxfId="220" priority="166" operator="equal">
      <formula>"."</formula>
    </cfRule>
  </conditionalFormatting>
  <conditionalFormatting sqref="AT62:AU213 AT9:AU14 AT21:AU33">
    <cfRule type="cellIs" dxfId="219" priority="165" operator="equal">
      <formula>"."</formula>
    </cfRule>
  </conditionalFormatting>
  <conditionalFormatting sqref="BA62:BB213 BA9:BB14 BA21:BB33">
    <cfRule type="cellIs" dxfId="218" priority="164" operator="equal">
      <formula>"."</formula>
    </cfRule>
  </conditionalFormatting>
  <conditionalFormatting sqref="BH62:BI213 BH9:BI14 BH21:BI33">
    <cfRule type="cellIs" dxfId="217" priority="163" operator="equal">
      <formula>"."</formula>
    </cfRule>
  </conditionalFormatting>
  <conditionalFormatting sqref="BO62:BP213 BO9:BP14 BO21:BP33">
    <cfRule type="cellIs" dxfId="216" priority="162" operator="equal">
      <formula>"."</formula>
    </cfRule>
  </conditionalFormatting>
  <conditionalFormatting sqref="BV62:BW213 BV9:BW14 BV21:BW33">
    <cfRule type="cellIs" dxfId="215" priority="161" operator="equal">
      <formula>"."</formula>
    </cfRule>
  </conditionalFormatting>
  <conditionalFormatting sqref="CC62:CD213 CC9:CD14 CC21:CD33">
    <cfRule type="cellIs" dxfId="214" priority="160" operator="equal">
      <formula>"."</formula>
    </cfRule>
  </conditionalFormatting>
  <conditionalFormatting sqref="CJ62:CK213 CJ9:CK14 CJ21:CK33">
    <cfRule type="cellIs" dxfId="213" priority="159" operator="equal">
      <formula>"."</formula>
    </cfRule>
  </conditionalFormatting>
  <conditionalFormatting sqref="CQ62:CR213 CQ9:CR14 CQ21:CR33">
    <cfRule type="cellIs" dxfId="212" priority="158" operator="equal">
      <formula>"."</formula>
    </cfRule>
  </conditionalFormatting>
  <conditionalFormatting sqref="T62:X213 T9:X14 T21:X33">
    <cfRule type="cellIs" dxfId="211" priority="157" operator="equal">
      <formula>"."</formula>
    </cfRule>
  </conditionalFormatting>
  <conditionalFormatting sqref="AA62:AE213 AA9:AE14 AA21:AE33">
    <cfRule type="cellIs" dxfId="210" priority="156" operator="equal">
      <formula>"."</formula>
    </cfRule>
  </conditionalFormatting>
  <conditionalFormatting sqref="AH62:AL213 AH9:AL14 AH21:AL33">
    <cfRule type="cellIs" dxfId="209" priority="155" operator="equal">
      <formula>"."</formula>
    </cfRule>
  </conditionalFormatting>
  <conditionalFormatting sqref="AO62:AS213 AO9:AS14 AO21:AS33">
    <cfRule type="cellIs" dxfId="208" priority="154" operator="equal">
      <formula>"."</formula>
    </cfRule>
  </conditionalFormatting>
  <conditionalFormatting sqref="AV62:AZ213 AV9:AZ14 AV21:AZ33">
    <cfRule type="cellIs" dxfId="207" priority="153" operator="equal">
      <formula>"."</formula>
    </cfRule>
  </conditionalFormatting>
  <conditionalFormatting sqref="BC62:BG213 BC9:BG14 BC21:BG33">
    <cfRule type="cellIs" dxfId="206" priority="152" operator="equal">
      <formula>"."</formula>
    </cfRule>
  </conditionalFormatting>
  <conditionalFormatting sqref="BJ62:BN213 BJ9:BN14 BJ21:BN33">
    <cfRule type="cellIs" dxfId="205" priority="151" operator="equal">
      <formula>"."</formula>
    </cfRule>
  </conditionalFormatting>
  <conditionalFormatting sqref="BQ62:BU213 BQ9:BU14 BQ21:BU33">
    <cfRule type="cellIs" dxfId="204" priority="150" operator="equal">
      <formula>"."</formula>
    </cfRule>
  </conditionalFormatting>
  <conditionalFormatting sqref="BX62:CB213 BX9:CB14 BX21:CB33">
    <cfRule type="cellIs" dxfId="203" priority="149" operator="equal">
      <formula>"."</formula>
    </cfRule>
  </conditionalFormatting>
  <conditionalFormatting sqref="CE62:CI213 CE9:CI14 CE21:CI33">
    <cfRule type="cellIs" dxfId="202" priority="148" operator="equal">
      <formula>"."</formula>
    </cfRule>
  </conditionalFormatting>
  <conditionalFormatting sqref="CL62:CP213 CL9:CP14 CL21:CP33">
    <cfRule type="cellIs" dxfId="201" priority="147" operator="equal">
      <formula>"."</formula>
    </cfRule>
  </conditionalFormatting>
  <conditionalFormatting sqref="CS62:CW213 CS9:CW14 CS21:CW33">
    <cfRule type="cellIs" dxfId="200" priority="146" operator="equal">
      <formula>"."</formula>
    </cfRule>
  </conditionalFormatting>
  <conditionalFormatting sqref="CZ62:DD213 CZ9:DD14 CZ21:DD33">
    <cfRule type="cellIs" dxfId="199" priority="145" operator="equal">
      <formula>"."</formula>
    </cfRule>
  </conditionalFormatting>
  <conditionalFormatting sqref="DG62:DK213 DG9:DK14 DG21:DK33">
    <cfRule type="cellIs" dxfId="198" priority="144" operator="equal">
      <formula>"."</formula>
    </cfRule>
  </conditionalFormatting>
  <conditionalFormatting sqref="DN62:DR213 DN9:DR14 DN21:DR33">
    <cfRule type="cellIs" dxfId="197" priority="143" operator="equal">
      <formula>"."</formula>
    </cfRule>
  </conditionalFormatting>
  <conditionalFormatting sqref="DU62:DY213 DU9:DY14 DU21:DY33">
    <cfRule type="cellIs" dxfId="196" priority="142" operator="equal">
      <formula>"."</formula>
    </cfRule>
  </conditionalFormatting>
  <conditionalFormatting sqref="EB62:EF213 EB9:EF14 EB21:EF33">
    <cfRule type="cellIs" dxfId="195" priority="141" operator="equal">
      <formula>"."</formula>
    </cfRule>
  </conditionalFormatting>
  <conditionalFormatting sqref="EI62:EM213 EI9:EM14 EI21:EM33">
    <cfRule type="cellIs" dxfId="194" priority="140" operator="equal">
      <formula>"."</formula>
    </cfRule>
  </conditionalFormatting>
  <conditionalFormatting sqref="EP62:ET213 EP9:ET14 EP21:ET33">
    <cfRule type="cellIs" dxfId="193" priority="139" operator="equal">
      <formula>"."</formula>
    </cfRule>
  </conditionalFormatting>
  <conditionalFormatting sqref="EW62:FA213 EW9:FA14 EW21:FA33">
    <cfRule type="cellIs" dxfId="192" priority="138" operator="equal">
      <formula>"."</formula>
    </cfRule>
  </conditionalFormatting>
  <conditionalFormatting sqref="FD62:FH213 FD9:FH14 FD21:FH33">
    <cfRule type="cellIs" dxfId="191" priority="137" operator="equal">
      <formula>"."</formula>
    </cfRule>
  </conditionalFormatting>
  <conditionalFormatting sqref="FK62:FO213 FK9:FO14 FK21:FO33">
    <cfRule type="cellIs" dxfId="190" priority="136" operator="equal">
      <formula>"."</formula>
    </cfRule>
  </conditionalFormatting>
  <conditionalFormatting sqref="FR62:FV213 FR9:FV14 FR21:FV33">
    <cfRule type="cellIs" dxfId="189" priority="135" operator="equal">
      <formula>"."</formula>
    </cfRule>
  </conditionalFormatting>
  <conditionalFormatting sqref="FY62:GC213 FY9:GC14 FY21:GC33">
    <cfRule type="cellIs" dxfId="188" priority="134" operator="equal">
      <formula>"."</formula>
    </cfRule>
  </conditionalFormatting>
  <conditionalFormatting sqref="GF62:GJ213 GF9:GJ14 GF21:GJ33">
    <cfRule type="cellIs" dxfId="187" priority="133" operator="equal">
      <formula>"."</formula>
    </cfRule>
  </conditionalFormatting>
  <conditionalFormatting sqref="M15:JK20 M34:JK39 M53:JK61">
    <cfRule type="cellIs" dxfId="186" priority="129" operator="equal">
      <formula>"."</formula>
    </cfRule>
    <cfRule type="expression" dxfId="185" priority="130">
      <formula>IF(AND(M$6&gt;=$F15,M$6&lt;=$G15),"."," ")</formula>
    </cfRule>
  </conditionalFormatting>
  <conditionalFormatting sqref="M21:GL33">
    <cfRule type="cellIs" dxfId="184" priority="128" operator="equal">
      <formula>"."</formula>
    </cfRule>
  </conditionalFormatting>
  <conditionalFormatting sqref="M40:S52">
    <cfRule type="cellIs" dxfId="183" priority="127" operator="equal">
      <formula>"."</formula>
    </cfRule>
  </conditionalFormatting>
  <conditionalFormatting sqref="Y40:Z52">
    <cfRule type="cellIs" dxfId="182" priority="126" operator="equal">
      <formula>"."</formula>
    </cfRule>
  </conditionalFormatting>
  <conditionalFormatting sqref="AF40:AG52">
    <cfRule type="cellIs" dxfId="181" priority="125" operator="equal">
      <formula>"."</formula>
    </cfRule>
  </conditionalFormatting>
  <conditionalFormatting sqref="AM40:AN52">
    <cfRule type="cellIs" dxfId="180" priority="124" operator="equal">
      <formula>"."</formula>
    </cfRule>
  </conditionalFormatting>
  <conditionalFormatting sqref="AT40:AU52">
    <cfRule type="cellIs" dxfId="179" priority="123" operator="equal">
      <formula>"."</formula>
    </cfRule>
  </conditionalFormatting>
  <conditionalFormatting sqref="BA40:BB52">
    <cfRule type="cellIs" dxfId="178" priority="122" operator="equal">
      <formula>"."</formula>
    </cfRule>
  </conditionalFormatting>
  <conditionalFormatting sqref="BH40:BI52">
    <cfRule type="cellIs" dxfId="177" priority="121" operator="equal">
      <formula>"."</formula>
    </cfRule>
  </conditionalFormatting>
  <conditionalFormatting sqref="BO40:BP52">
    <cfRule type="cellIs" dxfId="176" priority="120" operator="equal">
      <formula>"."</formula>
    </cfRule>
  </conditionalFormatting>
  <conditionalFormatting sqref="BV40:BW52">
    <cfRule type="cellIs" dxfId="175" priority="119" operator="equal">
      <formula>"."</formula>
    </cfRule>
  </conditionalFormatting>
  <conditionalFormatting sqref="CC40:CD52">
    <cfRule type="cellIs" dxfId="174" priority="118" operator="equal">
      <formula>"."</formula>
    </cfRule>
  </conditionalFormatting>
  <conditionalFormatting sqref="CJ40:CK52">
    <cfRule type="cellIs" dxfId="173" priority="117" operator="equal">
      <formula>"."</formula>
    </cfRule>
  </conditionalFormatting>
  <conditionalFormatting sqref="CQ40:CR52">
    <cfRule type="cellIs" dxfId="172" priority="116" operator="equal">
      <formula>"."</formula>
    </cfRule>
  </conditionalFormatting>
  <conditionalFormatting sqref="T40:X52">
    <cfRule type="cellIs" dxfId="171" priority="115" operator="equal">
      <formula>"."</formula>
    </cfRule>
  </conditionalFormatting>
  <conditionalFormatting sqref="AA40:AE52">
    <cfRule type="cellIs" dxfId="170" priority="114" operator="equal">
      <formula>"."</formula>
    </cfRule>
  </conditionalFormatting>
  <conditionalFormatting sqref="AH40:AL52">
    <cfRule type="cellIs" dxfId="169" priority="113" operator="equal">
      <formula>"."</formula>
    </cfRule>
  </conditionalFormatting>
  <conditionalFormatting sqref="AO40:AS52">
    <cfRule type="cellIs" dxfId="168" priority="112" operator="equal">
      <formula>"."</formula>
    </cfRule>
  </conditionalFormatting>
  <conditionalFormatting sqref="AV40:AZ52">
    <cfRule type="cellIs" dxfId="167" priority="111" operator="equal">
      <formula>"."</formula>
    </cfRule>
  </conditionalFormatting>
  <conditionalFormatting sqref="BC40:BG52">
    <cfRule type="cellIs" dxfId="166" priority="110" operator="equal">
      <formula>"."</formula>
    </cfRule>
  </conditionalFormatting>
  <conditionalFormatting sqref="BJ40:BN52">
    <cfRule type="cellIs" dxfId="165" priority="109" operator="equal">
      <formula>"."</formula>
    </cfRule>
  </conditionalFormatting>
  <conditionalFormatting sqref="BQ40:BU52">
    <cfRule type="cellIs" dxfId="164" priority="108" operator="equal">
      <formula>"."</formula>
    </cfRule>
  </conditionalFormatting>
  <conditionalFormatting sqref="BX40:CB52">
    <cfRule type="cellIs" dxfId="163" priority="107" operator="equal">
      <formula>"."</formula>
    </cfRule>
  </conditionalFormatting>
  <conditionalFormatting sqref="CE40:CI52">
    <cfRule type="cellIs" dxfId="162" priority="106" operator="equal">
      <formula>"."</formula>
    </cfRule>
  </conditionalFormatting>
  <conditionalFormatting sqref="CL40:CP52">
    <cfRule type="cellIs" dxfId="161" priority="105" operator="equal">
      <formula>"."</formula>
    </cfRule>
  </conditionalFormatting>
  <conditionalFormatting sqref="CS40:CW52">
    <cfRule type="cellIs" dxfId="160" priority="104" operator="equal">
      <formula>"."</formula>
    </cfRule>
  </conditionalFormatting>
  <conditionalFormatting sqref="CZ40:DD52">
    <cfRule type="cellIs" dxfId="159" priority="103" operator="equal">
      <formula>"."</formula>
    </cfRule>
  </conditionalFormatting>
  <conditionalFormatting sqref="DG40:DK52">
    <cfRule type="cellIs" dxfId="158" priority="102" operator="equal">
      <formula>"."</formula>
    </cfRule>
  </conditionalFormatting>
  <conditionalFormatting sqref="DN40:DR52">
    <cfRule type="cellIs" dxfId="157" priority="101" operator="equal">
      <formula>"."</formula>
    </cfRule>
  </conditionalFormatting>
  <conditionalFormatting sqref="DU40:DY52">
    <cfRule type="cellIs" dxfId="156" priority="100" operator="equal">
      <formula>"."</formula>
    </cfRule>
  </conditionalFormatting>
  <conditionalFormatting sqref="EB40:EF52">
    <cfRule type="cellIs" dxfId="155" priority="99" operator="equal">
      <formula>"."</formula>
    </cfRule>
  </conditionalFormatting>
  <conditionalFormatting sqref="EI40:EM52">
    <cfRule type="cellIs" dxfId="154" priority="98" operator="equal">
      <formula>"."</formula>
    </cfRule>
  </conditionalFormatting>
  <conditionalFormatting sqref="EP40:ET52">
    <cfRule type="cellIs" dxfId="153" priority="97" operator="equal">
      <formula>"."</formula>
    </cfRule>
  </conditionalFormatting>
  <conditionalFormatting sqref="EW40:FA52">
    <cfRule type="cellIs" dxfId="152" priority="96" operator="equal">
      <formula>"."</formula>
    </cfRule>
  </conditionalFormatting>
  <conditionalFormatting sqref="FD40:FH52">
    <cfRule type="cellIs" dxfId="151" priority="95" operator="equal">
      <formula>"."</formula>
    </cfRule>
  </conditionalFormatting>
  <conditionalFormatting sqref="FK40:FO52">
    <cfRule type="cellIs" dxfId="150" priority="94" operator="equal">
      <formula>"."</formula>
    </cfRule>
  </conditionalFormatting>
  <conditionalFormatting sqref="FR40:FV52">
    <cfRule type="cellIs" dxfId="149" priority="93" operator="equal">
      <formula>"."</formula>
    </cfRule>
  </conditionalFormatting>
  <conditionalFormatting sqref="FY40:GC52">
    <cfRule type="cellIs" dxfId="148" priority="92" operator="equal">
      <formula>"."</formula>
    </cfRule>
  </conditionalFormatting>
  <conditionalFormatting sqref="GF40:GJ52">
    <cfRule type="cellIs" dxfId="147" priority="91" operator="equal">
      <formula>"."</formula>
    </cfRule>
  </conditionalFormatting>
  <conditionalFormatting sqref="M40:GL52">
    <cfRule type="cellIs" dxfId="146" priority="88" operator="equal">
      <formula>"."</formula>
    </cfRule>
  </conditionalFormatting>
  <conditionalFormatting sqref="M40:GK52">
    <cfRule type="cellIs" dxfId="145" priority="87" operator="equal">
      <formula>"."</formula>
    </cfRule>
  </conditionalFormatting>
  <conditionalFormatting sqref="C53:D61 H53:I61 K53:XFD61">
    <cfRule type="cellIs" dxfId="144" priority="84" operator="equal">
      <formula>"."</formula>
    </cfRule>
  </conditionalFormatting>
  <conditionalFormatting sqref="JL58:XFD61 C58:D61 H58:I61 K58:GL61">
    <cfRule type="cellIs" dxfId="143" priority="83" operator="equal">
      <formula>"."</formula>
    </cfRule>
  </conditionalFormatting>
  <conditionalFormatting sqref="GM6:GS7">
    <cfRule type="expression" dxfId="142" priority="82">
      <formula>GM6=TODAY()</formula>
    </cfRule>
  </conditionalFormatting>
  <conditionalFormatting sqref="GM62:GQ213 GM9:GQ14 GM21:GQ33">
    <cfRule type="cellIs" dxfId="141" priority="81" operator="equal">
      <formula>"."</formula>
    </cfRule>
  </conditionalFormatting>
  <conditionalFormatting sqref="GM21:GS33">
    <cfRule type="cellIs" dxfId="140" priority="80" operator="equal">
      <formula>"."</formula>
    </cfRule>
  </conditionalFormatting>
  <conditionalFormatting sqref="GM40:GQ52">
    <cfRule type="cellIs" dxfId="139" priority="79" operator="equal">
      <formula>"."</formula>
    </cfRule>
  </conditionalFormatting>
  <conditionalFormatting sqref="GM40:GS52">
    <cfRule type="cellIs" dxfId="138" priority="78" operator="equal">
      <formula>"."</formula>
    </cfRule>
  </conditionalFormatting>
  <conditionalFormatting sqref="GM40:GR52">
    <cfRule type="cellIs" dxfId="137" priority="77" operator="equal">
      <formula>"."</formula>
    </cfRule>
  </conditionalFormatting>
  <conditionalFormatting sqref="GM58:GS61">
    <cfRule type="cellIs" dxfId="136" priority="76" operator="equal">
      <formula>"."</formula>
    </cfRule>
  </conditionalFormatting>
  <conditionalFormatting sqref="GT6:GZ7">
    <cfRule type="expression" dxfId="135" priority="75">
      <formula>GT6=TODAY()</formula>
    </cfRule>
  </conditionalFormatting>
  <conditionalFormatting sqref="GT62:GX213 GT9:GX14 GT21:GX33">
    <cfRule type="cellIs" dxfId="134" priority="74" operator="equal">
      <formula>"."</formula>
    </cfRule>
  </conditionalFormatting>
  <conditionalFormatting sqref="GT21:GZ33">
    <cfRule type="cellIs" dxfId="133" priority="73" operator="equal">
      <formula>"."</formula>
    </cfRule>
  </conditionalFormatting>
  <conditionalFormatting sqref="GT40:GX52">
    <cfRule type="cellIs" dxfId="132" priority="72" operator="equal">
      <formula>"."</formula>
    </cfRule>
  </conditionalFormatting>
  <conditionalFormatting sqref="GT40:GZ52">
    <cfRule type="cellIs" dxfId="131" priority="71" operator="equal">
      <formula>"."</formula>
    </cfRule>
  </conditionalFormatting>
  <conditionalFormatting sqref="GT40:GY52">
    <cfRule type="cellIs" dxfId="130" priority="70" operator="equal">
      <formula>"."</formula>
    </cfRule>
  </conditionalFormatting>
  <conditionalFormatting sqref="GT58:GZ61">
    <cfRule type="cellIs" dxfId="129" priority="69" operator="equal">
      <formula>"."</formula>
    </cfRule>
  </conditionalFormatting>
  <conditionalFormatting sqref="HA6:HG7">
    <cfRule type="expression" dxfId="128" priority="68">
      <formula>HA6=TODAY()</formula>
    </cfRule>
  </conditionalFormatting>
  <conditionalFormatting sqref="HA62:HE213 HA9:HE14 HA21:HE33">
    <cfRule type="cellIs" dxfId="127" priority="67" operator="equal">
      <formula>"."</formula>
    </cfRule>
  </conditionalFormatting>
  <conditionalFormatting sqref="HA21:HG33">
    <cfRule type="cellIs" dxfId="126" priority="66" operator="equal">
      <formula>"."</formula>
    </cfRule>
  </conditionalFormatting>
  <conditionalFormatting sqref="HA40:HE52">
    <cfRule type="cellIs" dxfId="125" priority="65" operator="equal">
      <formula>"."</formula>
    </cfRule>
  </conditionalFormatting>
  <conditionalFormatting sqref="HA40:HG52">
    <cfRule type="cellIs" dxfId="124" priority="64" operator="equal">
      <formula>"."</formula>
    </cfRule>
  </conditionalFormatting>
  <conditionalFormatting sqref="HA40:HF52">
    <cfRule type="cellIs" dxfId="123" priority="63" operator="equal">
      <formula>"."</formula>
    </cfRule>
  </conditionalFormatting>
  <conditionalFormatting sqref="HA58:HG61">
    <cfRule type="cellIs" dxfId="122" priority="62" operator="equal">
      <formula>"."</formula>
    </cfRule>
  </conditionalFormatting>
  <conditionalFormatting sqref="HH6:HN7">
    <cfRule type="expression" dxfId="121" priority="61">
      <formula>HH6=TODAY()</formula>
    </cfRule>
  </conditionalFormatting>
  <conditionalFormatting sqref="HH62:HL213 HH9:HL14 HH21:HL33">
    <cfRule type="cellIs" dxfId="120" priority="60" operator="equal">
      <formula>"."</formula>
    </cfRule>
  </conditionalFormatting>
  <conditionalFormatting sqref="HH21:HN33">
    <cfRule type="cellIs" dxfId="119" priority="59" operator="equal">
      <formula>"."</formula>
    </cfRule>
  </conditionalFormatting>
  <conditionalFormatting sqref="HH40:HL52">
    <cfRule type="cellIs" dxfId="118" priority="58" operator="equal">
      <formula>"."</formula>
    </cfRule>
  </conditionalFormatting>
  <conditionalFormatting sqref="HH40:HN52">
    <cfRule type="cellIs" dxfId="117" priority="57" operator="equal">
      <formula>"."</formula>
    </cfRule>
  </conditionalFormatting>
  <conditionalFormatting sqref="HH40:HM52">
    <cfRule type="cellIs" dxfId="116" priority="56" operator="equal">
      <formula>"."</formula>
    </cfRule>
  </conditionalFormatting>
  <conditionalFormatting sqref="HH58:HN61">
    <cfRule type="cellIs" dxfId="115" priority="55" operator="equal">
      <formula>"."</formula>
    </cfRule>
  </conditionalFormatting>
  <conditionalFormatting sqref="HO6:HU7">
    <cfRule type="expression" dxfId="114" priority="54">
      <formula>HO6=TODAY()</formula>
    </cfRule>
  </conditionalFormatting>
  <conditionalFormatting sqref="HO62:HS213 HO9:HS14 HO21:HS33">
    <cfRule type="cellIs" dxfId="113" priority="53" operator="equal">
      <formula>"."</formula>
    </cfRule>
  </conditionalFormatting>
  <conditionalFormatting sqref="HO21:HU33">
    <cfRule type="cellIs" dxfId="112" priority="52" operator="equal">
      <formula>"."</formula>
    </cfRule>
  </conditionalFormatting>
  <conditionalFormatting sqref="HO40:HS52">
    <cfRule type="cellIs" dxfId="111" priority="51" operator="equal">
      <formula>"."</formula>
    </cfRule>
  </conditionalFormatting>
  <conditionalFormatting sqref="HO40:HU52">
    <cfRule type="cellIs" dxfId="110" priority="50" operator="equal">
      <formula>"."</formula>
    </cfRule>
  </conditionalFormatting>
  <conditionalFormatting sqref="HO40:HT52">
    <cfRule type="cellIs" dxfId="109" priority="49" operator="equal">
      <formula>"."</formula>
    </cfRule>
  </conditionalFormatting>
  <conditionalFormatting sqref="HO58:HU61">
    <cfRule type="cellIs" dxfId="108" priority="48" operator="equal">
      <formula>"."</formula>
    </cfRule>
  </conditionalFormatting>
  <conditionalFormatting sqref="HV6:IB7">
    <cfRule type="expression" dxfId="107" priority="47">
      <formula>HV6=TODAY()</formula>
    </cfRule>
  </conditionalFormatting>
  <conditionalFormatting sqref="HV62:HZ213 HV9:HZ14 HV21:HZ33">
    <cfRule type="cellIs" dxfId="106" priority="46" operator="equal">
      <formula>"."</formula>
    </cfRule>
  </conditionalFormatting>
  <conditionalFormatting sqref="HV21:IB33">
    <cfRule type="cellIs" dxfId="105" priority="45" operator="equal">
      <formula>"."</formula>
    </cfRule>
  </conditionalFormatting>
  <conditionalFormatting sqref="HV40:HZ52">
    <cfRule type="cellIs" dxfId="104" priority="44" operator="equal">
      <formula>"."</formula>
    </cfRule>
  </conditionalFormatting>
  <conditionalFormatting sqref="HV40:IB52">
    <cfRule type="cellIs" dxfId="103" priority="43" operator="equal">
      <formula>"."</formula>
    </cfRule>
  </conditionalFormatting>
  <conditionalFormatting sqref="HV40:IA52">
    <cfRule type="cellIs" dxfId="102" priority="42" operator="equal">
      <formula>"."</formula>
    </cfRule>
  </conditionalFormatting>
  <conditionalFormatting sqref="HV58:IB61">
    <cfRule type="cellIs" dxfId="101" priority="41" operator="equal">
      <formula>"."</formula>
    </cfRule>
  </conditionalFormatting>
  <conditionalFormatting sqref="IC6:II7">
    <cfRule type="expression" dxfId="100" priority="40">
      <formula>IC6=TODAY()</formula>
    </cfRule>
  </conditionalFormatting>
  <conditionalFormatting sqref="IC62:IG213 IC9:IG14 IC21:IG33">
    <cfRule type="cellIs" dxfId="99" priority="39" operator="equal">
      <formula>"."</formula>
    </cfRule>
  </conditionalFormatting>
  <conditionalFormatting sqref="IC21:II33">
    <cfRule type="cellIs" dxfId="98" priority="38" operator="equal">
      <formula>"."</formula>
    </cfRule>
  </conditionalFormatting>
  <conditionalFormatting sqref="IC40:IG52">
    <cfRule type="cellIs" dxfId="97" priority="37" operator="equal">
      <formula>"."</formula>
    </cfRule>
  </conditionalFormatting>
  <conditionalFormatting sqref="IC40:II52">
    <cfRule type="cellIs" dxfId="96" priority="36" operator="equal">
      <formula>"."</formula>
    </cfRule>
  </conditionalFormatting>
  <conditionalFormatting sqref="IC40:IH52">
    <cfRule type="cellIs" dxfId="95" priority="35" operator="equal">
      <formula>"."</formula>
    </cfRule>
  </conditionalFormatting>
  <conditionalFormatting sqref="IC58:II61">
    <cfRule type="cellIs" dxfId="94" priority="34" operator="equal">
      <formula>"."</formula>
    </cfRule>
  </conditionalFormatting>
  <conditionalFormatting sqref="IJ6:IP7">
    <cfRule type="expression" dxfId="93" priority="33">
      <formula>IJ6=TODAY()</formula>
    </cfRule>
  </conditionalFormatting>
  <conditionalFormatting sqref="IJ62:IN213 IJ9:IN14 IJ21:IN33">
    <cfRule type="cellIs" dxfId="92" priority="32" operator="equal">
      <formula>"."</formula>
    </cfRule>
  </conditionalFormatting>
  <conditionalFormatting sqref="IJ21:IP33">
    <cfRule type="cellIs" dxfId="91" priority="31" operator="equal">
      <formula>"."</formula>
    </cfRule>
  </conditionalFormatting>
  <conditionalFormatting sqref="IJ40:IN52">
    <cfRule type="cellIs" dxfId="90" priority="30" operator="equal">
      <formula>"."</formula>
    </cfRule>
  </conditionalFormatting>
  <conditionalFormatting sqref="IJ40:IP52">
    <cfRule type="cellIs" dxfId="89" priority="29" operator="equal">
      <formula>"."</formula>
    </cfRule>
  </conditionalFormatting>
  <conditionalFormatting sqref="IJ40:IO52">
    <cfRule type="cellIs" dxfId="88" priority="28" operator="equal">
      <formula>"."</formula>
    </cfRule>
  </conditionalFormatting>
  <conditionalFormatting sqref="IJ58:IP61">
    <cfRule type="cellIs" dxfId="87" priority="27" operator="equal">
      <formula>"."</formula>
    </cfRule>
  </conditionalFormatting>
  <conditionalFormatting sqref="IQ6:IW7">
    <cfRule type="expression" dxfId="86" priority="26">
      <formula>IQ6=TODAY()</formula>
    </cfRule>
  </conditionalFormatting>
  <conditionalFormatting sqref="IQ62:IU213 IQ9:IU14 IQ21:IU33">
    <cfRule type="cellIs" dxfId="85" priority="25" operator="equal">
      <formula>"."</formula>
    </cfRule>
  </conditionalFormatting>
  <conditionalFormatting sqref="IQ21:IW33">
    <cfRule type="cellIs" dxfId="84" priority="24" operator="equal">
      <formula>"."</formula>
    </cfRule>
  </conditionalFormatting>
  <conditionalFormatting sqref="IQ40:IU52">
    <cfRule type="cellIs" dxfId="83" priority="23" operator="equal">
      <formula>"."</formula>
    </cfRule>
  </conditionalFormatting>
  <conditionalFormatting sqref="IQ40:IW52">
    <cfRule type="cellIs" dxfId="82" priority="22" operator="equal">
      <formula>"."</formula>
    </cfRule>
  </conditionalFormatting>
  <conditionalFormatting sqref="IQ40:IV52">
    <cfRule type="cellIs" dxfId="81" priority="21" operator="equal">
      <formula>"."</formula>
    </cfRule>
  </conditionalFormatting>
  <conditionalFormatting sqref="IQ58:IW61">
    <cfRule type="cellIs" dxfId="80" priority="20" operator="equal">
      <formula>"."</formula>
    </cfRule>
  </conditionalFormatting>
  <conditionalFormatting sqref="IX6:JD7">
    <cfRule type="expression" dxfId="79" priority="19">
      <formula>IX6=TODAY()</formula>
    </cfRule>
  </conditionalFormatting>
  <conditionalFormatting sqref="IX62:JB213 IX9:JB14 IX21:JB33">
    <cfRule type="cellIs" dxfId="78" priority="18" operator="equal">
      <formula>"."</formula>
    </cfRule>
  </conditionalFormatting>
  <conditionalFormatting sqref="IX21:JD33">
    <cfRule type="cellIs" dxfId="77" priority="17" operator="equal">
      <formula>"."</formula>
    </cfRule>
  </conditionalFormatting>
  <conditionalFormatting sqref="IX40:JB52">
    <cfRule type="cellIs" dxfId="76" priority="16" operator="equal">
      <formula>"."</formula>
    </cfRule>
  </conditionalFormatting>
  <conditionalFormatting sqref="IX40:JD52">
    <cfRule type="cellIs" dxfId="75" priority="15" operator="equal">
      <formula>"."</formula>
    </cfRule>
  </conditionalFormatting>
  <conditionalFormatting sqref="IX40:JC52">
    <cfRule type="cellIs" dxfId="74" priority="14" operator="equal">
      <formula>"."</formula>
    </cfRule>
  </conditionalFormatting>
  <conditionalFormatting sqref="IX58:JD61">
    <cfRule type="cellIs" dxfId="73" priority="13" operator="equal">
      <formula>"."</formula>
    </cfRule>
  </conditionalFormatting>
  <conditionalFormatting sqref="JE6:JK7">
    <cfRule type="expression" dxfId="72" priority="12">
      <formula>JE6=TODAY()</formula>
    </cfRule>
  </conditionalFormatting>
  <conditionalFormatting sqref="JE62:JI213 JE9:JI14 JE21:JI33">
    <cfRule type="cellIs" dxfId="71" priority="11" operator="equal">
      <formula>"."</formula>
    </cfRule>
  </conditionalFormatting>
  <conditionalFormatting sqref="JE21:JK33">
    <cfRule type="cellIs" dxfId="70" priority="10" operator="equal">
      <formula>"."</formula>
    </cfRule>
  </conditionalFormatting>
  <conditionalFormatting sqref="JE40:JI52">
    <cfRule type="cellIs" dxfId="69" priority="9" operator="equal">
      <formula>"."</formula>
    </cfRule>
  </conditionalFormatting>
  <conditionalFormatting sqref="JE40:JK52">
    <cfRule type="cellIs" dxfId="68" priority="8" operator="equal">
      <formula>"."</formula>
    </cfRule>
  </conditionalFormatting>
  <conditionalFormatting sqref="JE40:JJ52">
    <cfRule type="cellIs" dxfId="67" priority="7" operator="equal">
      <formula>"."</formula>
    </cfRule>
  </conditionalFormatting>
  <conditionalFormatting sqref="JE58:JK61">
    <cfRule type="cellIs" dxfId="66" priority="6" operator="equal">
      <formula>"."</formula>
    </cfRule>
  </conditionalFormatting>
  <conditionalFormatting sqref="F9:F18 F20:F61">
    <cfRule type="expression" dxfId="65" priority="5">
      <formula>WEEKDAY($F9,2)&gt;5</formula>
    </cfRule>
  </conditionalFormatting>
  <conditionalFormatting sqref="F1048574:F1048576">
    <cfRule type="expression" dxfId="64" priority="174">
      <formula>WEEKDAY(F45,2)&gt;5</formula>
    </cfRule>
  </conditionalFormatting>
  <conditionalFormatting sqref="F19">
    <cfRule type="expression" dxfId="63" priority="1">
      <formula>WEEKDAY($F19,2)&gt;5</formula>
    </cfRule>
  </conditionalFormatting>
  <conditionalFormatting sqref="F1048530:F1048573">
    <cfRule type="expression" dxfId="62" priority="226">
      <formula>WEEKDAY(F6,2)&gt;5</formula>
    </cfRule>
  </conditionalFormatting>
  <pageMargins left="0.7" right="0.7" top="0.75" bottom="0.75" header="0.3" footer="0.3"/>
  <pageSetup paperSize="9" scale="20" orientation="landscape" horizontalDpi="4294967293" verticalDpi="429496729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32" id="{3178A7F7-B3EB-4061-8D09-CF6662B38014}">
            <x14:iconSet showValue="0" custom="1">
              <x14:cfvo type="percent">
                <xm:f>0</xm:f>
              </x14:cfvo>
              <x14:cfvo type="num" gte="0">
                <xm:f>0</xm:f>
              </x14:cfvo>
              <x14:cfvo type="num" gte="0">
                <xm:f>0.05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L21:L22 L24:L33</xm:sqref>
        </x14:conditionalFormatting>
        <x14:conditionalFormatting xmlns:xm="http://schemas.microsoft.com/office/excel/2006/main">
          <x14:cfRule type="iconSet" priority="131" id="{35C59F42-3DE8-4139-A170-29BC64831872}">
            <x14:iconSet showValue="0" custom="1">
              <x14:cfvo type="percent">
                <xm:f>0</xm:f>
              </x14:cfvo>
              <x14:cfvo type="num" gte="0">
                <xm:f>0</xm:f>
              </x14:cfvo>
              <x14:cfvo type="num" gte="0">
                <xm:f>0.05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L23</xm:sqref>
        </x14:conditionalFormatting>
        <x14:conditionalFormatting xmlns:xm="http://schemas.microsoft.com/office/excel/2006/main">
          <x14:cfRule type="iconSet" priority="90" id="{745968D4-EA8C-4F47-A3B4-50FC2C65ED2A}">
            <x14:iconSet showValue="0" custom="1">
              <x14:cfvo type="percent">
                <xm:f>0</xm:f>
              </x14:cfvo>
              <x14:cfvo type="num" gte="0">
                <xm:f>0</xm:f>
              </x14:cfvo>
              <x14:cfvo type="num" gte="0">
                <xm:f>0.05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L42:L52 L39:L40</xm:sqref>
        </x14:conditionalFormatting>
        <x14:conditionalFormatting xmlns:xm="http://schemas.microsoft.com/office/excel/2006/main">
          <x14:cfRule type="iconSet" priority="89" id="{84D89226-12AD-408B-9938-7C8F4D423ADE}">
            <x14:iconSet showValue="0" custom="1">
              <x14:cfvo type="percent">
                <xm:f>0</xm:f>
              </x14:cfvo>
              <x14:cfvo type="num" gte="0">
                <xm:f>0</xm:f>
              </x14:cfvo>
              <x14:cfvo type="num" gte="0">
                <xm:f>0.05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L41</xm:sqref>
        </x14:conditionalFormatting>
        <x14:conditionalFormatting xmlns:xm="http://schemas.microsoft.com/office/excel/2006/main">
          <x14:cfRule type="iconSet" priority="86" id="{AE07FD51-3F52-4059-8A3F-5DDCDBF040C3}">
            <x14:iconSet showValue="0" custom="1">
              <x14:cfvo type="percent">
                <xm:f>0</xm:f>
              </x14:cfvo>
              <x14:cfvo type="num" gte="0">
                <xm:f>0</xm:f>
              </x14:cfvo>
              <x14:cfvo type="num" gte="0">
                <xm:f>0.05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L34:L38</xm:sqref>
        </x14:conditionalFormatting>
        <x14:conditionalFormatting xmlns:xm="http://schemas.microsoft.com/office/excel/2006/main">
          <x14:cfRule type="iconSet" priority="85" id="{654D1F23-8E29-4F47-B404-4C9CA03F973A}">
            <x14:iconSet showValue="0" custom="1">
              <x14:cfvo type="percent">
                <xm:f>0</xm:f>
              </x14:cfvo>
              <x14:cfvo type="num" gte="0">
                <xm:f>0</xm:f>
              </x14:cfvo>
              <x14:cfvo type="num" gte="0">
                <xm:f>0.05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L53:L57</xm:sqref>
        </x14:conditionalFormatting>
        <x14:conditionalFormatting xmlns:xm="http://schemas.microsoft.com/office/excel/2006/main">
          <x14:cfRule type="iconSet" priority="171" id="{373B1F84-46F2-4473-ACC3-9886318F2049}">
            <x14:iconSet showValue="0" custom="1">
              <x14:cfvo type="percent">
                <xm:f>0</xm:f>
              </x14:cfvo>
              <x14:cfvo type="num" gte="0">
                <xm:f>0</xm:f>
              </x14:cfvo>
              <x14:cfvo type="num" gte="0">
                <xm:f>0.05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L58:L61</xm:sqref>
        </x14:conditionalFormatting>
        <x14:conditionalFormatting xmlns:xm="http://schemas.microsoft.com/office/excel/2006/main">
          <x14:cfRule type="iconSet" priority="172" id="{238E062C-2C0F-45D5-803F-A2774D57B371}">
            <x14:iconSet showValue="0" custom="1">
              <x14:cfvo type="percent">
                <xm:f>0</xm:f>
              </x14:cfvo>
              <x14:cfvo type="num" gte="0">
                <xm:f>0</xm:f>
              </x14:cfvo>
              <x14:cfvo type="num" gte="0">
                <xm:f>0.05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L9:L18 L20</xm:sqref>
        </x14:conditionalFormatting>
        <x14:conditionalFormatting xmlns:xm="http://schemas.microsoft.com/office/excel/2006/main">
          <x14:cfRule type="iconSet" priority="4" id="{B8404B5E-46C2-44D6-9456-47146621D26B}">
            <x14:iconSet showValue="0" custom="1">
              <x14:cfvo type="percent">
                <xm:f>0</xm:f>
              </x14:cfvo>
              <x14:cfvo type="num" gte="0">
                <xm:f>0</xm:f>
              </x14:cfvo>
              <x14:cfvo type="num" gte="0">
                <xm:f>0.05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L19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Resources!$B:$B</xm:f>
          </x14:formula1>
          <xm:sqref>D9:D1048576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M28"/>
  <sheetViews>
    <sheetView workbookViewId="0">
      <selection activeCell="D3" sqref="D3"/>
    </sheetView>
  </sheetViews>
  <sheetFormatPr defaultRowHeight="14.45"/>
  <cols>
    <col min="1" max="1" width="3.7109375" customWidth="1"/>
    <col min="2" max="2" width="27.140625" customWidth="1"/>
    <col min="3" max="4" width="12.7109375" customWidth="1"/>
    <col min="6" max="6" width="30.85546875" customWidth="1"/>
    <col min="7" max="8" width="12.7109375" customWidth="1"/>
    <col min="10" max="10" width="29.7109375" customWidth="1"/>
    <col min="11" max="12" width="12.7109375" customWidth="1"/>
  </cols>
  <sheetData>
    <row r="1" spans="1:13">
      <c r="A1" s="98"/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</row>
    <row r="2" spans="1:13">
      <c r="A2" s="98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</row>
    <row r="3" spans="1:13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</row>
    <row r="4" spans="1:13">
      <c r="A4" s="98"/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</row>
    <row r="5" spans="1:13">
      <c r="A5" s="98"/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</row>
    <row r="6" spans="1:13" ht="20.25" customHeight="1">
      <c r="A6" s="98"/>
      <c r="B6" s="178" t="s">
        <v>80</v>
      </c>
      <c r="C6" s="179"/>
      <c r="D6" s="180"/>
      <c r="E6" s="181"/>
      <c r="F6" s="178" t="s">
        <v>81</v>
      </c>
      <c r="G6" s="179"/>
      <c r="H6" s="180"/>
      <c r="I6" s="181"/>
      <c r="J6" s="178" t="s">
        <v>82</v>
      </c>
      <c r="K6" s="179"/>
      <c r="L6" s="180"/>
      <c r="M6" s="98"/>
    </row>
    <row r="7" spans="1:13">
      <c r="A7" s="98"/>
      <c r="B7" s="137" t="s">
        <v>83</v>
      </c>
      <c r="C7" s="138" t="s">
        <v>84</v>
      </c>
      <c r="D7" s="137" t="s">
        <v>85</v>
      </c>
      <c r="E7" s="181"/>
      <c r="F7" s="137" t="s">
        <v>83</v>
      </c>
      <c r="G7" s="137" t="s">
        <v>84</v>
      </c>
      <c r="H7" s="137" t="s">
        <v>85</v>
      </c>
      <c r="I7" s="181"/>
      <c r="J7" s="36" t="s">
        <v>83</v>
      </c>
      <c r="K7" s="37" t="s">
        <v>84</v>
      </c>
      <c r="L7" s="36" t="s">
        <v>85</v>
      </c>
      <c r="M7" s="98"/>
    </row>
    <row r="8" spans="1:13">
      <c r="A8" s="98"/>
      <c r="B8" s="31" t="s">
        <v>86</v>
      </c>
      <c r="C8" s="34">
        <v>750000</v>
      </c>
      <c r="D8" s="35">
        <f>SUM(Resources!G:G)</f>
        <v>297000</v>
      </c>
      <c r="E8" s="181"/>
      <c r="F8" s="31" t="s">
        <v>87</v>
      </c>
      <c r="G8" s="34">
        <v>12000</v>
      </c>
      <c r="H8" s="35">
        <v>0</v>
      </c>
      <c r="I8" s="181"/>
      <c r="J8" s="31" t="s">
        <v>88</v>
      </c>
      <c r="K8" s="34">
        <v>5000</v>
      </c>
      <c r="L8" s="35">
        <v>2000</v>
      </c>
      <c r="M8" s="98"/>
    </row>
    <row r="9" spans="1:13">
      <c r="A9" s="98"/>
      <c r="B9" s="31" t="s">
        <v>89</v>
      </c>
      <c r="C9" s="34">
        <v>50000</v>
      </c>
      <c r="D9" s="35">
        <v>35000</v>
      </c>
      <c r="E9" s="181"/>
      <c r="F9" s="31" t="s">
        <v>90</v>
      </c>
      <c r="G9" s="34">
        <v>57000</v>
      </c>
      <c r="H9" s="35">
        <v>0</v>
      </c>
      <c r="I9" s="181"/>
      <c r="J9" s="31" t="s">
        <v>91</v>
      </c>
      <c r="K9" s="34">
        <v>1000</v>
      </c>
      <c r="L9" s="35">
        <v>0</v>
      </c>
      <c r="M9" s="98"/>
    </row>
    <row r="10" spans="1:13">
      <c r="A10" s="98"/>
      <c r="B10" s="31" t="s">
        <v>92</v>
      </c>
      <c r="C10" s="34">
        <v>25000</v>
      </c>
      <c r="D10" s="35">
        <v>1500</v>
      </c>
      <c r="E10" s="181"/>
      <c r="F10" s="31" t="s">
        <v>93</v>
      </c>
      <c r="G10" s="34">
        <v>25000</v>
      </c>
      <c r="H10" s="35">
        <v>200</v>
      </c>
      <c r="I10" s="181"/>
      <c r="J10" s="31" t="s">
        <v>94</v>
      </c>
      <c r="K10" s="34">
        <v>500</v>
      </c>
      <c r="L10" s="35">
        <v>200</v>
      </c>
      <c r="M10" s="98"/>
    </row>
    <row r="11" spans="1:13">
      <c r="A11" s="98"/>
      <c r="B11" s="31"/>
      <c r="C11" s="34"/>
      <c r="D11" s="35"/>
      <c r="E11" s="181"/>
      <c r="F11" s="31" t="s">
        <v>95</v>
      </c>
      <c r="G11" s="34">
        <v>4000</v>
      </c>
      <c r="H11" s="35">
        <v>1000</v>
      </c>
      <c r="I11" s="181"/>
      <c r="J11" s="31" t="s">
        <v>96</v>
      </c>
      <c r="K11" s="34">
        <v>1200</v>
      </c>
      <c r="L11" s="35">
        <v>1000</v>
      </c>
      <c r="M11" s="98"/>
    </row>
    <row r="12" spans="1:13">
      <c r="A12" s="98"/>
      <c r="B12" s="31"/>
      <c r="C12" s="34"/>
      <c r="D12" s="35"/>
      <c r="E12" s="181"/>
      <c r="F12" s="31" t="s">
        <v>97</v>
      </c>
      <c r="G12" s="34">
        <v>2000</v>
      </c>
      <c r="H12" s="35">
        <v>1500</v>
      </c>
      <c r="I12" s="181"/>
      <c r="J12" s="31"/>
      <c r="K12" s="34"/>
      <c r="L12" s="35"/>
      <c r="M12" s="98"/>
    </row>
    <row r="13" spans="1:13">
      <c r="A13" s="98"/>
      <c r="B13" s="31"/>
      <c r="C13" s="34"/>
      <c r="D13" s="35"/>
      <c r="E13" s="181"/>
      <c r="F13" s="31" t="s">
        <v>98</v>
      </c>
      <c r="G13" s="34">
        <v>5000</v>
      </c>
      <c r="H13" s="35">
        <v>0</v>
      </c>
      <c r="I13" s="181"/>
      <c r="J13" s="31"/>
      <c r="K13" s="34"/>
      <c r="L13" s="35"/>
      <c r="M13" s="98"/>
    </row>
    <row r="14" spans="1:13">
      <c r="A14" s="98"/>
      <c r="B14" s="31"/>
      <c r="C14" s="34"/>
      <c r="D14" s="35"/>
      <c r="E14" s="181"/>
      <c r="F14" s="31" t="s">
        <v>99</v>
      </c>
      <c r="G14" s="34">
        <v>4000</v>
      </c>
      <c r="H14" s="35">
        <v>2000</v>
      </c>
      <c r="I14" s="181"/>
      <c r="J14" s="31"/>
      <c r="K14" s="34"/>
      <c r="L14" s="35"/>
      <c r="M14" s="98"/>
    </row>
    <row r="15" spans="1:13">
      <c r="A15" s="98"/>
      <c r="B15" s="31"/>
      <c r="C15" s="34"/>
      <c r="D15" s="35"/>
      <c r="E15" s="181"/>
      <c r="F15" s="31"/>
      <c r="G15" s="34"/>
      <c r="H15" s="35"/>
      <c r="I15" s="181"/>
      <c r="J15" s="31"/>
      <c r="K15" s="34"/>
      <c r="L15" s="35"/>
      <c r="M15" s="98"/>
    </row>
    <row r="16" spans="1:13">
      <c r="A16" s="98"/>
      <c r="B16" s="31"/>
      <c r="C16" s="34"/>
      <c r="D16" s="35"/>
      <c r="E16" s="181"/>
      <c r="F16" s="31"/>
      <c r="G16" s="34"/>
      <c r="H16" s="35"/>
      <c r="I16" s="181"/>
      <c r="J16" s="31"/>
      <c r="K16" s="34"/>
      <c r="L16" s="35"/>
      <c r="M16" s="98"/>
    </row>
    <row r="17" spans="1:13">
      <c r="A17" s="98"/>
      <c r="B17" s="31"/>
      <c r="C17" s="34"/>
      <c r="D17" s="35"/>
      <c r="E17" s="181"/>
      <c r="F17" s="31"/>
      <c r="G17" s="34"/>
      <c r="H17" s="35"/>
      <c r="I17" s="181"/>
      <c r="J17" s="31"/>
      <c r="K17" s="34"/>
      <c r="L17" s="35"/>
      <c r="M17" s="98"/>
    </row>
    <row r="18" spans="1:13">
      <c r="A18" s="98"/>
      <c r="B18" s="31"/>
      <c r="C18" s="34"/>
      <c r="D18" s="35"/>
      <c r="E18" s="181"/>
      <c r="F18" s="31"/>
      <c r="G18" s="34"/>
      <c r="H18" s="35"/>
      <c r="I18" s="181"/>
      <c r="J18" s="31"/>
      <c r="K18" s="34"/>
      <c r="L18" s="35"/>
      <c r="M18" s="98"/>
    </row>
    <row r="19" spans="1:13">
      <c r="A19" s="98"/>
      <c r="B19" s="31"/>
      <c r="C19" s="34"/>
      <c r="D19" s="35"/>
      <c r="E19" s="181"/>
      <c r="F19" s="31"/>
      <c r="G19" s="34"/>
      <c r="H19" s="35"/>
      <c r="I19" s="181"/>
      <c r="J19" s="31"/>
      <c r="K19" s="34"/>
      <c r="L19" s="35"/>
      <c r="M19" s="98"/>
    </row>
    <row r="20" spans="1:13">
      <c r="A20" s="98"/>
      <c r="B20" s="31"/>
      <c r="C20" s="34"/>
      <c r="D20" s="35"/>
      <c r="E20" s="181"/>
      <c r="F20" s="31"/>
      <c r="G20" s="34"/>
      <c r="H20" s="35"/>
      <c r="I20" s="181"/>
      <c r="J20" s="31"/>
      <c r="K20" s="34"/>
      <c r="L20" s="35"/>
      <c r="M20" s="98"/>
    </row>
    <row r="21" spans="1:13">
      <c r="A21" s="98"/>
      <c r="B21" s="31"/>
      <c r="C21" s="34"/>
      <c r="D21" s="35"/>
      <c r="E21" s="181"/>
      <c r="F21" s="31"/>
      <c r="G21" s="34"/>
      <c r="H21" s="35"/>
      <c r="I21" s="181"/>
      <c r="J21" s="31"/>
      <c r="K21" s="34"/>
      <c r="L21" s="35"/>
      <c r="M21" s="98"/>
    </row>
    <row r="22" spans="1:13">
      <c r="A22" s="98"/>
      <c r="B22" s="31"/>
      <c r="C22" s="34"/>
      <c r="D22" s="35"/>
      <c r="E22" s="181"/>
      <c r="F22" s="31"/>
      <c r="G22" s="34"/>
      <c r="H22" s="35"/>
      <c r="I22" s="181"/>
      <c r="J22" s="31"/>
      <c r="K22" s="34"/>
      <c r="L22" s="35"/>
      <c r="M22" s="98"/>
    </row>
    <row r="23" spans="1:13">
      <c r="A23" s="98"/>
      <c r="B23" s="31"/>
      <c r="C23" s="34"/>
      <c r="D23" s="35"/>
      <c r="E23" s="181"/>
      <c r="F23" s="31"/>
      <c r="G23" s="34"/>
      <c r="H23" s="35"/>
      <c r="I23" s="181"/>
      <c r="J23" s="31"/>
      <c r="K23" s="34"/>
      <c r="L23" s="35"/>
      <c r="M23" s="98"/>
    </row>
    <row r="24" spans="1:13">
      <c r="A24" s="98"/>
      <c r="B24" s="31"/>
      <c r="C24" s="34"/>
      <c r="D24" s="35"/>
      <c r="E24" s="181"/>
      <c r="F24" s="31"/>
      <c r="G24" s="34"/>
      <c r="H24" s="35"/>
      <c r="I24" s="181"/>
      <c r="J24" s="31"/>
      <c r="K24" s="34"/>
      <c r="L24" s="35"/>
      <c r="M24" s="98"/>
    </row>
    <row r="25" spans="1:13">
      <c r="A25" s="98"/>
      <c r="B25" s="31"/>
      <c r="C25" s="34"/>
      <c r="D25" s="35"/>
      <c r="E25" s="181"/>
      <c r="F25" s="31"/>
      <c r="G25" s="34"/>
      <c r="H25" s="35"/>
      <c r="I25" s="181"/>
      <c r="J25" s="31"/>
      <c r="K25" s="34"/>
      <c r="L25" s="35"/>
      <c r="M25" s="98"/>
    </row>
    <row r="26" spans="1:13">
      <c r="A26" s="98"/>
      <c r="B26" s="30" t="s">
        <v>100</v>
      </c>
      <c r="C26" s="33">
        <f>SUM(C8:C25)</f>
        <v>825000</v>
      </c>
      <c r="D26" s="33">
        <f>SUM(D8:D25)</f>
        <v>333500</v>
      </c>
      <c r="E26" s="181"/>
      <c r="F26" s="30" t="s">
        <v>100</v>
      </c>
      <c r="G26" s="33">
        <f>SUM(G8:G25)</f>
        <v>109000</v>
      </c>
      <c r="H26" s="33">
        <f>SUM(H8:H25)</f>
        <v>4700</v>
      </c>
      <c r="I26" s="181"/>
      <c r="J26" s="32" t="s">
        <v>100</v>
      </c>
      <c r="K26" s="33">
        <f>SUM(K7:K10)</f>
        <v>6500</v>
      </c>
      <c r="L26" s="33">
        <f>SUM(L7:L10)</f>
        <v>2200</v>
      </c>
      <c r="M26" s="98"/>
    </row>
    <row r="27" spans="1:13">
      <c r="A27" s="98"/>
      <c r="B27" s="177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98"/>
    </row>
    <row r="28" spans="1:13">
      <c r="A28" s="98"/>
      <c r="B28" s="177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98"/>
    </row>
  </sheetData>
  <mergeCells count="6">
    <mergeCell ref="B27:L28"/>
    <mergeCell ref="B6:D6"/>
    <mergeCell ref="F6:H6"/>
    <mergeCell ref="E6:E26"/>
    <mergeCell ref="I6:I26"/>
    <mergeCell ref="J6:L6"/>
  </mergeCells>
  <conditionalFormatting sqref="B8:D25">
    <cfRule type="cellIs" dxfId="61" priority="6" operator="equal">
      <formula>""</formula>
    </cfRule>
  </conditionalFormatting>
  <conditionalFormatting sqref="F8:H25">
    <cfRule type="cellIs" dxfId="60" priority="3" operator="equal">
      <formula>""</formula>
    </cfRule>
  </conditionalFormatting>
  <conditionalFormatting sqref="J8:L10 J12:L25">
    <cfRule type="cellIs" dxfId="59" priority="2" operator="equal">
      <formula>""</formula>
    </cfRule>
  </conditionalFormatting>
  <conditionalFormatting sqref="J11:L11">
    <cfRule type="cellIs" dxfId="58" priority="1" operator="equal">
      <formula>""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X205"/>
  <sheetViews>
    <sheetView workbookViewId="0">
      <pane xSplit="7" ySplit="6" topLeftCell="L7" activePane="bottomRight" state="frozen"/>
      <selection pane="bottomRight" activeCell="AA31" sqref="AA31"/>
      <selection pane="bottomLeft" activeCell="A2" sqref="A2"/>
      <selection pane="topRight" activeCell="A2" sqref="A2"/>
    </sheetView>
  </sheetViews>
  <sheetFormatPr defaultColWidth="9.140625" defaultRowHeight="14.1"/>
  <cols>
    <col min="1" max="1" width="3.7109375" style="39" customWidth="1"/>
    <col min="2" max="2" width="17.7109375" style="39" customWidth="1"/>
    <col min="3" max="3" width="9" style="39" bestFit="1" customWidth="1"/>
    <col min="4" max="4" width="6" style="41" customWidth="1"/>
    <col min="5" max="5" width="4.7109375" style="42" bestFit="1" customWidth="1"/>
    <col min="6" max="6" width="5.5703125" style="42" customWidth="1"/>
    <col min="7" max="7" width="9.85546875" style="39" customWidth="1"/>
    <col min="8" max="8" width="3.7109375" style="10" customWidth="1"/>
    <col min="9" max="50" width="3.7109375" style="44" customWidth="1"/>
    <col min="51" max="16384" width="9.140625" style="39"/>
  </cols>
  <sheetData>
    <row r="1" spans="1:50" ht="16.5" customHeight="1">
      <c r="A1" s="93"/>
      <c r="B1" s="93"/>
      <c r="C1" s="93"/>
      <c r="D1" s="99"/>
      <c r="E1" s="100"/>
      <c r="F1" s="100"/>
      <c r="G1" s="93"/>
      <c r="H1" s="94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</row>
    <row r="2" spans="1:50">
      <c r="A2" s="93"/>
      <c r="B2" s="93"/>
      <c r="C2" s="93"/>
      <c r="D2" s="99"/>
      <c r="E2" s="100"/>
      <c r="F2" s="100"/>
      <c r="G2" s="93"/>
      <c r="H2" s="94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1"/>
    </row>
    <row r="3" spans="1:50">
      <c r="A3" s="93"/>
      <c r="B3" s="93"/>
      <c r="C3" s="93"/>
      <c r="D3" s="99"/>
      <c r="E3" s="100"/>
      <c r="F3" s="100"/>
      <c r="G3" s="93"/>
      <c r="H3" s="94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  <c r="AW3" s="101"/>
      <c r="AX3" s="101"/>
    </row>
    <row r="4" spans="1:50">
      <c r="A4" s="93"/>
      <c r="B4" s="93"/>
      <c r="C4" s="93"/>
      <c r="D4" s="99"/>
      <c r="E4" s="100"/>
      <c r="F4" s="100"/>
      <c r="G4" s="93"/>
      <c r="H4" s="94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1"/>
      <c r="AQ4" s="101"/>
      <c r="AR4" s="101"/>
      <c r="AS4" s="101"/>
      <c r="AT4" s="101"/>
      <c r="AU4" s="101"/>
      <c r="AV4" s="101"/>
      <c r="AW4" s="101"/>
      <c r="AX4" s="101"/>
    </row>
    <row r="5" spans="1:50" ht="16.5" customHeight="1">
      <c r="A5" s="93"/>
      <c r="B5" s="93"/>
      <c r="C5" s="93"/>
      <c r="D5" s="99"/>
      <c r="E5" s="100"/>
      <c r="F5" s="100"/>
      <c r="G5" s="93"/>
      <c r="H5" s="94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L5" s="101"/>
      <c r="AM5" s="101"/>
      <c r="AN5" s="101"/>
      <c r="AO5" s="101"/>
      <c r="AP5" s="101"/>
      <c r="AQ5" s="101"/>
      <c r="AR5" s="101"/>
      <c r="AS5" s="101"/>
      <c r="AT5" s="101"/>
      <c r="AU5" s="101"/>
      <c r="AV5" s="101"/>
      <c r="AW5" s="101"/>
      <c r="AX5" s="101"/>
    </row>
    <row r="6" spans="1:50" ht="30.6">
      <c r="A6" s="93"/>
      <c r="B6" s="19" t="s">
        <v>13</v>
      </c>
      <c r="C6" s="21" t="s">
        <v>101</v>
      </c>
      <c r="D6" s="38" t="s">
        <v>102</v>
      </c>
      <c r="E6" s="21" t="s">
        <v>103</v>
      </c>
      <c r="F6" s="21" t="s">
        <v>104</v>
      </c>
      <c r="G6" s="19" t="s">
        <v>105</v>
      </c>
      <c r="H6" s="20">
        <v>42492</v>
      </c>
      <c r="I6" s="20">
        <f>H6+7</f>
        <v>42499</v>
      </c>
      <c r="J6" s="20">
        <f t="shared" ref="J6:AP6" si="0">I6+7</f>
        <v>42506</v>
      </c>
      <c r="K6" s="20">
        <f t="shared" si="0"/>
        <v>42513</v>
      </c>
      <c r="L6" s="20">
        <f t="shared" si="0"/>
        <v>42520</v>
      </c>
      <c r="M6" s="20">
        <f t="shared" si="0"/>
        <v>42527</v>
      </c>
      <c r="N6" s="20">
        <f t="shared" si="0"/>
        <v>42534</v>
      </c>
      <c r="O6" s="20">
        <f t="shared" si="0"/>
        <v>42541</v>
      </c>
      <c r="P6" s="20">
        <f t="shared" si="0"/>
        <v>42548</v>
      </c>
      <c r="Q6" s="20">
        <f t="shared" si="0"/>
        <v>42555</v>
      </c>
      <c r="R6" s="20">
        <f t="shared" si="0"/>
        <v>42562</v>
      </c>
      <c r="S6" s="20">
        <f t="shared" si="0"/>
        <v>42569</v>
      </c>
      <c r="T6" s="20">
        <f t="shared" si="0"/>
        <v>42576</v>
      </c>
      <c r="U6" s="20">
        <f t="shared" si="0"/>
        <v>42583</v>
      </c>
      <c r="V6" s="20">
        <f t="shared" si="0"/>
        <v>42590</v>
      </c>
      <c r="W6" s="20">
        <f t="shared" si="0"/>
        <v>42597</v>
      </c>
      <c r="X6" s="20">
        <f t="shared" si="0"/>
        <v>42604</v>
      </c>
      <c r="Y6" s="20">
        <f t="shared" si="0"/>
        <v>42611</v>
      </c>
      <c r="Z6" s="20">
        <f t="shared" si="0"/>
        <v>42618</v>
      </c>
      <c r="AA6" s="20">
        <f t="shared" si="0"/>
        <v>42625</v>
      </c>
      <c r="AB6" s="20">
        <f t="shared" si="0"/>
        <v>42632</v>
      </c>
      <c r="AC6" s="20">
        <f t="shared" si="0"/>
        <v>42639</v>
      </c>
      <c r="AD6" s="20">
        <f t="shared" si="0"/>
        <v>42646</v>
      </c>
      <c r="AE6" s="20">
        <f t="shared" si="0"/>
        <v>42653</v>
      </c>
      <c r="AF6" s="20">
        <f t="shared" si="0"/>
        <v>42660</v>
      </c>
      <c r="AG6" s="20">
        <f t="shared" si="0"/>
        <v>42667</v>
      </c>
      <c r="AH6" s="20">
        <f t="shared" si="0"/>
        <v>42674</v>
      </c>
      <c r="AI6" s="20">
        <f t="shared" si="0"/>
        <v>42681</v>
      </c>
      <c r="AJ6" s="20">
        <f t="shared" si="0"/>
        <v>42688</v>
      </c>
      <c r="AK6" s="20">
        <f t="shared" si="0"/>
        <v>42695</v>
      </c>
      <c r="AL6" s="20">
        <f t="shared" si="0"/>
        <v>42702</v>
      </c>
      <c r="AM6" s="20">
        <f t="shared" si="0"/>
        <v>42709</v>
      </c>
      <c r="AN6" s="20">
        <f t="shared" si="0"/>
        <v>42716</v>
      </c>
      <c r="AO6" s="20">
        <f t="shared" si="0"/>
        <v>42723</v>
      </c>
      <c r="AP6" s="20">
        <f t="shared" si="0"/>
        <v>42730</v>
      </c>
      <c r="AQ6" s="20">
        <f t="shared" ref="AQ6:AT6" si="1">AP6+7</f>
        <v>42737</v>
      </c>
      <c r="AR6" s="20">
        <f t="shared" si="1"/>
        <v>42744</v>
      </c>
      <c r="AS6" s="20">
        <f t="shared" si="1"/>
        <v>42751</v>
      </c>
      <c r="AT6" s="20">
        <f t="shared" si="1"/>
        <v>42758</v>
      </c>
      <c r="AU6" s="20">
        <f t="shared" ref="AU6:AX6" si="2">AT6+7</f>
        <v>42765</v>
      </c>
      <c r="AV6" s="20">
        <f t="shared" si="2"/>
        <v>42772</v>
      </c>
      <c r="AW6" s="20">
        <f t="shared" si="2"/>
        <v>42779</v>
      </c>
      <c r="AX6" s="20">
        <f t="shared" si="2"/>
        <v>42786</v>
      </c>
    </row>
    <row r="7" spans="1:50">
      <c r="A7" s="93"/>
      <c r="B7" s="40" t="s">
        <v>24</v>
      </c>
      <c r="C7" s="40" t="s">
        <v>106</v>
      </c>
      <c r="D7" s="45">
        <v>500</v>
      </c>
      <c r="E7" s="46">
        <f>SUM(H7:AX7)</f>
        <v>90</v>
      </c>
      <c r="F7" s="46">
        <f>SUMIF(Schedule!D:D,Resources!B:B,Schedule!H:H)</f>
        <v>36</v>
      </c>
      <c r="G7" s="45">
        <f>D7*E7</f>
        <v>45000</v>
      </c>
      <c r="H7" s="47">
        <v>5</v>
      </c>
      <c r="I7" s="47">
        <v>5</v>
      </c>
      <c r="J7" s="47">
        <v>5</v>
      </c>
      <c r="K7" s="47">
        <v>5</v>
      </c>
      <c r="L7" s="47">
        <v>5</v>
      </c>
      <c r="M7" s="47">
        <v>5</v>
      </c>
      <c r="N7" s="47">
        <v>5</v>
      </c>
      <c r="O7" s="47">
        <v>5</v>
      </c>
      <c r="P7" s="47">
        <v>5</v>
      </c>
      <c r="Q7" s="47">
        <v>5</v>
      </c>
      <c r="R7" s="47">
        <v>5</v>
      </c>
      <c r="S7" s="47">
        <v>5</v>
      </c>
      <c r="T7" s="47">
        <v>5</v>
      </c>
      <c r="U7" s="47">
        <v>5</v>
      </c>
      <c r="V7" s="47">
        <v>5</v>
      </c>
      <c r="W7" s="47">
        <v>5</v>
      </c>
      <c r="X7" s="47">
        <v>5</v>
      </c>
      <c r="Y7" s="47">
        <v>5</v>
      </c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</row>
    <row r="8" spans="1:50">
      <c r="A8" s="93"/>
      <c r="B8" s="40" t="s">
        <v>33</v>
      </c>
      <c r="C8" s="40" t="s">
        <v>107</v>
      </c>
      <c r="D8" s="45">
        <v>500</v>
      </c>
      <c r="E8" s="46">
        <f t="shared" ref="E8:E13" si="3">SUM(H8:AX8)</f>
        <v>90</v>
      </c>
      <c r="F8" s="46">
        <f>SUMIF(Schedule!D:D,Resources!B:B,Schedule!H:H)</f>
        <v>10</v>
      </c>
      <c r="G8" s="45">
        <f t="shared" ref="G8:G13" si="4">D8*E8</f>
        <v>45000</v>
      </c>
      <c r="H8" s="47">
        <v>5</v>
      </c>
      <c r="I8" s="47">
        <v>5</v>
      </c>
      <c r="J8" s="47">
        <v>5</v>
      </c>
      <c r="K8" s="47">
        <v>5</v>
      </c>
      <c r="L8" s="47">
        <v>5</v>
      </c>
      <c r="M8" s="47">
        <v>5</v>
      </c>
      <c r="N8" s="47">
        <v>5</v>
      </c>
      <c r="O8" s="47">
        <v>5</v>
      </c>
      <c r="P8" s="47">
        <v>5</v>
      </c>
      <c r="Q8" s="47">
        <v>5</v>
      </c>
      <c r="R8" s="47">
        <v>5</v>
      </c>
      <c r="S8" s="47">
        <v>5</v>
      </c>
      <c r="T8" s="47">
        <v>5</v>
      </c>
      <c r="U8" s="47">
        <v>5</v>
      </c>
      <c r="V8" s="47">
        <v>5</v>
      </c>
      <c r="W8" s="47">
        <v>5</v>
      </c>
      <c r="X8" s="47">
        <v>5</v>
      </c>
      <c r="Y8" s="47">
        <v>5</v>
      </c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</row>
    <row r="9" spans="1:50">
      <c r="A9" s="93"/>
      <c r="B9" s="40" t="s">
        <v>39</v>
      </c>
      <c r="C9" s="40" t="s">
        <v>108</v>
      </c>
      <c r="D9" s="45">
        <v>300</v>
      </c>
      <c r="E9" s="46">
        <f t="shared" si="3"/>
        <v>90</v>
      </c>
      <c r="F9" s="46">
        <f>SUMIF(Schedule!D:D,Resources!B:B,Schedule!H:H)</f>
        <v>48</v>
      </c>
      <c r="G9" s="45">
        <f t="shared" si="4"/>
        <v>27000</v>
      </c>
      <c r="H9" s="47">
        <v>5</v>
      </c>
      <c r="I9" s="47">
        <v>5</v>
      </c>
      <c r="J9" s="47">
        <v>5</v>
      </c>
      <c r="K9" s="47">
        <v>5</v>
      </c>
      <c r="L9" s="47">
        <v>5</v>
      </c>
      <c r="M9" s="47">
        <v>5</v>
      </c>
      <c r="N9" s="47">
        <v>5</v>
      </c>
      <c r="O9" s="47">
        <v>5</v>
      </c>
      <c r="P9" s="47">
        <v>5</v>
      </c>
      <c r="Q9" s="47">
        <v>5</v>
      </c>
      <c r="R9" s="47">
        <v>5</v>
      </c>
      <c r="S9" s="47">
        <v>5</v>
      </c>
      <c r="T9" s="47">
        <v>5</v>
      </c>
      <c r="U9" s="47">
        <v>5</v>
      </c>
      <c r="V9" s="47">
        <v>5</v>
      </c>
      <c r="W9" s="47">
        <v>5</v>
      </c>
      <c r="X9" s="47">
        <v>5</v>
      </c>
      <c r="Y9" s="47">
        <v>5</v>
      </c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</row>
    <row r="10" spans="1:50">
      <c r="A10" s="93"/>
      <c r="B10" s="40" t="s">
        <v>109</v>
      </c>
      <c r="C10" s="40" t="s">
        <v>107</v>
      </c>
      <c r="D10" s="45">
        <v>500</v>
      </c>
      <c r="E10" s="46">
        <f t="shared" si="3"/>
        <v>90</v>
      </c>
      <c r="F10" s="46">
        <f>SUMIF(Schedule!D:D,Resources!B:B,Schedule!H:H)</f>
        <v>0</v>
      </c>
      <c r="G10" s="45">
        <f t="shared" si="4"/>
        <v>45000</v>
      </c>
      <c r="H10" s="47">
        <v>5</v>
      </c>
      <c r="I10" s="47">
        <v>5</v>
      </c>
      <c r="J10" s="47">
        <v>5</v>
      </c>
      <c r="K10" s="47">
        <v>5</v>
      </c>
      <c r="L10" s="47">
        <v>5</v>
      </c>
      <c r="M10" s="47">
        <v>5</v>
      </c>
      <c r="N10" s="47">
        <v>5</v>
      </c>
      <c r="O10" s="47">
        <v>5</v>
      </c>
      <c r="P10" s="47">
        <v>5</v>
      </c>
      <c r="Q10" s="47">
        <v>5</v>
      </c>
      <c r="R10" s="47">
        <v>5</v>
      </c>
      <c r="S10" s="47">
        <v>5</v>
      </c>
      <c r="T10" s="47">
        <v>5</v>
      </c>
      <c r="U10" s="47">
        <v>5</v>
      </c>
      <c r="V10" s="47">
        <v>5</v>
      </c>
      <c r="W10" s="47">
        <v>5</v>
      </c>
      <c r="X10" s="47">
        <v>5</v>
      </c>
      <c r="Y10" s="47">
        <v>5</v>
      </c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</row>
    <row r="11" spans="1:50">
      <c r="A11" s="93"/>
      <c r="B11" s="40" t="s">
        <v>52</v>
      </c>
      <c r="C11" s="40" t="s">
        <v>107</v>
      </c>
      <c r="D11" s="45">
        <v>500</v>
      </c>
      <c r="E11" s="46">
        <f t="shared" si="3"/>
        <v>90</v>
      </c>
      <c r="F11" s="46">
        <f>SUMIF(Schedule!D:D,Resources!B:B,Schedule!H:H)</f>
        <v>12</v>
      </c>
      <c r="G11" s="45">
        <f t="shared" si="4"/>
        <v>45000</v>
      </c>
      <c r="H11" s="47">
        <v>5</v>
      </c>
      <c r="I11" s="47">
        <v>5</v>
      </c>
      <c r="J11" s="47">
        <v>5</v>
      </c>
      <c r="K11" s="47">
        <v>5</v>
      </c>
      <c r="L11" s="47">
        <v>5</v>
      </c>
      <c r="M11" s="47">
        <v>5</v>
      </c>
      <c r="N11" s="47">
        <v>5</v>
      </c>
      <c r="O11" s="47">
        <v>5</v>
      </c>
      <c r="P11" s="47">
        <v>5</v>
      </c>
      <c r="Q11" s="47">
        <v>5</v>
      </c>
      <c r="R11" s="47">
        <v>5</v>
      </c>
      <c r="S11" s="47">
        <v>5</v>
      </c>
      <c r="T11" s="47">
        <v>5</v>
      </c>
      <c r="U11" s="47">
        <v>5</v>
      </c>
      <c r="V11" s="47">
        <v>5</v>
      </c>
      <c r="W11" s="47">
        <v>5</v>
      </c>
      <c r="X11" s="47">
        <v>5</v>
      </c>
      <c r="Y11" s="47">
        <v>5</v>
      </c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</row>
    <row r="12" spans="1:50">
      <c r="A12" s="93"/>
      <c r="B12" s="40" t="s">
        <v>58</v>
      </c>
      <c r="C12" s="40" t="s">
        <v>108</v>
      </c>
      <c r="D12" s="45">
        <v>500</v>
      </c>
      <c r="E12" s="46">
        <f t="shared" si="3"/>
        <v>90</v>
      </c>
      <c r="F12" s="46">
        <f>SUMIF(Schedule!D:D,Resources!B:B,Schedule!H:H)</f>
        <v>22</v>
      </c>
      <c r="G12" s="45">
        <f t="shared" si="4"/>
        <v>45000</v>
      </c>
      <c r="H12" s="47">
        <v>5</v>
      </c>
      <c r="I12" s="47">
        <v>5</v>
      </c>
      <c r="J12" s="47">
        <v>5</v>
      </c>
      <c r="K12" s="47">
        <v>5</v>
      </c>
      <c r="L12" s="47">
        <v>5</v>
      </c>
      <c r="M12" s="47">
        <v>5</v>
      </c>
      <c r="N12" s="47">
        <v>5</v>
      </c>
      <c r="O12" s="47">
        <v>5</v>
      </c>
      <c r="P12" s="47">
        <v>5</v>
      </c>
      <c r="Q12" s="47">
        <v>5</v>
      </c>
      <c r="R12" s="47">
        <v>5</v>
      </c>
      <c r="S12" s="47">
        <v>5</v>
      </c>
      <c r="T12" s="47">
        <v>5</v>
      </c>
      <c r="U12" s="47">
        <v>5</v>
      </c>
      <c r="V12" s="47">
        <v>5</v>
      </c>
      <c r="W12" s="47">
        <v>5</v>
      </c>
      <c r="X12" s="47">
        <v>5</v>
      </c>
      <c r="Y12" s="47">
        <v>5</v>
      </c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</row>
    <row r="13" spans="1:50">
      <c r="A13" s="93"/>
      <c r="B13" s="40" t="s">
        <v>110</v>
      </c>
      <c r="C13" s="40" t="s">
        <v>31</v>
      </c>
      <c r="D13" s="45">
        <v>500</v>
      </c>
      <c r="E13" s="46">
        <f t="shared" si="3"/>
        <v>90</v>
      </c>
      <c r="F13" s="46">
        <f>SUMIF(Schedule!D:D,Resources!B:B,Schedule!H:H)</f>
        <v>0</v>
      </c>
      <c r="G13" s="45">
        <f t="shared" si="4"/>
        <v>45000</v>
      </c>
      <c r="H13" s="47">
        <v>5</v>
      </c>
      <c r="I13" s="47">
        <v>5</v>
      </c>
      <c r="J13" s="47">
        <v>5</v>
      </c>
      <c r="K13" s="47">
        <v>5</v>
      </c>
      <c r="L13" s="47">
        <v>5</v>
      </c>
      <c r="M13" s="47">
        <v>5</v>
      </c>
      <c r="N13" s="47">
        <v>5</v>
      </c>
      <c r="O13" s="47">
        <v>5</v>
      </c>
      <c r="P13" s="47">
        <v>5</v>
      </c>
      <c r="Q13" s="47">
        <v>5</v>
      </c>
      <c r="R13" s="47">
        <v>5</v>
      </c>
      <c r="S13" s="47">
        <v>5</v>
      </c>
      <c r="T13" s="47">
        <v>5</v>
      </c>
      <c r="U13" s="47">
        <v>5</v>
      </c>
      <c r="V13" s="47">
        <v>5</v>
      </c>
      <c r="W13" s="47">
        <v>5</v>
      </c>
      <c r="X13" s="47">
        <v>5</v>
      </c>
      <c r="Y13" s="47">
        <v>5</v>
      </c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</row>
    <row r="14" spans="1:50">
      <c r="B14" s="40"/>
      <c r="C14" s="40"/>
      <c r="D14" s="45"/>
      <c r="E14" s="46"/>
      <c r="F14" s="46"/>
      <c r="G14" s="40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</row>
    <row r="15" spans="1:50">
      <c r="B15" s="40"/>
      <c r="C15" s="40"/>
      <c r="D15" s="45"/>
      <c r="E15" s="46"/>
      <c r="F15" s="46"/>
      <c r="G15" s="40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</row>
    <row r="16" spans="1:50">
      <c r="B16" s="40"/>
      <c r="C16" s="40"/>
      <c r="D16" s="45"/>
      <c r="E16" s="46"/>
      <c r="F16" s="46"/>
      <c r="G16" s="40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</row>
    <row r="17" spans="2:50">
      <c r="B17" s="40"/>
      <c r="C17" s="40"/>
      <c r="D17" s="45"/>
      <c r="E17" s="46"/>
      <c r="F17" s="46"/>
      <c r="G17" s="40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</row>
    <row r="18" spans="2:50">
      <c r="B18" s="40"/>
      <c r="C18" s="40"/>
      <c r="D18" s="45"/>
      <c r="E18" s="46"/>
      <c r="F18" s="46"/>
      <c r="G18" s="40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</row>
    <row r="19" spans="2:50">
      <c r="B19" s="40"/>
      <c r="C19" s="40"/>
      <c r="D19" s="45"/>
      <c r="E19" s="46"/>
      <c r="F19" s="46"/>
      <c r="G19" s="40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</row>
    <row r="20" spans="2:50">
      <c r="B20" s="40"/>
      <c r="C20" s="40"/>
      <c r="D20" s="45"/>
      <c r="E20" s="46"/>
      <c r="F20" s="46"/>
      <c r="G20" s="40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</row>
    <row r="21" spans="2:50">
      <c r="B21" s="40"/>
      <c r="C21" s="40"/>
      <c r="D21" s="45"/>
      <c r="E21" s="46"/>
      <c r="F21" s="46"/>
      <c r="G21" s="40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</row>
    <row r="22" spans="2:50">
      <c r="B22" s="40"/>
      <c r="C22" s="40"/>
      <c r="D22" s="45"/>
      <c r="E22" s="46"/>
      <c r="F22" s="46"/>
      <c r="G22" s="40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</row>
    <row r="23" spans="2:50">
      <c r="B23" s="40"/>
      <c r="C23" s="40"/>
      <c r="D23" s="45"/>
      <c r="E23" s="46"/>
      <c r="F23" s="46"/>
      <c r="G23" s="40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</row>
    <row r="24" spans="2:50">
      <c r="B24" s="40"/>
      <c r="C24" s="40"/>
      <c r="D24" s="45"/>
      <c r="E24" s="46"/>
      <c r="F24" s="46"/>
      <c r="G24" s="40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</row>
    <row r="25" spans="2:50">
      <c r="B25" s="40"/>
      <c r="C25" s="40"/>
      <c r="D25" s="45"/>
      <c r="E25" s="46"/>
      <c r="F25" s="46"/>
      <c r="G25" s="40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</row>
    <row r="26" spans="2:50">
      <c r="B26" s="40"/>
      <c r="C26" s="40"/>
      <c r="D26" s="45"/>
      <c r="E26" s="46"/>
      <c r="F26" s="46"/>
      <c r="G26" s="40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</row>
    <row r="27" spans="2:50">
      <c r="B27" s="40"/>
      <c r="C27" s="40"/>
      <c r="D27" s="45"/>
      <c r="E27" s="46"/>
      <c r="F27" s="46"/>
      <c r="G27" s="40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</row>
    <row r="28" spans="2:50">
      <c r="B28" s="40"/>
      <c r="C28" s="40"/>
      <c r="D28" s="45"/>
      <c r="E28" s="46"/>
      <c r="F28" s="46"/>
      <c r="G28" s="40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</row>
    <row r="29" spans="2:50">
      <c r="B29" s="40"/>
      <c r="C29" s="40"/>
      <c r="D29" s="45"/>
      <c r="E29" s="46"/>
      <c r="F29" s="46"/>
      <c r="G29" s="40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</row>
    <row r="30" spans="2:50">
      <c r="B30" s="40"/>
      <c r="C30" s="40"/>
      <c r="D30" s="45"/>
      <c r="E30" s="46"/>
      <c r="F30" s="46"/>
      <c r="G30" s="40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</row>
    <row r="31" spans="2:50">
      <c r="B31" s="40"/>
      <c r="C31" s="40"/>
      <c r="D31" s="45"/>
      <c r="E31" s="46"/>
      <c r="F31" s="46"/>
      <c r="G31" s="40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</row>
    <row r="32" spans="2:50">
      <c r="B32" s="40"/>
      <c r="C32" s="40"/>
      <c r="D32" s="45"/>
      <c r="E32" s="46"/>
      <c r="F32" s="46"/>
      <c r="G32" s="40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</row>
    <row r="33" spans="2:50">
      <c r="B33" s="40"/>
      <c r="C33" s="40"/>
      <c r="D33" s="45"/>
      <c r="E33" s="46"/>
      <c r="F33" s="46"/>
      <c r="G33" s="40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</row>
    <row r="34" spans="2:50">
      <c r="B34" s="40"/>
      <c r="C34" s="40"/>
      <c r="D34" s="45"/>
      <c r="E34" s="46"/>
      <c r="F34" s="46"/>
      <c r="G34" s="40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</row>
    <row r="35" spans="2:50">
      <c r="B35" s="40"/>
      <c r="C35" s="40"/>
      <c r="D35" s="45"/>
      <c r="E35" s="46"/>
      <c r="F35" s="46"/>
      <c r="G35" s="40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</row>
    <row r="36" spans="2:50">
      <c r="B36" s="40"/>
      <c r="C36" s="40"/>
      <c r="D36" s="45"/>
      <c r="E36" s="46"/>
      <c r="F36" s="46"/>
      <c r="G36" s="40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</row>
    <row r="37" spans="2:50">
      <c r="B37" s="40"/>
      <c r="C37" s="40"/>
      <c r="D37" s="45"/>
      <c r="E37" s="46"/>
      <c r="F37" s="46"/>
      <c r="G37" s="40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</row>
    <row r="38" spans="2:50">
      <c r="B38" s="40"/>
      <c r="C38" s="40"/>
      <c r="D38" s="45"/>
      <c r="E38" s="46"/>
      <c r="F38" s="46"/>
      <c r="G38" s="40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</row>
    <row r="39" spans="2:50">
      <c r="B39" s="40"/>
      <c r="C39" s="40"/>
      <c r="D39" s="45"/>
      <c r="E39" s="46"/>
      <c r="F39" s="46"/>
      <c r="G39" s="40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</row>
    <row r="40" spans="2:50">
      <c r="B40" s="40"/>
      <c r="C40" s="40"/>
      <c r="D40" s="45"/>
      <c r="E40" s="46"/>
      <c r="F40" s="46"/>
      <c r="G40" s="40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</row>
    <row r="41" spans="2:50">
      <c r="B41" s="40"/>
      <c r="C41" s="40"/>
      <c r="D41" s="45"/>
      <c r="E41" s="46"/>
      <c r="F41" s="46"/>
      <c r="G41" s="40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</row>
    <row r="42" spans="2:50">
      <c r="B42" s="40"/>
      <c r="C42" s="40"/>
      <c r="D42" s="45"/>
      <c r="E42" s="46"/>
      <c r="F42" s="46"/>
      <c r="G42" s="40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</row>
    <row r="43" spans="2:50">
      <c r="B43" s="40"/>
      <c r="C43" s="40"/>
      <c r="D43" s="45"/>
      <c r="E43" s="46"/>
      <c r="F43" s="46"/>
      <c r="G43" s="40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</row>
    <row r="44" spans="2:50">
      <c r="B44" s="40"/>
      <c r="C44" s="40"/>
      <c r="D44" s="45"/>
      <c r="E44" s="46"/>
      <c r="F44" s="46"/>
      <c r="G44" s="40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</row>
    <row r="45" spans="2:50">
      <c r="B45" s="40"/>
      <c r="C45" s="40"/>
      <c r="D45" s="45"/>
      <c r="E45" s="46"/>
      <c r="F45" s="46"/>
      <c r="G45" s="40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</row>
    <row r="46" spans="2:50">
      <c r="B46" s="40"/>
      <c r="C46" s="40"/>
      <c r="D46" s="45"/>
      <c r="E46" s="46"/>
      <c r="F46" s="46"/>
      <c r="G46" s="40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</row>
    <row r="47" spans="2:50">
      <c r="B47" s="40"/>
      <c r="C47" s="40"/>
      <c r="D47" s="45"/>
      <c r="E47" s="46"/>
      <c r="F47" s="46"/>
      <c r="G47" s="40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</row>
    <row r="48" spans="2:50">
      <c r="B48" s="40"/>
      <c r="C48" s="40"/>
      <c r="D48" s="45"/>
      <c r="E48" s="46"/>
      <c r="F48" s="46"/>
      <c r="G48" s="40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</row>
    <row r="49" spans="2:50">
      <c r="B49" s="40"/>
      <c r="C49" s="40"/>
      <c r="D49" s="45"/>
      <c r="E49" s="46"/>
      <c r="F49" s="46"/>
      <c r="G49" s="40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</row>
    <row r="50" spans="2:50">
      <c r="B50" s="40"/>
      <c r="C50" s="40"/>
      <c r="D50" s="45"/>
      <c r="E50" s="46"/>
      <c r="F50" s="46"/>
      <c r="G50" s="40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</row>
    <row r="51" spans="2:50">
      <c r="B51" s="40"/>
      <c r="C51" s="40"/>
      <c r="D51" s="45"/>
      <c r="E51" s="46"/>
      <c r="F51" s="46"/>
      <c r="G51" s="40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</row>
    <row r="52" spans="2:50">
      <c r="B52" s="40"/>
      <c r="C52" s="40"/>
      <c r="D52" s="45"/>
      <c r="E52" s="46"/>
      <c r="F52" s="46"/>
      <c r="G52" s="40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</row>
    <row r="53" spans="2:50">
      <c r="B53" s="40"/>
      <c r="C53" s="40"/>
      <c r="D53" s="45"/>
      <c r="E53" s="46"/>
      <c r="F53" s="46"/>
      <c r="G53" s="40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  <c r="AX53" s="47"/>
    </row>
    <row r="54" spans="2:50">
      <c r="B54" s="40"/>
      <c r="C54" s="40"/>
      <c r="D54" s="45"/>
      <c r="E54" s="46"/>
      <c r="F54" s="46"/>
      <c r="G54" s="40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  <c r="AX54" s="47"/>
    </row>
    <row r="55" spans="2:50">
      <c r="B55" s="40"/>
      <c r="C55" s="40"/>
      <c r="D55" s="45"/>
      <c r="E55" s="46"/>
      <c r="F55" s="46"/>
      <c r="G55" s="40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</row>
    <row r="56" spans="2:50">
      <c r="B56" s="40"/>
      <c r="C56" s="40"/>
      <c r="D56" s="45"/>
      <c r="E56" s="46"/>
      <c r="F56" s="46"/>
      <c r="G56" s="40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47"/>
      <c r="AW56" s="47"/>
      <c r="AX56" s="47"/>
    </row>
    <row r="57" spans="2:50">
      <c r="B57" s="40"/>
      <c r="C57" s="40"/>
      <c r="D57" s="45"/>
      <c r="E57" s="46"/>
      <c r="F57" s="46"/>
      <c r="G57" s="40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47"/>
      <c r="AX57" s="47"/>
    </row>
    <row r="58" spans="2:50">
      <c r="B58" s="40"/>
      <c r="C58" s="40"/>
      <c r="D58" s="45"/>
      <c r="E58" s="46"/>
      <c r="F58" s="46"/>
      <c r="G58" s="40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47"/>
      <c r="AX58" s="47"/>
    </row>
    <row r="59" spans="2:50">
      <c r="B59" s="40"/>
      <c r="C59" s="40"/>
      <c r="D59" s="45"/>
      <c r="E59" s="46"/>
      <c r="F59" s="46"/>
      <c r="G59" s="40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47"/>
      <c r="AX59" s="47"/>
    </row>
    <row r="60" spans="2:50">
      <c r="B60" s="40"/>
      <c r="C60" s="40"/>
      <c r="D60" s="45"/>
      <c r="E60" s="46"/>
      <c r="F60" s="46"/>
      <c r="G60" s="40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</row>
    <row r="61" spans="2:50">
      <c r="B61" s="40"/>
      <c r="C61" s="40"/>
      <c r="D61" s="45"/>
      <c r="E61" s="46"/>
      <c r="F61" s="46"/>
      <c r="G61" s="40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  <c r="AK61" s="47"/>
      <c r="AL61" s="47"/>
      <c r="AM61" s="47"/>
      <c r="AN61" s="47"/>
      <c r="AO61" s="47"/>
      <c r="AP61" s="47"/>
      <c r="AQ61" s="47"/>
      <c r="AR61" s="47"/>
      <c r="AS61" s="47"/>
      <c r="AT61" s="47"/>
      <c r="AU61" s="47"/>
      <c r="AV61" s="47"/>
      <c r="AW61" s="47"/>
      <c r="AX61" s="47"/>
    </row>
    <row r="62" spans="2:50">
      <c r="B62" s="40"/>
      <c r="C62" s="40"/>
      <c r="D62" s="45"/>
      <c r="E62" s="46"/>
      <c r="F62" s="46"/>
      <c r="G62" s="40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</row>
    <row r="63" spans="2:50">
      <c r="B63" s="40"/>
      <c r="C63" s="40"/>
      <c r="D63" s="45"/>
      <c r="E63" s="46"/>
      <c r="F63" s="46"/>
      <c r="G63" s="40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7"/>
      <c r="AX63" s="47"/>
    </row>
    <row r="64" spans="2:50">
      <c r="B64" s="40"/>
      <c r="C64" s="40"/>
      <c r="D64" s="45"/>
      <c r="E64" s="46"/>
      <c r="F64" s="46"/>
      <c r="G64" s="40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47"/>
    </row>
    <row r="65" spans="2:50">
      <c r="B65" s="40"/>
      <c r="C65" s="40"/>
      <c r="D65" s="45"/>
      <c r="E65" s="46"/>
      <c r="F65" s="46"/>
      <c r="G65" s="40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  <c r="AX65" s="47"/>
    </row>
    <row r="66" spans="2:50">
      <c r="B66" s="40"/>
      <c r="C66" s="40"/>
      <c r="D66" s="45"/>
      <c r="E66" s="46"/>
      <c r="F66" s="46"/>
      <c r="G66" s="40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47"/>
      <c r="AX66" s="47"/>
    </row>
    <row r="67" spans="2:50">
      <c r="B67" s="40"/>
      <c r="C67" s="40"/>
      <c r="D67" s="45"/>
      <c r="E67" s="46"/>
      <c r="F67" s="46"/>
      <c r="G67" s="40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47"/>
      <c r="AX67" s="47"/>
    </row>
    <row r="68" spans="2:50">
      <c r="B68" s="40"/>
      <c r="C68" s="40"/>
      <c r="D68" s="45"/>
      <c r="E68" s="46"/>
      <c r="F68" s="46"/>
      <c r="G68" s="40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47"/>
      <c r="AX68" s="47"/>
    </row>
    <row r="69" spans="2:50">
      <c r="B69" s="40"/>
      <c r="C69" s="40"/>
      <c r="D69" s="45"/>
      <c r="E69" s="46"/>
      <c r="F69" s="46"/>
      <c r="G69" s="40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47"/>
    </row>
    <row r="70" spans="2:50">
      <c r="B70" s="40"/>
      <c r="C70" s="40"/>
      <c r="D70" s="45"/>
      <c r="E70" s="46"/>
      <c r="F70" s="46"/>
      <c r="G70" s="40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</row>
    <row r="71" spans="2:50">
      <c r="B71" s="40"/>
      <c r="C71" s="40"/>
      <c r="D71" s="45"/>
      <c r="E71" s="46"/>
      <c r="F71" s="46"/>
      <c r="G71" s="40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7"/>
      <c r="AX71" s="47"/>
    </row>
    <row r="72" spans="2:50">
      <c r="B72" s="40"/>
      <c r="C72" s="40"/>
      <c r="D72" s="45"/>
      <c r="E72" s="46"/>
      <c r="F72" s="46"/>
      <c r="G72" s="40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</row>
    <row r="73" spans="2:50">
      <c r="B73" s="40"/>
      <c r="C73" s="40"/>
      <c r="D73" s="45"/>
      <c r="E73" s="46"/>
      <c r="F73" s="46"/>
      <c r="G73" s="40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47"/>
      <c r="AW73" s="47"/>
      <c r="AX73" s="47"/>
    </row>
    <row r="74" spans="2:50">
      <c r="B74" s="40"/>
      <c r="C74" s="40"/>
      <c r="D74" s="45"/>
      <c r="E74" s="46"/>
      <c r="F74" s="46"/>
      <c r="G74" s="40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47"/>
      <c r="AX74" s="47"/>
    </row>
    <row r="75" spans="2:50">
      <c r="B75" s="40"/>
      <c r="C75" s="40"/>
      <c r="D75" s="45"/>
      <c r="E75" s="46"/>
      <c r="F75" s="46"/>
      <c r="G75" s="40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7"/>
      <c r="AX75" s="47"/>
    </row>
    <row r="76" spans="2:50">
      <c r="B76" s="40"/>
      <c r="C76" s="40"/>
      <c r="D76" s="45"/>
      <c r="E76" s="46"/>
      <c r="F76" s="46"/>
      <c r="G76" s="40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7"/>
      <c r="AX76" s="47"/>
    </row>
    <row r="77" spans="2:50">
      <c r="B77" s="40"/>
      <c r="C77" s="40"/>
      <c r="D77" s="45"/>
      <c r="E77" s="46"/>
      <c r="F77" s="46"/>
      <c r="G77" s="40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47"/>
      <c r="AW77" s="47"/>
      <c r="AX77" s="47"/>
    </row>
    <row r="78" spans="2:50">
      <c r="B78" s="40"/>
      <c r="C78" s="40"/>
      <c r="D78" s="45"/>
      <c r="E78" s="46"/>
      <c r="F78" s="46"/>
      <c r="G78" s="40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</row>
    <row r="79" spans="2:50">
      <c r="B79" s="40"/>
      <c r="C79" s="40"/>
      <c r="D79" s="45"/>
      <c r="E79" s="46"/>
      <c r="F79" s="46"/>
      <c r="G79" s="40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47"/>
      <c r="AX79" s="47"/>
    </row>
    <row r="80" spans="2:50">
      <c r="B80" s="40"/>
      <c r="C80" s="40"/>
      <c r="D80" s="45"/>
      <c r="E80" s="46"/>
      <c r="F80" s="46"/>
      <c r="G80" s="40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47"/>
      <c r="AX80" s="47"/>
    </row>
    <row r="81" spans="2:50">
      <c r="B81" s="40"/>
      <c r="C81" s="40"/>
      <c r="D81" s="45"/>
      <c r="E81" s="46"/>
      <c r="F81" s="46"/>
      <c r="G81" s="40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47"/>
      <c r="AX81" s="47"/>
    </row>
    <row r="82" spans="2:50">
      <c r="B82" s="40"/>
      <c r="C82" s="40"/>
      <c r="D82" s="45"/>
      <c r="E82" s="46"/>
      <c r="F82" s="46"/>
      <c r="G82" s="40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47"/>
      <c r="AW82" s="47"/>
      <c r="AX82" s="47"/>
    </row>
    <row r="83" spans="2:50">
      <c r="B83" s="40"/>
      <c r="C83" s="40"/>
      <c r="D83" s="45"/>
      <c r="E83" s="46"/>
      <c r="F83" s="46"/>
      <c r="G83" s="40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47"/>
      <c r="AX83" s="47"/>
    </row>
    <row r="84" spans="2:50">
      <c r="B84" s="40"/>
      <c r="C84" s="40"/>
      <c r="D84" s="45"/>
      <c r="E84" s="46"/>
      <c r="F84" s="46"/>
      <c r="G84" s="40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7"/>
      <c r="AU84" s="47"/>
      <c r="AV84" s="47"/>
      <c r="AW84" s="47"/>
      <c r="AX84" s="47"/>
    </row>
    <row r="85" spans="2:50">
      <c r="B85" s="40"/>
      <c r="C85" s="40"/>
      <c r="D85" s="45"/>
      <c r="E85" s="46"/>
      <c r="F85" s="46"/>
      <c r="G85" s="40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47"/>
      <c r="AW85" s="47"/>
      <c r="AX85" s="47"/>
    </row>
    <row r="86" spans="2:50">
      <c r="B86" s="40"/>
      <c r="C86" s="40"/>
      <c r="D86" s="45"/>
      <c r="E86" s="46"/>
      <c r="F86" s="46"/>
      <c r="G86" s="40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7"/>
      <c r="AU86" s="47"/>
      <c r="AV86" s="47"/>
      <c r="AW86" s="47"/>
      <c r="AX86" s="47"/>
    </row>
    <row r="87" spans="2:50">
      <c r="B87" s="40"/>
      <c r="C87" s="40"/>
      <c r="D87" s="45"/>
      <c r="E87" s="46"/>
      <c r="F87" s="46"/>
      <c r="G87" s="40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7"/>
      <c r="AU87" s="47"/>
      <c r="AV87" s="47"/>
      <c r="AW87" s="47"/>
      <c r="AX87" s="47"/>
    </row>
    <row r="88" spans="2:50">
      <c r="B88" s="40"/>
      <c r="C88" s="40"/>
      <c r="D88" s="45"/>
      <c r="E88" s="46"/>
      <c r="F88" s="46"/>
      <c r="G88" s="40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7"/>
      <c r="AU88" s="47"/>
      <c r="AV88" s="47"/>
      <c r="AW88" s="47"/>
      <c r="AX88" s="47"/>
    </row>
    <row r="89" spans="2:50">
      <c r="B89" s="40"/>
      <c r="C89" s="40"/>
      <c r="D89" s="45"/>
      <c r="E89" s="46"/>
      <c r="F89" s="46"/>
      <c r="G89" s="40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47"/>
      <c r="AV89" s="47"/>
      <c r="AW89" s="47"/>
      <c r="AX89" s="47"/>
    </row>
    <row r="90" spans="2:50">
      <c r="B90" s="40"/>
      <c r="C90" s="40"/>
      <c r="D90" s="45"/>
      <c r="E90" s="46"/>
      <c r="F90" s="46"/>
      <c r="G90" s="40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7"/>
      <c r="AU90" s="47"/>
      <c r="AV90" s="47"/>
      <c r="AW90" s="47"/>
      <c r="AX90" s="47"/>
    </row>
    <row r="91" spans="2:50">
      <c r="B91" s="40"/>
      <c r="C91" s="40"/>
      <c r="D91" s="45"/>
      <c r="E91" s="46"/>
      <c r="F91" s="46"/>
      <c r="G91" s="40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7"/>
    </row>
    <row r="92" spans="2:50">
      <c r="B92" s="40"/>
      <c r="C92" s="40"/>
      <c r="D92" s="45"/>
      <c r="E92" s="46"/>
      <c r="F92" s="46"/>
      <c r="G92" s="40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47"/>
      <c r="AX92" s="47"/>
    </row>
    <row r="93" spans="2:50">
      <c r="B93" s="40"/>
      <c r="C93" s="40"/>
      <c r="D93" s="45"/>
      <c r="E93" s="46"/>
      <c r="F93" s="46"/>
      <c r="G93" s="40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47"/>
      <c r="AX93" s="47"/>
    </row>
    <row r="94" spans="2:50">
      <c r="B94" s="40"/>
      <c r="C94" s="40"/>
      <c r="D94" s="45"/>
      <c r="E94" s="46"/>
      <c r="F94" s="46"/>
      <c r="G94" s="40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7"/>
      <c r="AU94" s="47"/>
      <c r="AV94" s="47"/>
      <c r="AW94" s="47"/>
      <c r="AX94" s="47"/>
    </row>
    <row r="95" spans="2:50">
      <c r="B95" s="40"/>
      <c r="C95" s="40"/>
      <c r="D95" s="45"/>
      <c r="E95" s="46"/>
      <c r="F95" s="46"/>
      <c r="G95" s="40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47"/>
      <c r="AO95" s="47"/>
      <c r="AP95" s="47"/>
      <c r="AQ95" s="47"/>
      <c r="AR95" s="47"/>
      <c r="AS95" s="47"/>
      <c r="AT95" s="47"/>
      <c r="AU95" s="47"/>
      <c r="AV95" s="47"/>
      <c r="AW95" s="47"/>
      <c r="AX95" s="47"/>
    </row>
    <row r="96" spans="2:50">
      <c r="B96" s="40"/>
      <c r="C96" s="40"/>
      <c r="D96" s="45"/>
      <c r="E96" s="46"/>
      <c r="F96" s="46"/>
      <c r="G96" s="40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  <c r="AX96" s="47"/>
    </row>
    <row r="97" spans="2:50">
      <c r="B97" s="40"/>
      <c r="C97" s="40"/>
      <c r="D97" s="45"/>
      <c r="E97" s="46"/>
      <c r="F97" s="46"/>
      <c r="G97" s="40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  <c r="AQ97" s="47"/>
      <c r="AR97" s="47"/>
      <c r="AS97" s="47"/>
      <c r="AT97" s="47"/>
      <c r="AU97" s="47"/>
      <c r="AV97" s="47"/>
      <c r="AW97" s="47"/>
      <c r="AX97" s="47"/>
    </row>
    <row r="98" spans="2:50">
      <c r="B98" s="40"/>
      <c r="C98" s="40"/>
      <c r="D98" s="45"/>
      <c r="E98" s="46"/>
      <c r="F98" s="46"/>
      <c r="G98" s="40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</row>
    <row r="99" spans="2:50">
      <c r="B99" s="40"/>
      <c r="C99" s="40"/>
      <c r="D99" s="45"/>
      <c r="E99" s="46"/>
      <c r="F99" s="46"/>
      <c r="G99" s="40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7"/>
      <c r="AP99" s="47"/>
      <c r="AQ99" s="47"/>
      <c r="AR99" s="47"/>
      <c r="AS99" s="47"/>
      <c r="AT99" s="47"/>
      <c r="AU99" s="47"/>
      <c r="AV99" s="47"/>
      <c r="AW99" s="47"/>
      <c r="AX99" s="47"/>
    </row>
    <row r="100" spans="2:50">
      <c r="B100" s="40"/>
      <c r="C100" s="40"/>
      <c r="D100" s="45"/>
      <c r="E100" s="46"/>
      <c r="F100" s="46"/>
      <c r="G100" s="40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7"/>
      <c r="AP100" s="47"/>
      <c r="AQ100" s="47"/>
      <c r="AR100" s="47"/>
      <c r="AS100" s="47"/>
      <c r="AT100" s="47"/>
      <c r="AU100" s="47"/>
      <c r="AV100" s="47"/>
      <c r="AW100" s="47"/>
      <c r="AX100" s="47"/>
    </row>
    <row r="101" spans="2:50">
      <c r="B101" s="40"/>
      <c r="C101" s="40"/>
      <c r="D101" s="45"/>
      <c r="E101" s="46"/>
      <c r="F101" s="46"/>
      <c r="G101" s="40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  <c r="AN101" s="47"/>
      <c r="AO101" s="47"/>
      <c r="AP101" s="47"/>
      <c r="AQ101" s="47"/>
      <c r="AR101" s="47"/>
      <c r="AS101" s="47"/>
      <c r="AT101" s="47"/>
      <c r="AU101" s="47"/>
      <c r="AV101" s="47"/>
      <c r="AW101" s="47"/>
      <c r="AX101" s="47"/>
    </row>
    <row r="102" spans="2:50">
      <c r="B102" s="40"/>
      <c r="C102" s="40"/>
      <c r="D102" s="45"/>
      <c r="E102" s="46"/>
      <c r="F102" s="46"/>
      <c r="G102" s="40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</row>
    <row r="103" spans="2:50">
      <c r="B103" s="40"/>
      <c r="C103" s="40"/>
      <c r="D103" s="45"/>
      <c r="E103" s="46"/>
      <c r="F103" s="46"/>
      <c r="G103" s="40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7"/>
      <c r="AP103" s="47"/>
      <c r="AQ103" s="47"/>
      <c r="AR103" s="47"/>
      <c r="AS103" s="47"/>
      <c r="AT103" s="47"/>
      <c r="AU103" s="47"/>
      <c r="AV103" s="47"/>
      <c r="AW103" s="47"/>
      <c r="AX103" s="47"/>
    </row>
    <row r="104" spans="2:50">
      <c r="B104" s="40"/>
      <c r="C104" s="40"/>
      <c r="D104" s="45"/>
      <c r="E104" s="46"/>
      <c r="F104" s="46"/>
      <c r="G104" s="40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  <c r="AN104" s="47"/>
      <c r="AO104" s="47"/>
      <c r="AP104" s="47"/>
      <c r="AQ104" s="47"/>
      <c r="AR104" s="47"/>
      <c r="AS104" s="47"/>
      <c r="AT104" s="47"/>
      <c r="AU104" s="47"/>
      <c r="AV104" s="47"/>
      <c r="AW104" s="47"/>
      <c r="AX104" s="47"/>
    </row>
    <row r="105" spans="2:50">
      <c r="B105" s="40"/>
      <c r="C105" s="40"/>
      <c r="D105" s="45"/>
      <c r="E105" s="46"/>
      <c r="F105" s="46"/>
      <c r="G105" s="40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47"/>
      <c r="AO105" s="47"/>
      <c r="AP105" s="47"/>
      <c r="AQ105" s="47"/>
      <c r="AR105" s="47"/>
      <c r="AS105" s="47"/>
      <c r="AT105" s="47"/>
      <c r="AU105" s="47"/>
      <c r="AV105" s="47"/>
      <c r="AW105" s="47"/>
      <c r="AX105" s="47"/>
    </row>
    <row r="106" spans="2:50">
      <c r="B106" s="40"/>
      <c r="C106" s="40"/>
      <c r="D106" s="45"/>
      <c r="E106" s="46"/>
      <c r="F106" s="46"/>
      <c r="G106" s="40"/>
      <c r="H106" s="47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</row>
    <row r="107" spans="2:50">
      <c r="B107" s="40"/>
      <c r="C107" s="40"/>
      <c r="D107" s="45"/>
      <c r="E107" s="46"/>
      <c r="F107" s="46"/>
      <c r="G107" s="40"/>
      <c r="H107" s="47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</row>
    <row r="108" spans="2:50">
      <c r="B108" s="40"/>
      <c r="C108" s="40"/>
      <c r="D108" s="45"/>
      <c r="E108" s="46"/>
      <c r="F108" s="46"/>
      <c r="G108" s="40"/>
      <c r="H108" s="47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</row>
    <row r="109" spans="2:50">
      <c r="B109" s="40"/>
      <c r="C109" s="40"/>
      <c r="D109" s="45"/>
      <c r="E109" s="46"/>
      <c r="F109" s="46"/>
      <c r="G109" s="40"/>
      <c r="H109" s="47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</row>
    <row r="110" spans="2:50">
      <c r="B110" s="40"/>
      <c r="C110" s="40"/>
      <c r="D110" s="45"/>
      <c r="E110" s="46"/>
      <c r="F110" s="46"/>
      <c r="G110" s="40"/>
      <c r="H110" s="47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</row>
    <row r="111" spans="2:50">
      <c r="B111" s="40"/>
      <c r="C111" s="40"/>
      <c r="D111" s="45"/>
      <c r="E111" s="46"/>
      <c r="F111" s="46"/>
      <c r="G111" s="40"/>
      <c r="H111" s="47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</row>
    <row r="112" spans="2:50">
      <c r="B112" s="40"/>
      <c r="C112" s="40"/>
      <c r="D112" s="45"/>
      <c r="E112" s="46"/>
      <c r="F112" s="46"/>
      <c r="G112" s="40"/>
      <c r="H112" s="47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</row>
    <row r="113" spans="2:50">
      <c r="B113" s="40"/>
      <c r="C113" s="40"/>
      <c r="D113" s="45"/>
      <c r="E113" s="46"/>
      <c r="F113" s="46"/>
      <c r="G113" s="40"/>
      <c r="H113" s="47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</row>
    <row r="114" spans="2:50">
      <c r="B114" s="40"/>
      <c r="C114" s="40"/>
      <c r="D114" s="45"/>
      <c r="E114" s="46"/>
      <c r="F114" s="46"/>
      <c r="G114" s="40"/>
      <c r="H114" s="47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</row>
    <row r="115" spans="2:50">
      <c r="B115" s="40"/>
      <c r="C115" s="40"/>
      <c r="D115" s="45"/>
      <c r="E115" s="46"/>
      <c r="F115" s="46"/>
      <c r="G115" s="40"/>
      <c r="H115" s="47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</row>
    <row r="116" spans="2:50">
      <c r="B116" s="40"/>
      <c r="C116" s="40"/>
      <c r="D116" s="45"/>
      <c r="E116" s="46"/>
      <c r="F116" s="46"/>
      <c r="G116" s="40"/>
      <c r="H116" s="47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</row>
    <row r="117" spans="2:50">
      <c r="B117" s="40"/>
      <c r="C117" s="40"/>
      <c r="D117" s="45"/>
      <c r="E117" s="46"/>
      <c r="F117" s="46"/>
      <c r="G117" s="40"/>
      <c r="H117" s="47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</row>
    <row r="118" spans="2:50">
      <c r="B118" s="40"/>
      <c r="C118" s="40"/>
      <c r="D118" s="45"/>
      <c r="E118" s="46"/>
      <c r="F118" s="46"/>
      <c r="G118" s="40"/>
      <c r="H118" s="47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</row>
    <row r="119" spans="2:50">
      <c r="B119" s="40"/>
      <c r="C119" s="40"/>
      <c r="D119" s="45"/>
      <c r="E119" s="46"/>
      <c r="F119" s="46"/>
      <c r="G119" s="40"/>
      <c r="H119" s="47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</row>
    <row r="120" spans="2:50">
      <c r="B120" s="40"/>
      <c r="C120" s="40"/>
      <c r="D120" s="45"/>
      <c r="E120" s="46"/>
      <c r="F120" s="46"/>
      <c r="G120" s="40"/>
      <c r="H120" s="47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</row>
    <row r="121" spans="2:50">
      <c r="B121" s="40"/>
      <c r="C121" s="40"/>
      <c r="D121" s="45"/>
      <c r="E121" s="46"/>
      <c r="F121" s="46"/>
      <c r="G121" s="40"/>
      <c r="H121" s="47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</row>
    <row r="122" spans="2:50">
      <c r="B122" s="40"/>
      <c r="C122" s="40"/>
      <c r="D122" s="45"/>
      <c r="E122" s="46"/>
      <c r="F122" s="46"/>
      <c r="G122" s="40"/>
      <c r="H122" s="47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</row>
    <row r="123" spans="2:50">
      <c r="B123" s="40"/>
      <c r="C123" s="40"/>
      <c r="D123" s="45"/>
      <c r="E123" s="46"/>
      <c r="F123" s="46"/>
      <c r="G123" s="40"/>
      <c r="H123" s="47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</row>
    <row r="124" spans="2:50">
      <c r="B124" s="40"/>
      <c r="C124" s="40"/>
      <c r="D124" s="45"/>
      <c r="E124" s="46"/>
      <c r="F124" s="46"/>
      <c r="G124" s="40"/>
      <c r="H124" s="47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</row>
    <row r="125" spans="2:50">
      <c r="B125" s="40"/>
      <c r="C125" s="40"/>
      <c r="D125" s="45"/>
      <c r="E125" s="46"/>
      <c r="F125" s="46"/>
      <c r="G125" s="40"/>
      <c r="H125" s="47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</row>
    <row r="126" spans="2:50">
      <c r="B126" s="40"/>
      <c r="C126" s="40"/>
      <c r="D126" s="45"/>
      <c r="E126" s="46"/>
      <c r="F126" s="46"/>
      <c r="G126" s="40"/>
      <c r="H126" s="47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</row>
    <row r="127" spans="2:50">
      <c r="B127" s="40"/>
      <c r="C127" s="40"/>
      <c r="D127" s="45"/>
      <c r="E127" s="46"/>
      <c r="F127" s="46"/>
      <c r="G127" s="40"/>
      <c r="H127" s="47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</row>
    <row r="128" spans="2:50">
      <c r="B128" s="40"/>
      <c r="C128" s="40"/>
      <c r="D128" s="45"/>
      <c r="E128" s="46"/>
      <c r="F128" s="46"/>
      <c r="G128" s="40"/>
      <c r="H128" s="47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  <c r="AQ128" s="40"/>
      <c r="AR128" s="40"/>
      <c r="AS128" s="40"/>
      <c r="AT128" s="40"/>
      <c r="AU128" s="40"/>
      <c r="AV128" s="40"/>
      <c r="AW128" s="40"/>
      <c r="AX128" s="40"/>
    </row>
    <row r="129" spans="2:50">
      <c r="B129" s="40"/>
      <c r="C129" s="40"/>
      <c r="D129" s="45"/>
      <c r="E129" s="46"/>
      <c r="F129" s="46"/>
      <c r="G129" s="40"/>
      <c r="H129" s="47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40"/>
      <c r="AW129" s="40"/>
      <c r="AX129" s="40"/>
    </row>
    <row r="130" spans="2:50">
      <c r="B130" s="40"/>
      <c r="C130" s="40"/>
      <c r="D130" s="45"/>
      <c r="E130" s="46"/>
      <c r="F130" s="46"/>
      <c r="G130" s="40"/>
      <c r="H130" s="47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</row>
    <row r="131" spans="2:50">
      <c r="B131" s="40"/>
      <c r="C131" s="40"/>
      <c r="D131" s="45"/>
      <c r="E131" s="46"/>
      <c r="F131" s="46"/>
      <c r="G131" s="40"/>
      <c r="H131" s="47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</row>
    <row r="132" spans="2:50">
      <c r="B132" s="40"/>
      <c r="C132" s="40"/>
      <c r="D132" s="45"/>
      <c r="E132" s="46"/>
      <c r="F132" s="46"/>
      <c r="G132" s="40"/>
      <c r="H132" s="47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</row>
    <row r="133" spans="2:50">
      <c r="B133" s="40"/>
      <c r="C133" s="40"/>
      <c r="D133" s="45"/>
      <c r="E133" s="46"/>
      <c r="F133" s="46"/>
      <c r="G133" s="40"/>
      <c r="H133" s="47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</row>
    <row r="134" spans="2:50">
      <c r="B134" s="40"/>
      <c r="C134" s="40"/>
      <c r="D134" s="45"/>
      <c r="E134" s="46"/>
      <c r="F134" s="46"/>
      <c r="G134" s="40"/>
      <c r="H134" s="47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</row>
    <row r="135" spans="2:50">
      <c r="B135" s="40"/>
      <c r="C135" s="40"/>
      <c r="D135" s="45"/>
      <c r="E135" s="46"/>
      <c r="F135" s="46"/>
      <c r="G135" s="40"/>
      <c r="H135" s="47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</row>
    <row r="136" spans="2:50">
      <c r="B136" s="40"/>
      <c r="C136" s="40"/>
      <c r="D136" s="45"/>
      <c r="E136" s="46"/>
      <c r="F136" s="46"/>
      <c r="G136" s="40"/>
      <c r="H136" s="47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</row>
    <row r="137" spans="2:50">
      <c r="B137" s="40"/>
      <c r="C137" s="40"/>
      <c r="D137" s="45"/>
      <c r="E137" s="46"/>
      <c r="F137" s="46"/>
      <c r="G137" s="40"/>
      <c r="H137" s="47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40"/>
      <c r="AU137" s="40"/>
      <c r="AV137" s="40"/>
      <c r="AW137" s="40"/>
      <c r="AX137" s="40"/>
    </row>
    <row r="138" spans="2:50">
      <c r="B138" s="40"/>
      <c r="C138" s="40"/>
      <c r="D138" s="45"/>
      <c r="E138" s="46"/>
      <c r="F138" s="46"/>
      <c r="G138" s="40"/>
      <c r="H138" s="47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  <c r="AT138" s="40"/>
      <c r="AU138" s="40"/>
      <c r="AV138" s="40"/>
      <c r="AW138" s="40"/>
      <c r="AX138" s="40"/>
    </row>
    <row r="139" spans="2:50">
      <c r="B139" s="40"/>
      <c r="C139" s="40"/>
      <c r="D139" s="45"/>
      <c r="E139" s="46"/>
      <c r="F139" s="46"/>
      <c r="G139" s="40"/>
      <c r="H139" s="47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  <c r="AQ139" s="40"/>
      <c r="AR139" s="40"/>
      <c r="AS139" s="40"/>
      <c r="AT139" s="40"/>
      <c r="AU139" s="40"/>
      <c r="AV139" s="40"/>
      <c r="AW139" s="40"/>
      <c r="AX139" s="40"/>
    </row>
    <row r="140" spans="2:50">
      <c r="B140" s="40"/>
      <c r="C140" s="40"/>
      <c r="D140" s="45"/>
      <c r="E140" s="46"/>
      <c r="F140" s="46"/>
      <c r="G140" s="40"/>
      <c r="H140" s="47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</row>
    <row r="141" spans="2:50">
      <c r="B141" s="40"/>
      <c r="C141" s="40"/>
      <c r="D141" s="45"/>
      <c r="E141" s="46"/>
      <c r="F141" s="46"/>
      <c r="G141" s="40"/>
      <c r="H141" s="47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</row>
    <row r="142" spans="2:50">
      <c r="B142" s="40"/>
      <c r="C142" s="40"/>
      <c r="D142" s="45"/>
      <c r="E142" s="46"/>
      <c r="F142" s="46"/>
      <c r="G142" s="40"/>
      <c r="H142" s="47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</row>
    <row r="143" spans="2:50">
      <c r="B143" s="40"/>
      <c r="C143" s="40"/>
      <c r="D143" s="45"/>
      <c r="E143" s="46"/>
      <c r="F143" s="46"/>
      <c r="G143" s="40"/>
      <c r="H143" s="47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</row>
    <row r="144" spans="2:50">
      <c r="B144" s="40"/>
      <c r="C144" s="40"/>
      <c r="D144" s="45"/>
      <c r="E144" s="46"/>
      <c r="F144" s="46"/>
      <c r="G144" s="40"/>
      <c r="H144" s="47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</row>
    <row r="145" spans="2:50">
      <c r="B145" s="40"/>
      <c r="C145" s="40"/>
      <c r="D145" s="45"/>
      <c r="E145" s="46"/>
      <c r="F145" s="46"/>
      <c r="G145" s="40"/>
      <c r="H145" s="47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</row>
    <row r="146" spans="2:50">
      <c r="B146" s="40"/>
      <c r="C146" s="40"/>
      <c r="D146" s="45"/>
      <c r="E146" s="46"/>
      <c r="F146" s="46"/>
      <c r="G146" s="40"/>
      <c r="H146" s="47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</row>
    <row r="147" spans="2:50">
      <c r="B147" s="40"/>
      <c r="C147" s="40"/>
      <c r="D147" s="45"/>
      <c r="E147" s="46"/>
      <c r="F147" s="46"/>
      <c r="G147" s="40"/>
      <c r="H147" s="47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  <c r="AQ147" s="40"/>
      <c r="AR147" s="40"/>
      <c r="AS147" s="40"/>
      <c r="AT147" s="40"/>
      <c r="AU147" s="40"/>
      <c r="AV147" s="40"/>
      <c r="AW147" s="40"/>
      <c r="AX147" s="40"/>
    </row>
    <row r="148" spans="2:50">
      <c r="B148" s="40"/>
      <c r="C148" s="40"/>
      <c r="D148" s="45"/>
      <c r="E148" s="46"/>
      <c r="F148" s="46"/>
      <c r="G148" s="40"/>
      <c r="H148" s="47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  <c r="AQ148" s="40"/>
      <c r="AR148" s="40"/>
      <c r="AS148" s="40"/>
      <c r="AT148" s="40"/>
      <c r="AU148" s="40"/>
      <c r="AV148" s="40"/>
      <c r="AW148" s="40"/>
      <c r="AX148" s="40"/>
    </row>
    <row r="149" spans="2:50">
      <c r="B149" s="40"/>
      <c r="C149" s="40"/>
      <c r="D149" s="45"/>
      <c r="E149" s="46"/>
      <c r="F149" s="46"/>
      <c r="G149" s="40"/>
      <c r="H149" s="47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  <c r="AQ149" s="40"/>
      <c r="AR149" s="40"/>
      <c r="AS149" s="40"/>
      <c r="AT149" s="40"/>
      <c r="AU149" s="40"/>
      <c r="AV149" s="40"/>
      <c r="AW149" s="40"/>
      <c r="AX149" s="40"/>
    </row>
    <row r="150" spans="2:50">
      <c r="B150" s="40"/>
      <c r="C150" s="40"/>
      <c r="D150" s="45"/>
      <c r="E150" s="46"/>
      <c r="F150" s="46"/>
      <c r="G150" s="40"/>
      <c r="H150" s="47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  <c r="AQ150" s="40"/>
      <c r="AR150" s="40"/>
      <c r="AS150" s="40"/>
      <c r="AT150" s="40"/>
      <c r="AU150" s="40"/>
      <c r="AV150" s="40"/>
      <c r="AW150" s="40"/>
      <c r="AX150" s="40"/>
    </row>
    <row r="151" spans="2:50">
      <c r="B151" s="40"/>
      <c r="C151" s="40"/>
      <c r="D151" s="45"/>
      <c r="E151" s="46"/>
      <c r="F151" s="46"/>
      <c r="G151" s="40"/>
      <c r="H151" s="47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O151" s="40"/>
      <c r="AP151" s="40"/>
      <c r="AQ151" s="40"/>
      <c r="AR151" s="40"/>
      <c r="AS151" s="40"/>
      <c r="AT151" s="40"/>
      <c r="AU151" s="40"/>
      <c r="AV151" s="40"/>
      <c r="AW151" s="40"/>
      <c r="AX151" s="40"/>
    </row>
    <row r="152" spans="2:50">
      <c r="B152" s="40"/>
      <c r="C152" s="40"/>
      <c r="D152" s="45"/>
      <c r="E152" s="46"/>
      <c r="F152" s="46"/>
      <c r="G152" s="40"/>
      <c r="H152" s="47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  <c r="AQ152" s="40"/>
      <c r="AR152" s="40"/>
      <c r="AS152" s="40"/>
      <c r="AT152" s="40"/>
      <c r="AU152" s="40"/>
      <c r="AV152" s="40"/>
      <c r="AW152" s="40"/>
      <c r="AX152" s="40"/>
    </row>
    <row r="153" spans="2:50">
      <c r="B153" s="40"/>
      <c r="C153" s="40"/>
      <c r="D153" s="45"/>
      <c r="E153" s="46"/>
      <c r="F153" s="46"/>
      <c r="G153" s="40"/>
      <c r="H153" s="47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40"/>
      <c r="AP153" s="40"/>
      <c r="AQ153" s="40"/>
      <c r="AR153" s="40"/>
      <c r="AS153" s="40"/>
      <c r="AT153" s="40"/>
      <c r="AU153" s="40"/>
      <c r="AV153" s="40"/>
      <c r="AW153" s="40"/>
      <c r="AX153" s="40"/>
    </row>
    <row r="154" spans="2:50">
      <c r="B154" s="40"/>
      <c r="C154" s="40"/>
      <c r="D154" s="45"/>
      <c r="E154" s="46"/>
      <c r="F154" s="46"/>
      <c r="G154" s="40"/>
      <c r="H154" s="47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40"/>
      <c r="AP154" s="40"/>
      <c r="AQ154" s="40"/>
      <c r="AR154" s="40"/>
      <c r="AS154" s="40"/>
      <c r="AT154" s="40"/>
      <c r="AU154" s="40"/>
      <c r="AV154" s="40"/>
      <c r="AW154" s="40"/>
      <c r="AX154" s="40"/>
    </row>
    <row r="155" spans="2:50">
      <c r="B155" s="40"/>
      <c r="C155" s="40"/>
      <c r="D155" s="45"/>
      <c r="E155" s="46"/>
      <c r="F155" s="46"/>
      <c r="G155" s="40"/>
      <c r="H155" s="47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</row>
    <row r="156" spans="2:50">
      <c r="B156" s="40"/>
      <c r="C156" s="40"/>
      <c r="D156" s="45"/>
      <c r="E156" s="46"/>
      <c r="F156" s="46"/>
      <c r="G156" s="40"/>
      <c r="H156" s="47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O156" s="40"/>
      <c r="AP156" s="40"/>
      <c r="AQ156" s="40"/>
      <c r="AR156" s="40"/>
      <c r="AS156" s="40"/>
      <c r="AT156" s="40"/>
      <c r="AU156" s="40"/>
      <c r="AV156" s="40"/>
      <c r="AW156" s="40"/>
      <c r="AX156" s="40"/>
    </row>
    <row r="157" spans="2:50">
      <c r="B157" s="40"/>
      <c r="C157" s="40"/>
      <c r="D157" s="45"/>
      <c r="E157" s="46"/>
      <c r="F157" s="46"/>
      <c r="G157" s="40"/>
      <c r="H157" s="47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O157" s="40"/>
      <c r="AP157" s="40"/>
      <c r="AQ157" s="40"/>
      <c r="AR157" s="40"/>
      <c r="AS157" s="40"/>
      <c r="AT157" s="40"/>
      <c r="AU157" s="40"/>
      <c r="AV157" s="40"/>
      <c r="AW157" s="40"/>
      <c r="AX157" s="40"/>
    </row>
    <row r="158" spans="2:50">
      <c r="B158" s="40"/>
      <c r="C158" s="40"/>
      <c r="D158" s="45"/>
      <c r="E158" s="46"/>
      <c r="F158" s="46"/>
      <c r="G158" s="40"/>
      <c r="H158" s="47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  <c r="AO158" s="40"/>
      <c r="AP158" s="40"/>
      <c r="AQ158" s="40"/>
      <c r="AR158" s="40"/>
      <c r="AS158" s="40"/>
      <c r="AT158" s="40"/>
      <c r="AU158" s="40"/>
      <c r="AV158" s="40"/>
      <c r="AW158" s="40"/>
      <c r="AX158" s="40"/>
    </row>
    <row r="159" spans="2:50">
      <c r="B159" s="40"/>
      <c r="C159" s="40"/>
      <c r="D159" s="45"/>
      <c r="E159" s="46"/>
      <c r="F159" s="46"/>
      <c r="G159" s="40"/>
      <c r="H159" s="47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M159" s="40"/>
      <c r="AN159" s="40"/>
      <c r="AO159" s="40"/>
      <c r="AP159" s="40"/>
      <c r="AQ159" s="40"/>
      <c r="AR159" s="40"/>
      <c r="AS159" s="40"/>
      <c r="AT159" s="40"/>
      <c r="AU159" s="40"/>
      <c r="AV159" s="40"/>
      <c r="AW159" s="40"/>
      <c r="AX159" s="40"/>
    </row>
    <row r="160" spans="2:50">
      <c r="B160" s="40"/>
      <c r="C160" s="40"/>
      <c r="D160" s="45"/>
      <c r="E160" s="46"/>
      <c r="F160" s="46"/>
      <c r="G160" s="40"/>
      <c r="H160" s="47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0"/>
      <c r="AK160" s="40"/>
      <c r="AL160" s="40"/>
      <c r="AM160" s="40"/>
      <c r="AN160" s="40"/>
      <c r="AO160" s="40"/>
      <c r="AP160" s="40"/>
      <c r="AQ160" s="40"/>
      <c r="AR160" s="40"/>
      <c r="AS160" s="40"/>
      <c r="AT160" s="40"/>
      <c r="AU160" s="40"/>
      <c r="AV160" s="40"/>
      <c r="AW160" s="40"/>
      <c r="AX160" s="40"/>
    </row>
    <row r="161" spans="2:50">
      <c r="B161" s="40"/>
      <c r="C161" s="40"/>
      <c r="D161" s="45"/>
      <c r="E161" s="46"/>
      <c r="F161" s="46"/>
      <c r="G161" s="40"/>
      <c r="H161" s="47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0"/>
      <c r="AK161" s="40"/>
      <c r="AL161" s="40"/>
      <c r="AM161" s="40"/>
      <c r="AN161" s="40"/>
      <c r="AO161" s="40"/>
      <c r="AP161" s="40"/>
      <c r="AQ161" s="40"/>
      <c r="AR161" s="40"/>
      <c r="AS161" s="40"/>
      <c r="AT161" s="40"/>
      <c r="AU161" s="40"/>
      <c r="AV161" s="40"/>
      <c r="AW161" s="40"/>
      <c r="AX161" s="40"/>
    </row>
    <row r="162" spans="2:50">
      <c r="B162" s="40"/>
      <c r="C162" s="40"/>
      <c r="D162" s="45"/>
      <c r="E162" s="46"/>
      <c r="F162" s="46"/>
      <c r="G162" s="40"/>
      <c r="H162" s="47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  <c r="AK162" s="40"/>
      <c r="AL162" s="40"/>
      <c r="AM162" s="40"/>
      <c r="AN162" s="40"/>
      <c r="AO162" s="40"/>
      <c r="AP162" s="40"/>
      <c r="AQ162" s="40"/>
      <c r="AR162" s="40"/>
      <c r="AS162" s="40"/>
      <c r="AT162" s="40"/>
      <c r="AU162" s="40"/>
      <c r="AV162" s="40"/>
      <c r="AW162" s="40"/>
      <c r="AX162" s="40"/>
    </row>
    <row r="163" spans="2:50">
      <c r="B163" s="40"/>
      <c r="C163" s="40"/>
      <c r="D163" s="45"/>
      <c r="E163" s="46"/>
      <c r="F163" s="46"/>
      <c r="G163" s="40"/>
      <c r="H163" s="47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40"/>
      <c r="AO163" s="40"/>
      <c r="AP163" s="40"/>
      <c r="AQ163" s="40"/>
      <c r="AR163" s="40"/>
      <c r="AS163" s="40"/>
      <c r="AT163" s="40"/>
      <c r="AU163" s="40"/>
      <c r="AV163" s="40"/>
      <c r="AW163" s="40"/>
      <c r="AX163" s="40"/>
    </row>
    <row r="164" spans="2:50">
      <c r="B164" s="40"/>
      <c r="C164" s="40"/>
      <c r="D164" s="45"/>
      <c r="E164" s="46"/>
      <c r="F164" s="46"/>
      <c r="G164" s="40"/>
      <c r="H164" s="47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40"/>
      <c r="AK164" s="40"/>
      <c r="AL164" s="40"/>
      <c r="AM164" s="40"/>
      <c r="AN164" s="40"/>
      <c r="AO164" s="40"/>
      <c r="AP164" s="40"/>
      <c r="AQ164" s="40"/>
      <c r="AR164" s="40"/>
      <c r="AS164" s="40"/>
      <c r="AT164" s="40"/>
      <c r="AU164" s="40"/>
      <c r="AV164" s="40"/>
      <c r="AW164" s="40"/>
      <c r="AX164" s="40"/>
    </row>
    <row r="165" spans="2:50">
      <c r="B165" s="40"/>
      <c r="C165" s="40"/>
      <c r="D165" s="45"/>
      <c r="E165" s="46"/>
      <c r="F165" s="46"/>
      <c r="G165" s="40"/>
      <c r="H165" s="47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40"/>
      <c r="AO165" s="40"/>
      <c r="AP165" s="40"/>
      <c r="AQ165" s="40"/>
      <c r="AR165" s="40"/>
      <c r="AS165" s="40"/>
      <c r="AT165" s="40"/>
      <c r="AU165" s="40"/>
      <c r="AV165" s="40"/>
      <c r="AW165" s="40"/>
      <c r="AX165" s="40"/>
    </row>
    <row r="166" spans="2:50">
      <c r="B166" s="40"/>
      <c r="C166" s="40"/>
      <c r="D166" s="45"/>
      <c r="E166" s="46"/>
      <c r="F166" s="46"/>
      <c r="G166" s="40"/>
      <c r="H166" s="47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40"/>
      <c r="AK166" s="40"/>
      <c r="AL166" s="40"/>
      <c r="AM166" s="40"/>
      <c r="AN166" s="40"/>
      <c r="AO166" s="40"/>
      <c r="AP166" s="40"/>
      <c r="AQ166" s="40"/>
      <c r="AR166" s="40"/>
      <c r="AS166" s="40"/>
      <c r="AT166" s="40"/>
      <c r="AU166" s="40"/>
      <c r="AV166" s="40"/>
      <c r="AW166" s="40"/>
      <c r="AX166" s="40"/>
    </row>
    <row r="167" spans="2:50">
      <c r="B167" s="40"/>
      <c r="C167" s="40"/>
      <c r="D167" s="45"/>
      <c r="E167" s="46"/>
      <c r="F167" s="46"/>
      <c r="G167" s="40"/>
      <c r="H167" s="47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  <c r="AK167" s="40"/>
      <c r="AL167" s="40"/>
      <c r="AM167" s="40"/>
      <c r="AN167" s="40"/>
      <c r="AO167" s="40"/>
      <c r="AP167" s="40"/>
      <c r="AQ167" s="40"/>
      <c r="AR167" s="40"/>
      <c r="AS167" s="40"/>
      <c r="AT167" s="40"/>
      <c r="AU167" s="40"/>
      <c r="AV167" s="40"/>
      <c r="AW167" s="40"/>
      <c r="AX167" s="40"/>
    </row>
    <row r="168" spans="2:50">
      <c r="B168" s="40"/>
      <c r="C168" s="40"/>
      <c r="D168" s="45"/>
      <c r="E168" s="46"/>
      <c r="F168" s="46"/>
      <c r="G168" s="40"/>
      <c r="H168" s="47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  <c r="AK168" s="40"/>
      <c r="AL168" s="40"/>
      <c r="AM168" s="40"/>
      <c r="AN168" s="40"/>
      <c r="AO168" s="40"/>
      <c r="AP168" s="40"/>
      <c r="AQ168" s="40"/>
      <c r="AR168" s="40"/>
      <c r="AS168" s="40"/>
      <c r="AT168" s="40"/>
      <c r="AU168" s="40"/>
      <c r="AV168" s="40"/>
      <c r="AW168" s="40"/>
      <c r="AX168" s="40"/>
    </row>
    <row r="169" spans="2:50">
      <c r="B169" s="40"/>
      <c r="C169" s="40"/>
      <c r="D169" s="45"/>
      <c r="E169" s="46"/>
      <c r="F169" s="46"/>
      <c r="G169" s="40"/>
      <c r="H169" s="47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  <c r="AK169" s="40"/>
      <c r="AL169" s="40"/>
      <c r="AM169" s="40"/>
      <c r="AN169" s="40"/>
      <c r="AO169" s="40"/>
      <c r="AP169" s="40"/>
      <c r="AQ169" s="40"/>
      <c r="AR169" s="40"/>
      <c r="AS169" s="40"/>
      <c r="AT169" s="40"/>
      <c r="AU169" s="40"/>
      <c r="AV169" s="40"/>
      <c r="AW169" s="40"/>
      <c r="AX169" s="40"/>
    </row>
    <row r="170" spans="2:50">
      <c r="B170" s="40"/>
      <c r="C170" s="40"/>
      <c r="D170" s="45"/>
      <c r="E170" s="46"/>
      <c r="F170" s="46"/>
      <c r="G170" s="40"/>
      <c r="H170" s="47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  <c r="AK170" s="40"/>
      <c r="AL170" s="40"/>
      <c r="AM170" s="40"/>
      <c r="AN170" s="40"/>
      <c r="AO170" s="40"/>
      <c r="AP170" s="40"/>
      <c r="AQ170" s="40"/>
      <c r="AR170" s="40"/>
      <c r="AS170" s="40"/>
      <c r="AT170" s="40"/>
      <c r="AU170" s="40"/>
      <c r="AV170" s="40"/>
      <c r="AW170" s="40"/>
      <c r="AX170" s="40"/>
    </row>
    <row r="171" spans="2:50">
      <c r="B171" s="40"/>
      <c r="C171" s="40"/>
      <c r="D171" s="45"/>
      <c r="E171" s="46"/>
      <c r="F171" s="46"/>
      <c r="G171" s="40"/>
      <c r="H171" s="47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M171" s="40"/>
      <c r="AN171" s="40"/>
      <c r="AO171" s="40"/>
      <c r="AP171" s="40"/>
      <c r="AQ171" s="40"/>
      <c r="AR171" s="40"/>
      <c r="AS171" s="40"/>
      <c r="AT171" s="40"/>
      <c r="AU171" s="40"/>
      <c r="AV171" s="40"/>
      <c r="AW171" s="40"/>
      <c r="AX171" s="40"/>
    </row>
    <row r="172" spans="2:50">
      <c r="B172" s="40"/>
      <c r="C172" s="40"/>
      <c r="D172" s="45"/>
      <c r="E172" s="46"/>
      <c r="F172" s="46"/>
      <c r="G172" s="40"/>
      <c r="H172" s="47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  <c r="AK172" s="40"/>
      <c r="AL172" s="40"/>
      <c r="AM172" s="40"/>
      <c r="AN172" s="40"/>
      <c r="AO172" s="40"/>
      <c r="AP172" s="40"/>
      <c r="AQ172" s="40"/>
      <c r="AR172" s="40"/>
      <c r="AS172" s="40"/>
      <c r="AT172" s="40"/>
      <c r="AU172" s="40"/>
      <c r="AV172" s="40"/>
      <c r="AW172" s="40"/>
      <c r="AX172" s="40"/>
    </row>
    <row r="173" spans="2:50">
      <c r="B173" s="40"/>
      <c r="C173" s="40"/>
      <c r="D173" s="45"/>
      <c r="E173" s="46"/>
      <c r="F173" s="46"/>
      <c r="G173" s="40"/>
      <c r="H173" s="47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40"/>
      <c r="AL173" s="40"/>
      <c r="AM173" s="40"/>
      <c r="AN173" s="40"/>
      <c r="AO173" s="40"/>
      <c r="AP173" s="40"/>
      <c r="AQ173" s="40"/>
      <c r="AR173" s="40"/>
      <c r="AS173" s="40"/>
      <c r="AT173" s="40"/>
      <c r="AU173" s="40"/>
      <c r="AV173" s="40"/>
      <c r="AW173" s="40"/>
      <c r="AX173" s="40"/>
    </row>
    <row r="174" spans="2:50">
      <c r="B174" s="40"/>
      <c r="C174" s="40"/>
      <c r="D174" s="45"/>
      <c r="E174" s="46"/>
      <c r="F174" s="46"/>
      <c r="G174" s="40"/>
      <c r="H174" s="47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0"/>
      <c r="AR174" s="40"/>
      <c r="AS174" s="40"/>
      <c r="AT174" s="40"/>
      <c r="AU174" s="40"/>
      <c r="AV174" s="40"/>
      <c r="AW174" s="40"/>
      <c r="AX174" s="40"/>
    </row>
    <row r="175" spans="2:50">
      <c r="B175" s="40"/>
      <c r="C175" s="40"/>
      <c r="D175" s="45"/>
      <c r="E175" s="46"/>
      <c r="F175" s="46"/>
      <c r="G175" s="40"/>
      <c r="H175" s="47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40"/>
      <c r="AO175" s="40"/>
      <c r="AP175" s="40"/>
      <c r="AQ175" s="40"/>
      <c r="AR175" s="40"/>
      <c r="AS175" s="40"/>
      <c r="AT175" s="40"/>
      <c r="AU175" s="40"/>
      <c r="AV175" s="40"/>
      <c r="AW175" s="40"/>
      <c r="AX175" s="40"/>
    </row>
    <row r="176" spans="2:50">
      <c r="B176" s="40"/>
      <c r="C176" s="40"/>
      <c r="D176" s="45"/>
      <c r="E176" s="46"/>
      <c r="F176" s="46"/>
      <c r="G176" s="40"/>
      <c r="H176" s="47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40"/>
      <c r="AN176" s="40"/>
      <c r="AO176" s="40"/>
      <c r="AP176" s="40"/>
      <c r="AQ176" s="40"/>
      <c r="AR176" s="40"/>
      <c r="AS176" s="40"/>
      <c r="AT176" s="40"/>
      <c r="AU176" s="40"/>
      <c r="AV176" s="40"/>
      <c r="AW176" s="40"/>
      <c r="AX176" s="40"/>
    </row>
    <row r="177" spans="2:50">
      <c r="B177" s="40"/>
      <c r="C177" s="40"/>
      <c r="D177" s="45"/>
      <c r="E177" s="46"/>
      <c r="F177" s="46"/>
      <c r="G177" s="40"/>
      <c r="H177" s="47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40"/>
      <c r="AO177" s="40"/>
      <c r="AP177" s="40"/>
      <c r="AQ177" s="40"/>
      <c r="AR177" s="40"/>
      <c r="AS177" s="40"/>
      <c r="AT177" s="40"/>
      <c r="AU177" s="40"/>
      <c r="AV177" s="40"/>
      <c r="AW177" s="40"/>
      <c r="AX177" s="40"/>
    </row>
    <row r="178" spans="2:50">
      <c r="B178" s="40"/>
      <c r="C178" s="40"/>
      <c r="D178" s="45"/>
      <c r="E178" s="46"/>
      <c r="F178" s="46"/>
      <c r="G178" s="40"/>
      <c r="H178" s="47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40"/>
      <c r="AP178" s="40"/>
      <c r="AQ178" s="40"/>
      <c r="AR178" s="40"/>
      <c r="AS178" s="40"/>
      <c r="AT178" s="40"/>
      <c r="AU178" s="40"/>
      <c r="AV178" s="40"/>
      <c r="AW178" s="40"/>
      <c r="AX178" s="40"/>
    </row>
    <row r="179" spans="2:50">
      <c r="B179" s="40"/>
      <c r="C179" s="40"/>
      <c r="D179" s="45"/>
      <c r="E179" s="46"/>
      <c r="F179" s="46"/>
      <c r="G179" s="40"/>
      <c r="H179" s="47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M179" s="40"/>
      <c r="AN179" s="40"/>
      <c r="AO179" s="40"/>
      <c r="AP179" s="40"/>
      <c r="AQ179" s="40"/>
      <c r="AR179" s="40"/>
      <c r="AS179" s="40"/>
      <c r="AT179" s="40"/>
      <c r="AU179" s="40"/>
      <c r="AV179" s="40"/>
      <c r="AW179" s="40"/>
      <c r="AX179" s="40"/>
    </row>
    <row r="180" spans="2:50">
      <c r="B180" s="40"/>
      <c r="C180" s="40"/>
      <c r="D180" s="45"/>
      <c r="E180" s="46"/>
      <c r="F180" s="46"/>
      <c r="G180" s="40"/>
      <c r="H180" s="47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M180" s="40"/>
      <c r="AN180" s="40"/>
      <c r="AO180" s="40"/>
      <c r="AP180" s="40"/>
      <c r="AQ180" s="40"/>
      <c r="AR180" s="40"/>
      <c r="AS180" s="40"/>
      <c r="AT180" s="40"/>
      <c r="AU180" s="40"/>
      <c r="AV180" s="40"/>
      <c r="AW180" s="40"/>
      <c r="AX180" s="40"/>
    </row>
    <row r="181" spans="2:50">
      <c r="B181" s="40"/>
      <c r="C181" s="40"/>
      <c r="D181" s="45"/>
      <c r="E181" s="46"/>
      <c r="F181" s="46"/>
      <c r="G181" s="40"/>
      <c r="H181" s="47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40"/>
      <c r="AO181" s="40"/>
      <c r="AP181" s="40"/>
      <c r="AQ181" s="40"/>
      <c r="AR181" s="40"/>
      <c r="AS181" s="40"/>
      <c r="AT181" s="40"/>
      <c r="AU181" s="40"/>
      <c r="AV181" s="40"/>
      <c r="AW181" s="40"/>
      <c r="AX181" s="40"/>
    </row>
    <row r="182" spans="2:50">
      <c r="B182" s="40"/>
      <c r="C182" s="40"/>
      <c r="D182" s="45"/>
      <c r="E182" s="46"/>
      <c r="F182" s="46"/>
      <c r="G182" s="40"/>
      <c r="H182" s="47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40"/>
      <c r="AO182" s="40"/>
      <c r="AP182" s="40"/>
      <c r="AQ182" s="40"/>
      <c r="AR182" s="40"/>
      <c r="AS182" s="40"/>
      <c r="AT182" s="40"/>
      <c r="AU182" s="40"/>
      <c r="AV182" s="40"/>
      <c r="AW182" s="40"/>
      <c r="AX182" s="40"/>
    </row>
    <row r="183" spans="2:50">
      <c r="B183" s="40"/>
      <c r="C183" s="40"/>
      <c r="D183" s="45"/>
      <c r="E183" s="46"/>
      <c r="F183" s="46"/>
      <c r="G183" s="40"/>
      <c r="H183" s="47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  <c r="AO183" s="40"/>
      <c r="AP183" s="40"/>
      <c r="AQ183" s="40"/>
      <c r="AR183" s="40"/>
      <c r="AS183" s="40"/>
      <c r="AT183" s="40"/>
      <c r="AU183" s="40"/>
      <c r="AV183" s="40"/>
      <c r="AW183" s="40"/>
      <c r="AX183" s="40"/>
    </row>
    <row r="184" spans="2:50">
      <c r="B184" s="40"/>
      <c r="C184" s="40"/>
      <c r="D184" s="45"/>
      <c r="E184" s="46"/>
      <c r="F184" s="46"/>
      <c r="G184" s="40"/>
      <c r="H184" s="47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  <c r="AM184" s="40"/>
      <c r="AN184" s="40"/>
      <c r="AO184" s="40"/>
      <c r="AP184" s="40"/>
      <c r="AQ184" s="40"/>
      <c r="AR184" s="40"/>
      <c r="AS184" s="40"/>
      <c r="AT184" s="40"/>
      <c r="AU184" s="40"/>
      <c r="AV184" s="40"/>
      <c r="AW184" s="40"/>
      <c r="AX184" s="40"/>
    </row>
    <row r="185" spans="2:50">
      <c r="B185" s="40"/>
      <c r="C185" s="40"/>
      <c r="D185" s="45"/>
      <c r="E185" s="46"/>
      <c r="F185" s="46"/>
      <c r="G185" s="40"/>
      <c r="H185" s="47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  <c r="AM185" s="40"/>
      <c r="AN185" s="40"/>
      <c r="AO185" s="40"/>
      <c r="AP185" s="40"/>
      <c r="AQ185" s="40"/>
      <c r="AR185" s="40"/>
      <c r="AS185" s="40"/>
      <c r="AT185" s="40"/>
      <c r="AU185" s="40"/>
      <c r="AV185" s="40"/>
      <c r="AW185" s="40"/>
      <c r="AX185" s="40"/>
    </row>
    <row r="186" spans="2:50">
      <c r="B186" s="40"/>
      <c r="C186" s="40"/>
      <c r="D186" s="45"/>
      <c r="E186" s="46"/>
      <c r="F186" s="46"/>
      <c r="G186" s="40"/>
      <c r="H186" s="47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  <c r="AK186" s="40"/>
      <c r="AL186" s="40"/>
      <c r="AM186" s="40"/>
      <c r="AN186" s="40"/>
      <c r="AO186" s="40"/>
      <c r="AP186" s="40"/>
      <c r="AQ186" s="40"/>
      <c r="AR186" s="40"/>
      <c r="AS186" s="40"/>
      <c r="AT186" s="40"/>
      <c r="AU186" s="40"/>
      <c r="AV186" s="40"/>
      <c r="AW186" s="40"/>
      <c r="AX186" s="40"/>
    </row>
    <row r="187" spans="2:50">
      <c r="B187" s="40"/>
      <c r="C187" s="40"/>
      <c r="D187" s="45"/>
      <c r="E187" s="46"/>
      <c r="F187" s="46"/>
      <c r="G187" s="40"/>
      <c r="H187" s="47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  <c r="AM187" s="40"/>
      <c r="AN187" s="40"/>
      <c r="AO187" s="40"/>
      <c r="AP187" s="40"/>
      <c r="AQ187" s="40"/>
      <c r="AR187" s="40"/>
      <c r="AS187" s="40"/>
      <c r="AT187" s="40"/>
      <c r="AU187" s="40"/>
      <c r="AV187" s="40"/>
      <c r="AW187" s="40"/>
      <c r="AX187" s="40"/>
    </row>
    <row r="188" spans="2:50">
      <c r="B188" s="40"/>
      <c r="C188" s="40"/>
      <c r="D188" s="45"/>
      <c r="E188" s="46"/>
      <c r="F188" s="46"/>
      <c r="G188" s="40"/>
      <c r="H188" s="47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  <c r="AK188" s="40"/>
      <c r="AL188" s="40"/>
      <c r="AM188" s="40"/>
      <c r="AN188" s="40"/>
      <c r="AO188" s="40"/>
      <c r="AP188" s="40"/>
      <c r="AQ188" s="40"/>
      <c r="AR188" s="40"/>
      <c r="AS188" s="40"/>
      <c r="AT188" s="40"/>
      <c r="AU188" s="40"/>
      <c r="AV188" s="40"/>
      <c r="AW188" s="40"/>
      <c r="AX188" s="40"/>
    </row>
    <row r="189" spans="2:50">
      <c r="B189" s="40"/>
      <c r="C189" s="40"/>
      <c r="D189" s="45"/>
      <c r="E189" s="46"/>
      <c r="F189" s="46"/>
      <c r="G189" s="40"/>
      <c r="H189" s="47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  <c r="AL189" s="40"/>
      <c r="AM189" s="40"/>
      <c r="AN189" s="40"/>
      <c r="AO189" s="40"/>
      <c r="AP189" s="40"/>
      <c r="AQ189" s="40"/>
      <c r="AR189" s="40"/>
      <c r="AS189" s="40"/>
      <c r="AT189" s="40"/>
      <c r="AU189" s="40"/>
      <c r="AV189" s="40"/>
      <c r="AW189" s="40"/>
      <c r="AX189" s="40"/>
    </row>
    <row r="190" spans="2:50">
      <c r="B190" s="40"/>
      <c r="C190" s="40"/>
      <c r="D190" s="45"/>
      <c r="E190" s="46"/>
      <c r="F190" s="46"/>
      <c r="G190" s="40"/>
      <c r="H190" s="47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40"/>
      <c r="AK190" s="40"/>
      <c r="AL190" s="40"/>
      <c r="AM190" s="40"/>
      <c r="AN190" s="40"/>
      <c r="AO190" s="40"/>
      <c r="AP190" s="40"/>
      <c r="AQ190" s="40"/>
      <c r="AR190" s="40"/>
      <c r="AS190" s="40"/>
      <c r="AT190" s="40"/>
      <c r="AU190" s="40"/>
      <c r="AV190" s="40"/>
      <c r="AW190" s="40"/>
      <c r="AX190" s="40"/>
    </row>
    <row r="191" spans="2:50">
      <c r="B191" s="40"/>
      <c r="C191" s="40"/>
      <c r="D191" s="45"/>
      <c r="E191" s="46"/>
      <c r="F191" s="46"/>
      <c r="G191" s="40"/>
      <c r="H191" s="47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0"/>
      <c r="AK191" s="40"/>
      <c r="AL191" s="40"/>
      <c r="AM191" s="40"/>
      <c r="AN191" s="40"/>
      <c r="AO191" s="40"/>
      <c r="AP191" s="40"/>
      <c r="AQ191" s="40"/>
      <c r="AR191" s="40"/>
      <c r="AS191" s="40"/>
      <c r="AT191" s="40"/>
      <c r="AU191" s="40"/>
      <c r="AV191" s="40"/>
      <c r="AW191" s="40"/>
      <c r="AX191" s="40"/>
    </row>
    <row r="192" spans="2:50">
      <c r="B192" s="40"/>
      <c r="C192" s="40"/>
      <c r="D192" s="45"/>
      <c r="E192" s="46"/>
      <c r="F192" s="46"/>
      <c r="G192" s="40"/>
      <c r="H192" s="47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40"/>
      <c r="AK192" s="40"/>
      <c r="AL192" s="40"/>
      <c r="AM192" s="40"/>
      <c r="AN192" s="40"/>
      <c r="AO192" s="40"/>
      <c r="AP192" s="40"/>
      <c r="AQ192" s="40"/>
      <c r="AR192" s="40"/>
      <c r="AS192" s="40"/>
      <c r="AT192" s="40"/>
      <c r="AU192" s="40"/>
      <c r="AV192" s="40"/>
      <c r="AW192" s="40"/>
      <c r="AX192" s="40"/>
    </row>
    <row r="193" spans="2:50">
      <c r="B193" s="40"/>
      <c r="C193" s="40"/>
      <c r="D193" s="45"/>
      <c r="E193" s="46"/>
      <c r="F193" s="46"/>
      <c r="G193" s="40"/>
      <c r="H193" s="47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  <c r="AQ193" s="40"/>
      <c r="AR193" s="40"/>
      <c r="AS193" s="40"/>
      <c r="AT193" s="40"/>
      <c r="AU193" s="40"/>
      <c r="AV193" s="40"/>
      <c r="AW193" s="40"/>
      <c r="AX193" s="40"/>
    </row>
    <row r="194" spans="2:50">
      <c r="B194" s="40"/>
      <c r="C194" s="40"/>
      <c r="D194" s="45"/>
      <c r="E194" s="46"/>
      <c r="F194" s="46"/>
      <c r="G194" s="40"/>
      <c r="H194" s="47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  <c r="AK194" s="40"/>
      <c r="AL194" s="40"/>
      <c r="AM194" s="40"/>
      <c r="AN194" s="40"/>
      <c r="AO194" s="40"/>
      <c r="AP194" s="40"/>
      <c r="AQ194" s="40"/>
      <c r="AR194" s="40"/>
      <c r="AS194" s="40"/>
      <c r="AT194" s="40"/>
      <c r="AU194" s="40"/>
      <c r="AV194" s="40"/>
      <c r="AW194" s="40"/>
      <c r="AX194" s="40"/>
    </row>
    <row r="195" spans="2:50">
      <c r="B195" s="40"/>
      <c r="C195" s="40"/>
      <c r="D195" s="45"/>
      <c r="E195" s="46"/>
      <c r="F195" s="46"/>
      <c r="G195" s="40"/>
      <c r="H195" s="47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  <c r="AK195" s="40"/>
      <c r="AL195" s="40"/>
      <c r="AM195" s="40"/>
      <c r="AN195" s="40"/>
      <c r="AO195" s="40"/>
      <c r="AP195" s="40"/>
      <c r="AQ195" s="40"/>
      <c r="AR195" s="40"/>
      <c r="AS195" s="40"/>
      <c r="AT195" s="40"/>
      <c r="AU195" s="40"/>
      <c r="AV195" s="40"/>
      <c r="AW195" s="40"/>
      <c r="AX195" s="40"/>
    </row>
    <row r="196" spans="2:50">
      <c r="B196" s="40"/>
      <c r="C196" s="40"/>
      <c r="D196" s="45"/>
      <c r="E196" s="46"/>
      <c r="F196" s="46"/>
      <c r="G196" s="40"/>
      <c r="H196" s="47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0"/>
      <c r="AK196" s="40"/>
      <c r="AL196" s="40"/>
      <c r="AM196" s="40"/>
      <c r="AN196" s="40"/>
      <c r="AO196" s="40"/>
      <c r="AP196" s="40"/>
      <c r="AQ196" s="40"/>
      <c r="AR196" s="40"/>
      <c r="AS196" s="40"/>
      <c r="AT196" s="40"/>
      <c r="AU196" s="40"/>
      <c r="AV196" s="40"/>
      <c r="AW196" s="40"/>
      <c r="AX196" s="40"/>
    </row>
    <row r="197" spans="2:50">
      <c r="B197" s="40"/>
      <c r="C197" s="40"/>
      <c r="D197" s="45"/>
      <c r="E197" s="46"/>
      <c r="F197" s="46"/>
      <c r="G197" s="40"/>
      <c r="H197" s="47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40"/>
      <c r="AK197" s="40"/>
      <c r="AL197" s="40"/>
      <c r="AM197" s="40"/>
      <c r="AN197" s="40"/>
      <c r="AO197" s="40"/>
      <c r="AP197" s="40"/>
      <c r="AQ197" s="40"/>
      <c r="AR197" s="40"/>
      <c r="AS197" s="40"/>
      <c r="AT197" s="40"/>
      <c r="AU197" s="40"/>
      <c r="AV197" s="40"/>
      <c r="AW197" s="40"/>
      <c r="AX197" s="40"/>
    </row>
    <row r="198" spans="2:50">
      <c r="B198" s="40"/>
      <c r="C198" s="40"/>
      <c r="D198" s="45"/>
      <c r="E198" s="46"/>
      <c r="F198" s="46"/>
      <c r="G198" s="40"/>
      <c r="H198" s="47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0"/>
      <c r="AK198" s="40"/>
      <c r="AL198" s="40"/>
      <c r="AM198" s="40"/>
      <c r="AN198" s="40"/>
      <c r="AO198" s="40"/>
      <c r="AP198" s="40"/>
      <c r="AQ198" s="40"/>
      <c r="AR198" s="40"/>
      <c r="AS198" s="40"/>
      <c r="AT198" s="40"/>
      <c r="AU198" s="40"/>
      <c r="AV198" s="40"/>
      <c r="AW198" s="40"/>
      <c r="AX198" s="40"/>
    </row>
    <row r="199" spans="2:50">
      <c r="B199" s="40"/>
      <c r="C199" s="40"/>
      <c r="D199" s="45"/>
      <c r="E199" s="46"/>
      <c r="F199" s="46"/>
      <c r="G199" s="40"/>
      <c r="H199" s="47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0"/>
      <c r="AK199" s="40"/>
      <c r="AL199" s="40"/>
      <c r="AM199" s="40"/>
      <c r="AN199" s="40"/>
      <c r="AO199" s="40"/>
      <c r="AP199" s="40"/>
      <c r="AQ199" s="40"/>
      <c r="AR199" s="40"/>
      <c r="AS199" s="40"/>
      <c r="AT199" s="40"/>
      <c r="AU199" s="40"/>
      <c r="AV199" s="40"/>
      <c r="AW199" s="40"/>
      <c r="AX199" s="40"/>
    </row>
    <row r="200" spans="2:50">
      <c r="B200" s="40"/>
      <c r="C200" s="40"/>
      <c r="D200" s="45"/>
      <c r="E200" s="46"/>
      <c r="F200" s="46"/>
      <c r="G200" s="40"/>
      <c r="H200" s="47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0"/>
      <c r="AK200" s="40"/>
      <c r="AL200" s="40"/>
      <c r="AM200" s="40"/>
      <c r="AN200" s="40"/>
      <c r="AO200" s="40"/>
      <c r="AP200" s="40"/>
      <c r="AQ200" s="40"/>
      <c r="AR200" s="40"/>
      <c r="AS200" s="40"/>
      <c r="AT200" s="40"/>
      <c r="AU200" s="40"/>
      <c r="AV200" s="40"/>
      <c r="AW200" s="40"/>
      <c r="AX200" s="40"/>
    </row>
    <row r="201" spans="2:50">
      <c r="B201" s="40"/>
      <c r="C201" s="40"/>
      <c r="D201" s="45"/>
      <c r="E201" s="46"/>
      <c r="F201" s="46"/>
      <c r="G201" s="40"/>
      <c r="H201" s="47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M201" s="40"/>
      <c r="AN201" s="40"/>
      <c r="AO201" s="40"/>
      <c r="AP201" s="40"/>
      <c r="AQ201" s="40"/>
      <c r="AR201" s="40"/>
      <c r="AS201" s="40"/>
      <c r="AT201" s="40"/>
      <c r="AU201" s="40"/>
      <c r="AV201" s="40"/>
      <c r="AW201" s="40"/>
      <c r="AX201" s="40"/>
    </row>
    <row r="202" spans="2:50">
      <c r="B202" s="40"/>
      <c r="C202" s="40"/>
      <c r="D202" s="45"/>
      <c r="E202" s="46"/>
      <c r="F202" s="46"/>
      <c r="G202" s="40"/>
      <c r="H202" s="47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  <c r="AK202" s="40"/>
      <c r="AL202" s="40"/>
      <c r="AM202" s="40"/>
      <c r="AN202" s="40"/>
      <c r="AO202" s="40"/>
      <c r="AP202" s="40"/>
      <c r="AQ202" s="40"/>
      <c r="AR202" s="40"/>
      <c r="AS202" s="40"/>
      <c r="AT202" s="40"/>
      <c r="AU202" s="40"/>
      <c r="AV202" s="40"/>
      <c r="AW202" s="40"/>
      <c r="AX202" s="40"/>
    </row>
    <row r="203" spans="2:50">
      <c r="B203" s="40"/>
      <c r="C203" s="40"/>
      <c r="D203" s="45"/>
      <c r="E203" s="46"/>
      <c r="F203" s="46"/>
      <c r="G203" s="40"/>
      <c r="H203" s="47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  <c r="AO203" s="40"/>
      <c r="AP203" s="40"/>
      <c r="AQ203" s="40"/>
      <c r="AR203" s="40"/>
      <c r="AS203" s="40"/>
      <c r="AT203" s="40"/>
      <c r="AU203" s="40"/>
      <c r="AV203" s="40"/>
      <c r="AW203" s="40"/>
      <c r="AX203" s="40"/>
    </row>
    <row r="204" spans="2:50">
      <c r="B204" s="40"/>
      <c r="C204" s="40"/>
      <c r="D204" s="45"/>
      <c r="E204" s="46"/>
      <c r="F204" s="46"/>
      <c r="G204" s="40"/>
      <c r="H204" s="47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  <c r="AK204" s="40"/>
      <c r="AL204" s="40"/>
      <c r="AM204" s="40"/>
      <c r="AN204" s="40"/>
      <c r="AO204" s="40"/>
      <c r="AP204" s="40"/>
      <c r="AQ204" s="40"/>
      <c r="AR204" s="40"/>
      <c r="AS204" s="40"/>
      <c r="AT204" s="40"/>
      <c r="AU204" s="40"/>
      <c r="AV204" s="40"/>
      <c r="AW204" s="40"/>
      <c r="AX204" s="40"/>
    </row>
    <row r="205" spans="2:50">
      <c r="B205" s="40"/>
      <c r="C205" s="40"/>
      <c r="D205" s="45"/>
      <c r="E205" s="46"/>
      <c r="F205" s="46"/>
      <c r="G205" s="40"/>
      <c r="H205" s="47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40"/>
      <c r="AQ205" s="40"/>
      <c r="AR205" s="40"/>
      <c r="AS205" s="40"/>
      <c r="AT205" s="40"/>
      <c r="AU205" s="40"/>
      <c r="AV205" s="40"/>
      <c r="AW205" s="40"/>
      <c r="AX205" s="40"/>
    </row>
  </sheetData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Config!$K$7:$K$26</xm:f>
          </x14:formula1>
          <xm:sqref>C7:C1048576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L368"/>
  <sheetViews>
    <sheetView workbookViewId="0">
      <selection activeCell="D8" sqref="D8"/>
    </sheetView>
  </sheetViews>
  <sheetFormatPr defaultColWidth="9.140625" defaultRowHeight="12.95"/>
  <cols>
    <col min="1" max="1" width="3.7109375" style="57" customWidth="1"/>
    <col min="2" max="2" width="3.85546875" style="57" customWidth="1"/>
    <col min="3" max="3" width="25.5703125" style="57" customWidth="1"/>
    <col min="4" max="4" width="57.42578125" style="57" customWidth="1"/>
    <col min="5" max="5" width="8.5703125" style="63" customWidth="1"/>
    <col min="6" max="6" width="7.5703125" style="62" customWidth="1"/>
    <col min="7" max="7" width="10.7109375" style="64" customWidth="1"/>
    <col min="8" max="8" width="10.85546875" style="63" bestFit="1" customWidth="1"/>
    <col min="9" max="9" width="8.5703125" style="63" customWidth="1"/>
    <col min="10" max="10" width="38.42578125" style="57" customWidth="1"/>
    <col min="11" max="11" width="11.85546875" style="57" customWidth="1"/>
    <col min="12" max="16384" width="9.140625" style="57"/>
  </cols>
  <sheetData>
    <row r="1" spans="1:12" ht="17.25" customHeight="1">
      <c r="A1" s="102"/>
      <c r="B1" s="102"/>
      <c r="C1" s="102"/>
      <c r="D1" s="102"/>
      <c r="E1" s="103"/>
      <c r="F1" s="104"/>
      <c r="G1" s="105"/>
      <c r="H1" s="103"/>
      <c r="I1" s="103"/>
      <c r="J1" s="102"/>
      <c r="K1" s="102"/>
      <c r="L1" s="102"/>
    </row>
    <row r="2" spans="1:12">
      <c r="A2" s="102"/>
      <c r="B2" s="102"/>
      <c r="C2" s="102"/>
      <c r="D2" s="102"/>
      <c r="E2" s="103"/>
      <c r="F2" s="104"/>
      <c r="G2" s="105"/>
      <c r="H2" s="103"/>
      <c r="I2" s="103"/>
      <c r="J2" s="102"/>
      <c r="K2" s="102"/>
      <c r="L2" s="102"/>
    </row>
    <row r="3" spans="1:12">
      <c r="A3" s="102"/>
      <c r="B3" s="102"/>
      <c r="C3" s="102"/>
      <c r="D3" s="102"/>
      <c r="E3" s="103"/>
      <c r="F3" s="104"/>
      <c r="G3" s="105"/>
      <c r="H3" s="103"/>
      <c r="I3" s="103"/>
      <c r="J3" s="102"/>
      <c r="K3" s="102"/>
      <c r="L3" s="102"/>
    </row>
    <row r="4" spans="1:12">
      <c r="A4" s="102"/>
      <c r="B4" s="102"/>
      <c r="C4" s="102"/>
      <c r="D4" s="102"/>
      <c r="E4" s="103"/>
      <c r="F4" s="104"/>
      <c r="G4" s="105"/>
      <c r="H4" s="103"/>
      <c r="I4" s="103"/>
      <c r="J4" s="102"/>
      <c r="K4" s="102"/>
      <c r="L4" s="102"/>
    </row>
    <row r="5" spans="1:12" ht="16.5" customHeight="1">
      <c r="A5" s="102"/>
      <c r="B5" s="102"/>
      <c r="C5" s="102"/>
      <c r="D5" s="102"/>
      <c r="E5" s="103"/>
      <c r="F5" s="104"/>
      <c r="G5" s="105"/>
      <c r="H5" s="103"/>
      <c r="I5" s="103"/>
      <c r="J5" s="102"/>
      <c r="K5" s="102"/>
      <c r="L5" s="102"/>
    </row>
    <row r="6" spans="1:12" ht="21">
      <c r="A6" s="102"/>
      <c r="B6" s="58" t="s">
        <v>11</v>
      </c>
      <c r="C6" s="23" t="s">
        <v>111</v>
      </c>
      <c r="D6" s="23" t="s">
        <v>112</v>
      </c>
      <c r="E6" s="29" t="s">
        <v>113</v>
      </c>
      <c r="F6" s="29" t="s">
        <v>114</v>
      </c>
      <c r="G6" s="60" t="s">
        <v>115</v>
      </c>
      <c r="H6" s="21" t="s">
        <v>116</v>
      </c>
      <c r="I6" s="21" t="s">
        <v>117</v>
      </c>
      <c r="J6" s="23" t="s">
        <v>118</v>
      </c>
      <c r="K6" s="23" t="s">
        <v>119</v>
      </c>
      <c r="L6" s="102"/>
    </row>
    <row r="7" spans="1:12" ht="24.95">
      <c r="A7" s="102"/>
      <c r="B7" s="129" t="s">
        <v>120</v>
      </c>
      <c r="C7" s="130" t="s">
        <v>121</v>
      </c>
      <c r="D7" s="111" t="s">
        <v>122</v>
      </c>
      <c r="E7" s="131" t="s">
        <v>123</v>
      </c>
      <c r="F7" s="51" t="s">
        <v>124</v>
      </c>
      <c r="G7" s="132">
        <v>43873</v>
      </c>
      <c r="H7" s="131" t="s">
        <v>125</v>
      </c>
      <c r="I7" s="131" t="s">
        <v>126</v>
      </c>
      <c r="J7" s="130"/>
      <c r="K7" s="73"/>
      <c r="L7" s="102"/>
    </row>
    <row r="8" spans="1:12" ht="37.5">
      <c r="A8" s="102"/>
      <c r="B8" s="129" t="s">
        <v>127</v>
      </c>
      <c r="C8" s="130" t="s">
        <v>128</v>
      </c>
      <c r="D8" s="111" t="s">
        <v>129</v>
      </c>
      <c r="E8" s="131" t="s">
        <v>130</v>
      </c>
      <c r="F8" s="51" t="s">
        <v>131</v>
      </c>
      <c r="G8" s="132">
        <v>43902</v>
      </c>
      <c r="H8" s="131" t="s">
        <v>132</v>
      </c>
      <c r="I8" s="131" t="s">
        <v>126</v>
      </c>
      <c r="J8" s="130"/>
      <c r="K8" s="73"/>
      <c r="L8" s="102"/>
    </row>
    <row r="9" spans="1:12">
      <c r="A9" s="102"/>
      <c r="B9" s="129" t="s">
        <v>133</v>
      </c>
      <c r="C9" s="130" t="s">
        <v>134</v>
      </c>
      <c r="D9" s="111" t="s">
        <v>135</v>
      </c>
      <c r="E9" s="131" t="s">
        <v>136</v>
      </c>
      <c r="F9" s="51" t="s">
        <v>137</v>
      </c>
      <c r="G9" s="132">
        <v>43874</v>
      </c>
      <c r="H9" s="131" t="s">
        <v>13</v>
      </c>
      <c r="I9" s="131" t="s">
        <v>138</v>
      </c>
      <c r="J9" s="130"/>
      <c r="K9" s="73"/>
      <c r="L9" s="102"/>
    </row>
    <row r="10" spans="1:12">
      <c r="A10" s="102"/>
      <c r="B10" s="129" t="s">
        <v>139</v>
      </c>
      <c r="C10" s="130" t="s">
        <v>140</v>
      </c>
      <c r="D10" s="111" t="s">
        <v>141</v>
      </c>
      <c r="E10" s="131" t="s">
        <v>130</v>
      </c>
      <c r="F10" s="51" t="s">
        <v>142</v>
      </c>
      <c r="G10" s="132">
        <v>43965</v>
      </c>
      <c r="H10" s="131" t="s">
        <v>143</v>
      </c>
      <c r="I10" s="131" t="s">
        <v>144</v>
      </c>
      <c r="J10" s="130"/>
      <c r="K10" s="73"/>
      <c r="L10" s="102"/>
    </row>
    <row r="11" spans="1:12">
      <c r="A11" s="102"/>
      <c r="B11" s="133"/>
      <c r="C11" s="106"/>
      <c r="D11" s="106"/>
      <c r="E11" s="94"/>
      <c r="F11" s="101"/>
      <c r="G11" s="134"/>
      <c r="H11" s="94"/>
      <c r="I11" s="94"/>
      <c r="J11" s="106"/>
      <c r="K11" s="106"/>
      <c r="L11" s="102"/>
    </row>
    <row r="12" spans="1:12">
      <c r="A12" s="102"/>
      <c r="B12" s="106"/>
      <c r="C12" s="106"/>
      <c r="D12" s="106"/>
      <c r="E12" s="94"/>
      <c r="F12" s="101"/>
      <c r="G12" s="134"/>
      <c r="H12" s="94"/>
      <c r="I12" s="94"/>
      <c r="J12" s="106"/>
      <c r="K12" s="106"/>
      <c r="L12" s="102"/>
    </row>
    <row r="13" spans="1:12">
      <c r="B13" s="43"/>
      <c r="C13" s="43"/>
      <c r="D13" s="43"/>
      <c r="E13" s="10"/>
      <c r="F13" s="44"/>
      <c r="G13" s="61"/>
      <c r="H13" s="10"/>
      <c r="I13" s="10"/>
      <c r="J13" s="43"/>
      <c r="K13" s="43"/>
    </row>
    <row r="14" spans="1:12">
      <c r="B14" s="43"/>
      <c r="C14" s="43"/>
      <c r="D14" s="43"/>
      <c r="E14" s="10"/>
      <c r="F14" s="44"/>
      <c r="G14" s="61"/>
      <c r="H14" s="10"/>
      <c r="I14" s="10"/>
      <c r="J14" s="43"/>
      <c r="K14" s="43"/>
    </row>
    <row r="15" spans="1:12">
      <c r="B15" s="43"/>
      <c r="C15" s="43"/>
      <c r="D15" s="43"/>
      <c r="E15" s="10"/>
      <c r="F15" s="44"/>
      <c r="G15" s="61"/>
      <c r="H15" s="10"/>
      <c r="I15" s="10"/>
      <c r="J15" s="43"/>
      <c r="K15" s="43"/>
    </row>
    <row r="16" spans="1:12">
      <c r="B16" s="43"/>
      <c r="C16" s="43"/>
      <c r="D16" s="43"/>
      <c r="E16" s="10"/>
      <c r="F16" s="44"/>
      <c r="G16" s="61"/>
      <c r="H16" s="10"/>
      <c r="I16" s="10"/>
      <c r="J16" s="43"/>
      <c r="K16" s="43"/>
    </row>
    <row r="17" spans="2:11">
      <c r="B17" s="43"/>
      <c r="C17" s="43"/>
      <c r="D17" s="43"/>
      <c r="E17" s="10"/>
      <c r="F17" s="44"/>
      <c r="G17" s="61"/>
      <c r="H17" s="10"/>
      <c r="I17" s="10"/>
      <c r="J17" s="43"/>
      <c r="K17" s="43"/>
    </row>
    <row r="18" spans="2:11">
      <c r="B18" s="43"/>
      <c r="C18" s="43"/>
      <c r="D18" s="43"/>
      <c r="E18" s="10"/>
      <c r="F18" s="44"/>
      <c r="G18" s="61"/>
      <c r="H18" s="10"/>
      <c r="I18" s="10"/>
      <c r="J18" s="43"/>
      <c r="K18" s="43"/>
    </row>
    <row r="19" spans="2:11">
      <c r="B19" s="43"/>
      <c r="C19" s="43"/>
      <c r="D19" s="43"/>
      <c r="E19" s="10"/>
      <c r="F19" s="44"/>
      <c r="G19" s="61"/>
      <c r="H19" s="10"/>
      <c r="I19" s="10"/>
      <c r="J19" s="43"/>
      <c r="K19" s="43"/>
    </row>
    <row r="20" spans="2:11">
      <c r="B20" s="43"/>
      <c r="C20" s="43"/>
      <c r="D20" s="43"/>
      <c r="E20" s="10"/>
      <c r="F20" s="44"/>
      <c r="G20" s="61"/>
      <c r="H20" s="10"/>
      <c r="I20" s="10"/>
      <c r="J20" s="43"/>
      <c r="K20" s="43"/>
    </row>
    <row r="21" spans="2:11">
      <c r="B21" s="43"/>
      <c r="C21" s="43"/>
      <c r="D21" s="43"/>
      <c r="E21" s="10"/>
      <c r="F21" s="44"/>
      <c r="G21" s="61"/>
      <c r="H21" s="10"/>
      <c r="I21" s="10"/>
      <c r="J21" s="43"/>
      <c r="K21" s="43"/>
    </row>
    <row r="22" spans="2:11">
      <c r="B22" s="43"/>
      <c r="C22" s="43"/>
      <c r="D22" s="43"/>
      <c r="E22" s="10"/>
      <c r="F22" s="44"/>
      <c r="G22" s="61"/>
      <c r="H22" s="10"/>
      <c r="I22" s="10"/>
      <c r="J22" s="43"/>
      <c r="K22" s="43"/>
    </row>
    <row r="23" spans="2:11">
      <c r="B23" s="43"/>
      <c r="C23" s="43"/>
      <c r="D23" s="43"/>
      <c r="E23" s="10"/>
      <c r="F23" s="44"/>
      <c r="G23" s="61"/>
      <c r="H23" s="10"/>
      <c r="I23" s="10"/>
      <c r="J23" s="43"/>
      <c r="K23" s="43"/>
    </row>
    <row r="24" spans="2:11">
      <c r="B24" s="43"/>
      <c r="C24" s="43"/>
      <c r="D24" s="43"/>
      <c r="E24" s="10"/>
      <c r="F24" s="44"/>
      <c r="G24" s="61"/>
      <c r="H24" s="10"/>
      <c r="I24" s="10"/>
      <c r="J24" s="43"/>
      <c r="K24" s="43"/>
    </row>
    <row r="25" spans="2:11">
      <c r="B25" s="43"/>
      <c r="C25" s="43"/>
      <c r="D25" s="43"/>
      <c r="E25" s="10"/>
      <c r="F25" s="44"/>
      <c r="G25" s="61"/>
      <c r="H25" s="10"/>
      <c r="I25" s="10"/>
      <c r="J25" s="43"/>
      <c r="K25" s="43"/>
    </row>
    <row r="26" spans="2:11">
      <c r="B26" s="43"/>
      <c r="C26" s="43"/>
      <c r="D26" s="43"/>
      <c r="E26" s="10"/>
      <c r="F26" s="44"/>
      <c r="G26" s="61"/>
      <c r="H26" s="10"/>
      <c r="I26" s="10"/>
      <c r="J26" s="43"/>
      <c r="K26" s="43"/>
    </row>
    <row r="27" spans="2:11">
      <c r="B27" s="43"/>
      <c r="C27" s="43"/>
      <c r="D27" s="43"/>
      <c r="E27" s="10"/>
      <c r="F27" s="44"/>
      <c r="G27" s="61"/>
      <c r="H27" s="10"/>
      <c r="I27" s="10"/>
      <c r="J27" s="43"/>
      <c r="K27" s="43"/>
    </row>
    <row r="28" spans="2:11">
      <c r="B28" s="43"/>
      <c r="C28" s="43"/>
      <c r="D28" s="43"/>
      <c r="E28" s="10"/>
      <c r="F28" s="44"/>
      <c r="G28" s="61"/>
      <c r="H28" s="10"/>
      <c r="I28" s="10"/>
      <c r="J28" s="43"/>
      <c r="K28" s="43"/>
    </row>
    <row r="29" spans="2:11">
      <c r="B29" s="43"/>
      <c r="C29" s="43"/>
      <c r="D29" s="43"/>
      <c r="E29" s="10"/>
      <c r="F29" s="44"/>
      <c r="G29" s="61"/>
      <c r="H29" s="10"/>
      <c r="I29" s="10"/>
      <c r="J29" s="43"/>
      <c r="K29" s="43"/>
    </row>
    <row r="30" spans="2:11">
      <c r="B30" s="43"/>
      <c r="C30" s="43"/>
      <c r="D30" s="43"/>
      <c r="E30" s="10"/>
      <c r="F30" s="44"/>
      <c r="G30" s="61"/>
      <c r="H30" s="10"/>
      <c r="I30" s="10"/>
      <c r="J30" s="43"/>
      <c r="K30" s="43"/>
    </row>
    <row r="31" spans="2:11">
      <c r="B31" s="43"/>
      <c r="C31" s="43"/>
      <c r="D31" s="43"/>
      <c r="E31" s="10"/>
      <c r="F31" s="44"/>
      <c r="G31" s="61"/>
      <c r="H31" s="10"/>
      <c r="I31" s="10"/>
      <c r="J31" s="43"/>
      <c r="K31" s="43"/>
    </row>
    <row r="32" spans="2:11">
      <c r="B32" s="43"/>
      <c r="C32" s="43"/>
      <c r="D32" s="43"/>
      <c r="E32" s="10"/>
      <c r="F32" s="44"/>
      <c r="G32" s="61"/>
      <c r="H32" s="10"/>
      <c r="I32" s="10"/>
      <c r="J32" s="43"/>
      <c r="K32" s="43"/>
    </row>
    <row r="33" spans="2:11">
      <c r="B33" s="43"/>
      <c r="C33" s="43"/>
      <c r="D33" s="43"/>
      <c r="E33" s="10"/>
      <c r="F33" s="44"/>
      <c r="G33" s="61"/>
      <c r="H33" s="10"/>
      <c r="I33" s="10"/>
      <c r="J33" s="43"/>
      <c r="K33" s="43"/>
    </row>
    <row r="34" spans="2:11">
      <c r="B34" s="43"/>
      <c r="C34" s="43"/>
      <c r="D34" s="43"/>
      <c r="E34" s="10"/>
      <c r="F34" s="44"/>
      <c r="G34" s="61"/>
      <c r="H34" s="10"/>
      <c r="I34" s="10"/>
      <c r="J34" s="43"/>
      <c r="K34" s="43"/>
    </row>
    <row r="35" spans="2:11">
      <c r="B35" s="43"/>
      <c r="C35" s="43"/>
      <c r="D35" s="43"/>
      <c r="E35" s="10"/>
      <c r="F35" s="44"/>
      <c r="G35" s="61"/>
      <c r="H35" s="10"/>
      <c r="I35" s="10"/>
      <c r="J35" s="43"/>
      <c r="K35" s="43"/>
    </row>
    <row r="36" spans="2:11">
      <c r="B36" s="43"/>
      <c r="C36" s="43"/>
      <c r="D36" s="43"/>
      <c r="E36" s="10"/>
      <c r="F36" s="44"/>
      <c r="G36" s="61"/>
      <c r="H36" s="10"/>
      <c r="I36" s="10"/>
      <c r="J36" s="43"/>
      <c r="K36" s="43"/>
    </row>
    <row r="37" spans="2:11">
      <c r="B37" s="43"/>
      <c r="C37" s="43"/>
      <c r="D37" s="43"/>
      <c r="E37" s="10"/>
      <c r="F37" s="44"/>
      <c r="G37" s="61"/>
      <c r="H37" s="10"/>
      <c r="I37" s="10"/>
      <c r="J37" s="43"/>
      <c r="K37" s="43"/>
    </row>
    <row r="38" spans="2:11">
      <c r="B38" s="43"/>
      <c r="C38" s="43"/>
      <c r="D38" s="43"/>
      <c r="E38" s="10"/>
      <c r="F38" s="44"/>
      <c r="G38" s="61"/>
      <c r="H38" s="10"/>
      <c r="I38" s="10"/>
      <c r="J38" s="43"/>
      <c r="K38" s="43"/>
    </row>
    <row r="39" spans="2:11">
      <c r="B39" s="43"/>
      <c r="C39" s="43"/>
      <c r="D39" s="43"/>
      <c r="E39" s="10"/>
      <c r="F39" s="44"/>
      <c r="G39" s="61"/>
      <c r="H39" s="10"/>
      <c r="I39" s="10"/>
      <c r="J39" s="43"/>
      <c r="K39" s="43"/>
    </row>
    <row r="40" spans="2:11">
      <c r="B40" s="43"/>
      <c r="C40" s="43"/>
      <c r="D40" s="43"/>
      <c r="E40" s="10"/>
      <c r="F40" s="44"/>
      <c r="G40" s="61"/>
      <c r="H40" s="10"/>
      <c r="I40" s="10"/>
      <c r="J40" s="43"/>
      <c r="K40" s="43"/>
    </row>
    <row r="41" spans="2:11">
      <c r="B41" s="43"/>
      <c r="C41" s="43"/>
      <c r="D41" s="43"/>
      <c r="E41" s="10"/>
      <c r="F41" s="44"/>
      <c r="G41" s="61"/>
      <c r="H41" s="10"/>
      <c r="I41" s="10"/>
      <c r="J41" s="43"/>
      <c r="K41" s="43"/>
    </row>
    <row r="42" spans="2:11">
      <c r="B42" s="43"/>
      <c r="C42" s="43"/>
      <c r="D42" s="43"/>
      <c r="E42" s="10"/>
      <c r="F42" s="44"/>
      <c r="G42" s="61"/>
      <c r="H42" s="10"/>
      <c r="I42" s="10"/>
      <c r="J42" s="43"/>
      <c r="K42" s="43"/>
    </row>
    <row r="43" spans="2:11">
      <c r="B43" s="43"/>
      <c r="C43" s="43"/>
      <c r="D43" s="43"/>
      <c r="E43" s="10"/>
      <c r="F43" s="44"/>
      <c r="G43" s="61"/>
      <c r="H43" s="10"/>
      <c r="I43" s="10"/>
      <c r="J43" s="43"/>
      <c r="K43" s="43"/>
    </row>
    <row r="44" spans="2:11">
      <c r="B44" s="43"/>
      <c r="C44" s="43"/>
      <c r="D44" s="43"/>
      <c r="E44" s="10"/>
      <c r="F44" s="44"/>
      <c r="G44" s="61"/>
      <c r="H44" s="10"/>
      <c r="I44" s="10"/>
      <c r="J44" s="43"/>
      <c r="K44" s="43"/>
    </row>
    <row r="45" spans="2:11">
      <c r="B45" s="43"/>
      <c r="C45" s="43"/>
      <c r="D45" s="43"/>
      <c r="E45" s="10"/>
      <c r="F45" s="44"/>
      <c r="G45" s="61"/>
      <c r="H45" s="10"/>
      <c r="I45" s="10"/>
      <c r="J45" s="43"/>
      <c r="K45" s="43"/>
    </row>
    <row r="46" spans="2:11">
      <c r="B46" s="43"/>
      <c r="C46" s="43"/>
      <c r="D46" s="43"/>
      <c r="E46" s="10"/>
      <c r="F46" s="44"/>
      <c r="G46" s="61"/>
      <c r="H46" s="10"/>
      <c r="I46" s="10"/>
      <c r="J46" s="43"/>
      <c r="K46" s="43"/>
    </row>
    <row r="47" spans="2:11">
      <c r="B47" s="43"/>
      <c r="C47" s="43"/>
      <c r="D47" s="43"/>
      <c r="E47" s="10"/>
      <c r="F47" s="44"/>
      <c r="G47" s="61"/>
      <c r="H47" s="10"/>
      <c r="I47" s="10"/>
      <c r="J47" s="43"/>
      <c r="K47" s="43"/>
    </row>
    <row r="48" spans="2:11">
      <c r="B48" s="43"/>
      <c r="C48" s="43"/>
      <c r="D48" s="43"/>
      <c r="E48" s="10"/>
      <c r="F48" s="44"/>
      <c r="G48" s="61"/>
      <c r="H48" s="10"/>
      <c r="I48" s="10"/>
      <c r="J48" s="43"/>
      <c r="K48" s="43"/>
    </row>
    <row r="49" spans="2:11">
      <c r="B49" s="43"/>
      <c r="C49" s="43"/>
      <c r="D49" s="43"/>
      <c r="E49" s="10"/>
      <c r="F49" s="44"/>
      <c r="G49" s="61"/>
      <c r="H49" s="10"/>
      <c r="I49" s="10"/>
      <c r="J49" s="43"/>
      <c r="K49" s="43"/>
    </row>
    <row r="50" spans="2:11">
      <c r="B50" s="43"/>
      <c r="C50" s="43"/>
      <c r="D50" s="43"/>
      <c r="E50" s="10"/>
      <c r="F50" s="44"/>
      <c r="G50" s="61"/>
      <c r="H50" s="10"/>
      <c r="I50" s="10"/>
      <c r="J50" s="43"/>
      <c r="K50" s="43"/>
    </row>
    <row r="51" spans="2:11">
      <c r="B51" s="43"/>
      <c r="C51" s="43"/>
      <c r="D51" s="43"/>
      <c r="E51" s="10"/>
      <c r="F51" s="44"/>
      <c r="G51" s="61"/>
      <c r="H51" s="10"/>
      <c r="I51" s="10"/>
      <c r="J51" s="43"/>
      <c r="K51" s="43"/>
    </row>
    <row r="52" spans="2:11">
      <c r="B52" s="43"/>
      <c r="C52" s="43"/>
      <c r="D52" s="43"/>
      <c r="E52" s="10"/>
      <c r="F52" s="44"/>
      <c r="G52" s="61"/>
      <c r="H52" s="10"/>
      <c r="I52" s="10"/>
      <c r="J52" s="43"/>
      <c r="K52" s="43"/>
    </row>
    <row r="53" spans="2:11">
      <c r="B53" s="43"/>
      <c r="C53" s="43"/>
      <c r="D53" s="43"/>
      <c r="E53" s="10"/>
      <c r="F53" s="44"/>
      <c r="G53" s="61"/>
      <c r="H53" s="10"/>
      <c r="I53" s="10"/>
      <c r="J53" s="43"/>
      <c r="K53" s="43"/>
    </row>
    <row r="54" spans="2:11">
      <c r="B54" s="43"/>
      <c r="C54" s="43"/>
      <c r="D54" s="43"/>
      <c r="E54" s="10"/>
      <c r="F54" s="44"/>
      <c r="G54" s="61"/>
      <c r="H54" s="10"/>
      <c r="I54" s="10"/>
      <c r="J54" s="43"/>
      <c r="K54" s="43"/>
    </row>
    <row r="55" spans="2:11">
      <c r="B55" s="43"/>
      <c r="C55" s="43"/>
      <c r="D55" s="43"/>
      <c r="E55" s="10"/>
      <c r="F55" s="44"/>
      <c r="G55" s="61"/>
      <c r="H55" s="10"/>
      <c r="I55" s="10"/>
      <c r="J55" s="43"/>
      <c r="K55" s="43"/>
    </row>
    <row r="56" spans="2:11">
      <c r="B56" s="43"/>
      <c r="C56" s="43"/>
      <c r="D56" s="43"/>
      <c r="E56" s="10"/>
      <c r="F56" s="44"/>
      <c r="G56" s="61"/>
      <c r="H56" s="10"/>
      <c r="I56" s="10"/>
      <c r="J56" s="43"/>
      <c r="K56" s="43"/>
    </row>
    <row r="57" spans="2:11">
      <c r="B57" s="43"/>
      <c r="C57" s="43"/>
      <c r="D57" s="43"/>
      <c r="E57" s="10"/>
      <c r="F57" s="44"/>
      <c r="G57" s="61"/>
      <c r="H57" s="10"/>
      <c r="I57" s="10"/>
      <c r="J57" s="43"/>
      <c r="K57" s="43"/>
    </row>
    <row r="58" spans="2:11">
      <c r="B58" s="43"/>
      <c r="C58" s="43"/>
      <c r="D58" s="43"/>
      <c r="E58" s="10"/>
      <c r="F58" s="44"/>
      <c r="G58" s="61"/>
      <c r="H58" s="10"/>
      <c r="I58" s="10"/>
      <c r="J58" s="43"/>
      <c r="K58" s="43"/>
    </row>
    <row r="59" spans="2:11">
      <c r="B59" s="43"/>
      <c r="C59" s="43"/>
      <c r="D59" s="43"/>
      <c r="E59" s="10"/>
      <c r="F59" s="44"/>
      <c r="G59" s="61"/>
      <c r="H59" s="10"/>
      <c r="I59" s="10"/>
      <c r="J59" s="43"/>
      <c r="K59" s="43"/>
    </row>
    <row r="60" spans="2:11">
      <c r="B60" s="43"/>
      <c r="C60" s="43"/>
      <c r="D60" s="43"/>
      <c r="E60" s="10"/>
      <c r="F60" s="44"/>
      <c r="G60" s="61"/>
      <c r="H60" s="10"/>
      <c r="I60" s="10"/>
      <c r="J60" s="43"/>
      <c r="K60" s="43"/>
    </row>
    <row r="61" spans="2:11">
      <c r="B61" s="43"/>
      <c r="C61" s="43"/>
      <c r="D61" s="43"/>
      <c r="E61" s="10"/>
      <c r="F61" s="44"/>
      <c r="G61" s="61"/>
      <c r="H61" s="10"/>
      <c r="I61" s="10"/>
      <c r="J61" s="43"/>
      <c r="K61" s="43"/>
    </row>
    <row r="62" spans="2:11">
      <c r="B62" s="43"/>
      <c r="C62" s="43"/>
      <c r="D62" s="43"/>
      <c r="E62" s="10"/>
      <c r="F62" s="44"/>
      <c r="G62" s="61"/>
      <c r="H62" s="10"/>
      <c r="I62" s="10"/>
      <c r="J62" s="43"/>
      <c r="K62" s="43"/>
    </row>
    <row r="63" spans="2:11">
      <c r="B63" s="43"/>
      <c r="C63" s="43"/>
      <c r="D63" s="43"/>
      <c r="E63" s="10"/>
      <c r="F63" s="44"/>
      <c r="G63" s="61"/>
      <c r="H63" s="10"/>
      <c r="I63" s="10"/>
      <c r="J63" s="43"/>
      <c r="K63" s="43"/>
    </row>
    <row r="64" spans="2:11">
      <c r="B64" s="43"/>
      <c r="C64" s="43"/>
      <c r="D64" s="43"/>
      <c r="E64" s="10"/>
      <c r="F64" s="44"/>
      <c r="G64" s="61"/>
      <c r="H64" s="10"/>
      <c r="I64" s="10"/>
      <c r="J64" s="43"/>
      <c r="K64" s="43"/>
    </row>
    <row r="65" spans="2:11">
      <c r="B65" s="43"/>
      <c r="C65" s="43"/>
      <c r="D65" s="43"/>
      <c r="E65" s="10"/>
      <c r="F65" s="44"/>
      <c r="G65" s="61"/>
      <c r="H65" s="10"/>
      <c r="I65" s="10"/>
      <c r="J65" s="43"/>
      <c r="K65" s="43"/>
    </row>
    <row r="66" spans="2:11">
      <c r="B66" s="43"/>
      <c r="C66" s="43"/>
      <c r="D66" s="43"/>
      <c r="E66" s="10"/>
      <c r="F66" s="44"/>
      <c r="G66" s="61"/>
      <c r="H66" s="10"/>
      <c r="I66" s="10"/>
      <c r="J66" s="43"/>
      <c r="K66" s="43"/>
    </row>
    <row r="67" spans="2:11">
      <c r="B67" s="43"/>
      <c r="C67" s="43"/>
      <c r="D67" s="43"/>
      <c r="E67" s="10"/>
      <c r="F67" s="44"/>
      <c r="G67" s="61"/>
      <c r="H67" s="10"/>
      <c r="I67" s="10"/>
      <c r="J67" s="43"/>
      <c r="K67" s="43"/>
    </row>
    <row r="68" spans="2:11">
      <c r="B68" s="43"/>
      <c r="C68" s="43"/>
      <c r="D68" s="43"/>
      <c r="E68" s="10"/>
      <c r="F68" s="44"/>
      <c r="G68" s="61"/>
      <c r="H68" s="10"/>
      <c r="I68" s="10"/>
      <c r="J68" s="43"/>
      <c r="K68" s="43"/>
    </row>
    <row r="69" spans="2:11">
      <c r="B69" s="43"/>
      <c r="C69" s="43"/>
      <c r="D69" s="43"/>
      <c r="E69" s="10"/>
      <c r="F69" s="44"/>
      <c r="G69" s="61"/>
      <c r="H69" s="10"/>
      <c r="I69" s="10"/>
      <c r="J69" s="43"/>
      <c r="K69" s="43"/>
    </row>
    <row r="70" spans="2:11">
      <c r="B70" s="43"/>
      <c r="C70" s="43"/>
      <c r="D70" s="43"/>
      <c r="E70" s="10"/>
      <c r="F70" s="44"/>
      <c r="G70" s="61"/>
      <c r="H70" s="10"/>
      <c r="I70" s="10"/>
      <c r="J70" s="43"/>
      <c r="K70" s="43"/>
    </row>
    <row r="71" spans="2:11">
      <c r="B71" s="43"/>
      <c r="C71" s="43"/>
      <c r="D71" s="43"/>
      <c r="E71" s="10"/>
      <c r="F71" s="44"/>
      <c r="G71" s="61"/>
      <c r="H71" s="10"/>
      <c r="I71" s="10"/>
      <c r="J71" s="43"/>
      <c r="K71" s="43"/>
    </row>
    <row r="72" spans="2:11">
      <c r="B72" s="43"/>
      <c r="C72" s="43"/>
      <c r="D72" s="43"/>
      <c r="E72" s="10"/>
      <c r="F72" s="44"/>
      <c r="G72" s="61"/>
      <c r="H72" s="10"/>
      <c r="I72" s="10"/>
      <c r="J72" s="43"/>
      <c r="K72" s="43"/>
    </row>
    <row r="73" spans="2:11">
      <c r="B73" s="43"/>
      <c r="C73" s="43"/>
      <c r="D73" s="43"/>
      <c r="E73" s="10"/>
      <c r="F73" s="44"/>
      <c r="G73" s="61"/>
      <c r="H73" s="10"/>
      <c r="I73" s="10"/>
      <c r="J73" s="43"/>
      <c r="K73" s="43"/>
    </row>
    <row r="74" spans="2:11">
      <c r="B74" s="43"/>
      <c r="C74" s="43"/>
      <c r="D74" s="43"/>
      <c r="E74" s="10"/>
      <c r="F74" s="44"/>
      <c r="G74" s="61"/>
      <c r="H74" s="10"/>
      <c r="I74" s="10"/>
      <c r="J74" s="43"/>
      <c r="K74" s="43"/>
    </row>
    <row r="75" spans="2:11">
      <c r="B75" s="43"/>
      <c r="C75" s="43"/>
      <c r="D75" s="43"/>
      <c r="E75" s="10"/>
      <c r="F75" s="44"/>
      <c r="G75" s="61"/>
      <c r="H75" s="10"/>
      <c r="I75" s="10"/>
      <c r="J75" s="43"/>
      <c r="K75" s="43"/>
    </row>
    <row r="76" spans="2:11">
      <c r="B76" s="43"/>
      <c r="C76" s="43"/>
      <c r="D76" s="43"/>
      <c r="E76" s="10"/>
      <c r="F76" s="44"/>
      <c r="G76" s="61"/>
      <c r="H76" s="10"/>
      <c r="I76" s="10"/>
      <c r="J76" s="43"/>
      <c r="K76" s="43"/>
    </row>
    <row r="77" spans="2:11">
      <c r="B77" s="43"/>
      <c r="C77" s="43"/>
      <c r="D77" s="43"/>
      <c r="E77" s="10"/>
      <c r="F77" s="44"/>
      <c r="G77" s="61"/>
      <c r="H77" s="10"/>
      <c r="I77" s="10"/>
      <c r="J77" s="43"/>
      <c r="K77" s="43"/>
    </row>
    <row r="78" spans="2:11">
      <c r="B78" s="43"/>
      <c r="C78" s="43"/>
      <c r="D78" s="43"/>
      <c r="E78" s="10"/>
      <c r="F78" s="44"/>
      <c r="G78" s="61"/>
      <c r="H78" s="10"/>
      <c r="I78" s="10"/>
      <c r="J78" s="43"/>
      <c r="K78" s="43"/>
    </row>
    <row r="79" spans="2:11">
      <c r="B79" s="43"/>
      <c r="C79" s="43"/>
      <c r="D79" s="43"/>
      <c r="E79" s="10"/>
      <c r="F79" s="44"/>
      <c r="G79" s="61"/>
      <c r="H79" s="10"/>
      <c r="I79" s="10"/>
      <c r="J79" s="43"/>
      <c r="K79" s="43"/>
    </row>
    <row r="80" spans="2:11">
      <c r="B80" s="43"/>
      <c r="C80" s="43"/>
      <c r="D80" s="43"/>
      <c r="E80" s="10"/>
      <c r="F80" s="44"/>
      <c r="G80" s="61"/>
      <c r="H80" s="10"/>
      <c r="I80" s="10"/>
      <c r="J80" s="43"/>
      <c r="K80" s="43"/>
    </row>
    <row r="81" spans="2:11">
      <c r="B81" s="43"/>
      <c r="C81" s="43"/>
      <c r="D81" s="43"/>
      <c r="E81" s="10"/>
      <c r="F81" s="44"/>
      <c r="G81" s="61"/>
      <c r="H81" s="10"/>
      <c r="I81" s="10"/>
      <c r="J81" s="43"/>
      <c r="K81" s="43"/>
    </row>
    <row r="82" spans="2:11">
      <c r="B82" s="43"/>
      <c r="C82" s="43"/>
      <c r="D82" s="43"/>
      <c r="E82" s="10"/>
      <c r="F82" s="44"/>
      <c r="G82" s="61"/>
      <c r="H82" s="10"/>
      <c r="I82" s="10"/>
      <c r="J82" s="43"/>
      <c r="K82" s="43"/>
    </row>
    <row r="83" spans="2:11">
      <c r="B83" s="43"/>
      <c r="C83" s="43"/>
      <c r="D83" s="43"/>
      <c r="E83" s="10"/>
      <c r="F83" s="44"/>
      <c r="G83" s="61"/>
      <c r="H83" s="10"/>
      <c r="I83" s="10"/>
      <c r="J83" s="43"/>
      <c r="K83" s="43"/>
    </row>
    <row r="84" spans="2:11">
      <c r="B84" s="43"/>
      <c r="C84" s="43"/>
      <c r="D84" s="43"/>
      <c r="E84" s="10"/>
      <c r="F84" s="44"/>
      <c r="G84" s="61"/>
      <c r="H84" s="10"/>
      <c r="I84" s="10"/>
      <c r="J84" s="43"/>
      <c r="K84" s="43"/>
    </row>
    <row r="85" spans="2:11">
      <c r="B85" s="43"/>
      <c r="C85" s="43"/>
      <c r="D85" s="43"/>
      <c r="E85" s="10"/>
      <c r="F85" s="44"/>
      <c r="G85" s="61"/>
      <c r="H85" s="10"/>
      <c r="I85" s="10"/>
      <c r="J85" s="43"/>
      <c r="K85" s="43"/>
    </row>
    <row r="86" spans="2:11">
      <c r="B86" s="43"/>
      <c r="C86" s="43"/>
      <c r="D86" s="43"/>
      <c r="E86" s="10"/>
      <c r="F86" s="44"/>
      <c r="G86" s="61"/>
      <c r="H86" s="10"/>
      <c r="I86" s="10"/>
      <c r="J86" s="43"/>
      <c r="K86" s="43"/>
    </row>
    <row r="87" spans="2:11">
      <c r="B87" s="43"/>
      <c r="C87" s="43"/>
      <c r="D87" s="43"/>
      <c r="E87" s="10"/>
      <c r="F87" s="44"/>
      <c r="G87" s="61"/>
      <c r="H87" s="10"/>
      <c r="I87" s="10"/>
      <c r="J87" s="43"/>
      <c r="K87" s="43"/>
    </row>
    <row r="88" spans="2:11">
      <c r="B88" s="43"/>
      <c r="C88" s="43"/>
      <c r="D88" s="43"/>
      <c r="E88" s="10"/>
      <c r="F88" s="44"/>
      <c r="G88" s="61"/>
      <c r="H88" s="10"/>
      <c r="I88" s="10"/>
      <c r="J88" s="43"/>
      <c r="K88" s="43"/>
    </row>
    <row r="89" spans="2:11">
      <c r="B89" s="43"/>
      <c r="C89" s="43"/>
      <c r="D89" s="43"/>
      <c r="E89" s="10"/>
      <c r="F89" s="44"/>
      <c r="G89" s="61"/>
      <c r="H89" s="10"/>
      <c r="I89" s="10"/>
      <c r="J89" s="43"/>
      <c r="K89" s="43"/>
    </row>
    <row r="90" spans="2:11">
      <c r="B90" s="43"/>
      <c r="C90" s="43"/>
      <c r="D90" s="43"/>
      <c r="E90" s="10"/>
      <c r="F90" s="44"/>
      <c r="G90" s="61"/>
      <c r="H90" s="10"/>
      <c r="I90" s="10"/>
      <c r="J90" s="43"/>
      <c r="K90" s="43"/>
    </row>
    <row r="91" spans="2:11">
      <c r="B91" s="43"/>
      <c r="C91" s="43"/>
      <c r="D91" s="43"/>
      <c r="E91" s="10"/>
      <c r="F91" s="44"/>
      <c r="G91" s="61"/>
      <c r="H91" s="10"/>
      <c r="I91" s="10"/>
      <c r="J91" s="43"/>
      <c r="K91" s="43"/>
    </row>
    <row r="92" spans="2:11">
      <c r="B92" s="43"/>
      <c r="C92" s="43"/>
      <c r="D92" s="43"/>
      <c r="E92" s="10"/>
      <c r="F92" s="44"/>
      <c r="G92" s="61"/>
      <c r="H92" s="10"/>
      <c r="I92" s="10"/>
      <c r="J92" s="43"/>
      <c r="K92" s="43"/>
    </row>
    <row r="93" spans="2:11">
      <c r="B93" s="43"/>
      <c r="C93" s="43"/>
      <c r="D93" s="43"/>
      <c r="E93" s="10"/>
      <c r="F93" s="44"/>
      <c r="G93" s="61"/>
      <c r="H93" s="10"/>
      <c r="I93" s="10"/>
      <c r="J93" s="43"/>
      <c r="K93" s="43"/>
    </row>
    <row r="94" spans="2:11">
      <c r="B94" s="43"/>
      <c r="C94" s="43"/>
      <c r="D94" s="43"/>
      <c r="E94" s="10"/>
      <c r="F94" s="44"/>
      <c r="G94" s="61"/>
      <c r="H94" s="10"/>
      <c r="I94" s="10"/>
      <c r="J94" s="43"/>
      <c r="K94" s="43"/>
    </row>
    <row r="95" spans="2:11">
      <c r="B95" s="43"/>
      <c r="C95" s="43"/>
      <c r="D95" s="43"/>
      <c r="E95" s="10"/>
      <c r="F95" s="44"/>
      <c r="G95" s="61"/>
      <c r="H95" s="10"/>
      <c r="I95" s="10"/>
      <c r="J95" s="43"/>
      <c r="K95" s="43"/>
    </row>
    <row r="96" spans="2:11">
      <c r="B96" s="43"/>
      <c r="C96" s="43"/>
      <c r="D96" s="43"/>
      <c r="E96" s="10"/>
      <c r="F96" s="44"/>
      <c r="G96" s="61"/>
      <c r="H96" s="10"/>
      <c r="I96" s="10"/>
      <c r="J96" s="43"/>
      <c r="K96" s="43"/>
    </row>
    <row r="97" spans="2:11">
      <c r="B97" s="43"/>
      <c r="C97" s="43"/>
      <c r="D97" s="43"/>
      <c r="E97" s="10"/>
      <c r="F97" s="44"/>
      <c r="G97" s="61"/>
      <c r="H97" s="10"/>
      <c r="I97" s="10"/>
      <c r="J97" s="43"/>
      <c r="K97" s="43"/>
    </row>
    <row r="98" spans="2:11">
      <c r="B98" s="43"/>
      <c r="C98" s="43"/>
      <c r="D98" s="43"/>
      <c r="E98" s="10"/>
      <c r="F98" s="44"/>
      <c r="G98" s="61"/>
      <c r="H98" s="10"/>
      <c r="I98" s="10"/>
      <c r="J98" s="43"/>
      <c r="K98" s="43"/>
    </row>
    <row r="99" spans="2:11">
      <c r="B99" s="43"/>
      <c r="C99" s="43"/>
      <c r="D99" s="43"/>
      <c r="E99" s="10"/>
      <c r="F99" s="44"/>
      <c r="G99" s="61"/>
      <c r="H99" s="10"/>
      <c r="I99" s="10"/>
      <c r="J99" s="43"/>
      <c r="K99" s="43"/>
    </row>
    <row r="100" spans="2:11">
      <c r="B100" s="43"/>
      <c r="C100" s="43"/>
      <c r="D100" s="43"/>
      <c r="E100" s="10"/>
      <c r="F100" s="44"/>
      <c r="G100" s="61"/>
      <c r="H100" s="10"/>
      <c r="I100" s="10"/>
      <c r="J100" s="43"/>
      <c r="K100" s="43"/>
    </row>
    <row r="101" spans="2:11">
      <c r="B101" s="43"/>
      <c r="C101" s="43"/>
      <c r="D101" s="43"/>
      <c r="E101" s="10"/>
      <c r="F101" s="44"/>
      <c r="G101" s="61"/>
      <c r="H101" s="10"/>
      <c r="I101" s="10"/>
      <c r="J101" s="43"/>
      <c r="K101" s="43"/>
    </row>
    <row r="102" spans="2:11">
      <c r="B102" s="43"/>
      <c r="C102" s="43"/>
      <c r="D102" s="43"/>
      <c r="E102" s="10"/>
      <c r="F102" s="44"/>
      <c r="G102" s="61"/>
      <c r="H102" s="10"/>
      <c r="I102" s="10"/>
      <c r="J102" s="43"/>
      <c r="K102" s="43"/>
    </row>
    <row r="103" spans="2:11">
      <c r="B103" s="43"/>
      <c r="C103" s="43"/>
      <c r="D103" s="43"/>
      <c r="E103" s="10"/>
      <c r="F103" s="44"/>
      <c r="G103" s="61"/>
      <c r="H103" s="10"/>
      <c r="I103" s="10"/>
      <c r="J103" s="43"/>
      <c r="K103" s="43"/>
    </row>
    <row r="104" spans="2:11">
      <c r="B104" s="43"/>
      <c r="C104" s="43"/>
      <c r="D104" s="43"/>
      <c r="E104" s="10"/>
      <c r="F104" s="44"/>
      <c r="G104" s="61"/>
      <c r="H104" s="10"/>
      <c r="I104" s="10"/>
      <c r="J104" s="43"/>
      <c r="K104" s="43"/>
    </row>
    <row r="105" spans="2:11">
      <c r="B105" s="43"/>
      <c r="C105" s="43"/>
      <c r="D105" s="43"/>
      <c r="E105" s="10"/>
      <c r="F105" s="44"/>
      <c r="G105" s="61"/>
      <c r="H105" s="10"/>
      <c r="I105" s="10"/>
      <c r="J105" s="43"/>
      <c r="K105" s="43"/>
    </row>
    <row r="106" spans="2:11">
      <c r="B106" s="43"/>
      <c r="C106" s="43"/>
      <c r="D106" s="43"/>
      <c r="E106" s="10"/>
      <c r="F106" s="44"/>
      <c r="G106" s="61"/>
      <c r="H106" s="10"/>
      <c r="I106" s="10"/>
      <c r="J106" s="43"/>
      <c r="K106" s="43"/>
    </row>
    <row r="107" spans="2:11">
      <c r="B107" s="43"/>
      <c r="C107" s="43"/>
      <c r="D107" s="43"/>
      <c r="E107" s="10"/>
      <c r="F107" s="44"/>
      <c r="G107" s="61"/>
      <c r="H107" s="10"/>
      <c r="I107" s="10"/>
      <c r="J107" s="43"/>
      <c r="K107" s="43"/>
    </row>
    <row r="108" spans="2:11">
      <c r="B108" s="43"/>
      <c r="C108" s="43"/>
      <c r="D108" s="43"/>
      <c r="E108" s="10"/>
      <c r="F108" s="44"/>
      <c r="G108" s="61"/>
      <c r="H108" s="10"/>
      <c r="I108" s="10"/>
      <c r="J108" s="43"/>
      <c r="K108" s="43"/>
    </row>
    <row r="109" spans="2:11">
      <c r="B109" s="43"/>
      <c r="C109" s="43"/>
      <c r="D109" s="43"/>
      <c r="E109" s="10"/>
      <c r="F109" s="44"/>
      <c r="G109" s="61"/>
      <c r="H109" s="10"/>
      <c r="I109" s="10"/>
      <c r="J109" s="43"/>
      <c r="K109" s="43"/>
    </row>
    <row r="110" spans="2:11">
      <c r="B110" s="43"/>
      <c r="C110" s="43"/>
      <c r="D110" s="43"/>
      <c r="E110" s="10"/>
      <c r="F110" s="44"/>
      <c r="G110" s="61"/>
      <c r="H110" s="10"/>
      <c r="I110" s="10"/>
      <c r="J110" s="43"/>
      <c r="K110" s="43"/>
    </row>
    <row r="111" spans="2:11">
      <c r="B111" s="43"/>
      <c r="C111" s="43"/>
      <c r="D111" s="43"/>
      <c r="E111" s="10"/>
      <c r="F111" s="44"/>
      <c r="G111" s="61"/>
      <c r="H111" s="10"/>
      <c r="I111" s="10"/>
      <c r="J111" s="43"/>
      <c r="K111" s="43"/>
    </row>
    <row r="112" spans="2:11">
      <c r="B112" s="43"/>
      <c r="C112" s="43"/>
      <c r="D112" s="43"/>
      <c r="E112" s="10"/>
      <c r="F112" s="44"/>
      <c r="G112" s="61"/>
      <c r="H112" s="10"/>
      <c r="I112" s="10"/>
      <c r="J112" s="43"/>
      <c r="K112" s="43"/>
    </row>
    <row r="113" spans="2:11">
      <c r="B113" s="43"/>
      <c r="C113" s="43"/>
      <c r="D113" s="43"/>
      <c r="E113" s="10"/>
      <c r="F113" s="44"/>
      <c r="G113" s="61"/>
      <c r="H113" s="10"/>
      <c r="I113" s="10"/>
      <c r="J113" s="43"/>
      <c r="K113" s="43"/>
    </row>
    <row r="114" spans="2:11">
      <c r="B114" s="43"/>
      <c r="C114" s="43"/>
      <c r="D114" s="43"/>
      <c r="E114" s="10"/>
      <c r="F114" s="44"/>
      <c r="G114" s="61"/>
      <c r="H114" s="10"/>
      <c r="I114" s="10"/>
      <c r="J114" s="43"/>
      <c r="K114" s="43"/>
    </row>
    <row r="115" spans="2:11">
      <c r="B115" s="43"/>
      <c r="C115" s="43"/>
      <c r="D115" s="43"/>
      <c r="E115" s="10"/>
      <c r="F115" s="44"/>
      <c r="G115" s="61"/>
      <c r="H115" s="10"/>
      <c r="I115" s="10"/>
      <c r="J115" s="43"/>
      <c r="K115" s="43"/>
    </row>
    <row r="116" spans="2:11">
      <c r="B116" s="43"/>
      <c r="C116" s="43"/>
      <c r="D116" s="43"/>
      <c r="E116" s="10"/>
      <c r="F116" s="44"/>
      <c r="G116" s="61"/>
      <c r="H116" s="10"/>
      <c r="I116" s="10"/>
      <c r="J116" s="43"/>
      <c r="K116" s="43"/>
    </row>
    <row r="117" spans="2:11">
      <c r="B117" s="43"/>
      <c r="C117" s="43"/>
      <c r="D117" s="43"/>
      <c r="E117" s="10"/>
      <c r="F117" s="44"/>
      <c r="G117" s="61"/>
      <c r="H117" s="10"/>
      <c r="I117" s="10"/>
      <c r="J117" s="43"/>
      <c r="K117" s="43"/>
    </row>
    <row r="118" spans="2:11">
      <c r="B118" s="43"/>
      <c r="C118" s="43"/>
      <c r="D118" s="43"/>
      <c r="E118" s="10"/>
      <c r="F118" s="44"/>
      <c r="G118" s="61"/>
      <c r="H118" s="10"/>
      <c r="I118" s="10"/>
      <c r="J118" s="43"/>
      <c r="K118" s="43"/>
    </row>
    <row r="119" spans="2:11">
      <c r="B119" s="43"/>
      <c r="C119" s="43"/>
      <c r="D119" s="43"/>
      <c r="E119" s="10"/>
      <c r="F119" s="44"/>
      <c r="G119" s="61"/>
      <c r="H119" s="10"/>
      <c r="I119" s="10"/>
      <c r="J119" s="43"/>
      <c r="K119" s="43"/>
    </row>
    <row r="120" spans="2:11">
      <c r="B120" s="43"/>
      <c r="C120" s="43"/>
      <c r="D120" s="43"/>
      <c r="E120" s="10"/>
      <c r="F120" s="44"/>
      <c r="G120" s="61"/>
      <c r="H120" s="10"/>
      <c r="I120" s="10"/>
      <c r="J120" s="43"/>
      <c r="K120" s="43"/>
    </row>
    <row r="121" spans="2:11">
      <c r="B121" s="43"/>
      <c r="C121" s="43"/>
      <c r="D121" s="43"/>
      <c r="E121" s="10"/>
      <c r="F121" s="44"/>
      <c r="G121" s="61"/>
      <c r="H121" s="10"/>
      <c r="I121" s="10"/>
      <c r="J121" s="43"/>
      <c r="K121" s="43"/>
    </row>
    <row r="122" spans="2:11">
      <c r="B122" s="43"/>
      <c r="C122" s="43"/>
      <c r="D122" s="43"/>
      <c r="E122" s="10"/>
      <c r="F122" s="44"/>
      <c r="G122" s="61"/>
      <c r="H122" s="10"/>
      <c r="I122" s="10"/>
      <c r="J122" s="43"/>
      <c r="K122" s="43"/>
    </row>
    <row r="123" spans="2:11">
      <c r="B123" s="43"/>
      <c r="C123" s="43"/>
      <c r="D123" s="43"/>
      <c r="E123" s="10"/>
      <c r="F123" s="44"/>
      <c r="G123" s="61"/>
      <c r="H123" s="10"/>
      <c r="I123" s="10"/>
      <c r="J123" s="43"/>
      <c r="K123" s="43"/>
    </row>
    <row r="124" spans="2:11">
      <c r="B124" s="43"/>
      <c r="C124" s="43"/>
      <c r="D124" s="43"/>
      <c r="E124" s="10"/>
      <c r="F124" s="44"/>
      <c r="G124" s="61"/>
      <c r="H124" s="10"/>
      <c r="I124" s="10"/>
      <c r="J124" s="43"/>
      <c r="K124" s="43"/>
    </row>
    <row r="125" spans="2:11">
      <c r="B125" s="43"/>
      <c r="C125" s="43"/>
      <c r="D125" s="43"/>
      <c r="E125" s="10"/>
      <c r="F125" s="44"/>
      <c r="G125" s="61"/>
      <c r="H125" s="10"/>
      <c r="I125" s="10"/>
      <c r="J125" s="43"/>
      <c r="K125" s="43"/>
    </row>
    <row r="126" spans="2:11">
      <c r="B126" s="43"/>
      <c r="C126" s="43"/>
      <c r="D126" s="43"/>
      <c r="E126" s="10"/>
      <c r="F126" s="44"/>
      <c r="G126" s="61"/>
      <c r="H126" s="10"/>
      <c r="I126" s="10"/>
      <c r="J126" s="43"/>
      <c r="K126" s="43"/>
    </row>
    <row r="127" spans="2:11">
      <c r="B127" s="43"/>
      <c r="C127" s="43"/>
      <c r="D127" s="43"/>
      <c r="E127" s="10"/>
      <c r="F127" s="44"/>
      <c r="G127" s="61"/>
      <c r="H127" s="10"/>
      <c r="I127" s="10"/>
      <c r="J127" s="43"/>
      <c r="K127" s="43"/>
    </row>
    <row r="128" spans="2:11">
      <c r="B128" s="43"/>
      <c r="C128" s="43"/>
      <c r="D128" s="43"/>
      <c r="E128" s="10"/>
      <c r="F128" s="44"/>
      <c r="G128" s="61"/>
      <c r="H128" s="10"/>
      <c r="I128" s="10"/>
      <c r="J128" s="43"/>
      <c r="K128" s="43"/>
    </row>
    <row r="129" spans="2:11">
      <c r="B129" s="43"/>
      <c r="C129" s="43"/>
      <c r="D129" s="43"/>
      <c r="E129" s="10"/>
      <c r="F129" s="44"/>
      <c r="G129" s="61"/>
      <c r="H129" s="10"/>
      <c r="I129" s="10"/>
      <c r="J129" s="43"/>
      <c r="K129" s="43"/>
    </row>
    <row r="130" spans="2:11">
      <c r="B130" s="43"/>
      <c r="C130" s="43"/>
      <c r="D130" s="43"/>
      <c r="E130" s="10"/>
      <c r="F130" s="44"/>
      <c r="G130" s="61"/>
      <c r="H130" s="10"/>
      <c r="I130" s="10"/>
      <c r="J130" s="43"/>
      <c r="K130" s="43"/>
    </row>
    <row r="131" spans="2:11">
      <c r="B131" s="43"/>
      <c r="C131" s="43"/>
      <c r="D131" s="43"/>
      <c r="E131" s="10"/>
      <c r="F131" s="44"/>
      <c r="G131" s="61"/>
      <c r="H131" s="10"/>
      <c r="I131" s="10"/>
      <c r="J131" s="43"/>
      <c r="K131" s="43"/>
    </row>
    <row r="132" spans="2:11">
      <c r="B132" s="43"/>
      <c r="C132" s="43"/>
      <c r="D132" s="43"/>
      <c r="E132" s="10"/>
      <c r="F132" s="44"/>
      <c r="G132" s="61"/>
      <c r="H132" s="10"/>
      <c r="I132" s="10"/>
      <c r="J132" s="43"/>
      <c r="K132" s="43"/>
    </row>
    <row r="133" spans="2:11">
      <c r="B133" s="43"/>
      <c r="C133" s="43"/>
      <c r="D133" s="43"/>
      <c r="E133" s="10"/>
      <c r="F133" s="44"/>
      <c r="G133" s="61"/>
      <c r="H133" s="10"/>
      <c r="I133" s="10"/>
      <c r="J133" s="43"/>
      <c r="K133" s="43"/>
    </row>
    <row r="134" spans="2:11">
      <c r="B134" s="43"/>
      <c r="C134" s="43"/>
      <c r="D134" s="43"/>
      <c r="E134" s="10"/>
      <c r="F134" s="44"/>
      <c r="G134" s="61"/>
      <c r="H134" s="10"/>
      <c r="I134" s="10"/>
      <c r="J134" s="43"/>
      <c r="K134" s="43"/>
    </row>
    <row r="135" spans="2:11">
      <c r="B135" s="43"/>
      <c r="C135" s="43"/>
      <c r="D135" s="43"/>
      <c r="E135" s="10"/>
      <c r="F135" s="44"/>
      <c r="G135" s="61"/>
      <c r="H135" s="10"/>
      <c r="I135" s="10"/>
      <c r="J135" s="43"/>
      <c r="K135" s="43"/>
    </row>
    <row r="136" spans="2:11">
      <c r="B136" s="43"/>
      <c r="C136" s="43"/>
      <c r="D136" s="43"/>
      <c r="E136" s="10"/>
      <c r="F136" s="44"/>
      <c r="G136" s="61"/>
      <c r="H136" s="10"/>
      <c r="I136" s="10"/>
      <c r="J136" s="43"/>
      <c r="K136" s="43"/>
    </row>
    <row r="137" spans="2:11">
      <c r="B137" s="43"/>
      <c r="C137" s="43"/>
      <c r="D137" s="43"/>
      <c r="E137" s="10"/>
      <c r="F137" s="44"/>
      <c r="G137" s="61"/>
      <c r="H137" s="10"/>
      <c r="I137" s="10"/>
      <c r="J137" s="43"/>
      <c r="K137" s="43"/>
    </row>
    <row r="138" spans="2:11">
      <c r="B138" s="43"/>
      <c r="C138" s="43"/>
      <c r="D138" s="43"/>
      <c r="E138" s="10"/>
      <c r="F138" s="44"/>
      <c r="G138" s="61"/>
      <c r="H138" s="10"/>
      <c r="I138" s="10"/>
      <c r="J138" s="43"/>
      <c r="K138" s="43"/>
    </row>
    <row r="139" spans="2:11">
      <c r="B139" s="43"/>
      <c r="C139" s="43"/>
      <c r="D139" s="43"/>
      <c r="E139" s="10"/>
      <c r="F139" s="44"/>
      <c r="G139" s="61"/>
      <c r="H139" s="10"/>
      <c r="I139" s="10"/>
      <c r="J139" s="43"/>
      <c r="K139" s="43"/>
    </row>
    <row r="140" spans="2:11">
      <c r="B140" s="43"/>
      <c r="C140" s="43"/>
      <c r="D140" s="43"/>
      <c r="E140" s="10"/>
      <c r="F140" s="44"/>
      <c r="G140" s="61"/>
      <c r="H140" s="10"/>
      <c r="I140" s="10"/>
      <c r="J140" s="43"/>
      <c r="K140" s="43"/>
    </row>
    <row r="141" spans="2:11">
      <c r="B141" s="43"/>
      <c r="C141" s="43"/>
      <c r="D141" s="43"/>
      <c r="E141" s="10"/>
      <c r="F141" s="44"/>
      <c r="G141" s="61"/>
      <c r="H141" s="10"/>
      <c r="I141" s="10"/>
      <c r="J141" s="43"/>
      <c r="K141" s="43"/>
    </row>
    <row r="142" spans="2:11">
      <c r="B142" s="43"/>
      <c r="C142" s="43"/>
      <c r="D142" s="43"/>
      <c r="E142" s="10"/>
      <c r="F142" s="44"/>
      <c r="G142" s="61"/>
      <c r="H142" s="10"/>
      <c r="I142" s="10"/>
      <c r="J142" s="43"/>
      <c r="K142" s="43"/>
    </row>
    <row r="143" spans="2:11">
      <c r="B143" s="43"/>
      <c r="C143" s="43"/>
      <c r="D143" s="43"/>
      <c r="E143" s="10"/>
      <c r="F143" s="44"/>
      <c r="G143" s="61"/>
      <c r="H143" s="10"/>
      <c r="I143" s="10"/>
      <c r="J143" s="43"/>
      <c r="K143" s="43"/>
    </row>
    <row r="144" spans="2:11">
      <c r="B144" s="43"/>
      <c r="C144" s="43"/>
      <c r="D144" s="43"/>
      <c r="E144" s="10"/>
      <c r="F144" s="44"/>
      <c r="G144" s="61"/>
      <c r="H144" s="10"/>
      <c r="I144" s="10"/>
      <c r="J144" s="43"/>
      <c r="K144" s="43"/>
    </row>
    <row r="145" spans="2:11">
      <c r="B145" s="43"/>
      <c r="C145" s="43"/>
      <c r="D145" s="43"/>
      <c r="E145" s="10"/>
      <c r="F145" s="44"/>
      <c r="G145" s="61"/>
      <c r="H145" s="10"/>
      <c r="I145" s="10"/>
      <c r="J145" s="43"/>
      <c r="K145" s="43"/>
    </row>
    <row r="146" spans="2:11">
      <c r="B146" s="43"/>
      <c r="C146" s="43"/>
      <c r="D146" s="43"/>
      <c r="E146" s="10"/>
      <c r="F146" s="44"/>
      <c r="G146" s="61"/>
      <c r="H146" s="10"/>
      <c r="I146" s="10"/>
      <c r="J146" s="43"/>
      <c r="K146" s="43"/>
    </row>
    <row r="147" spans="2:11">
      <c r="B147" s="43"/>
      <c r="C147" s="43"/>
      <c r="D147" s="43"/>
      <c r="E147" s="10"/>
      <c r="F147" s="44"/>
      <c r="G147" s="61"/>
      <c r="H147" s="10"/>
      <c r="I147" s="10"/>
      <c r="J147" s="43"/>
      <c r="K147" s="43"/>
    </row>
    <row r="148" spans="2:11">
      <c r="B148" s="43"/>
      <c r="C148" s="43"/>
      <c r="D148" s="43"/>
      <c r="E148" s="10"/>
      <c r="F148" s="44"/>
      <c r="G148" s="61"/>
      <c r="H148" s="10"/>
      <c r="I148" s="10"/>
      <c r="J148" s="43"/>
      <c r="K148" s="43"/>
    </row>
    <row r="149" spans="2:11">
      <c r="B149" s="43"/>
      <c r="C149" s="43"/>
      <c r="D149" s="43"/>
      <c r="E149" s="10"/>
      <c r="F149" s="44"/>
      <c r="G149" s="61"/>
      <c r="H149" s="10"/>
      <c r="I149" s="10"/>
      <c r="J149" s="43"/>
      <c r="K149" s="43"/>
    </row>
    <row r="150" spans="2:11">
      <c r="B150" s="43"/>
      <c r="C150" s="43"/>
      <c r="D150" s="43"/>
      <c r="E150" s="10"/>
      <c r="F150" s="44"/>
      <c r="G150" s="61"/>
      <c r="H150" s="10"/>
      <c r="I150" s="10"/>
      <c r="J150" s="43"/>
      <c r="K150" s="43"/>
    </row>
    <row r="151" spans="2:11">
      <c r="B151" s="43"/>
      <c r="C151" s="43"/>
      <c r="D151" s="43"/>
      <c r="E151" s="10"/>
      <c r="F151" s="44"/>
      <c r="G151" s="61"/>
      <c r="H151" s="10"/>
      <c r="I151" s="10"/>
      <c r="J151" s="43"/>
      <c r="K151" s="43"/>
    </row>
    <row r="152" spans="2:11">
      <c r="B152" s="43"/>
      <c r="C152" s="43"/>
      <c r="D152" s="43"/>
      <c r="E152" s="10"/>
      <c r="F152" s="44"/>
      <c r="G152" s="61"/>
      <c r="H152" s="10"/>
      <c r="I152" s="10"/>
      <c r="J152" s="43"/>
      <c r="K152" s="43"/>
    </row>
    <row r="153" spans="2:11">
      <c r="B153" s="43"/>
      <c r="C153" s="43"/>
      <c r="D153" s="43"/>
      <c r="E153" s="10"/>
      <c r="F153" s="44"/>
      <c r="G153" s="61"/>
      <c r="H153" s="10"/>
      <c r="I153" s="10"/>
      <c r="J153" s="43"/>
      <c r="K153" s="43"/>
    </row>
    <row r="154" spans="2:11">
      <c r="B154" s="43"/>
      <c r="C154" s="43"/>
      <c r="D154" s="43"/>
      <c r="E154" s="10"/>
      <c r="F154" s="44"/>
      <c r="G154" s="61"/>
      <c r="H154" s="10"/>
      <c r="I154" s="10"/>
      <c r="J154" s="43"/>
      <c r="K154" s="43"/>
    </row>
    <row r="155" spans="2:11">
      <c r="B155" s="43"/>
      <c r="C155" s="43"/>
      <c r="D155" s="43"/>
      <c r="E155" s="10"/>
      <c r="F155" s="44"/>
      <c r="G155" s="61"/>
      <c r="H155" s="10"/>
      <c r="I155" s="10"/>
      <c r="J155" s="43"/>
      <c r="K155" s="43"/>
    </row>
    <row r="156" spans="2:11">
      <c r="B156" s="43"/>
      <c r="C156" s="43"/>
      <c r="D156" s="43"/>
      <c r="E156" s="10"/>
      <c r="F156" s="44"/>
      <c r="G156" s="61"/>
      <c r="H156" s="10"/>
      <c r="I156" s="10"/>
      <c r="J156" s="43"/>
      <c r="K156" s="43"/>
    </row>
    <row r="157" spans="2:11">
      <c r="B157" s="43"/>
      <c r="C157" s="43"/>
      <c r="D157" s="43"/>
      <c r="E157" s="10"/>
      <c r="F157" s="44"/>
      <c r="G157" s="61"/>
      <c r="H157" s="10"/>
      <c r="I157" s="10"/>
      <c r="J157" s="43"/>
      <c r="K157" s="43"/>
    </row>
    <row r="158" spans="2:11">
      <c r="B158" s="43"/>
      <c r="C158" s="43"/>
      <c r="D158" s="43"/>
      <c r="E158" s="10"/>
      <c r="F158" s="44"/>
      <c r="G158" s="61"/>
      <c r="H158" s="10"/>
      <c r="I158" s="10"/>
      <c r="J158" s="43"/>
      <c r="K158" s="43"/>
    </row>
    <row r="159" spans="2:11">
      <c r="B159" s="43"/>
      <c r="C159" s="43"/>
      <c r="D159" s="43"/>
      <c r="E159" s="10"/>
      <c r="F159" s="44"/>
      <c r="G159" s="61"/>
      <c r="H159" s="10"/>
      <c r="I159" s="10"/>
      <c r="J159" s="43"/>
      <c r="K159" s="43"/>
    </row>
    <row r="160" spans="2:11">
      <c r="B160" s="43"/>
      <c r="C160" s="43"/>
      <c r="D160" s="43"/>
      <c r="E160" s="10"/>
      <c r="F160" s="44"/>
      <c r="G160" s="61"/>
      <c r="H160" s="10"/>
      <c r="I160" s="10"/>
      <c r="J160" s="43"/>
      <c r="K160" s="43"/>
    </row>
    <row r="161" spans="2:11">
      <c r="B161" s="43"/>
      <c r="C161" s="43"/>
      <c r="D161" s="43"/>
      <c r="E161" s="10"/>
      <c r="F161" s="44"/>
      <c r="G161" s="61"/>
      <c r="H161" s="10"/>
      <c r="I161" s="10"/>
      <c r="J161" s="43"/>
      <c r="K161" s="43"/>
    </row>
    <row r="162" spans="2:11">
      <c r="B162" s="43"/>
      <c r="C162" s="43"/>
      <c r="D162" s="43"/>
      <c r="E162" s="10"/>
      <c r="F162" s="44"/>
      <c r="G162" s="61"/>
      <c r="H162" s="10"/>
      <c r="I162" s="10"/>
      <c r="J162" s="43"/>
      <c r="K162" s="43"/>
    </row>
    <row r="163" spans="2:11">
      <c r="B163" s="43"/>
      <c r="C163" s="43"/>
      <c r="D163" s="43"/>
      <c r="E163" s="10"/>
      <c r="F163" s="44"/>
      <c r="G163" s="61"/>
      <c r="H163" s="10"/>
      <c r="I163" s="10"/>
      <c r="J163" s="43"/>
      <c r="K163" s="43"/>
    </row>
    <row r="164" spans="2:11">
      <c r="B164" s="43"/>
      <c r="C164" s="43"/>
      <c r="D164" s="43"/>
      <c r="E164" s="10"/>
      <c r="F164" s="44"/>
      <c r="G164" s="61"/>
      <c r="H164" s="10"/>
      <c r="I164" s="10"/>
      <c r="J164" s="43"/>
      <c r="K164" s="43"/>
    </row>
    <row r="165" spans="2:11">
      <c r="B165" s="43"/>
      <c r="C165" s="43"/>
      <c r="D165" s="43"/>
      <c r="E165" s="10"/>
      <c r="F165" s="44"/>
      <c r="G165" s="61"/>
      <c r="H165" s="10"/>
      <c r="I165" s="10"/>
      <c r="J165" s="43"/>
      <c r="K165" s="43"/>
    </row>
    <row r="166" spans="2:11">
      <c r="B166" s="43"/>
      <c r="C166" s="43"/>
      <c r="D166" s="43"/>
      <c r="E166" s="10"/>
      <c r="F166" s="44"/>
      <c r="G166" s="61"/>
      <c r="H166" s="10"/>
      <c r="I166" s="10"/>
      <c r="J166" s="43"/>
      <c r="K166" s="43"/>
    </row>
    <row r="167" spans="2:11">
      <c r="B167" s="43"/>
      <c r="C167" s="43"/>
      <c r="D167" s="43"/>
      <c r="E167" s="10"/>
      <c r="F167" s="44"/>
      <c r="G167" s="61"/>
      <c r="H167" s="10"/>
      <c r="I167" s="10"/>
      <c r="J167" s="43"/>
      <c r="K167" s="43"/>
    </row>
    <row r="168" spans="2:11">
      <c r="B168" s="43"/>
      <c r="C168" s="43"/>
      <c r="D168" s="43"/>
      <c r="E168" s="10"/>
      <c r="F168" s="44"/>
      <c r="G168" s="61"/>
      <c r="H168" s="10"/>
      <c r="I168" s="10"/>
      <c r="J168" s="43"/>
      <c r="K168" s="43"/>
    </row>
    <row r="169" spans="2:11">
      <c r="B169" s="43"/>
      <c r="C169" s="43"/>
      <c r="D169" s="43"/>
      <c r="E169" s="10"/>
      <c r="F169" s="44"/>
      <c r="G169" s="61"/>
      <c r="H169" s="10"/>
      <c r="I169" s="10"/>
      <c r="J169" s="43"/>
      <c r="K169" s="43"/>
    </row>
    <row r="170" spans="2:11">
      <c r="B170" s="43"/>
      <c r="C170" s="43"/>
      <c r="D170" s="43"/>
      <c r="E170" s="10"/>
      <c r="F170" s="44"/>
      <c r="G170" s="61"/>
      <c r="H170" s="10"/>
      <c r="I170" s="10"/>
      <c r="J170" s="43"/>
      <c r="K170" s="43"/>
    </row>
    <row r="171" spans="2:11">
      <c r="B171" s="43"/>
      <c r="C171" s="43"/>
      <c r="D171" s="43"/>
      <c r="E171" s="10"/>
      <c r="F171" s="44"/>
      <c r="G171" s="61"/>
      <c r="H171" s="10"/>
      <c r="I171" s="10"/>
      <c r="J171" s="43"/>
      <c r="K171" s="43"/>
    </row>
    <row r="172" spans="2:11">
      <c r="B172" s="43"/>
      <c r="C172" s="43"/>
      <c r="D172" s="43"/>
      <c r="E172" s="10"/>
      <c r="F172" s="44"/>
      <c r="G172" s="61"/>
      <c r="H172" s="10"/>
      <c r="I172" s="10"/>
      <c r="J172" s="43"/>
      <c r="K172" s="43"/>
    </row>
    <row r="173" spans="2:11">
      <c r="B173" s="43"/>
      <c r="C173" s="43"/>
      <c r="D173" s="43"/>
      <c r="E173" s="10"/>
      <c r="F173" s="44"/>
      <c r="G173" s="61"/>
      <c r="H173" s="10"/>
      <c r="I173" s="10"/>
      <c r="J173" s="43"/>
      <c r="K173" s="43"/>
    </row>
    <row r="174" spans="2:11">
      <c r="B174" s="43"/>
      <c r="C174" s="43"/>
      <c r="D174" s="43"/>
      <c r="E174" s="10"/>
      <c r="F174" s="44"/>
      <c r="G174" s="61"/>
      <c r="H174" s="10"/>
      <c r="I174" s="10"/>
      <c r="J174" s="43"/>
      <c r="K174" s="43"/>
    </row>
    <row r="175" spans="2:11">
      <c r="B175" s="43"/>
      <c r="C175" s="43"/>
      <c r="D175" s="43"/>
      <c r="E175" s="10"/>
      <c r="F175" s="44"/>
      <c r="G175" s="61"/>
      <c r="H175" s="10"/>
      <c r="I175" s="10"/>
      <c r="J175" s="43"/>
      <c r="K175" s="43"/>
    </row>
    <row r="176" spans="2:11">
      <c r="B176" s="43"/>
      <c r="C176" s="43"/>
      <c r="D176" s="43"/>
      <c r="E176" s="10"/>
      <c r="F176" s="44"/>
      <c r="G176" s="61"/>
      <c r="H176" s="10"/>
      <c r="I176" s="10"/>
      <c r="J176" s="43"/>
      <c r="K176" s="43"/>
    </row>
    <row r="177" spans="2:11">
      <c r="B177" s="43"/>
      <c r="C177" s="43"/>
      <c r="D177" s="43"/>
      <c r="E177" s="10"/>
      <c r="F177" s="44"/>
      <c r="G177" s="61"/>
      <c r="H177" s="10"/>
      <c r="I177" s="10"/>
      <c r="J177" s="43"/>
      <c r="K177" s="43"/>
    </row>
    <row r="178" spans="2:11">
      <c r="B178" s="43"/>
      <c r="C178" s="43"/>
      <c r="D178" s="43"/>
      <c r="E178" s="10"/>
      <c r="F178" s="44"/>
      <c r="G178" s="61"/>
      <c r="H178" s="10"/>
      <c r="I178" s="10"/>
      <c r="J178" s="43"/>
      <c r="K178" s="43"/>
    </row>
    <row r="179" spans="2:11">
      <c r="B179" s="43"/>
      <c r="C179" s="43"/>
      <c r="D179" s="43"/>
      <c r="E179" s="10"/>
      <c r="F179" s="44"/>
      <c r="G179" s="61"/>
      <c r="H179" s="10"/>
      <c r="I179" s="10"/>
      <c r="J179" s="43"/>
      <c r="K179" s="43"/>
    </row>
    <row r="180" spans="2:11">
      <c r="B180" s="43"/>
      <c r="C180" s="43"/>
      <c r="D180" s="43"/>
      <c r="E180" s="10"/>
      <c r="F180" s="44"/>
      <c r="G180" s="61"/>
      <c r="H180" s="10"/>
      <c r="I180" s="10"/>
      <c r="J180" s="43"/>
      <c r="K180" s="43"/>
    </row>
    <row r="181" spans="2:11">
      <c r="B181" s="43"/>
      <c r="C181" s="43"/>
      <c r="D181" s="43"/>
      <c r="E181" s="10"/>
      <c r="F181" s="44"/>
      <c r="G181" s="61"/>
      <c r="H181" s="10"/>
      <c r="I181" s="10"/>
      <c r="J181" s="43"/>
      <c r="K181" s="43"/>
    </row>
    <row r="182" spans="2:11">
      <c r="B182" s="43"/>
      <c r="C182" s="43"/>
      <c r="D182" s="43"/>
      <c r="E182" s="10"/>
      <c r="F182" s="44"/>
      <c r="G182" s="61"/>
      <c r="H182" s="10"/>
      <c r="I182" s="10"/>
      <c r="J182" s="43"/>
      <c r="K182" s="43"/>
    </row>
    <row r="183" spans="2:11">
      <c r="B183" s="43"/>
      <c r="C183" s="43"/>
      <c r="D183" s="43"/>
      <c r="E183" s="10"/>
      <c r="F183" s="44"/>
      <c r="G183" s="61"/>
      <c r="H183" s="10"/>
      <c r="I183" s="10"/>
      <c r="J183" s="43"/>
      <c r="K183" s="43"/>
    </row>
    <row r="184" spans="2:11">
      <c r="B184" s="43"/>
      <c r="C184" s="43"/>
      <c r="D184" s="43"/>
      <c r="E184" s="10"/>
      <c r="F184" s="44"/>
      <c r="G184" s="61"/>
      <c r="H184" s="10"/>
      <c r="I184" s="10"/>
      <c r="J184" s="43"/>
      <c r="K184" s="43"/>
    </row>
    <row r="185" spans="2:11">
      <c r="B185" s="43"/>
      <c r="C185" s="43"/>
      <c r="D185" s="43"/>
      <c r="E185" s="10"/>
      <c r="F185" s="44"/>
      <c r="G185" s="61"/>
      <c r="H185" s="10"/>
      <c r="I185" s="10"/>
      <c r="J185" s="43"/>
      <c r="K185" s="43"/>
    </row>
    <row r="186" spans="2:11">
      <c r="B186" s="43"/>
      <c r="C186" s="43"/>
      <c r="D186" s="43"/>
      <c r="E186" s="10"/>
      <c r="F186" s="44"/>
      <c r="G186" s="61"/>
      <c r="H186" s="10"/>
      <c r="I186" s="10"/>
      <c r="J186" s="43"/>
      <c r="K186" s="43"/>
    </row>
    <row r="187" spans="2:11">
      <c r="B187" s="43"/>
      <c r="C187" s="43"/>
      <c r="D187" s="43"/>
      <c r="E187" s="10"/>
      <c r="F187" s="44"/>
      <c r="G187" s="61"/>
      <c r="H187" s="10"/>
      <c r="I187" s="10"/>
      <c r="J187" s="43"/>
      <c r="K187" s="43"/>
    </row>
    <row r="188" spans="2:11">
      <c r="B188" s="43"/>
      <c r="C188" s="43"/>
      <c r="D188" s="43"/>
      <c r="E188" s="10"/>
      <c r="F188" s="44"/>
      <c r="G188" s="61"/>
      <c r="H188" s="10"/>
      <c r="I188" s="10"/>
      <c r="J188" s="43"/>
      <c r="K188" s="43"/>
    </row>
    <row r="189" spans="2:11">
      <c r="B189" s="43"/>
      <c r="C189" s="43"/>
      <c r="D189" s="43"/>
      <c r="E189" s="10"/>
      <c r="F189" s="44"/>
      <c r="G189" s="61"/>
      <c r="H189" s="10"/>
      <c r="I189" s="10"/>
      <c r="J189" s="43"/>
      <c r="K189" s="43"/>
    </row>
    <row r="190" spans="2:11">
      <c r="B190" s="43"/>
      <c r="C190" s="43"/>
      <c r="D190" s="43"/>
      <c r="E190" s="10"/>
      <c r="F190" s="44"/>
      <c r="G190" s="61"/>
      <c r="H190" s="10"/>
      <c r="I190" s="10"/>
      <c r="J190" s="43"/>
      <c r="K190" s="43"/>
    </row>
    <row r="191" spans="2:11">
      <c r="B191" s="43"/>
      <c r="C191" s="43"/>
      <c r="D191" s="43"/>
      <c r="E191" s="10"/>
      <c r="F191" s="44"/>
      <c r="G191" s="61"/>
      <c r="H191" s="10"/>
      <c r="I191" s="10"/>
      <c r="J191" s="43"/>
      <c r="K191" s="43"/>
    </row>
    <row r="192" spans="2:11">
      <c r="B192" s="43"/>
      <c r="C192" s="43"/>
      <c r="D192" s="43"/>
      <c r="E192" s="10"/>
      <c r="F192" s="44"/>
      <c r="G192" s="61"/>
      <c r="H192" s="10"/>
      <c r="I192" s="10"/>
      <c r="J192" s="43"/>
      <c r="K192" s="43"/>
    </row>
    <row r="193" spans="2:11">
      <c r="B193" s="43"/>
      <c r="C193" s="43"/>
      <c r="D193" s="43"/>
      <c r="E193" s="10"/>
      <c r="F193" s="44"/>
      <c r="G193" s="61"/>
      <c r="H193" s="10"/>
      <c r="I193" s="10"/>
      <c r="J193" s="43"/>
      <c r="K193" s="43"/>
    </row>
    <row r="194" spans="2:11">
      <c r="B194" s="43"/>
      <c r="C194" s="43"/>
      <c r="D194" s="43"/>
      <c r="E194" s="10"/>
      <c r="F194" s="44"/>
      <c r="G194" s="61"/>
      <c r="H194" s="10"/>
      <c r="I194" s="10"/>
      <c r="J194" s="43"/>
      <c r="K194" s="43"/>
    </row>
    <row r="195" spans="2:11">
      <c r="B195" s="43"/>
      <c r="C195" s="43"/>
      <c r="D195" s="43"/>
      <c r="E195" s="10"/>
      <c r="F195" s="44"/>
      <c r="G195" s="61"/>
      <c r="H195" s="10"/>
      <c r="I195" s="10"/>
      <c r="J195" s="43"/>
      <c r="K195" s="43"/>
    </row>
    <row r="196" spans="2:11">
      <c r="B196" s="43"/>
      <c r="C196" s="43"/>
      <c r="D196" s="43"/>
      <c r="E196" s="10"/>
      <c r="F196" s="44"/>
      <c r="G196" s="61"/>
      <c r="H196" s="10"/>
      <c r="I196" s="10"/>
      <c r="J196" s="43"/>
      <c r="K196" s="43"/>
    </row>
    <row r="197" spans="2:11">
      <c r="B197" s="43"/>
      <c r="C197" s="43"/>
      <c r="D197" s="43"/>
      <c r="E197" s="10"/>
      <c r="F197" s="44"/>
      <c r="G197" s="61"/>
      <c r="H197" s="10"/>
      <c r="I197" s="10"/>
      <c r="J197" s="43"/>
      <c r="K197" s="43"/>
    </row>
    <row r="198" spans="2:11">
      <c r="B198" s="43"/>
      <c r="C198" s="43"/>
      <c r="D198" s="43"/>
      <c r="E198" s="10"/>
      <c r="F198" s="44"/>
      <c r="G198" s="61"/>
      <c r="H198" s="10"/>
      <c r="I198" s="10"/>
      <c r="J198" s="43"/>
      <c r="K198" s="43"/>
    </row>
    <row r="199" spans="2:11">
      <c r="B199" s="43"/>
      <c r="C199" s="43"/>
      <c r="D199" s="43"/>
      <c r="E199" s="10"/>
      <c r="F199" s="44"/>
      <c r="G199" s="61"/>
      <c r="H199" s="10"/>
      <c r="I199" s="10"/>
      <c r="J199" s="43"/>
      <c r="K199" s="43"/>
    </row>
    <row r="200" spans="2:11">
      <c r="B200" s="43"/>
      <c r="C200" s="43"/>
      <c r="D200" s="43"/>
      <c r="E200" s="10"/>
      <c r="F200" s="44"/>
      <c r="G200" s="61"/>
      <c r="H200" s="10"/>
      <c r="I200" s="10"/>
      <c r="J200" s="43"/>
      <c r="K200" s="43"/>
    </row>
    <row r="201" spans="2:11">
      <c r="B201" s="43"/>
      <c r="C201" s="43"/>
      <c r="D201" s="43"/>
      <c r="E201" s="10"/>
      <c r="F201" s="44"/>
      <c r="G201" s="61"/>
      <c r="H201" s="10"/>
      <c r="I201" s="10"/>
      <c r="J201" s="43"/>
      <c r="K201" s="43"/>
    </row>
    <row r="202" spans="2:11">
      <c r="B202" s="43"/>
      <c r="C202" s="43"/>
      <c r="D202" s="43"/>
      <c r="E202" s="10"/>
      <c r="F202" s="44"/>
      <c r="G202" s="61"/>
      <c r="H202" s="10"/>
      <c r="I202" s="10"/>
      <c r="J202" s="43"/>
      <c r="K202" s="43"/>
    </row>
    <row r="203" spans="2:11">
      <c r="B203" s="43"/>
      <c r="C203" s="43"/>
      <c r="D203" s="43"/>
      <c r="E203" s="10"/>
      <c r="F203" s="44"/>
      <c r="G203" s="61"/>
      <c r="H203" s="10"/>
      <c r="I203" s="10"/>
      <c r="J203" s="43"/>
      <c r="K203" s="43"/>
    </row>
    <row r="204" spans="2:11">
      <c r="B204" s="43"/>
      <c r="C204" s="43"/>
      <c r="D204" s="43"/>
      <c r="E204" s="10"/>
      <c r="F204" s="44"/>
      <c r="G204" s="61"/>
      <c r="H204" s="10"/>
      <c r="I204" s="10"/>
      <c r="J204" s="43"/>
      <c r="K204" s="43"/>
    </row>
    <row r="205" spans="2:11">
      <c r="B205" s="43"/>
      <c r="C205" s="43"/>
      <c r="D205" s="43"/>
      <c r="E205" s="10"/>
      <c r="F205" s="44"/>
      <c r="G205" s="61"/>
      <c r="H205" s="10"/>
      <c r="I205" s="10"/>
      <c r="J205" s="43"/>
      <c r="K205" s="43"/>
    </row>
    <row r="206" spans="2:11">
      <c r="B206" s="43"/>
      <c r="C206" s="43"/>
      <c r="D206" s="43"/>
      <c r="E206" s="10"/>
      <c r="F206" s="44"/>
      <c r="G206" s="61"/>
      <c r="H206" s="10"/>
      <c r="I206" s="10"/>
      <c r="J206" s="43"/>
      <c r="K206" s="43"/>
    </row>
    <row r="207" spans="2:11">
      <c r="B207" s="43"/>
      <c r="C207" s="43"/>
      <c r="D207" s="43"/>
      <c r="E207" s="10"/>
      <c r="F207" s="44"/>
      <c r="G207" s="61"/>
      <c r="H207" s="10"/>
      <c r="I207" s="10"/>
      <c r="J207" s="43"/>
      <c r="K207" s="43"/>
    </row>
    <row r="208" spans="2:11">
      <c r="B208" s="43"/>
      <c r="C208" s="43"/>
      <c r="D208" s="43"/>
      <c r="E208" s="10"/>
      <c r="F208" s="44"/>
      <c r="G208" s="61"/>
      <c r="H208" s="10"/>
      <c r="I208" s="10"/>
      <c r="J208" s="43"/>
      <c r="K208" s="43"/>
    </row>
    <row r="209" spans="2:11">
      <c r="B209" s="43"/>
      <c r="C209" s="43"/>
      <c r="D209" s="43"/>
      <c r="E209" s="10"/>
      <c r="F209" s="44"/>
      <c r="G209" s="61"/>
      <c r="H209" s="10"/>
      <c r="I209" s="10"/>
      <c r="J209" s="43"/>
      <c r="K209" s="43"/>
    </row>
    <row r="210" spans="2:11">
      <c r="B210" s="43"/>
      <c r="C210" s="43"/>
      <c r="D210" s="43"/>
      <c r="E210" s="10"/>
      <c r="F210" s="44"/>
      <c r="G210" s="61"/>
      <c r="H210" s="10"/>
      <c r="I210" s="10"/>
      <c r="J210" s="43"/>
      <c r="K210" s="43"/>
    </row>
    <row r="211" spans="2:11">
      <c r="B211" s="43"/>
      <c r="C211" s="43"/>
      <c r="D211" s="43"/>
      <c r="E211" s="10"/>
      <c r="F211" s="44"/>
      <c r="G211" s="61"/>
      <c r="H211" s="10"/>
      <c r="I211" s="10"/>
      <c r="J211" s="43"/>
      <c r="K211" s="43"/>
    </row>
    <row r="212" spans="2:11">
      <c r="B212" s="43"/>
      <c r="C212" s="43"/>
      <c r="D212" s="43"/>
      <c r="E212" s="10"/>
      <c r="F212" s="44"/>
      <c r="G212" s="61"/>
      <c r="H212" s="10"/>
      <c r="I212" s="10"/>
      <c r="J212" s="43"/>
      <c r="K212" s="43"/>
    </row>
    <row r="213" spans="2:11">
      <c r="B213" s="43"/>
      <c r="C213" s="43"/>
      <c r="D213" s="43"/>
      <c r="E213" s="10"/>
      <c r="F213" s="44"/>
      <c r="G213" s="61"/>
      <c r="H213" s="10"/>
      <c r="I213" s="10"/>
      <c r="J213" s="43"/>
      <c r="K213" s="43"/>
    </row>
    <row r="214" spans="2:11">
      <c r="B214" s="43"/>
      <c r="C214" s="43"/>
      <c r="D214" s="43"/>
      <c r="E214" s="10"/>
      <c r="F214" s="44"/>
      <c r="G214" s="61"/>
      <c r="H214" s="10"/>
      <c r="I214" s="10"/>
      <c r="J214" s="43"/>
      <c r="K214" s="43"/>
    </row>
    <row r="215" spans="2:11">
      <c r="B215" s="43"/>
      <c r="C215" s="43"/>
      <c r="D215" s="43"/>
      <c r="E215" s="10"/>
      <c r="F215" s="44"/>
      <c r="G215" s="61"/>
      <c r="H215" s="10"/>
      <c r="I215" s="10"/>
      <c r="J215" s="43"/>
      <c r="K215" s="43"/>
    </row>
    <row r="216" spans="2:11">
      <c r="B216" s="43"/>
      <c r="C216" s="43"/>
      <c r="D216" s="43"/>
      <c r="E216" s="10"/>
      <c r="F216" s="44"/>
      <c r="G216" s="61"/>
      <c r="H216" s="10"/>
      <c r="I216" s="10"/>
      <c r="J216" s="43"/>
      <c r="K216" s="43"/>
    </row>
    <row r="217" spans="2:11">
      <c r="B217" s="43"/>
      <c r="C217" s="43"/>
      <c r="D217" s="43"/>
      <c r="E217" s="10"/>
      <c r="F217" s="44"/>
      <c r="G217" s="61"/>
      <c r="H217" s="10"/>
      <c r="I217" s="10"/>
      <c r="J217" s="43"/>
      <c r="K217" s="43"/>
    </row>
    <row r="218" spans="2:11">
      <c r="B218" s="43"/>
      <c r="C218" s="43"/>
      <c r="D218" s="43"/>
      <c r="E218" s="10"/>
      <c r="F218" s="44"/>
      <c r="G218" s="61"/>
      <c r="H218" s="10"/>
      <c r="I218" s="10"/>
      <c r="J218" s="43"/>
      <c r="K218" s="43"/>
    </row>
    <row r="219" spans="2:11">
      <c r="B219" s="43"/>
      <c r="C219" s="43"/>
      <c r="D219" s="43"/>
      <c r="E219" s="10"/>
      <c r="F219" s="44"/>
      <c r="G219" s="61"/>
      <c r="H219" s="10"/>
      <c r="I219" s="10"/>
      <c r="J219" s="43"/>
      <c r="K219" s="43"/>
    </row>
    <row r="220" spans="2:11">
      <c r="B220" s="43"/>
      <c r="C220" s="43"/>
      <c r="D220" s="43"/>
      <c r="E220" s="10"/>
      <c r="F220" s="44"/>
      <c r="G220" s="61"/>
      <c r="H220" s="10"/>
      <c r="I220" s="10"/>
      <c r="J220" s="43"/>
      <c r="K220" s="43"/>
    </row>
    <row r="221" spans="2:11">
      <c r="B221" s="43"/>
      <c r="C221" s="43"/>
      <c r="D221" s="43"/>
      <c r="E221" s="10"/>
      <c r="F221" s="44"/>
      <c r="G221" s="61"/>
      <c r="H221" s="10"/>
      <c r="I221" s="10"/>
      <c r="J221" s="43"/>
      <c r="K221" s="43"/>
    </row>
    <row r="222" spans="2:11">
      <c r="B222" s="43"/>
      <c r="C222" s="43"/>
      <c r="D222" s="43"/>
      <c r="E222" s="10"/>
      <c r="F222" s="44"/>
      <c r="G222" s="61"/>
      <c r="H222" s="10"/>
      <c r="I222" s="10"/>
      <c r="J222" s="43"/>
      <c r="K222" s="43"/>
    </row>
    <row r="223" spans="2:11">
      <c r="B223" s="43"/>
      <c r="C223" s="43"/>
      <c r="D223" s="43"/>
      <c r="E223" s="10"/>
      <c r="F223" s="44"/>
      <c r="G223" s="61"/>
      <c r="H223" s="10"/>
      <c r="I223" s="10"/>
      <c r="J223" s="43"/>
      <c r="K223" s="43"/>
    </row>
    <row r="224" spans="2:11">
      <c r="B224" s="43"/>
      <c r="C224" s="43"/>
      <c r="D224" s="43"/>
      <c r="E224" s="10"/>
      <c r="F224" s="44"/>
      <c r="G224" s="61"/>
      <c r="H224" s="10"/>
      <c r="I224" s="10"/>
      <c r="J224" s="43"/>
      <c r="K224" s="43"/>
    </row>
    <row r="225" spans="2:11">
      <c r="B225" s="43"/>
      <c r="C225" s="43"/>
      <c r="D225" s="43"/>
      <c r="E225" s="10"/>
      <c r="F225" s="44"/>
      <c r="G225" s="61"/>
      <c r="H225" s="10"/>
      <c r="I225" s="10"/>
      <c r="J225" s="43"/>
      <c r="K225" s="43"/>
    </row>
    <row r="226" spans="2:11">
      <c r="B226" s="43"/>
      <c r="C226" s="43"/>
      <c r="D226" s="43"/>
      <c r="E226" s="10"/>
      <c r="F226" s="44"/>
      <c r="G226" s="61"/>
      <c r="H226" s="10"/>
      <c r="I226" s="10"/>
      <c r="J226" s="43"/>
      <c r="K226" s="43"/>
    </row>
    <row r="227" spans="2:11">
      <c r="B227" s="43"/>
      <c r="C227" s="43"/>
      <c r="D227" s="43"/>
      <c r="E227" s="10"/>
      <c r="F227" s="44"/>
      <c r="G227" s="61"/>
      <c r="H227" s="10"/>
      <c r="I227" s="10"/>
      <c r="J227" s="43"/>
      <c r="K227" s="43"/>
    </row>
    <row r="228" spans="2:11">
      <c r="B228" s="43"/>
      <c r="C228" s="43"/>
      <c r="D228" s="43"/>
      <c r="E228" s="10"/>
      <c r="F228" s="44"/>
      <c r="G228" s="61"/>
      <c r="H228" s="10"/>
      <c r="I228" s="10"/>
      <c r="J228" s="43"/>
      <c r="K228" s="43"/>
    </row>
    <row r="229" spans="2:11">
      <c r="B229" s="43"/>
      <c r="C229" s="43"/>
      <c r="D229" s="43"/>
      <c r="E229" s="10"/>
      <c r="F229" s="44"/>
      <c r="G229" s="61"/>
      <c r="H229" s="10"/>
      <c r="I229" s="10"/>
      <c r="J229" s="43"/>
      <c r="K229" s="43"/>
    </row>
    <row r="230" spans="2:11">
      <c r="B230" s="43"/>
      <c r="C230" s="43"/>
      <c r="D230" s="43"/>
      <c r="E230" s="10"/>
      <c r="F230" s="44"/>
      <c r="G230" s="61"/>
      <c r="H230" s="10"/>
      <c r="I230" s="10"/>
      <c r="J230" s="43"/>
      <c r="K230" s="43"/>
    </row>
    <row r="231" spans="2:11">
      <c r="B231" s="43"/>
      <c r="C231" s="43"/>
      <c r="D231" s="43"/>
      <c r="E231" s="10"/>
      <c r="F231" s="44"/>
      <c r="G231" s="61"/>
      <c r="H231" s="10"/>
      <c r="I231" s="10"/>
      <c r="J231" s="43"/>
      <c r="K231" s="43"/>
    </row>
    <row r="232" spans="2:11">
      <c r="B232" s="43"/>
      <c r="C232" s="43"/>
      <c r="D232" s="43"/>
      <c r="E232" s="10"/>
      <c r="F232" s="44"/>
      <c r="G232" s="61"/>
      <c r="H232" s="10"/>
      <c r="I232" s="10"/>
      <c r="J232" s="43"/>
      <c r="K232" s="43"/>
    </row>
    <row r="233" spans="2:11">
      <c r="B233" s="43"/>
      <c r="C233" s="43"/>
      <c r="D233" s="43"/>
      <c r="E233" s="10"/>
      <c r="F233" s="44"/>
      <c r="G233" s="61"/>
      <c r="H233" s="10"/>
      <c r="I233" s="10"/>
      <c r="J233" s="43"/>
      <c r="K233" s="43"/>
    </row>
    <row r="234" spans="2:11">
      <c r="B234" s="43"/>
      <c r="C234" s="43"/>
      <c r="D234" s="43"/>
      <c r="E234" s="10"/>
      <c r="F234" s="44"/>
      <c r="G234" s="61"/>
      <c r="H234" s="10"/>
      <c r="I234" s="10"/>
      <c r="J234" s="43"/>
      <c r="K234" s="43"/>
    </row>
    <row r="235" spans="2:11">
      <c r="B235" s="43"/>
      <c r="C235" s="43"/>
      <c r="D235" s="43"/>
      <c r="E235" s="10"/>
      <c r="F235" s="44"/>
      <c r="G235" s="61"/>
      <c r="H235" s="10"/>
      <c r="I235" s="10"/>
      <c r="J235" s="43"/>
      <c r="K235" s="43"/>
    </row>
    <row r="236" spans="2:11">
      <c r="B236" s="43"/>
      <c r="C236" s="43"/>
      <c r="D236" s="43"/>
      <c r="E236" s="10"/>
      <c r="F236" s="44"/>
      <c r="G236" s="61"/>
      <c r="H236" s="10"/>
      <c r="I236" s="10"/>
      <c r="J236" s="43"/>
      <c r="K236" s="43"/>
    </row>
    <row r="237" spans="2:11">
      <c r="B237" s="43"/>
      <c r="C237" s="43"/>
      <c r="D237" s="43"/>
      <c r="E237" s="10"/>
      <c r="F237" s="44"/>
      <c r="G237" s="61"/>
      <c r="H237" s="10"/>
      <c r="I237" s="10"/>
      <c r="J237" s="43"/>
      <c r="K237" s="43"/>
    </row>
    <row r="238" spans="2:11">
      <c r="B238" s="43"/>
      <c r="C238" s="43"/>
      <c r="D238" s="43"/>
      <c r="E238" s="10"/>
      <c r="F238" s="44"/>
      <c r="G238" s="61"/>
      <c r="H238" s="10"/>
      <c r="I238" s="10"/>
      <c r="J238" s="43"/>
      <c r="K238" s="43"/>
    </row>
    <row r="239" spans="2:11">
      <c r="B239" s="43"/>
      <c r="C239" s="43"/>
      <c r="D239" s="43"/>
      <c r="E239" s="10"/>
      <c r="F239" s="44"/>
      <c r="G239" s="61"/>
      <c r="H239" s="10"/>
      <c r="I239" s="10"/>
      <c r="J239" s="43"/>
      <c r="K239" s="43"/>
    </row>
    <row r="240" spans="2:11">
      <c r="B240" s="43"/>
      <c r="C240" s="43"/>
      <c r="D240" s="43"/>
      <c r="E240" s="10"/>
      <c r="F240" s="44"/>
      <c r="G240" s="61"/>
      <c r="H240" s="10"/>
      <c r="I240" s="10"/>
      <c r="J240" s="43"/>
      <c r="K240" s="43"/>
    </row>
    <row r="241" spans="2:11">
      <c r="B241" s="43"/>
      <c r="C241" s="43"/>
      <c r="D241" s="43"/>
      <c r="E241" s="10"/>
      <c r="F241" s="44"/>
      <c r="G241" s="61"/>
      <c r="H241" s="10"/>
      <c r="I241" s="10"/>
      <c r="J241" s="43"/>
      <c r="K241" s="43"/>
    </row>
    <row r="242" spans="2:11">
      <c r="B242" s="43"/>
      <c r="C242" s="43"/>
      <c r="D242" s="43"/>
      <c r="E242" s="10"/>
      <c r="F242" s="44"/>
      <c r="G242" s="61"/>
      <c r="H242" s="10"/>
      <c r="I242" s="10"/>
      <c r="J242" s="43"/>
      <c r="K242" s="43"/>
    </row>
    <row r="243" spans="2:11">
      <c r="B243" s="43"/>
      <c r="C243" s="43"/>
      <c r="D243" s="43"/>
      <c r="E243" s="10"/>
      <c r="F243" s="44"/>
      <c r="G243" s="61"/>
      <c r="H243" s="10"/>
      <c r="I243" s="10"/>
      <c r="J243" s="43"/>
      <c r="K243" s="43"/>
    </row>
    <row r="244" spans="2:11">
      <c r="B244" s="43"/>
      <c r="C244" s="43"/>
      <c r="D244" s="43"/>
      <c r="E244" s="10"/>
      <c r="F244" s="44"/>
      <c r="G244" s="61"/>
      <c r="H244" s="10"/>
      <c r="I244" s="10"/>
      <c r="J244" s="43"/>
      <c r="K244" s="43"/>
    </row>
    <row r="245" spans="2:11">
      <c r="B245" s="43"/>
      <c r="C245" s="43"/>
      <c r="D245" s="43"/>
      <c r="E245" s="10"/>
      <c r="F245" s="44"/>
      <c r="G245" s="61"/>
      <c r="H245" s="10"/>
      <c r="I245" s="10"/>
      <c r="J245" s="43"/>
      <c r="K245" s="43"/>
    </row>
    <row r="246" spans="2:11">
      <c r="B246" s="43"/>
      <c r="C246" s="43"/>
      <c r="D246" s="43"/>
      <c r="E246" s="10"/>
      <c r="F246" s="44"/>
      <c r="G246" s="61"/>
      <c r="H246" s="10"/>
      <c r="I246" s="10"/>
      <c r="J246" s="43"/>
      <c r="K246" s="43"/>
    </row>
    <row r="247" spans="2:11">
      <c r="B247" s="43"/>
      <c r="C247" s="43"/>
      <c r="D247" s="43"/>
      <c r="E247" s="10"/>
      <c r="F247" s="44"/>
      <c r="G247" s="61"/>
      <c r="H247" s="10"/>
      <c r="I247" s="10"/>
      <c r="J247" s="43"/>
      <c r="K247" s="43"/>
    </row>
    <row r="248" spans="2:11">
      <c r="B248" s="43"/>
      <c r="C248" s="43"/>
      <c r="D248" s="43"/>
      <c r="E248" s="10"/>
      <c r="F248" s="44"/>
      <c r="G248" s="61"/>
      <c r="H248" s="10"/>
      <c r="I248" s="10"/>
      <c r="J248" s="43"/>
      <c r="K248" s="43"/>
    </row>
    <row r="249" spans="2:11">
      <c r="B249" s="43"/>
      <c r="C249" s="43"/>
      <c r="D249" s="43"/>
      <c r="E249" s="10"/>
      <c r="F249" s="44"/>
      <c r="G249" s="61"/>
      <c r="H249" s="10"/>
      <c r="I249" s="10"/>
      <c r="J249" s="43"/>
      <c r="K249" s="43"/>
    </row>
    <row r="250" spans="2:11">
      <c r="B250" s="43"/>
      <c r="C250" s="43"/>
      <c r="D250" s="43"/>
      <c r="E250" s="10"/>
      <c r="F250" s="44"/>
      <c r="G250" s="61"/>
      <c r="H250" s="10"/>
      <c r="I250" s="10"/>
      <c r="J250" s="43"/>
      <c r="K250" s="43"/>
    </row>
    <row r="251" spans="2:11">
      <c r="B251" s="43"/>
      <c r="C251" s="43"/>
      <c r="D251" s="43"/>
      <c r="E251" s="10"/>
      <c r="F251" s="44"/>
      <c r="G251" s="61"/>
      <c r="H251" s="10"/>
      <c r="I251" s="10"/>
      <c r="J251" s="43"/>
      <c r="K251" s="43"/>
    </row>
    <row r="252" spans="2:11">
      <c r="B252" s="43"/>
      <c r="C252" s="43"/>
      <c r="D252" s="43"/>
      <c r="E252" s="10"/>
      <c r="F252" s="44"/>
      <c r="G252" s="61"/>
      <c r="H252" s="10"/>
      <c r="I252" s="10"/>
      <c r="J252" s="43"/>
      <c r="K252" s="43"/>
    </row>
    <row r="253" spans="2:11">
      <c r="B253" s="43"/>
      <c r="C253" s="43"/>
      <c r="D253" s="43"/>
      <c r="E253" s="10"/>
      <c r="F253" s="44"/>
      <c r="G253" s="61"/>
      <c r="H253" s="10"/>
      <c r="I253" s="10"/>
      <c r="J253" s="43"/>
      <c r="K253" s="43"/>
    </row>
    <row r="254" spans="2:11">
      <c r="B254" s="43"/>
      <c r="C254" s="43"/>
      <c r="D254" s="43"/>
      <c r="E254" s="10"/>
      <c r="F254" s="44"/>
      <c r="G254" s="61"/>
      <c r="H254" s="10"/>
      <c r="I254" s="10"/>
      <c r="J254" s="43"/>
      <c r="K254" s="43"/>
    </row>
    <row r="255" spans="2:11">
      <c r="B255" s="43"/>
      <c r="C255" s="43"/>
      <c r="D255" s="43"/>
      <c r="E255" s="10"/>
      <c r="F255" s="44"/>
      <c r="G255" s="61"/>
      <c r="H255" s="10"/>
      <c r="I255" s="10"/>
      <c r="J255" s="43"/>
      <c r="K255" s="43"/>
    </row>
    <row r="256" spans="2:11">
      <c r="B256" s="43"/>
      <c r="C256" s="43"/>
      <c r="D256" s="43"/>
      <c r="E256" s="10"/>
      <c r="F256" s="44"/>
      <c r="G256" s="61"/>
      <c r="H256" s="10"/>
      <c r="I256" s="10"/>
      <c r="J256" s="43"/>
      <c r="K256" s="43"/>
    </row>
    <row r="257" spans="2:11">
      <c r="B257" s="43"/>
      <c r="C257" s="43"/>
      <c r="D257" s="43"/>
      <c r="E257" s="10"/>
      <c r="F257" s="44"/>
      <c r="G257" s="61"/>
      <c r="H257" s="10"/>
      <c r="I257" s="10"/>
      <c r="J257" s="43"/>
      <c r="K257" s="43"/>
    </row>
    <row r="258" spans="2:11">
      <c r="B258" s="43"/>
      <c r="C258" s="43"/>
      <c r="D258" s="43"/>
      <c r="E258" s="10"/>
      <c r="F258" s="44"/>
      <c r="G258" s="61"/>
      <c r="H258" s="10"/>
      <c r="I258" s="10"/>
      <c r="J258" s="43"/>
      <c r="K258" s="43"/>
    </row>
    <row r="259" spans="2:11">
      <c r="B259" s="43"/>
      <c r="C259" s="43"/>
      <c r="D259" s="43"/>
      <c r="E259" s="10"/>
      <c r="F259" s="44"/>
      <c r="G259" s="61"/>
      <c r="H259" s="10"/>
      <c r="I259" s="10"/>
      <c r="J259" s="43"/>
      <c r="K259" s="43"/>
    </row>
    <row r="260" spans="2:11">
      <c r="B260" s="43"/>
      <c r="C260" s="43"/>
      <c r="D260" s="43"/>
      <c r="E260" s="10"/>
      <c r="F260" s="44"/>
      <c r="G260" s="61"/>
      <c r="H260" s="10"/>
      <c r="I260" s="10"/>
      <c r="J260" s="43"/>
      <c r="K260" s="43"/>
    </row>
    <row r="261" spans="2:11">
      <c r="B261" s="43"/>
      <c r="C261" s="43"/>
      <c r="D261" s="43"/>
      <c r="E261" s="10"/>
      <c r="F261" s="44"/>
      <c r="G261" s="61"/>
      <c r="H261" s="10"/>
      <c r="I261" s="10"/>
      <c r="J261" s="43"/>
      <c r="K261" s="43"/>
    </row>
    <row r="262" spans="2:11">
      <c r="B262" s="43"/>
      <c r="C262" s="43"/>
      <c r="D262" s="43"/>
      <c r="E262" s="10"/>
      <c r="F262" s="44"/>
      <c r="G262" s="61"/>
      <c r="H262" s="10"/>
      <c r="I262" s="10"/>
      <c r="J262" s="43"/>
      <c r="K262" s="43"/>
    </row>
    <row r="263" spans="2:11">
      <c r="B263" s="43"/>
      <c r="C263" s="43"/>
      <c r="D263" s="43"/>
      <c r="E263" s="10"/>
      <c r="F263" s="44"/>
      <c r="G263" s="61"/>
      <c r="H263" s="10"/>
      <c r="I263" s="10"/>
      <c r="J263" s="43"/>
      <c r="K263" s="43"/>
    </row>
    <row r="264" spans="2:11">
      <c r="B264" s="43"/>
      <c r="C264" s="43"/>
      <c r="D264" s="43"/>
      <c r="E264" s="10"/>
      <c r="F264" s="44"/>
      <c r="G264" s="61"/>
      <c r="H264" s="10"/>
      <c r="I264" s="10"/>
      <c r="J264" s="43"/>
      <c r="K264" s="43"/>
    </row>
    <row r="265" spans="2:11">
      <c r="B265" s="43"/>
      <c r="C265" s="43"/>
      <c r="D265" s="43"/>
      <c r="E265" s="10"/>
      <c r="F265" s="44"/>
      <c r="G265" s="61"/>
      <c r="H265" s="10"/>
      <c r="I265" s="10"/>
      <c r="J265" s="43"/>
      <c r="K265" s="43"/>
    </row>
    <row r="266" spans="2:11">
      <c r="B266" s="43"/>
      <c r="C266" s="43"/>
      <c r="D266" s="43"/>
      <c r="E266" s="10"/>
      <c r="F266" s="44"/>
      <c r="G266" s="61"/>
      <c r="H266" s="10"/>
      <c r="I266" s="10"/>
      <c r="J266" s="43"/>
      <c r="K266" s="43"/>
    </row>
    <row r="267" spans="2:11">
      <c r="B267" s="43"/>
      <c r="C267" s="43"/>
      <c r="D267" s="43"/>
      <c r="E267" s="10"/>
      <c r="F267" s="44"/>
      <c r="G267" s="61"/>
      <c r="H267" s="10"/>
      <c r="I267" s="10"/>
      <c r="J267" s="43"/>
      <c r="K267" s="43"/>
    </row>
    <row r="268" spans="2:11">
      <c r="B268" s="43"/>
      <c r="C268" s="43"/>
      <c r="D268" s="43"/>
      <c r="E268" s="10"/>
      <c r="F268" s="44"/>
      <c r="G268" s="61"/>
      <c r="H268" s="10"/>
      <c r="I268" s="10"/>
      <c r="J268" s="43"/>
      <c r="K268" s="43"/>
    </row>
    <row r="269" spans="2:11">
      <c r="B269" s="43"/>
      <c r="C269" s="43"/>
      <c r="D269" s="43"/>
      <c r="E269" s="10"/>
      <c r="F269" s="44"/>
      <c r="G269" s="61"/>
      <c r="H269" s="10"/>
      <c r="I269" s="10"/>
      <c r="J269" s="43"/>
      <c r="K269" s="43"/>
    </row>
    <row r="270" spans="2:11">
      <c r="B270" s="43"/>
      <c r="C270" s="43"/>
      <c r="D270" s="43"/>
      <c r="E270" s="10"/>
      <c r="F270" s="44"/>
      <c r="G270" s="61"/>
      <c r="H270" s="10"/>
      <c r="I270" s="10"/>
      <c r="J270" s="43"/>
      <c r="K270" s="43"/>
    </row>
    <row r="271" spans="2:11">
      <c r="B271" s="43"/>
      <c r="C271" s="43"/>
      <c r="D271" s="43"/>
      <c r="E271" s="10"/>
      <c r="F271" s="44"/>
      <c r="G271" s="61"/>
      <c r="H271" s="10"/>
      <c r="I271" s="10"/>
      <c r="J271" s="43"/>
      <c r="K271" s="43"/>
    </row>
    <row r="272" spans="2:11">
      <c r="B272" s="43"/>
      <c r="C272" s="43"/>
      <c r="D272" s="43"/>
      <c r="E272" s="10"/>
      <c r="F272" s="44"/>
      <c r="G272" s="61"/>
      <c r="H272" s="10"/>
      <c r="I272" s="10"/>
      <c r="J272" s="43"/>
      <c r="K272" s="43"/>
    </row>
    <row r="273" spans="2:11">
      <c r="B273" s="43"/>
      <c r="C273" s="43"/>
      <c r="D273" s="43"/>
      <c r="E273" s="10"/>
      <c r="F273" s="44"/>
      <c r="G273" s="61"/>
      <c r="H273" s="10"/>
      <c r="I273" s="10"/>
      <c r="J273" s="43"/>
      <c r="K273" s="43"/>
    </row>
    <row r="274" spans="2:11">
      <c r="B274" s="43"/>
      <c r="C274" s="43"/>
      <c r="D274" s="43"/>
      <c r="E274" s="10"/>
      <c r="F274" s="44"/>
      <c r="G274" s="61"/>
      <c r="H274" s="10"/>
      <c r="I274" s="10"/>
      <c r="J274" s="43"/>
      <c r="K274" s="43"/>
    </row>
    <row r="275" spans="2:11">
      <c r="B275" s="43"/>
      <c r="C275" s="43"/>
      <c r="D275" s="43"/>
      <c r="E275" s="10"/>
      <c r="F275" s="44"/>
      <c r="G275" s="61"/>
      <c r="H275" s="10"/>
      <c r="I275" s="10"/>
      <c r="J275" s="43"/>
      <c r="K275" s="43"/>
    </row>
    <row r="276" spans="2:11">
      <c r="B276" s="43"/>
      <c r="C276" s="43"/>
      <c r="D276" s="43"/>
      <c r="E276" s="10"/>
      <c r="F276" s="44"/>
      <c r="G276" s="61"/>
      <c r="H276" s="10"/>
      <c r="I276" s="10"/>
      <c r="J276" s="43"/>
      <c r="K276" s="43"/>
    </row>
    <row r="277" spans="2:11">
      <c r="B277" s="43"/>
      <c r="C277" s="43"/>
      <c r="D277" s="43"/>
      <c r="E277" s="10"/>
      <c r="F277" s="44"/>
      <c r="G277" s="61"/>
      <c r="H277" s="10"/>
      <c r="I277" s="10"/>
      <c r="J277" s="43"/>
      <c r="K277" s="43"/>
    </row>
    <row r="278" spans="2:11">
      <c r="B278" s="43"/>
      <c r="C278" s="43"/>
      <c r="D278" s="43"/>
      <c r="E278" s="10"/>
      <c r="F278" s="44"/>
      <c r="G278" s="61"/>
      <c r="H278" s="10"/>
      <c r="I278" s="10"/>
      <c r="J278" s="43"/>
      <c r="K278" s="43"/>
    </row>
    <row r="279" spans="2:11">
      <c r="B279" s="43"/>
      <c r="C279" s="43"/>
      <c r="D279" s="43"/>
      <c r="E279" s="10"/>
      <c r="F279" s="44"/>
      <c r="G279" s="61"/>
      <c r="H279" s="10"/>
      <c r="I279" s="10"/>
      <c r="J279" s="43"/>
      <c r="K279" s="43"/>
    </row>
    <row r="280" spans="2:11">
      <c r="B280" s="43"/>
      <c r="C280" s="43"/>
      <c r="D280" s="43"/>
      <c r="E280" s="10"/>
      <c r="F280" s="44"/>
      <c r="G280" s="61"/>
      <c r="H280" s="10"/>
      <c r="I280" s="10"/>
      <c r="J280" s="43"/>
      <c r="K280" s="43"/>
    </row>
    <row r="281" spans="2:11">
      <c r="B281" s="43"/>
      <c r="C281" s="43"/>
      <c r="D281" s="43"/>
      <c r="E281" s="10"/>
      <c r="F281" s="44"/>
      <c r="G281" s="61"/>
      <c r="H281" s="10"/>
      <c r="I281" s="10"/>
      <c r="J281" s="43"/>
      <c r="K281" s="43"/>
    </row>
    <row r="282" spans="2:11">
      <c r="B282" s="43"/>
      <c r="C282" s="43"/>
      <c r="D282" s="43"/>
      <c r="E282" s="10"/>
      <c r="F282" s="44"/>
      <c r="G282" s="61"/>
      <c r="H282" s="10"/>
      <c r="I282" s="10"/>
      <c r="J282" s="43"/>
      <c r="K282" s="43"/>
    </row>
    <row r="283" spans="2:11">
      <c r="B283" s="43"/>
      <c r="C283" s="43"/>
      <c r="D283" s="43"/>
      <c r="E283" s="10"/>
      <c r="F283" s="44"/>
      <c r="G283" s="61"/>
      <c r="H283" s="10"/>
      <c r="I283" s="10"/>
      <c r="J283" s="43"/>
      <c r="K283" s="43"/>
    </row>
    <row r="284" spans="2:11">
      <c r="B284" s="43"/>
      <c r="C284" s="43"/>
      <c r="D284" s="43"/>
      <c r="E284" s="10"/>
      <c r="F284" s="44"/>
      <c r="G284" s="61"/>
      <c r="H284" s="10"/>
      <c r="I284" s="10"/>
      <c r="J284" s="43"/>
      <c r="K284" s="43"/>
    </row>
    <row r="285" spans="2:11">
      <c r="B285" s="43"/>
      <c r="C285" s="43"/>
      <c r="D285" s="43"/>
      <c r="E285" s="10"/>
      <c r="F285" s="44"/>
      <c r="G285" s="61"/>
      <c r="H285" s="10"/>
      <c r="I285" s="10"/>
      <c r="J285" s="43"/>
      <c r="K285" s="43"/>
    </row>
    <row r="286" spans="2:11">
      <c r="B286" s="43"/>
      <c r="C286" s="43"/>
      <c r="D286" s="43"/>
      <c r="E286" s="10"/>
      <c r="F286" s="44"/>
      <c r="G286" s="61"/>
      <c r="H286" s="10"/>
      <c r="I286" s="10"/>
      <c r="J286" s="43"/>
      <c r="K286" s="43"/>
    </row>
    <row r="287" spans="2:11">
      <c r="B287" s="43"/>
      <c r="C287" s="43"/>
      <c r="D287" s="43"/>
      <c r="E287" s="10"/>
      <c r="F287" s="44"/>
      <c r="G287" s="61"/>
      <c r="H287" s="10"/>
      <c r="I287" s="10"/>
      <c r="J287" s="43"/>
      <c r="K287" s="43"/>
    </row>
    <row r="288" spans="2:11">
      <c r="B288" s="43"/>
      <c r="C288" s="43"/>
      <c r="D288" s="43"/>
      <c r="E288" s="10"/>
      <c r="F288" s="44"/>
      <c r="G288" s="61"/>
      <c r="H288" s="10"/>
      <c r="I288" s="10"/>
      <c r="J288" s="43"/>
      <c r="K288" s="43"/>
    </row>
    <row r="289" spans="2:11">
      <c r="B289" s="43"/>
      <c r="C289" s="43"/>
      <c r="D289" s="43"/>
      <c r="E289" s="10"/>
      <c r="F289" s="44"/>
      <c r="G289" s="61"/>
      <c r="H289" s="10"/>
      <c r="I289" s="10"/>
      <c r="J289" s="43"/>
      <c r="K289" s="43"/>
    </row>
    <row r="290" spans="2:11">
      <c r="B290" s="43"/>
      <c r="C290" s="43"/>
      <c r="D290" s="43"/>
      <c r="E290" s="10"/>
      <c r="F290" s="44"/>
      <c r="G290" s="61"/>
      <c r="H290" s="10"/>
      <c r="I290" s="10"/>
      <c r="J290" s="43"/>
      <c r="K290" s="43"/>
    </row>
    <row r="291" spans="2:11">
      <c r="B291" s="43"/>
      <c r="C291" s="43"/>
      <c r="D291" s="43"/>
      <c r="E291" s="10"/>
      <c r="F291" s="44"/>
      <c r="G291" s="61"/>
      <c r="H291" s="10"/>
      <c r="I291" s="10"/>
      <c r="J291" s="43"/>
      <c r="K291" s="43"/>
    </row>
    <row r="292" spans="2:11">
      <c r="B292" s="43"/>
      <c r="C292" s="43"/>
      <c r="D292" s="43"/>
      <c r="E292" s="10"/>
      <c r="F292" s="44"/>
      <c r="G292" s="61"/>
      <c r="H292" s="10"/>
      <c r="I292" s="10"/>
      <c r="J292" s="43"/>
      <c r="K292" s="43"/>
    </row>
    <row r="293" spans="2:11">
      <c r="B293" s="43"/>
      <c r="C293" s="43"/>
      <c r="D293" s="43"/>
      <c r="E293" s="10"/>
      <c r="F293" s="44"/>
      <c r="G293" s="61"/>
      <c r="H293" s="10"/>
      <c r="I293" s="10"/>
      <c r="J293" s="43"/>
      <c r="K293" s="43"/>
    </row>
    <row r="294" spans="2:11">
      <c r="B294" s="43"/>
      <c r="C294" s="43"/>
      <c r="D294" s="43"/>
      <c r="E294" s="10"/>
      <c r="F294" s="44"/>
      <c r="G294" s="61"/>
      <c r="H294" s="10"/>
      <c r="I294" s="10"/>
      <c r="J294" s="43"/>
      <c r="K294" s="43"/>
    </row>
    <row r="295" spans="2:11">
      <c r="B295" s="43"/>
      <c r="C295" s="43"/>
      <c r="D295" s="43"/>
      <c r="E295" s="10"/>
      <c r="F295" s="44"/>
      <c r="G295" s="61"/>
      <c r="H295" s="10"/>
      <c r="I295" s="10"/>
      <c r="J295" s="43"/>
      <c r="K295" s="43"/>
    </row>
    <row r="296" spans="2:11">
      <c r="B296" s="43"/>
      <c r="C296" s="43"/>
      <c r="D296" s="43"/>
      <c r="E296" s="10"/>
      <c r="F296" s="44"/>
      <c r="G296" s="61"/>
      <c r="H296" s="10"/>
      <c r="I296" s="10"/>
      <c r="J296" s="43"/>
      <c r="K296" s="43"/>
    </row>
    <row r="297" spans="2:11">
      <c r="B297" s="43"/>
      <c r="C297" s="43"/>
      <c r="D297" s="43"/>
      <c r="E297" s="10"/>
      <c r="F297" s="44"/>
      <c r="G297" s="61"/>
      <c r="H297" s="10"/>
      <c r="I297" s="10"/>
      <c r="J297" s="43"/>
      <c r="K297" s="43"/>
    </row>
    <row r="298" spans="2:11">
      <c r="B298" s="43"/>
      <c r="C298" s="43"/>
      <c r="D298" s="43"/>
      <c r="E298" s="10"/>
      <c r="F298" s="44"/>
      <c r="G298" s="61"/>
      <c r="H298" s="10"/>
      <c r="I298" s="10"/>
      <c r="J298" s="43"/>
      <c r="K298" s="43"/>
    </row>
    <row r="299" spans="2:11">
      <c r="B299" s="43"/>
      <c r="C299" s="43"/>
      <c r="D299" s="43"/>
      <c r="E299" s="10"/>
      <c r="F299" s="44"/>
      <c r="G299" s="61"/>
      <c r="H299" s="10"/>
      <c r="I299" s="10"/>
      <c r="J299" s="43"/>
      <c r="K299" s="43"/>
    </row>
    <row r="300" spans="2:11">
      <c r="B300" s="43"/>
      <c r="C300" s="43"/>
      <c r="D300" s="43"/>
      <c r="E300" s="10"/>
      <c r="F300" s="44"/>
      <c r="G300" s="61"/>
      <c r="H300" s="10"/>
      <c r="I300" s="10"/>
      <c r="J300" s="43"/>
      <c r="K300" s="43"/>
    </row>
    <row r="301" spans="2:11">
      <c r="B301" s="43"/>
      <c r="C301" s="43"/>
      <c r="D301" s="43"/>
      <c r="E301" s="10"/>
      <c r="F301" s="44"/>
      <c r="G301" s="61"/>
      <c r="H301" s="10"/>
      <c r="I301" s="10"/>
      <c r="J301" s="43"/>
      <c r="K301" s="43"/>
    </row>
    <row r="302" spans="2:11">
      <c r="B302" s="43"/>
      <c r="C302" s="43"/>
      <c r="D302" s="43"/>
      <c r="E302" s="10"/>
      <c r="F302" s="44"/>
      <c r="G302" s="61"/>
      <c r="H302" s="10"/>
      <c r="I302" s="10"/>
      <c r="J302" s="43"/>
      <c r="K302" s="43"/>
    </row>
    <row r="303" spans="2:11">
      <c r="B303" s="43"/>
      <c r="C303" s="43"/>
      <c r="D303" s="43"/>
      <c r="E303" s="10"/>
      <c r="F303" s="44"/>
      <c r="G303" s="61"/>
      <c r="H303" s="10"/>
      <c r="I303" s="10"/>
      <c r="J303" s="43"/>
      <c r="K303" s="43"/>
    </row>
    <row r="304" spans="2:11">
      <c r="B304" s="43"/>
      <c r="C304" s="43"/>
      <c r="D304" s="43"/>
      <c r="E304" s="10"/>
      <c r="F304" s="44"/>
      <c r="G304" s="61"/>
      <c r="H304" s="10"/>
      <c r="I304" s="10"/>
      <c r="J304" s="43"/>
      <c r="K304" s="43"/>
    </row>
    <row r="305" spans="2:11">
      <c r="B305" s="43"/>
      <c r="C305" s="43"/>
      <c r="D305" s="43"/>
      <c r="E305" s="10"/>
      <c r="F305" s="44"/>
      <c r="G305" s="61"/>
      <c r="H305" s="10"/>
      <c r="I305" s="10"/>
      <c r="J305" s="43"/>
      <c r="K305" s="43"/>
    </row>
    <row r="306" spans="2:11">
      <c r="B306" s="43"/>
      <c r="C306" s="43"/>
      <c r="D306" s="43"/>
      <c r="E306" s="10"/>
      <c r="F306" s="44"/>
      <c r="G306" s="61"/>
      <c r="H306" s="10"/>
      <c r="I306" s="10"/>
      <c r="J306" s="43"/>
      <c r="K306" s="43"/>
    </row>
    <row r="307" spans="2:11">
      <c r="B307" s="43"/>
      <c r="C307" s="43"/>
      <c r="D307" s="43"/>
      <c r="E307" s="10"/>
      <c r="F307" s="44"/>
      <c r="G307" s="61"/>
      <c r="H307" s="10"/>
      <c r="I307" s="10"/>
      <c r="J307" s="43"/>
      <c r="K307" s="43"/>
    </row>
    <row r="308" spans="2:11">
      <c r="B308" s="43"/>
      <c r="C308" s="43"/>
      <c r="D308" s="43"/>
      <c r="E308" s="10"/>
      <c r="F308" s="44"/>
      <c r="G308" s="61"/>
      <c r="H308" s="10"/>
      <c r="I308" s="10"/>
      <c r="J308" s="43"/>
      <c r="K308" s="43"/>
    </row>
    <row r="309" spans="2:11">
      <c r="B309" s="43"/>
      <c r="C309" s="43"/>
      <c r="D309" s="43"/>
      <c r="E309" s="10"/>
      <c r="F309" s="44"/>
      <c r="G309" s="61"/>
      <c r="H309" s="10"/>
      <c r="I309" s="10"/>
      <c r="J309" s="43"/>
      <c r="K309" s="43"/>
    </row>
    <row r="310" spans="2:11">
      <c r="B310" s="43"/>
      <c r="C310" s="43"/>
      <c r="D310" s="43"/>
      <c r="E310" s="10"/>
      <c r="F310" s="44"/>
      <c r="G310" s="61"/>
      <c r="H310" s="10"/>
      <c r="I310" s="10"/>
      <c r="J310" s="43"/>
      <c r="K310" s="43"/>
    </row>
    <row r="311" spans="2:11">
      <c r="B311" s="43"/>
      <c r="C311" s="43"/>
      <c r="D311" s="43"/>
      <c r="E311" s="10"/>
      <c r="F311" s="44"/>
      <c r="G311" s="61"/>
      <c r="H311" s="10"/>
      <c r="I311" s="10"/>
      <c r="J311" s="43"/>
      <c r="K311" s="43"/>
    </row>
    <row r="312" spans="2:11">
      <c r="B312" s="43"/>
      <c r="C312" s="43"/>
      <c r="D312" s="43"/>
      <c r="E312" s="10"/>
      <c r="F312" s="44"/>
      <c r="G312" s="61"/>
      <c r="H312" s="10"/>
      <c r="I312" s="10"/>
      <c r="J312" s="43"/>
      <c r="K312" s="43"/>
    </row>
    <row r="313" spans="2:11">
      <c r="B313" s="43"/>
      <c r="C313" s="43"/>
      <c r="D313" s="43"/>
      <c r="E313" s="10"/>
      <c r="F313" s="44"/>
      <c r="G313" s="61"/>
      <c r="H313" s="10"/>
      <c r="I313" s="10"/>
      <c r="J313" s="43"/>
      <c r="K313" s="43"/>
    </row>
    <row r="314" spans="2:11">
      <c r="B314" s="43"/>
      <c r="C314" s="43"/>
      <c r="D314" s="43"/>
      <c r="E314" s="10"/>
      <c r="F314" s="44"/>
      <c r="G314" s="61"/>
      <c r="H314" s="10"/>
      <c r="I314" s="10"/>
      <c r="J314" s="43"/>
      <c r="K314" s="43"/>
    </row>
    <row r="315" spans="2:11">
      <c r="B315" s="43"/>
      <c r="C315" s="43"/>
      <c r="D315" s="43"/>
      <c r="E315" s="10"/>
      <c r="F315" s="44"/>
      <c r="G315" s="61"/>
      <c r="H315" s="10"/>
      <c r="I315" s="10"/>
      <c r="J315" s="43"/>
      <c r="K315" s="43"/>
    </row>
    <row r="316" spans="2:11">
      <c r="B316" s="43"/>
      <c r="C316" s="43"/>
      <c r="D316" s="43"/>
      <c r="E316" s="10"/>
      <c r="F316" s="44"/>
      <c r="G316" s="61"/>
      <c r="H316" s="10"/>
      <c r="I316" s="10"/>
      <c r="J316" s="43"/>
      <c r="K316" s="43"/>
    </row>
    <row r="317" spans="2:11">
      <c r="B317" s="43"/>
      <c r="C317" s="43"/>
      <c r="D317" s="43"/>
      <c r="E317" s="10"/>
      <c r="F317" s="44"/>
      <c r="G317" s="61"/>
      <c r="H317" s="10"/>
      <c r="I317" s="10"/>
      <c r="J317" s="43"/>
      <c r="K317" s="43"/>
    </row>
    <row r="318" spans="2:11">
      <c r="B318" s="43"/>
      <c r="C318" s="43"/>
      <c r="D318" s="43"/>
      <c r="E318" s="10"/>
      <c r="F318" s="44"/>
      <c r="G318" s="61"/>
      <c r="H318" s="10"/>
      <c r="I318" s="10"/>
      <c r="J318" s="43"/>
      <c r="K318" s="43"/>
    </row>
    <row r="319" spans="2:11">
      <c r="B319" s="43"/>
      <c r="C319" s="43"/>
      <c r="D319" s="43"/>
      <c r="E319" s="10"/>
      <c r="F319" s="44"/>
      <c r="G319" s="61"/>
      <c r="H319" s="10"/>
      <c r="I319" s="10"/>
      <c r="J319" s="43"/>
      <c r="K319" s="43"/>
    </row>
    <row r="320" spans="2:11">
      <c r="B320" s="43"/>
      <c r="C320" s="43"/>
      <c r="D320" s="43"/>
      <c r="E320" s="10"/>
      <c r="F320" s="44"/>
      <c r="G320" s="61"/>
      <c r="H320" s="10"/>
      <c r="I320" s="10"/>
      <c r="J320" s="43"/>
      <c r="K320" s="43"/>
    </row>
    <row r="321" spans="2:11">
      <c r="B321" s="43"/>
      <c r="C321" s="43"/>
      <c r="D321" s="43"/>
      <c r="E321" s="10"/>
      <c r="F321" s="44"/>
      <c r="G321" s="61"/>
      <c r="H321" s="10"/>
      <c r="I321" s="10"/>
      <c r="J321" s="43"/>
      <c r="K321" s="43"/>
    </row>
    <row r="322" spans="2:11">
      <c r="B322" s="43"/>
      <c r="C322" s="43"/>
      <c r="D322" s="43"/>
      <c r="E322" s="10"/>
      <c r="F322" s="44"/>
      <c r="G322" s="61"/>
      <c r="H322" s="10"/>
      <c r="I322" s="10"/>
      <c r="J322" s="43"/>
      <c r="K322" s="43"/>
    </row>
    <row r="323" spans="2:11">
      <c r="B323" s="43"/>
      <c r="C323" s="43"/>
      <c r="D323" s="43"/>
      <c r="E323" s="10"/>
      <c r="F323" s="44"/>
      <c r="G323" s="61"/>
      <c r="H323" s="10"/>
      <c r="I323" s="10"/>
      <c r="J323" s="43"/>
      <c r="K323" s="43"/>
    </row>
    <row r="324" spans="2:11">
      <c r="B324" s="43"/>
      <c r="C324" s="43"/>
      <c r="D324" s="43"/>
      <c r="E324" s="10"/>
      <c r="F324" s="44"/>
      <c r="G324" s="61"/>
      <c r="H324" s="10"/>
      <c r="I324" s="10"/>
      <c r="J324" s="43"/>
      <c r="K324" s="43"/>
    </row>
    <row r="325" spans="2:11">
      <c r="B325" s="43"/>
      <c r="C325" s="43"/>
      <c r="D325" s="43"/>
      <c r="E325" s="10"/>
      <c r="F325" s="44"/>
      <c r="G325" s="61"/>
      <c r="H325" s="10"/>
      <c r="I325" s="10"/>
      <c r="J325" s="43"/>
      <c r="K325" s="43"/>
    </row>
    <row r="326" spans="2:11">
      <c r="B326" s="43"/>
      <c r="C326" s="43"/>
      <c r="D326" s="43"/>
      <c r="E326" s="10"/>
      <c r="F326" s="44"/>
      <c r="G326" s="61"/>
      <c r="H326" s="10"/>
      <c r="I326" s="10"/>
      <c r="J326" s="43"/>
      <c r="K326" s="43"/>
    </row>
    <row r="327" spans="2:11">
      <c r="B327" s="43"/>
      <c r="C327" s="43"/>
      <c r="D327" s="43"/>
      <c r="E327" s="10"/>
      <c r="F327" s="44"/>
      <c r="G327" s="61"/>
      <c r="H327" s="10"/>
      <c r="I327" s="10"/>
      <c r="J327" s="43"/>
      <c r="K327" s="43"/>
    </row>
    <row r="328" spans="2:11">
      <c r="B328" s="43"/>
      <c r="C328" s="43"/>
      <c r="D328" s="43"/>
      <c r="E328" s="10"/>
      <c r="F328" s="44"/>
      <c r="G328" s="61"/>
      <c r="H328" s="10"/>
      <c r="I328" s="10"/>
      <c r="J328" s="43"/>
      <c r="K328" s="43"/>
    </row>
    <row r="329" spans="2:11">
      <c r="B329" s="43"/>
      <c r="C329" s="43"/>
      <c r="D329" s="43"/>
      <c r="E329" s="10"/>
      <c r="F329" s="44"/>
      <c r="G329" s="61"/>
      <c r="H329" s="10"/>
      <c r="I329" s="10"/>
      <c r="J329" s="43"/>
      <c r="K329" s="43"/>
    </row>
    <row r="330" spans="2:11">
      <c r="B330" s="43"/>
      <c r="C330" s="43"/>
      <c r="D330" s="43"/>
      <c r="E330" s="10"/>
      <c r="F330" s="44"/>
      <c r="G330" s="61"/>
      <c r="H330" s="10"/>
      <c r="I330" s="10"/>
      <c r="J330" s="43"/>
      <c r="K330" s="43"/>
    </row>
    <row r="331" spans="2:11">
      <c r="B331" s="43"/>
      <c r="C331" s="43"/>
      <c r="D331" s="43"/>
      <c r="E331" s="10"/>
      <c r="F331" s="44"/>
      <c r="G331" s="61"/>
      <c r="H331" s="10"/>
      <c r="I331" s="10"/>
      <c r="J331" s="43"/>
      <c r="K331" s="43"/>
    </row>
    <row r="332" spans="2:11">
      <c r="B332" s="43"/>
      <c r="C332" s="43"/>
      <c r="D332" s="43"/>
      <c r="E332" s="10"/>
      <c r="F332" s="44"/>
      <c r="G332" s="61"/>
      <c r="H332" s="10"/>
      <c r="I332" s="10"/>
      <c r="J332" s="43"/>
      <c r="K332" s="43"/>
    </row>
    <row r="333" spans="2:11">
      <c r="B333" s="43"/>
      <c r="C333" s="43"/>
      <c r="D333" s="43"/>
      <c r="E333" s="10"/>
      <c r="F333" s="44"/>
      <c r="G333" s="61"/>
      <c r="H333" s="10"/>
      <c r="I333" s="10"/>
      <c r="J333" s="43"/>
      <c r="K333" s="43"/>
    </row>
    <row r="334" spans="2:11">
      <c r="B334" s="43"/>
      <c r="C334" s="43"/>
      <c r="D334" s="43"/>
      <c r="E334" s="10"/>
      <c r="F334" s="44"/>
      <c r="G334" s="61"/>
      <c r="H334" s="10"/>
      <c r="I334" s="10"/>
      <c r="J334" s="43"/>
      <c r="K334" s="43"/>
    </row>
    <row r="335" spans="2:11">
      <c r="B335" s="43"/>
      <c r="C335" s="43"/>
      <c r="D335" s="43"/>
      <c r="E335" s="10"/>
      <c r="F335" s="44"/>
      <c r="G335" s="61"/>
      <c r="H335" s="10"/>
      <c r="I335" s="10"/>
      <c r="J335" s="43"/>
      <c r="K335" s="43"/>
    </row>
    <row r="336" spans="2:11">
      <c r="B336" s="43"/>
      <c r="C336" s="43"/>
      <c r="D336" s="43"/>
      <c r="E336" s="10"/>
      <c r="F336" s="44"/>
      <c r="G336" s="61"/>
      <c r="H336" s="10"/>
      <c r="I336" s="10"/>
      <c r="J336" s="43"/>
      <c r="K336" s="43"/>
    </row>
    <row r="337" spans="2:11">
      <c r="B337" s="43"/>
      <c r="C337" s="43"/>
      <c r="D337" s="43"/>
      <c r="E337" s="10"/>
      <c r="F337" s="44"/>
      <c r="G337" s="61"/>
      <c r="H337" s="10"/>
      <c r="I337" s="10"/>
      <c r="J337" s="43"/>
      <c r="K337" s="43"/>
    </row>
    <row r="338" spans="2:11">
      <c r="B338" s="43"/>
      <c r="C338" s="43"/>
      <c r="D338" s="43"/>
      <c r="E338" s="10"/>
      <c r="F338" s="44"/>
      <c r="G338" s="61"/>
      <c r="H338" s="10"/>
      <c r="I338" s="10"/>
      <c r="J338" s="43"/>
      <c r="K338" s="43"/>
    </row>
    <row r="339" spans="2:11">
      <c r="B339" s="43"/>
      <c r="C339" s="43"/>
      <c r="D339" s="43"/>
      <c r="E339" s="10"/>
      <c r="F339" s="44"/>
      <c r="G339" s="61"/>
      <c r="H339" s="10"/>
      <c r="I339" s="10"/>
      <c r="J339" s="43"/>
      <c r="K339" s="43"/>
    </row>
    <row r="340" spans="2:11">
      <c r="B340" s="43"/>
      <c r="C340" s="43"/>
      <c r="D340" s="43"/>
      <c r="E340" s="10"/>
      <c r="F340" s="44"/>
      <c r="G340" s="61"/>
      <c r="H340" s="10"/>
      <c r="I340" s="10"/>
      <c r="J340" s="43"/>
      <c r="K340" s="43"/>
    </row>
    <row r="341" spans="2:11">
      <c r="B341" s="43"/>
      <c r="C341" s="43"/>
      <c r="D341" s="43"/>
      <c r="E341" s="10"/>
      <c r="F341" s="44"/>
      <c r="G341" s="61"/>
      <c r="H341" s="10"/>
      <c r="I341" s="10"/>
      <c r="J341" s="43"/>
      <c r="K341" s="43"/>
    </row>
    <row r="342" spans="2:11">
      <c r="B342" s="43"/>
      <c r="C342" s="43"/>
      <c r="D342" s="43"/>
      <c r="E342" s="10"/>
      <c r="F342" s="44"/>
      <c r="G342" s="61"/>
      <c r="H342" s="10"/>
      <c r="I342" s="10"/>
      <c r="J342" s="43"/>
      <c r="K342" s="43"/>
    </row>
    <row r="343" spans="2:11">
      <c r="B343" s="43"/>
      <c r="C343" s="43"/>
      <c r="D343" s="43"/>
      <c r="E343" s="10"/>
      <c r="F343" s="44"/>
      <c r="G343" s="61"/>
      <c r="H343" s="10"/>
      <c r="I343" s="10"/>
      <c r="J343" s="43"/>
      <c r="K343" s="43"/>
    </row>
    <row r="344" spans="2:11">
      <c r="B344" s="43"/>
      <c r="C344" s="43"/>
      <c r="D344" s="43"/>
      <c r="E344" s="10"/>
      <c r="F344" s="44"/>
      <c r="G344" s="61"/>
      <c r="H344" s="10"/>
      <c r="I344" s="10"/>
      <c r="J344" s="43"/>
      <c r="K344" s="43"/>
    </row>
    <row r="345" spans="2:11">
      <c r="B345" s="43"/>
      <c r="C345" s="43"/>
      <c r="D345" s="43"/>
      <c r="E345" s="10"/>
      <c r="F345" s="44"/>
      <c r="G345" s="61"/>
      <c r="H345" s="10"/>
      <c r="I345" s="10"/>
      <c r="J345" s="43"/>
      <c r="K345" s="43"/>
    </row>
    <row r="346" spans="2:11">
      <c r="B346" s="43"/>
      <c r="C346" s="43"/>
      <c r="D346" s="43"/>
      <c r="E346" s="10"/>
      <c r="F346" s="44"/>
      <c r="G346" s="61"/>
      <c r="H346" s="10"/>
      <c r="I346" s="10"/>
      <c r="J346" s="43"/>
      <c r="K346" s="43"/>
    </row>
    <row r="347" spans="2:11">
      <c r="B347" s="43"/>
      <c r="C347" s="43"/>
      <c r="D347" s="43"/>
      <c r="E347" s="10"/>
      <c r="F347" s="44"/>
      <c r="G347" s="61"/>
      <c r="H347" s="10"/>
      <c r="I347" s="10"/>
      <c r="J347" s="43"/>
      <c r="K347" s="43"/>
    </row>
    <row r="348" spans="2:11">
      <c r="B348" s="43"/>
      <c r="C348" s="43"/>
      <c r="D348" s="43"/>
      <c r="E348" s="10"/>
      <c r="F348" s="44"/>
      <c r="G348" s="61"/>
      <c r="H348" s="10"/>
      <c r="I348" s="10"/>
      <c r="J348" s="43"/>
      <c r="K348" s="43"/>
    </row>
    <row r="349" spans="2:11">
      <c r="B349" s="43"/>
      <c r="C349" s="43"/>
      <c r="D349" s="43"/>
      <c r="E349" s="10"/>
      <c r="F349" s="44"/>
      <c r="G349" s="61"/>
      <c r="H349" s="10"/>
      <c r="I349" s="10"/>
      <c r="J349" s="43"/>
      <c r="K349" s="43"/>
    </row>
    <row r="350" spans="2:11">
      <c r="B350" s="43"/>
      <c r="C350" s="43"/>
      <c r="D350" s="43"/>
      <c r="E350" s="10"/>
      <c r="F350" s="44"/>
      <c r="G350" s="61"/>
      <c r="H350" s="10"/>
      <c r="I350" s="10"/>
      <c r="J350" s="43"/>
      <c r="K350" s="43"/>
    </row>
    <row r="351" spans="2:11">
      <c r="B351" s="43"/>
      <c r="C351" s="43"/>
      <c r="D351" s="43"/>
      <c r="E351" s="10"/>
      <c r="F351" s="44"/>
      <c r="G351" s="61"/>
      <c r="H351" s="10"/>
      <c r="I351" s="10"/>
      <c r="J351" s="43"/>
      <c r="K351" s="43"/>
    </row>
    <row r="352" spans="2:11">
      <c r="B352" s="43"/>
      <c r="C352" s="43"/>
      <c r="D352" s="43"/>
      <c r="E352" s="10"/>
      <c r="F352" s="44"/>
      <c r="G352" s="61"/>
      <c r="H352" s="10"/>
      <c r="I352" s="10"/>
      <c r="J352" s="43"/>
      <c r="K352" s="43"/>
    </row>
    <row r="353" spans="2:11">
      <c r="B353" s="43"/>
      <c r="C353" s="43"/>
      <c r="D353" s="43"/>
      <c r="E353" s="10"/>
      <c r="F353" s="44"/>
      <c r="G353" s="61"/>
      <c r="H353" s="10"/>
      <c r="I353" s="10"/>
      <c r="J353" s="43"/>
      <c r="K353" s="43"/>
    </row>
    <row r="354" spans="2:11">
      <c r="B354" s="43"/>
      <c r="C354" s="43"/>
      <c r="D354" s="43"/>
      <c r="E354" s="10"/>
      <c r="F354" s="44"/>
      <c r="G354" s="61"/>
      <c r="H354" s="10"/>
      <c r="I354" s="10"/>
      <c r="J354" s="43"/>
      <c r="K354" s="43"/>
    </row>
    <row r="355" spans="2:11">
      <c r="B355" s="43"/>
      <c r="C355" s="43"/>
      <c r="D355" s="43"/>
      <c r="E355" s="10"/>
      <c r="F355" s="44"/>
      <c r="G355" s="61"/>
      <c r="H355" s="10"/>
      <c r="I355" s="10"/>
      <c r="J355" s="43"/>
      <c r="K355" s="43"/>
    </row>
    <row r="356" spans="2:11">
      <c r="B356" s="43"/>
      <c r="C356" s="43"/>
      <c r="D356" s="43"/>
      <c r="E356" s="10"/>
      <c r="F356" s="44"/>
      <c r="G356" s="61"/>
      <c r="H356" s="10"/>
      <c r="I356" s="10"/>
      <c r="J356" s="43"/>
      <c r="K356" s="43"/>
    </row>
    <row r="357" spans="2:11">
      <c r="B357" s="43"/>
      <c r="C357" s="43"/>
      <c r="D357" s="43"/>
      <c r="E357" s="10"/>
      <c r="F357" s="44"/>
      <c r="G357" s="61"/>
      <c r="H357" s="10"/>
      <c r="I357" s="10"/>
      <c r="J357" s="43"/>
      <c r="K357" s="43"/>
    </row>
    <row r="358" spans="2:11">
      <c r="B358" s="43"/>
      <c r="C358" s="43"/>
      <c r="D358" s="43"/>
      <c r="E358" s="10"/>
      <c r="F358" s="44"/>
      <c r="G358" s="61"/>
      <c r="H358" s="10"/>
      <c r="I358" s="10"/>
      <c r="J358" s="43"/>
      <c r="K358" s="43"/>
    </row>
    <row r="359" spans="2:11">
      <c r="B359" s="43"/>
      <c r="C359" s="43"/>
      <c r="D359" s="43"/>
      <c r="E359" s="10"/>
      <c r="F359" s="44"/>
      <c r="G359" s="61"/>
      <c r="H359" s="10"/>
      <c r="I359" s="10"/>
      <c r="J359" s="43"/>
      <c r="K359" s="43"/>
    </row>
    <row r="360" spans="2:11">
      <c r="B360" s="43"/>
      <c r="C360" s="43"/>
      <c r="D360" s="43"/>
      <c r="E360" s="10"/>
      <c r="F360" s="44"/>
      <c r="G360" s="61"/>
      <c r="H360" s="10"/>
      <c r="I360" s="10"/>
      <c r="J360" s="43"/>
      <c r="K360" s="43"/>
    </row>
    <row r="361" spans="2:11">
      <c r="B361" s="43"/>
      <c r="C361" s="43"/>
      <c r="D361" s="43"/>
      <c r="E361" s="10"/>
      <c r="F361" s="44"/>
      <c r="G361" s="61"/>
      <c r="H361" s="10"/>
      <c r="I361" s="10"/>
      <c r="J361" s="43"/>
      <c r="K361" s="43"/>
    </row>
    <row r="362" spans="2:11">
      <c r="B362" s="43"/>
      <c r="C362" s="43"/>
      <c r="D362" s="43"/>
      <c r="E362" s="10"/>
      <c r="F362" s="44"/>
      <c r="G362" s="61"/>
      <c r="H362" s="10"/>
      <c r="I362" s="10"/>
      <c r="J362" s="43"/>
      <c r="K362" s="43"/>
    </row>
    <row r="363" spans="2:11">
      <c r="B363" s="43"/>
      <c r="C363" s="43"/>
      <c r="D363" s="43"/>
      <c r="E363" s="10"/>
      <c r="F363" s="44"/>
      <c r="G363" s="61"/>
      <c r="H363" s="10"/>
      <c r="I363" s="10"/>
      <c r="J363" s="43"/>
      <c r="K363" s="43"/>
    </row>
    <row r="364" spans="2:11">
      <c r="B364" s="43"/>
      <c r="C364" s="43"/>
      <c r="D364" s="43"/>
      <c r="E364" s="10"/>
      <c r="F364" s="44"/>
      <c r="G364" s="61"/>
      <c r="H364" s="10"/>
      <c r="I364" s="10"/>
      <c r="J364" s="43"/>
      <c r="K364" s="43"/>
    </row>
    <row r="365" spans="2:11">
      <c r="B365" s="43"/>
      <c r="C365" s="43"/>
      <c r="D365" s="43"/>
      <c r="E365" s="10"/>
      <c r="F365" s="44"/>
      <c r="G365" s="61"/>
      <c r="H365" s="10"/>
      <c r="I365" s="10"/>
      <c r="J365" s="43"/>
      <c r="K365" s="43"/>
    </row>
    <row r="366" spans="2:11">
      <c r="B366" s="43"/>
      <c r="C366" s="43"/>
      <c r="D366" s="43"/>
      <c r="E366" s="10"/>
      <c r="F366" s="44"/>
      <c r="G366" s="61"/>
      <c r="H366" s="10"/>
      <c r="I366" s="10"/>
      <c r="J366" s="43"/>
      <c r="K366" s="43"/>
    </row>
    <row r="367" spans="2:11">
      <c r="B367" s="43"/>
      <c r="C367" s="43"/>
      <c r="D367" s="43"/>
      <c r="E367" s="10"/>
      <c r="F367" s="44"/>
      <c r="G367" s="61"/>
      <c r="H367" s="10"/>
      <c r="I367" s="10"/>
      <c r="J367" s="43"/>
      <c r="K367" s="43"/>
    </row>
    <row r="368" spans="2:11">
      <c r="B368" s="43"/>
      <c r="C368" s="43"/>
      <c r="D368" s="43"/>
      <c r="E368" s="10"/>
      <c r="F368" s="44"/>
      <c r="G368" s="61"/>
      <c r="H368" s="10"/>
      <c r="I368" s="10"/>
      <c r="J368" s="43"/>
      <c r="K368" s="43"/>
    </row>
  </sheetData>
  <conditionalFormatting sqref="E1:E1048576">
    <cfRule type="cellIs" dxfId="57" priority="5" operator="equal">
      <formula>"WIP"</formula>
    </cfRule>
    <cfRule type="cellIs" dxfId="56" priority="6" operator="equal">
      <formula>"Closed"</formula>
    </cfRule>
  </conditionalFormatting>
  <conditionalFormatting sqref="I1:I1048576">
    <cfRule type="cellIs" dxfId="55" priority="1" operator="equal">
      <formula>"Low"</formula>
    </cfRule>
    <cfRule type="cellIs" dxfId="54" priority="2" operator="equal">
      <formula>"Medium"</formula>
    </cfRule>
    <cfRule type="cellIs" dxfId="53" priority="3" operator="equal">
      <formula>"High"</formula>
    </cfRule>
    <cfRule type="cellIs" dxfId="52" priority="4" operator="equal">
      <formula>"Critical"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400-000000000000}">
          <x14:formula1>
            <xm:f>Config!$H$7:$H$26</xm:f>
          </x14:formula1>
          <xm:sqref>H790:H1048576</xm:sqref>
        </x14:dataValidation>
        <x14:dataValidation type="list" allowBlank="1" showInputMessage="1" showErrorMessage="1" xr:uid="{00000000-0002-0000-0400-000001000000}">
          <x14:formula1>
            <xm:f>Config!$I$7:$I$26</xm:f>
          </x14:formula1>
          <xm:sqref>I1013:I1048576</xm:sqref>
        </x14:dataValidation>
        <x14:dataValidation type="list" allowBlank="1" showInputMessage="1" showErrorMessage="1" xr:uid="{00000000-0002-0000-0400-000002000000}">
          <x14:formula1>
            <xm:f>Config!$H$7:$H$11</xm:f>
          </x14:formula1>
          <xm:sqref>H7:H789</xm:sqref>
        </x14:dataValidation>
        <x14:dataValidation type="list" allowBlank="1" showInputMessage="1" showErrorMessage="1" xr:uid="{00000000-0002-0000-0400-000003000000}">
          <x14:formula1>
            <xm:f>Config!$I$7:$I$11</xm:f>
          </x14:formula1>
          <xm:sqref>I7:I1012</xm:sqref>
        </x14:dataValidation>
        <x14:dataValidation type="list" allowBlank="1" showInputMessage="1" showErrorMessage="1" xr:uid="{00000000-0002-0000-0400-000004000000}">
          <x14:formula1>
            <xm:f>Config!$G$7:$G$11</xm:f>
          </x14:formula1>
          <xm:sqref>E7:E1048576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L13"/>
  <sheetViews>
    <sheetView workbookViewId="0">
      <selection activeCell="K12" sqref="K12"/>
    </sheetView>
  </sheetViews>
  <sheetFormatPr defaultRowHeight="14.45"/>
  <cols>
    <col min="1" max="1" width="3.7109375" customWidth="1"/>
    <col min="2" max="2" width="5.28515625" customWidth="1"/>
    <col min="3" max="3" width="28.85546875" customWidth="1"/>
    <col min="4" max="4" width="48.5703125" customWidth="1"/>
    <col min="5" max="5" width="10.85546875" customWidth="1"/>
    <col min="6" max="6" width="10.5703125" customWidth="1"/>
    <col min="7" max="7" width="8.28515625" customWidth="1"/>
    <col min="11" max="11" width="45.85546875" customWidth="1"/>
  </cols>
  <sheetData>
    <row r="1" spans="1:12">
      <c r="A1" s="98"/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</row>
    <row r="2" spans="1:12">
      <c r="A2" s="98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</row>
    <row r="3" spans="1:12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</row>
    <row r="4" spans="1:12">
      <c r="A4" s="98"/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</row>
    <row r="5" spans="1:12">
      <c r="A5" s="98"/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</row>
    <row r="6" spans="1:12" ht="25.5" customHeight="1">
      <c r="A6" s="98"/>
      <c r="B6" s="23" t="s">
        <v>11</v>
      </c>
      <c r="C6" s="23" t="s">
        <v>145</v>
      </c>
      <c r="D6" s="23" t="s">
        <v>146</v>
      </c>
      <c r="E6" s="28" t="s">
        <v>147</v>
      </c>
      <c r="F6" s="28" t="s">
        <v>148</v>
      </c>
      <c r="G6" s="22" t="s">
        <v>149</v>
      </c>
      <c r="H6" s="24" t="s">
        <v>150</v>
      </c>
      <c r="I6" s="24" t="s">
        <v>151</v>
      </c>
      <c r="J6" s="24" t="s">
        <v>19</v>
      </c>
      <c r="K6" s="25" t="s">
        <v>152</v>
      </c>
      <c r="L6" s="98"/>
    </row>
    <row r="7" spans="1:12" ht="24.95">
      <c r="A7" s="98"/>
      <c r="B7" s="120">
        <v>1</v>
      </c>
      <c r="C7" s="121" t="s">
        <v>153</v>
      </c>
      <c r="D7" s="122" t="s">
        <v>154</v>
      </c>
      <c r="E7" s="141" t="s">
        <v>155</v>
      </c>
      <c r="F7" s="124" t="s">
        <v>156</v>
      </c>
      <c r="G7" s="124" t="s">
        <v>157</v>
      </c>
      <c r="H7" s="120" t="s">
        <v>144</v>
      </c>
      <c r="I7" s="120" t="s">
        <v>126</v>
      </c>
      <c r="J7" s="120" t="s">
        <v>123</v>
      </c>
      <c r="K7" s="125" t="s">
        <v>158</v>
      </c>
      <c r="L7" s="98"/>
    </row>
    <row r="8" spans="1:12">
      <c r="A8" s="98"/>
      <c r="B8" s="120">
        <v>2</v>
      </c>
      <c r="C8" s="121" t="s">
        <v>159</v>
      </c>
      <c r="D8" s="122" t="s">
        <v>160</v>
      </c>
      <c r="E8" s="123">
        <v>43893</v>
      </c>
      <c r="F8" s="124" t="s">
        <v>161</v>
      </c>
      <c r="G8" s="124" t="s">
        <v>162</v>
      </c>
      <c r="H8" s="120" t="s">
        <v>138</v>
      </c>
      <c r="I8" s="120" t="s">
        <v>163</v>
      </c>
      <c r="J8" s="120" t="s">
        <v>130</v>
      </c>
      <c r="K8" s="125" t="s">
        <v>164</v>
      </c>
      <c r="L8" s="98"/>
    </row>
    <row r="9" spans="1:12" ht="37.5">
      <c r="A9" s="98"/>
      <c r="B9" s="120">
        <v>3</v>
      </c>
      <c r="C9" s="121" t="s">
        <v>165</v>
      </c>
      <c r="D9" s="122" t="s">
        <v>166</v>
      </c>
      <c r="E9" s="123" t="s">
        <v>167</v>
      </c>
      <c r="F9" s="124" t="s">
        <v>168</v>
      </c>
      <c r="G9" s="124" t="s">
        <v>169</v>
      </c>
      <c r="H9" s="120" t="s">
        <v>126</v>
      </c>
      <c r="I9" s="120" t="s">
        <v>126</v>
      </c>
      <c r="J9" s="120" t="s">
        <v>130</v>
      </c>
      <c r="K9" s="126"/>
      <c r="L9" s="98"/>
    </row>
    <row r="10" spans="1:12" ht="24.95">
      <c r="A10" s="98"/>
      <c r="B10" s="120">
        <v>4</v>
      </c>
      <c r="C10" s="121" t="s">
        <v>170</v>
      </c>
      <c r="D10" s="122" t="s">
        <v>171</v>
      </c>
      <c r="E10" s="123">
        <v>43834</v>
      </c>
      <c r="F10" s="124" t="s">
        <v>110</v>
      </c>
      <c r="G10" s="124" t="s">
        <v>157</v>
      </c>
      <c r="H10" s="120" t="s">
        <v>172</v>
      </c>
      <c r="I10" s="120" t="s">
        <v>138</v>
      </c>
      <c r="J10" s="120" t="s">
        <v>173</v>
      </c>
      <c r="K10" s="125" t="s">
        <v>174</v>
      </c>
      <c r="L10" s="98"/>
    </row>
    <row r="11" spans="1:12">
      <c r="A11" s="98"/>
      <c r="B11" s="127">
        <v>5</v>
      </c>
      <c r="C11" s="128" t="s">
        <v>175</v>
      </c>
      <c r="D11" s="122" t="s">
        <v>176</v>
      </c>
      <c r="E11" s="123">
        <v>43835</v>
      </c>
      <c r="F11" s="124" t="s">
        <v>156</v>
      </c>
      <c r="G11" s="124" t="s">
        <v>177</v>
      </c>
      <c r="H11" s="120" t="s">
        <v>172</v>
      </c>
      <c r="I11" s="120" t="s">
        <v>144</v>
      </c>
      <c r="J11" s="120" t="s">
        <v>130</v>
      </c>
      <c r="K11" s="125" t="s">
        <v>178</v>
      </c>
      <c r="L11" s="98"/>
    </row>
    <row r="12" spans="1:12">
      <c r="A12" s="98"/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</row>
    <row r="13" spans="1:12">
      <c r="A13" s="98"/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</row>
  </sheetData>
  <conditionalFormatting sqref="H6">
    <cfRule type="cellIs" dxfId="51" priority="24" operator="equal">
      <formula>"Critical"</formula>
    </cfRule>
    <cfRule type="cellIs" dxfId="50" priority="25" operator="equal">
      <formula>"High"</formula>
    </cfRule>
    <cfRule type="cellIs" dxfId="49" priority="26" operator="equal">
      <formula>"Critical"</formula>
    </cfRule>
  </conditionalFormatting>
  <conditionalFormatting sqref="H6">
    <cfRule type="cellIs" dxfId="48" priority="16" operator="equal">
      <formula>"Critical"</formula>
    </cfRule>
    <cfRule type="cellIs" dxfId="47" priority="21" operator="equal">
      <formula>"Low"</formula>
    </cfRule>
    <cfRule type="cellIs" dxfId="46" priority="22" operator="equal">
      <formula>"Medium"</formula>
    </cfRule>
    <cfRule type="cellIs" dxfId="45" priority="23" operator="equal">
      <formula>"Critical"</formula>
    </cfRule>
  </conditionalFormatting>
  <conditionalFormatting sqref="I6">
    <cfRule type="cellIs" dxfId="44" priority="15" operator="equal">
      <formula>"Urgent"</formula>
    </cfRule>
    <cfRule type="cellIs" dxfId="43" priority="17" operator="equal">
      <formula>"Low"</formula>
    </cfRule>
    <cfRule type="cellIs" dxfId="42" priority="18" operator="equal">
      <formula>"Medium"</formula>
    </cfRule>
    <cfRule type="cellIs" dxfId="41" priority="19" operator="equal">
      <formula>"High"</formula>
    </cfRule>
    <cfRule type="cellIs" dxfId="40" priority="20" operator="equal">
      <formula>"Urgent"</formula>
    </cfRule>
  </conditionalFormatting>
  <conditionalFormatting sqref="H8:H11">
    <cfRule type="cellIs" dxfId="39" priority="11" operator="equal">
      <formula>"Critical"</formula>
    </cfRule>
    <cfRule type="cellIs" dxfId="38" priority="12" operator="equal">
      <formula>"High"</formula>
    </cfRule>
    <cfRule type="cellIs" dxfId="37" priority="13" operator="equal">
      <formula>"Critical"</formula>
    </cfRule>
  </conditionalFormatting>
  <conditionalFormatting sqref="H7:H11">
    <cfRule type="cellIs" dxfId="36" priority="2" operator="equal">
      <formula>"Critical"</formula>
    </cfRule>
    <cfRule type="cellIs" dxfId="35" priority="8" operator="equal">
      <formula>"Low"</formula>
    </cfRule>
    <cfRule type="cellIs" dxfId="34" priority="9" operator="equal">
      <formula>"Medium"</formula>
    </cfRule>
    <cfRule type="cellIs" dxfId="33" priority="10" operator="equal">
      <formula>"Critical"</formula>
    </cfRule>
  </conditionalFormatting>
  <conditionalFormatting sqref="H7 I7:I11">
    <cfRule type="cellIs" dxfId="32" priority="1" operator="equal">
      <formula>"Urgent"</formula>
    </cfRule>
    <cfRule type="cellIs" dxfId="31" priority="4" operator="equal">
      <formula>"Low"</formula>
    </cfRule>
    <cfRule type="cellIs" dxfId="30" priority="5" operator="equal">
      <formula>"Medium"</formula>
    </cfRule>
    <cfRule type="cellIs" dxfId="29" priority="6" operator="equal">
      <formula>"High"</formula>
    </cfRule>
    <cfRule type="cellIs" dxfId="28" priority="7" operator="equal">
      <formula>"Urgent"</formula>
    </cfRule>
  </conditionalFormatting>
  <conditionalFormatting sqref="H7">
    <cfRule type="cellIs" dxfId="27" priority="3" operator="equal">
      <formula>"Critical"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4" operator="equal" id="{E1C36BC5-4565-4606-8490-77408536085B}">
            <xm:f>'C:\Users\swapnil\OneDrive\techno-pm\eBook\eBook techno-pm\Templates\[Issue Register.xlsx]Lists'!#REF!</xm:f>
            <x14:dxf>
              <font>
                <color rgb="FF9C0006"/>
              </font>
            </x14:dxf>
          </x14:cfRule>
          <xm:sqref>H7:I7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0000000}">
          <x14:formula1>
            <xm:f>Config!$E$7:$E$11</xm:f>
          </x14:formula1>
          <xm:sqref>H7:H1048576</xm:sqref>
        </x14:dataValidation>
        <x14:dataValidation type="list" allowBlank="1" showInputMessage="1" showErrorMessage="1" xr:uid="{00000000-0002-0000-0500-000001000000}">
          <x14:formula1>
            <xm:f>Config!$F$7:$F$11</xm:f>
          </x14:formula1>
          <xm:sqref>I7:I1048576</xm:sqref>
        </x14:dataValidation>
        <x14:dataValidation type="list" allowBlank="1" showInputMessage="1" showErrorMessage="1" xr:uid="{00000000-0002-0000-0500-000002000000}">
          <x14:formula1>
            <xm:f>Config!$G$7:$G$11</xm:f>
          </x14:formula1>
          <xm:sqref>J7:J1048576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I14"/>
  <sheetViews>
    <sheetView workbookViewId="0">
      <selection activeCell="C7" sqref="C7"/>
    </sheetView>
  </sheetViews>
  <sheetFormatPr defaultColWidth="9.140625" defaultRowHeight="12.6"/>
  <cols>
    <col min="1" max="1" width="3.7109375" style="43" customWidth="1"/>
    <col min="2" max="2" width="4" style="59" bestFit="1" customWidth="1"/>
    <col min="3" max="3" width="64.28515625" style="43" customWidth="1"/>
    <col min="4" max="4" width="10" style="43" customWidth="1"/>
    <col min="5" max="5" width="12" style="69" customWidth="1"/>
    <col min="6" max="6" width="10.28515625" style="43" customWidth="1"/>
    <col min="7" max="7" width="14.28515625" style="43" customWidth="1"/>
    <col min="8" max="8" width="64.7109375" style="68" customWidth="1"/>
    <col min="9" max="10" width="55.28515625" style="43" customWidth="1"/>
    <col min="11" max="16384" width="9.140625" style="43"/>
  </cols>
  <sheetData>
    <row r="1" spans="1:9" ht="16.5" customHeight="1">
      <c r="A1" s="106"/>
      <c r="B1" s="107"/>
      <c r="C1" s="106"/>
      <c r="D1" s="106"/>
      <c r="E1" s="108"/>
      <c r="F1" s="106"/>
      <c r="G1" s="106"/>
      <c r="H1" s="109"/>
      <c r="I1" s="106"/>
    </row>
    <row r="2" spans="1:9">
      <c r="A2" s="106"/>
      <c r="B2" s="107"/>
      <c r="C2" s="106"/>
      <c r="D2" s="106"/>
      <c r="E2" s="108"/>
      <c r="F2" s="106"/>
      <c r="G2" s="106"/>
      <c r="H2" s="109"/>
      <c r="I2" s="106"/>
    </row>
    <row r="3" spans="1:9">
      <c r="A3" s="106"/>
      <c r="B3" s="107"/>
      <c r="C3" s="106"/>
      <c r="D3" s="106"/>
      <c r="E3" s="108"/>
      <c r="F3" s="106"/>
      <c r="G3" s="106"/>
      <c r="H3" s="109"/>
      <c r="I3" s="106"/>
    </row>
    <row r="4" spans="1:9" ht="12" customHeight="1">
      <c r="A4" s="106"/>
      <c r="B4" s="107"/>
      <c r="C4" s="106"/>
      <c r="D4" s="106"/>
      <c r="E4" s="108"/>
      <c r="F4" s="106"/>
      <c r="G4" s="106"/>
      <c r="H4" s="109"/>
      <c r="I4" s="106"/>
    </row>
    <row r="5" spans="1:9" ht="16.5" customHeight="1">
      <c r="A5" s="106"/>
      <c r="B5" s="107"/>
      <c r="C5" s="106"/>
      <c r="D5" s="106"/>
      <c r="E5" s="108"/>
      <c r="F5" s="106"/>
      <c r="G5" s="106"/>
      <c r="H5" s="109"/>
      <c r="I5" s="106"/>
    </row>
    <row r="6" spans="1:9" ht="24.95" customHeight="1">
      <c r="A6" s="106"/>
      <c r="B6" s="27" t="s">
        <v>11</v>
      </c>
      <c r="C6" s="27" t="s">
        <v>179</v>
      </c>
      <c r="D6" s="66" t="s">
        <v>149</v>
      </c>
      <c r="E6" s="67" t="s">
        <v>180</v>
      </c>
      <c r="F6" s="26" t="s">
        <v>19</v>
      </c>
      <c r="G6" s="26" t="s">
        <v>151</v>
      </c>
      <c r="H6" s="22" t="s">
        <v>152</v>
      </c>
      <c r="I6" s="106"/>
    </row>
    <row r="7" spans="1:9">
      <c r="A7" s="106"/>
      <c r="B7" s="73">
        <v>1</v>
      </c>
      <c r="C7" s="77" t="s">
        <v>181</v>
      </c>
      <c r="D7" s="74" t="s">
        <v>142</v>
      </c>
      <c r="E7" s="118">
        <v>42414</v>
      </c>
      <c r="F7" s="74" t="s">
        <v>182</v>
      </c>
      <c r="G7" s="74" t="s">
        <v>163</v>
      </c>
      <c r="H7" s="119" t="s">
        <v>183</v>
      </c>
      <c r="I7" s="106"/>
    </row>
    <row r="8" spans="1:9">
      <c r="A8" s="106"/>
      <c r="B8" s="73">
        <v>2</v>
      </c>
      <c r="C8" s="77" t="s">
        <v>184</v>
      </c>
      <c r="D8" s="74" t="s">
        <v>124</v>
      </c>
      <c r="E8" s="118">
        <v>42442</v>
      </c>
      <c r="F8" s="74" t="s">
        <v>182</v>
      </c>
      <c r="G8" s="74" t="s">
        <v>126</v>
      </c>
      <c r="H8" s="119"/>
      <c r="I8" s="106"/>
    </row>
    <row r="9" spans="1:9">
      <c r="A9" s="106"/>
      <c r="B9" s="73">
        <v>3</v>
      </c>
      <c r="C9" s="77" t="s">
        <v>185</v>
      </c>
      <c r="D9" s="74" t="s">
        <v>131</v>
      </c>
      <c r="E9" s="118">
        <v>42532</v>
      </c>
      <c r="F9" s="74" t="s">
        <v>186</v>
      </c>
      <c r="G9" s="74" t="s">
        <v>138</v>
      </c>
      <c r="H9" s="119"/>
      <c r="I9" s="106"/>
    </row>
    <row r="10" spans="1:9">
      <c r="A10" s="106"/>
      <c r="B10" s="73">
        <v>4</v>
      </c>
      <c r="C10" s="77" t="s">
        <v>187</v>
      </c>
      <c r="D10" s="74" t="s">
        <v>188</v>
      </c>
      <c r="E10" s="118">
        <v>42509</v>
      </c>
      <c r="F10" s="74" t="s">
        <v>186</v>
      </c>
      <c r="G10" s="74" t="s">
        <v>144</v>
      </c>
      <c r="H10" s="119"/>
      <c r="I10" s="106"/>
    </row>
    <row r="11" spans="1:9">
      <c r="A11" s="106"/>
      <c r="B11" s="73">
        <v>5</v>
      </c>
      <c r="C11" s="77" t="s">
        <v>187</v>
      </c>
      <c r="D11" s="74" t="s">
        <v>188</v>
      </c>
      <c r="E11" s="118">
        <v>42509</v>
      </c>
      <c r="F11" s="74" t="s">
        <v>186</v>
      </c>
      <c r="G11" s="74" t="s">
        <v>144</v>
      </c>
      <c r="H11" s="119"/>
      <c r="I11" s="106"/>
    </row>
    <row r="12" spans="1:9">
      <c r="A12" s="106"/>
      <c r="B12" s="73">
        <v>6</v>
      </c>
      <c r="C12" s="77" t="s">
        <v>187</v>
      </c>
      <c r="D12" s="74" t="s">
        <v>188</v>
      </c>
      <c r="E12" s="118">
        <v>42509</v>
      </c>
      <c r="F12" s="74" t="s">
        <v>186</v>
      </c>
      <c r="G12" s="74" t="s">
        <v>144</v>
      </c>
      <c r="H12" s="119"/>
      <c r="I12" s="106"/>
    </row>
    <row r="13" spans="1:9">
      <c r="A13" s="106"/>
      <c r="B13" s="107"/>
      <c r="C13" s="106"/>
      <c r="D13" s="106"/>
      <c r="E13" s="108"/>
      <c r="F13" s="106"/>
      <c r="G13" s="106"/>
      <c r="H13" s="109"/>
      <c r="I13" s="106"/>
    </row>
    <row r="14" spans="1:9">
      <c r="A14" s="106"/>
      <c r="B14" s="107"/>
      <c r="C14" s="106"/>
      <c r="D14" s="106"/>
      <c r="E14" s="108"/>
      <c r="F14" s="106"/>
      <c r="G14" s="106"/>
      <c r="H14" s="109"/>
      <c r="I14" s="106"/>
    </row>
  </sheetData>
  <conditionalFormatting sqref="G6:G10 G13:G1048576">
    <cfRule type="cellIs" dxfId="25" priority="9" operator="equal">
      <formula>"Low"</formula>
    </cfRule>
    <cfRule type="cellIs" dxfId="24" priority="10" operator="equal">
      <formula>"Medium"</formula>
    </cfRule>
    <cfRule type="cellIs" dxfId="23" priority="11" operator="equal">
      <formula>"High"</formula>
    </cfRule>
    <cfRule type="cellIs" dxfId="22" priority="12" operator="equal">
      <formula>"Urgent"</formula>
    </cfRule>
  </conditionalFormatting>
  <conditionalFormatting sqref="G11">
    <cfRule type="cellIs" dxfId="21" priority="5" operator="equal">
      <formula>"Low"</formula>
    </cfRule>
    <cfRule type="cellIs" dxfId="20" priority="6" operator="equal">
      <formula>"Medium"</formula>
    </cfRule>
    <cfRule type="cellIs" dxfId="19" priority="7" operator="equal">
      <formula>"High"</formula>
    </cfRule>
    <cfRule type="cellIs" dxfId="18" priority="8" operator="equal">
      <formula>"Urgent"</formula>
    </cfRule>
  </conditionalFormatting>
  <conditionalFormatting sqref="G12">
    <cfRule type="cellIs" dxfId="17" priority="1" operator="equal">
      <formula>"Low"</formula>
    </cfRule>
    <cfRule type="cellIs" dxfId="16" priority="2" operator="equal">
      <formula>"Medium"</formula>
    </cfRule>
    <cfRule type="cellIs" dxfId="15" priority="3" operator="equal">
      <formula>"High"</formula>
    </cfRule>
    <cfRule type="cellIs" dxfId="14" priority="4" operator="equal">
      <formula>"Urgent"</formula>
    </cfRule>
  </conditionalFormatting>
  <pageMargins left="0.7" right="0.7" top="0.75" bottom="0.75" header="0.3" footer="0.3"/>
  <pageSetup paperSize="9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Config!$F$7:$F$11</xm:f>
          </x14:formula1>
          <xm:sqref>G1:G1048576</xm:sqref>
        </x14:dataValidation>
        <x14:dataValidation type="list" allowBlank="1" showInputMessage="1" showErrorMessage="1" xr:uid="{00000000-0002-0000-0600-000001000000}">
          <x14:formula1>
            <xm:f>Config!$G$7:$G$11</xm:f>
          </x14:formula1>
          <xm:sqref>F7:F1048576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J12"/>
  <sheetViews>
    <sheetView workbookViewId="0">
      <selection activeCell="E12" sqref="E12"/>
    </sheetView>
  </sheetViews>
  <sheetFormatPr defaultColWidth="9.140625" defaultRowHeight="12.6"/>
  <cols>
    <col min="1" max="1" width="4" style="43" customWidth="1"/>
    <col min="2" max="2" width="4.5703125" style="43" customWidth="1"/>
    <col min="3" max="3" width="65.7109375" style="43" customWidth="1"/>
    <col min="4" max="4" width="10.140625" style="43" bestFit="1" customWidth="1"/>
    <col min="5" max="5" width="10.140625" style="43" customWidth="1"/>
    <col min="6" max="6" width="14.7109375" style="43" customWidth="1"/>
    <col min="7" max="7" width="13.140625" style="43" customWidth="1"/>
    <col min="8" max="8" width="14" style="43" customWidth="1"/>
    <col min="9" max="9" width="45" style="65" customWidth="1"/>
    <col min="10" max="16384" width="9.140625" style="43"/>
  </cols>
  <sheetData>
    <row r="1" spans="1:10" ht="16.5" customHeight="1">
      <c r="A1" s="106"/>
      <c r="B1" s="106"/>
      <c r="C1" s="106"/>
      <c r="D1" s="106"/>
      <c r="E1" s="106"/>
      <c r="F1" s="106"/>
      <c r="G1" s="106"/>
      <c r="H1" s="106"/>
      <c r="I1" s="110"/>
      <c r="J1" s="106"/>
    </row>
    <row r="2" spans="1:10">
      <c r="A2" s="106"/>
      <c r="B2" s="106"/>
      <c r="C2" s="106"/>
      <c r="D2" s="106"/>
      <c r="E2" s="106"/>
      <c r="F2" s="106"/>
      <c r="G2" s="106"/>
      <c r="H2" s="106"/>
      <c r="I2" s="110"/>
      <c r="J2" s="106"/>
    </row>
    <row r="3" spans="1:10">
      <c r="A3" s="106"/>
      <c r="B3" s="106"/>
      <c r="C3" s="106"/>
      <c r="D3" s="106"/>
      <c r="E3" s="106"/>
      <c r="F3" s="106"/>
      <c r="G3" s="106"/>
      <c r="H3" s="106"/>
      <c r="I3" s="110"/>
      <c r="J3" s="106"/>
    </row>
    <row r="4" spans="1:10">
      <c r="A4" s="106"/>
      <c r="B4" s="106"/>
      <c r="C4" s="106"/>
      <c r="D4" s="106"/>
      <c r="E4" s="106"/>
      <c r="F4" s="106"/>
      <c r="G4" s="106"/>
      <c r="H4" s="106"/>
      <c r="I4" s="110"/>
      <c r="J4" s="106"/>
    </row>
    <row r="5" spans="1:10" ht="16.5" customHeight="1">
      <c r="A5" s="106"/>
      <c r="B5" s="106"/>
      <c r="C5" s="106"/>
      <c r="D5" s="106"/>
      <c r="E5" s="106"/>
      <c r="F5" s="106"/>
      <c r="G5" s="106"/>
      <c r="H5" s="106"/>
      <c r="I5" s="110"/>
      <c r="J5" s="106"/>
    </row>
    <row r="6" spans="1:10" ht="24.95" customHeight="1">
      <c r="A6" s="106"/>
      <c r="B6" s="142" t="s">
        <v>11</v>
      </c>
      <c r="C6" s="143" t="s">
        <v>189</v>
      </c>
      <c r="D6" s="143" t="s">
        <v>190</v>
      </c>
      <c r="E6" s="143" t="s">
        <v>151</v>
      </c>
      <c r="F6" s="143" t="s">
        <v>191</v>
      </c>
      <c r="G6" s="143" t="s">
        <v>192</v>
      </c>
      <c r="H6" s="143" t="s">
        <v>193</v>
      </c>
      <c r="I6" s="144" t="s">
        <v>152</v>
      </c>
      <c r="J6" s="106"/>
    </row>
    <row r="7" spans="1:10" ht="29.1">
      <c r="A7" s="106"/>
      <c r="B7" s="117" t="s">
        <v>194</v>
      </c>
      <c r="C7" s="145" t="s">
        <v>195</v>
      </c>
      <c r="D7" s="146" t="s">
        <v>196</v>
      </c>
      <c r="E7" s="146" t="s">
        <v>163</v>
      </c>
      <c r="F7" s="147">
        <v>44177</v>
      </c>
      <c r="G7" s="146" t="s">
        <v>136</v>
      </c>
      <c r="H7" s="147">
        <v>42016</v>
      </c>
      <c r="I7" s="148" t="s">
        <v>197</v>
      </c>
      <c r="J7" s="106"/>
    </row>
    <row r="8" spans="1:10" ht="14.45">
      <c r="A8" s="106"/>
      <c r="B8" s="117" t="s">
        <v>198</v>
      </c>
      <c r="C8" s="145" t="s">
        <v>199</v>
      </c>
      <c r="D8" s="146" t="s">
        <v>200</v>
      </c>
      <c r="E8" s="146" t="s">
        <v>126</v>
      </c>
      <c r="F8" s="147">
        <v>43933</v>
      </c>
      <c r="G8" s="146" t="s">
        <v>201</v>
      </c>
      <c r="H8" s="146" t="s">
        <v>202</v>
      </c>
      <c r="I8" s="148" t="s">
        <v>203</v>
      </c>
      <c r="J8" s="106"/>
    </row>
    <row r="9" spans="1:10" ht="14.45">
      <c r="A9" s="106"/>
      <c r="B9" s="117" t="s">
        <v>204</v>
      </c>
      <c r="C9" s="145" t="s">
        <v>205</v>
      </c>
      <c r="D9" s="146" t="s">
        <v>206</v>
      </c>
      <c r="E9" s="146" t="s">
        <v>138</v>
      </c>
      <c r="F9" s="147">
        <v>43842</v>
      </c>
      <c r="G9" s="146" t="s">
        <v>201</v>
      </c>
      <c r="H9" s="146" t="s">
        <v>202</v>
      </c>
      <c r="I9" s="148" t="s">
        <v>207</v>
      </c>
      <c r="J9" s="106"/>
    </row>
    <row r="10" spans="1:10" ht="14.45">
      <c r="A10" s="106"/>
      <c r="B10" s="117" t="s">
        <v>208</v>
      </c>
      <c r="C10" s="145" t="s">
        <v>209</v>
      </c>
      <c r="D10" s="146" t="s">
        <v>142</v>
      </c>
      <c r="E10" s="146" t="s">
        <v>144</v>
      </c>
      <c r="F10" s="147">
        <v>43843</v>
      </c>
      <c r="G10" s="146" t="s">
        <v>210</v>
      </c>
      <c r="H10" s="146" t="s">
        <v>202</v>
      </c>
      <c r="I10" s="148" t="s">
        <v>211</v>
      </c>
      <c r="J10" s="106"/>
    </row>
    <row r="11" spans="1:10">
      <c r="A11" s="106"/>
      <c r="B11" s="106"/>
      <c r="C11" s="106"/>
      <c r="D11" s="106"/>
      <c r="E11" s="106"/>
      <c r="F11" s="106"/>
      <c r="G11" s="106"/>
      <c r="H11" s="106"/>
      <c r="I11" s="110"/>
      <c r="J11" s="106"/>
    </row>
    <row r="12" spans="1:10">
      <c r="A12" s="106"/>
      <c r="B12" s="106"/>
      <c r="C12" s="106"/>
      <c r="D12" s="106"/>
      <c r="E12" s="106"/>
      <c r="F12" s="106"/>
      <c r="G12" s="106"/>
      <c r="H12" s="106"/>
      <c r="I12" s="110"/>
      <c r="J12" s="106"/>
    </row>
  </sheetData>
  <conditionalFormatting sqref="E1:E1048576">
    <cfRule type="cellIs" dxfId="13" priority="1" operator="equal">
      <formula>"Low"</formula>
    </cfRule>
    <cfRule type="cellIs" dxfId="12" priority="2" operator="equal">
      <formula>"Medium"</formula>
    </cfRule>
    <cfRule type="cellIs" dxfId="11" priority="3" operator="equal">
      <formula>"High"</formula>
    </cfRule>
    <cfRule type="cellIs" dxfId="10" priority="4" operator="equal">
      <formula>"Urgent"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700-000000000000}">
          <x14:formula1>
            <xm:f>Config!$F$7:$F$11</xm:f>
          </x14:formula1>
          <xm:sqref>E7:E1048576</xm:sqref>
        </x14:dataValidation>
        <x14:dataValidation type="list" allowBlank="1" showInputMessage="1" showErrorMessage="1" xr:uid="{00000000-0002-0000-0700-000001000000}">
          <x14:formula1>
            <xm:f>Config!$J$7:$J$11</xm:f>
          </x14:formula1>
          <xm:sqref>G7:G1048576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K13"/>
  <sheetViews>
    <sheetView workbookViewId="0">
      <selection activeCell="M8" sqref="M8"/>
    </sheetView>
  </sheetViews>
  <sheetFormatPr defaultRowHeight="14.45"/>
  <cols>
    <col min="1" max="1" width="3.7109375" customWidth="1"/>
    <col min="2" max="2" width="4.42578125" style="57" customWidth="1"/>
    <col min="3" max="3" width="41.28515625" style="57" customWidth="1"/>
    <col min="4" max="4" width="35.7109375" style="57" customWidth="1"/>
    <col min="5" max="5" width="10" style="57" customWidth="1"/>
    <col min="6" max="6" width="10.7109375" style="57" customWidth="1"/>
    <col min="7" max="7" width="9" style="57" customWidth="1"/>
    <col min="8" max="8" width="10.85546875" style="57" customWidth="1"/>
    <col min="9" max="9" width="12.42578125" style="57" customWidth="1"/>
    <col min="10" max="10" width="52.7109375" style="57" customWidth="1"/>
  </cols>
  <sheetData>
    <row r="1" spans="1:11" ht="16.5" customHeight="1">
      <c r="A1" s="98"/>
      <c r="B1" s="102"/>
      <c r="C1" s="102"/>
      <c r="D1" s="102"/>
      <c r="E1" s="102"/>
      <c r="F1" s="102"/>
      <c r="G1" s="102"/>
      <c r="H1" s="102"/>
      <c r="I1" s="102"/>
      <c r="J1" s="102"/>
      <c r="K1" s="98"/>
    </row>
    <row r="2" spans="1:11">
      <c r="A2" s="98"/>
      <c r="B2" s="102"/>
      <c r="C2" s="102"/>
      <c r="D2" s="102"/>
      <c r="E2" s="102"/>
      <c r="F2" s="102"/>
      <c r="G2" s="102"/>
      <c r="H2" s="102"/>
      <c r="I2" s="102"/>
      <c r="J2" s="102"/>
      <c r="K2" s="98"/>
    </row>
    <row r="3" spans="1:11">
      <c r="A3" s="98"/>
      <c r="B3" s="102"/>
      <c r="C3" s="102"/>
      <c r="D3" s="102"/>
      <c r="E3" s="102"/>
      <c r="F3" s="102"/>
      <c r="G3" s="102"/>
      <c r="H3" s="102"/>
      <c r="I3" s="102"/>
      <c r="J3" s="102"/>
      <c r="K3" s="98"/>
    </row>
    <row r="4" spans="1:11">
      <c r="A4" s="98"/>
      <c r="B4" s="102"/>
      <c r="C4" s="102"/>
      <c r="D4" s="102"/>
      <c r="E4" s="102"/>
      <c r="F4" s="102"/>
      <c r="G4" s="102"/>
      <c r="H4" s="102"/>
      <c r="I4" s="102"/>
      <c r="J4" s="102"/>
      <c r="K4" s="98"/>
    </row>
    <row r="5" spans="1:11" ht="16.5" customHeight="1">
      <c r="A5" s="98"/>
      <c r="B5" s="102"/>
      <c r="C5" s="102"/>
      <c r="D5" s="102"/>
      <c r="E5" s="102"/>
      <c r="F5" s="102"/>
      <c r="G5" s="102"/>
      <c r="H5" s="102"/>
      <c r="I5" s="102"/>
      <c r="J5" s="102"/>
      <c r="K5" s="98"/>
    </row>
    <row r="6" spans="1:11" ht="24.95" customHeight="1">
      <c r="A6" s="98"/>
      <c r="B6" s="139" t="s">
        <v>11</v>
      </c>
      <c r="C6" s="139" t="s">
        <v>212</v>
      </c>
      <c r="D6" s="139" t="s">
        <v>213</v>
      </c>
      <c r="E6" s="23" t="s">
        <v>214</v>
      </c>
      <c r="F6" s="23" t="s">
        <v>215</v>
      </c>
      <c r="G6" s="26" t="s">
        <v>19</v>
      </c>
      <c r="H6" s="26" t="s">
        <v>216</v>
      </c>
      <c r="I6" s="26" t="s">
        <v>217</v>
      </c>
      <c r="J6" s="139" t="s">
        <v>218</v>
      </c>
      <c r="K6" s="98"/>
    </row>
    <row r="7" spans="1:11" ht="37.5">
      <c r="A7" s="98"/>
      <c r="B7" s="74">
        <v>1</v>
      </c>
      <c r="C7" s="111" t="s">
        <v>219</v>
      </c>
      <c r="D7" s="111" t="s">
        <v>220</v>
      </c>
      <c r="E7" s="112">
        <v>42211</v>
      </c>
      <c r="F7" s="113" t="s">
        <v>221</v>
      </c>
      <c r="G7" s="73" t="s">
        <v>182</v>
      </c>
      <c r="H7" s="114" t="s">
        <v>222</v>
      </c>
      <c r="I7" s="115">
        <v>42277</v>
      </c>
      <c r="J7" s="116" t="s">
        <v>223</v>
      </c>
      <c r="K7" s="98"/>
    </row>
    <row r="8" spans="1:11" ht="26.1">
      <c r="A8" s="98"/>
      <c r="B8" s="74">
        <v>2</v>
      </c>
      <c r="C8" s="111" t="s">
        <v>224</v>
      </c>
      <c r="D8" s="111" t="s">
        <v>225</v>
      </c>
      <c r="E8" s="112">
        <v>42086</v>
      </c>
      <c r="F8" s="113" t="s">
        <v>107</v>
      </c>
      <c r="G8" s="73" t="s">
        <v>182</v>
      </c>
      <c r="H8" s="114" t="s">
        <v>226</v>
      </c>
      <c r="I8" s="115">
        <v>42277</v>
      </c>
      <c r="J8" s="116" t="s">
        <v>227</v>
      </c>
      <c r="K8" s="98"/>
    </row>
    <row r="9" spans="1:11" ht="37.5">
      <c r="A9" s="98"/>
      <c r="B9" s="74">
        <v>3</v>
      </c>
      <c r="C9" s="111" t="s">
        <v>228</v>
      </c>
      <c r="D9" s="111" t="s">
        <v>229</v>
      </c>
      <c r="E9" s="112">
        <v>42180</v>
      </c>
      <c r="F9" s="113" t="s">
        <v>230</v>
      </c>
      <c r="G9" s="73" t="s">
        <v>182</v>
      </c>
      <c r="H9" s="114"/>
      <c r="I9" s="114"/>
      <c r="J9" s="116" t="s">
        <v>231</v>
      </c>
      <c r="K9" s="98"/>
    </row>
    <row r="10" spans="1:11" ht="37.5">
      <c r="A10" s="98"/>
      <c r="B10" s="74">
        <v>4</v>
      </c>
      <c r="C10" s="111" t="s">
        <v>232</v>
      </c>
      <c r="D10" s="111" t="s">
        <v>233</v>
      </c>
      <c r="E10" s="112">
        <v>42179</v>
      </c>
      <c r="F10" s="113" t="s">
        <v>234</v>
      </c>
      <c r="G10" s="73" t="s">
        <v>182</v>
      </c>
      <c r="H10" s="114"/>
      <c r="I10" s="114"/>
      <c r="J10" s="116" t="s">
        <v>235</v>
      </c>
      <c r="K10" s="98"/>
    </row>
    <row r="11" spans="1:11" ht="37.5">
      <c r="A11" s="98"/>
      <c r="B11" s="74">
        <v>5</v>
      </c>
      <c r="C11" s="111" t="s">
        <v>236</v>
      </c>
      <c r="D11" s="111" t="s">
        <v>237</v>
      </c>
      <c r="E11" s="112">
        <v>42241</v>
      </c>
      <c r="F11" s="113" t="s">
        <v>221</v>
      </c>
      <c r="G11" s="73" t="s">
        <v>123</v>
      </c>
      <c r="H11" s="114"/>
      <c r="I11" s="115">
        <v>42243</v>
      </c>
      <c r="J11" s="116" t="s">
        <v>238</v>
      </c>
      <c r="K11" s="98"/>
    </row>
    <row r="12" spans="1:11">
      <c r="A12" s="98"/>
      <c r="B12" s="102"/>
      <c r="C12" s="102"/>
      <c r="D12" s="102"/>
      <c r="E12" s="102"/>
      <c r="F12" s="102"/>
      <c r="G12" s="102"/>
      <c r="H12" s="102"/>
      <c r="I12" s="102"/>
      <c r="J12" s="102"/>
      <c r="K12" s="98"/>
    </row>
    <row r="13" spans="1:11">
      <c r="A13" s="98"/>
      <c r="B13" s="102"/>
      <c r="C13" s="102"/>
      <c r="D13" s="102"/>
      <c r="E13" s="102"/>
      <c r="F13" s="102"/>
      <c r="G13" s="102"/>
      <c r="H13" s="102"/>
      <c r="I13" s="102"/>
      <c r="J13" s="102"/>
      <c r="K13" s="98"/>
    </row>
  </sheetData>
  <conditionalFormatting sqref="H6">
    <cfRule type="containsText" dxfId="9" priority="8" operator="containsText" text="Declined">
      <formula>NOT(ISERROR(SEARCH("Declined",H6)))</formula>
    </cfRule>
    <cfRule type="containsText" dxfId="8" priority="9" operator="containsText" text="Not Approved">
      <formula>NOT(ISERROR(SEARCH("Not Approved",H6)))</formula>
    </cfRule>
    <cfRule type="containsText" dxfId="7" priority="10" operator="containsText" text="Pending">
      <formula>NOT(ISERROR(SEARCH("Pending",H6)))</formula>
    </cfRule>
  </conditionalFormatting>
  <conditionalFormatting sqref="G6">
    <cfRule type="cellIs" dxfId="6" priority="4" operator="equal">
      <formula>"Abandon"</formula>
    </cfRule>
    <cfRule type="cellIs" dxfId="5" priority="5" operator="equal">
      <formula>"Declined"</formula>
    </cfRule>
    <cfRule type="cellIs" dxfId="4" priority="6" operator="equal">
      <formula>"Pending"</formula>
    </cfRule>
    <cfRule type="cellIs" dxfId="3" priority="7" operator="equal">
      <formula>"Approved"</formula>
    </cfRule>
  </conditionalFormatting>
  <conditionalFormatting sqref="H7:H11">
    <cfRule type="containsText" dxfId="2" priority="1" operator="containsText" text="Declined">
      <formula>NOT(ISERROR(SEARCH("Declined",H7)))</formula>
    </cfRule>
    <cfRule type="containsText" dxfId="1" priority="2" operator="containsText" text="Not Approved">
      <formula>NOT(ISERROR(SEARCH("Not Approved",H7)))</formula>
    </cfRule>
    <cfRule type="containsText" dxfId="0" priority="3" operator="containsText" text="Pending">
      <formula>NOT(ISERROR(SEARCH("Pending",H7)))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Config!$G$7:$G$11</xm:f>
          </x14:formula1>
          <xm:sqref>G7:G1048576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L28"/>
  <sheetViews>
    <sheetView workbookViewId="0">
      <selection activeCell="O33" sqref="O33"/>
    </sheetView>
  </sheetViews>
  <sheetFormatPr defaultRowHeight="14.45"/>
  <cols>
    <col min="1" max="1" width="3.7109375" customWidth="1"/>
    <col min="2" max="2" width="5.42578125" customWidth="1"/>
    <col min="3" max="3" width="14.5703125" bestFit="1" customWidth="1"/>
    <col min="8" max="8" width="10.85546875" bestFit="1" customWidth="1"/>
    <col min="9" max="9" width="10.5703125" bestFit="1" customWidth="1"/>
    <col min="11" max="11" width="14" bestFit="1" customWidth="1"/>
  </cols>
  <sheetData>
    <row r="1" spans="1:12" ht="16.5" customHeight="1">
      <c r="A1" s="98"/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</row>
    <row r="2" spans="1:12">
      <c r="A2" s="98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</row>
    <row r="3" spans="1:12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</row>
    <row r="4" spans="1:12">
      <c r="A4" s="98"/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</row>
    <row r="5" spans="1:12" ht="16.5" customHeight="1">
      <c r="A5" s="98"/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</row>
    <row r="6" spans="1:12">
      <c r="A6" s="98"/>
      <c r="B6" s="48" t="s">
        <v>239</v>
      </c>
      <c r="C6" s="48" t="s">
        <v>240</v>
      </c>
      <c r="D6" s="48" t="s">
        <v>217</v>
      </c>
      <c r="E6" s="49" t="s">
        <v>150</v>
      </c>
      <c r="F6" s="49" t="s">
        <v>151</v>
      </c>
      <c r="G6" s="49" t="s">
        <v>19</v>
      </c>
      <c r="H6" s="55" t="s">
        <v>241</v>
      </c>
      <c r="I6" s="55" t="s">
        <v>117</v>
      </c>
      <c r="J6" s="55" t="s">
        <v>242</v>
      </c>
      <c r="K6" s="50" t="s">
        <v>243</v>
      </c>
      <c r="L6" s="98"/>
    </row>
    <row r="7" spans="1:12">
      <c r="A7" s="98"/>
      <c r="B7" s="51">
        <v>1</v>
      </c>
      <c r="C7" s="52" t="s">
        <v>244</v>
      </c>
      <c r="D7" s="53"/>
      <c r="E7" s="54" t="s">
        <v>172</v>
      </c>
      <c r="F7" s="54" t="s">
        <v>163</v>
      </c>
      <c r="G7" s="54" t="s">
        <v>123</v>
      </c>
      <c r="H7" s="51" t="s">
        <v>125</v>
      </c>
      <c r="I7" s="54" t="s">
        <v>172</v>
      </c>
      <c r="J7" s="54" t="s">
        <v>201</v>
      </c>
      <c r="K7" s="54" t="s">
        <v>31</v>
      </c>
      <c r="L7" s="98"/>
    </row>
    <row r="8" spans="1:12">
      <c r="A8" s="98"/>
      <c r="B8" s="51">
        <v>2</v>
      </c>
      <c r="C8" s="52" t="s">
        <v>244</v>
      </c>
      <c r="D8" s="53"/>
      <c r="E8" s="54" t="s">
        <v>126</v>
      </c>
      <c r="F8" s="54" t="s">
        <v>126</v>
      </c>
      <c r="G8" s="54" t="s">
        <v>130</v>
      </c>
      <c r="H8" s="51" t="s">
        <v>132</v>
      </c>
      <c r="I8" s="54" t="s">
        <v>126</v>
      </c>
      <c r="J8" s="54" t="s">
        <v>210</v>
      </c>
      <c r="K8" s="54" t="s">
        <v>245</v>
      </c>
      <c r="L8" s="98"/>
    </row>
    <row r="9" spans="1:12">
      <c r="A9" s="98"/>
      <c r="B9" s="51">
        <v>3</v>
      </c>
      <c r="C9" s="52" t="s">
        <v>244</v>
      </c>
      <c r="D9" s="53"/>
      <c r="E9" s="54" t="s">
        <v>138</v>
      </c>
      <c r="F9" s="54" t="s">
        <v>138</v>
      </c>
      <c r="G9" s="54" t="s">
        <v>182</v>
      </c>
      <c r="H9" s="51" t="s">
        <v>13</v>
      </c>
      <c r="I9" s="54" t="s">
        <v>138</v>
      </c>
      <c r="J9" s="54" t="s">
        <v>136</v>
      </c>
      <c r="K9" s="54" t="s">
        <v>108</v>
      </c>
      <c r="L9" s="98"/>
    </row>
    <row r="10" spans="1:12">
      <c r="A10" s="98"/>
      <c r="B10" s="51">
        <v>4</v>
      </c>
      <c r="C10" s="52" t="s">
        <v>244</v>
      </c>
      <c r="D10" s="53"/>
      <c r="E10" s="54" t="s">
        <v>144</v>
      </c>
      <c r="F10" s="54" t="s">
        <v>144</v>
      </c>
      <c r="G10" s="54" t="s">
        <v>136</v>
      </c>
      <c r="H10" s="51" t="s">
        <v>143</v>
      </c>
      <c r="I10" s="54" t="s">
        <v>144</v>
      </c>
      <c r="J10" s="54" t="s">
        <v>123</v>
      </c>
      <c r="K10" s="54" t="s">
        <v>106</v>
      </c>
      <c r="L10" s="98"/>
    </row>
    <row r="11" spans="1:12">
      <c r="A11" s="98"/>
      <c r="B11" s="51">
        <v>5</v>
      </c>
      <c r="C11" s="52"/>
      <c r="D11" s="53"/>
      <c r="E11" s="51"/>
      <c r="F11" s="51"/>
      <c r="G11" s="51" t="s">
        <v>186</v>
      </c>
      <c r="H11" s="51"/>
      <c r="I11" s="51"/>
      <c r="J11" s="51" t="s">
        <v>130</v>
      </c>
      <c r="K11" s="54" t="s">
        <v>107</v>
      </c>
      <c r="L11" s="98"/>
    </row>
    <row r="12" spans="1:12">
      <c r="A12" s="98"/>
      <c r="B12" s="51">
        <v>6</v>
      </c>
      <c r="C12" s="52"/>
      <c r="D12" s="53"/>
      <c r="E12" s="56"/>
      <c r="F12" s="56"/>
      <c r="G12" s="56"/>
      <c r="H12" s="56"/>
      <c r="I12" s="56"/>
      <c r="J12" s="56"/>
      <c r="K12" s="52"/>
      <c r="L12" s="98"/>
    </row>
    <row r="13" spans="1:12">
      <c r="A13" s="98"/>
      <c r="B13" s="51">
        <v>7</v>
      </c>
      <c r="C13" s="52"/>
      <c r="D13" s="53"/>
      <c r="E13" s="56"/>
      <c r="F13" s="56"/>
      <c r="G13" s="56"/>
      <c r="H13" s="56"/>
      <c r="I13" s="56"/>
      <c r="J13" s="56"/>
      <c r="K13" s="52"/>
      <c r="L13" s="98"/>
    </row>
    <row r="14" spans="1:12">
      <c r="A14" s="98"/>
      <c r="B14" s="51">
        <v>8</v>
      </c>
      <c r="C14" s="52"/>
      <c r="D14" s="53"/>
      <c r="E14" s="56"/>
      <c r="F14" s="56"/>
      <c r="G14" s="56"/>
      <c r="H14" s="56"/>
      <c r="I14" s="56"/>
      <c r="J14" s="56"/>
      <c r="K14" s="52"/>
      <c r="L14" s="98"/>
    </row>
    <row r="15" spans="1:12">
      <c r="A15" s="98"/>
      <c r="B15" s="51">
        <v>9</v>
      </c>
      <c r="C15" s="52"/>
      <c r="D15" s="53"/>
      <c r="E15" s="56"/>
      <c r="F15" s="56"/>
      <c r="G15" s="56"/>
      <c r="H15" s="56"/>
      <c r="I15" s="56"/>
      <c r="J15" s="56"/>
      <c r="K15" s="52"/>
      <c r="L15" s="98"/>
    </row>
    <row r="16" spans="1:12">
      <c r="A16" s="98"/>
      <c r="B16" s="51">
        <v>10</v>
      </c>
      <c r="C16" s="52"/>
      <c r="D16" s="53"/>
      <c r="E16" s="56"/>
      <c r="F16" s="56"/>
      <c r="G16" s="56"/>
      <c r="H16" s="56"/>
      <c r="I16" s="56"/>
      <c r="J16" s="56"/>
      <c r="K16" s="52"/>
      <c r="L16" s="98"/>
    </row>
    <row r="17" spans="1:12">
      <c r="A17" s="98"/>
      <c r="B17" s="51">
        <v>11</v>
      </c>
      <c r="C17" s="52"/>
      <c r="D17" s="53"/>
      <c r="E17" s="56"/>
      <c r="F17" s="56"/>
      <c r="G17" s="56"/>
      <c r="H17" s="56"/>
      <c r="I17" s="56"/>
      <c r="J17" s="56"/>
      <c r="K17" s="52"/>
      <c r="L17" s="98"/>
    </row>
    <row r="18" spans="1:12">
      <c r="A18" s="98"/>
      <c r="B18" s="51">
        <v>12</v>
      </c>
      <c r="C18" s="52"/>
      <c r="D18" s="53"/>
      <c r="E18" s="56"/>
      <c r="F18" s="56"/>
      <c r="G18" s="56"/>
      <c r="H18" s="56"/>
      <c r="I18" s="56"/>
      <c r="J18" s="56"/>
      <c r="K18" s="52"/>
      <c r="L18" s="98"/>
    </row>
    <row r="19" spans="1:12">
      <c r="A19" s="98"/>
      <c r="B19" s="51">
        <v>13</v>
      </c>
      <c r="C19" s="52"/>
      <c r="D19" s="53"/>
      <c r="E19" s="56"/>
      <c r="F19" s="56"/>
      <c r="G19" s="56"/>
      <c r="H19" s="56"/>
      <c r="I19" s="56"/>
      <c r="J19" s="56"/>
      <c r="K19" s="52"/>
      <c r="L19" s="98"/>
    </row>
    <row r="20" spans="1:12">
      <c r="A20" s="98"/>
      <c r="B20" s="51">
        <v>14</v>
      </c>
      <c r="C20" s="52"/>
      <c r="D20" s="53"/>
      <c r="E20" s="56"/>
      <c r="F20" s="56"/>
      <c r="G20" s="56"/>
      <c r="H20" s="56"/>
      <c r="I20" s="56"/>
      <c r="J20" s="56"/>
      <c r="K20" s="52"/>
      <c r="L20" s="98"/>
    </row>
    <row r="21" spans="1:12">
      <c r="A21" s="98"/>
      <c r="B21" s="51">
        <v>15</v>
      </c>
      <c r="C21" s="52"/>
      <c r="D21" s="53"/>
      <c r="E21" s="56"/>
      <c r="F21" s="56"/>
      <c r="G21" s="56"/>
      <c r="H21" s="56"/>
      <c r="I21" s="56"/>
      <c r="J21" s="56"/>
      <c r="K21" s="52"/>
      <c r="L21" s="98"/>
    </row>
    <row r="22" spans="1:12">
      <c r="A22" s="98"/>
      <c r="B22" s="51">
        <v>16</v>
      </c>
      <c r="C22" s="52"/>
      <c r="D22" s="53"/>
      <c r="E22" s="56"/>
      <c r="F22" s="56"/>
      <c r="G22" s="56"/>
      <c r="H22" s="56"/>
      <c r="I22" s="56"/>
      <c r="J22" s="56"/>
      <c r="K22" s="52"/>
      <c r="L22" s="98"/>
    </row>
    <row r="23" spans="1:12">
      <c r="A23" s="98"/>
      <c r="B23" s="51">
        <v>17</v>
      </c>
      <c r="C23" s="52"/>
      <c r="D23" s="53"/>
      <c r="E23" s="56"/>
      <c r="F23" s="56"/>
      <c r="G23" s="56"/>
      <c r="H23" s="56"/>
      <c r="I23" s="56"/>
      <c r="J23" s="56"/>
      <c r="K23" s="52"/>
      <c r="L23" s="98"/>
    </row>
    <row r="24" spans="1:12">
      <c r="A24" s="98"/>
      <c r="B24" s="51">
        <v>18</v>
      </c>
      <c r="C24" s="52"/>
      <c r="D24" s="53"/>
      <c r="E24" s="56"/>
      <c r="F24" s="56"/>
      <c r="G24" s="56"/>
      <c r="H24" s="56"/>
      <c r="I24" s="56"/>
      <c r="J24" s="56"/>
      <c r="K24" s="52"/>
      <c r="L24" s="98"/>
    </row>
    <row r="25" spans="1:12">
      <c r="A25" s="98"/>
      <c r="B25" s="51">
        <v>19</v>
      </c>
      <c r="C25" s="52"/>
      <c r="D25" s="53"/>
      <c r="E25" s="56"/>
      <c r="F25" s="56"/>
      <c r="G25" s="56"/>
      <c r="H25" s="56"/>
      <c r="I25" s="56"/>
      <c r="J25" s="56"/>
      <c r="K25" s="52"/>
      <c r="L25" s="98"/>
    </row>
    <row r="26" spans="1:12">
      <c r="A26" s="98"/>
      <c r="B26" s="51">
        <v>20</v>
      </c>
      <c r="C26" s="52"/>
      <c r="D26" s="53"/>
      <c r="E26" s="56"/>
      <c r="F26" s="56"/>
      <c r="G26" s="56"/>
      <c r="H26" s="56"/>
      <c r="I26" s="56"/>
      <c r="J26" s="56"/>
      <c r="K26" s="52"/>
      <c r="L26" s="98"/>
    </row>
    <row r="27" spans="1:12">
      <c r="A27" s="98"/>
      <c r="B27" s="98"/>
      <c r="C27" s="98"/>
      <c r="D27" s="98"/>
      <c r="E27" s="98"/>
      <c r="F27" s="98"/>
      <c r="G27" s="98"/>
      <c r="H27" s="98"/>
      <c r="I27" s="98"/>
      <c r="J27" s="98"/>
      <c r="K27" s="98"/>
      <c r="L27" s="98"/>
    </row>
    <row r="28" spans="1:12">
      <c r="A28" s="98"/>
      <c r="B28" s="98"/>
      <c r="C28" s="98"/>
      <c r="D28" s="98"/>
      <c r="E28" s="98"/>
      <c r="F28" s="98"/>
      <c r="G28" s="98"/>
      <c r="H28" s="98"/>
      <c r="I28" s="98"/>
      <c r="J28" s="98"/>
      <c r="K28" s="98"/>
      <c r="L28" s="98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T17"/>
  <sheetViews>
    <sheetView workbookViewId="0">
      <selection activeCell="Q8" sqref="Q8"/>
    </sheetView>
  </sheetViews>
  <sheetFormatPr defaultColWidth="9.140625" defaultRowHeight="12.6"/>
  <cols>
    <col min="1" max="1" width="9.5703125" style="43" customWidth="1"/>
    <col min="2" max="2" width="9.7109375" style="43" customWidth="1"/>
    <col min="3" max="3" width="4.5703125" style="43" customWidth="1"/>
    <col min="4" max="4" width="12.140625" style="43" customWidth="1"/>
    <col min="5" max="10" width="9.140625" style="43"/>
    <col min="11" max="11" width="10.7109375" style="43" customWidth="1"/>
    <col min="12" max="12" width="9.140625" style="43"/>
    <col min="13" max="13" width="9.7109375" style="43" bestFit="1" customWidth="1"/>
    <col min="14" max="16384" width="9.140625" style="43"/>
  </cols>
  <sheetData>
    <row r="1" spans="1:20" ht="12.95">
      <c r="A1" s="182" t="s">
        <v>246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</row>
    <row r="2" spans="1:20" ht="12.95">
      <c r="A2" s="183" t="s">
        <v>247</v>
      </c>
      <c r="B2" s="183"/>
      <c r="D2" s="184" t="s">
        <v>248</v>
      </c>
      <c r="E2" s="185"/>
      <c r="G2" s="188" t="s">
        <v>249</v>
      </c>
      <c r="H2" s="189"/>
      <c r="I2" s="189"/>
      <c r="J2" s="189"/>
      <c r="K2" s="189"/>
      <c r="M2" s="186" t="s">
        <v>13</v>
      </c>
      <c r="N2" s="186"/>
      <c r="O2" s="137" t="s">
        <v>18</v>
      </c>
    </row>
    <row r="3" spans="1:20">
      <c r="A3" s="70" t="s">
        <v>250</v>
      </c>
      <c r="B3" s="73">
        <f>COUNT(Schedule!H:H)</f>
        <v>53</v>
      </c>
      <c r="D3" s="71" t="s">
        <v>251</v>
      </c>
      <c r="E3" s="74">
        <f>COUNTIF(Schedule!I:I,"=0")</f>
        <v>39</v>
      </c>
      <c r="G3" s="190" t="s">
        <v>252</v>
      </c>
      <c r="H3" s="190"/>
      <c r="I3" s="140" t="s">
        <v>253</v>
      </c>
      <c r="J3" s="140" t="s">
        <v>254</v>
      </c>
      <c r="K3" s="140" t="s">
        <v>255</v>
      </c>
      <c r="M3" s="70" t="s">
        <v>256</v>
      </c>
      <c r="N3" s="77">
        <f>SUM(Resources!F:F)</f>
        <v>128</v>
      </c>
      <c r="O3" s="43">
        <f>ROUND(100*N3/N4,0)</f>
        <v>20</v>
      </c>
    </row>
    <row r="4" spans="1:20">
      <c r="A4" s="70" t="s">
        <v>257</v>
      </c>
      <c r="B4" s="75">
        <f ca="1">COUNTIF(Schedule!L:L,"&gt;5%") - 1</f>
        <v>48</v>
      </c>
      <c r="D4" s="72" t="s">
        <v>258</v>
      </c>
      <c r="E4" s="74">
        <f>SUMPRODUCT((Schedule!I:I&gt;0%)*(Schedule!I:I&lt;=50%))</f>
        <v>3</v>
      </c>
      <c r="G4" s="191" t="s">
        <v>80</v>
      </c>
      <c r="H4" s="191"/>
      <c r="I4" s="76">
        <f>Budget!C26</f>
        <v>825000</v>
      </c>
      <c r="J4" s="76">
        <f>Budget!D26</f>
        <v>333500</v>
      </c>
      <c r="K4" s="76">
        <f>I4-J4</f>
        <v>491500</v>
      </c>
      <c r="M4" s="70" t="s">
        <v>259</v>
      </c>
      <c r="N4" s="77">
        <f>SUM(Resources!E:E)</f>
        <v>630</v>
      </c>
      <c r="O4" s="43">
        <f>100-O3</f>
        <v>80</v>
      </c>
    </row>
    <row r="5" spans="1:20" ht="12.95">
      <c r="A5" s="70" t="s">
        <v>260</v>
      </c>
      <c r="B5" s="73">
        <f ca="1">COUNTIF(Schedule!L:L,"&lt;= 0")</f>
        <v>4</v>
      </c>
      <c r="D5" s="72" t="s">
        <v>261</v>
      </c>
      <c r="E5" s="74">
        <f>SUMPRODUCT((Schedule!I:I&gt;75%)*(Schedule!I:I&lt;=100%))</f>
        <v>9</v>
      </c>
      <c r="G5" s="191" t="s">
        <v>262</v>
      </c>
      <c r="H5" s="191"/>
      <c r="I5" s="76">
        <f>Budget!G26</f>
        <v>109000</v>
      </c>
      <c r="J5" s="76">
        <f>Budget!H26</f>
        <v>4700</v>
      </c>
      <c r="K5" s="76">
        <f t="shared" ref="K5:K6" si="0">I5-J5</f>
        <v>104300</v>
      </c>
      <c r="M5" s="92" t="s">
        <v>250</v>
      </c>
      <c r="N5" s="92">
        <f>SUM(N3:N4)</f>
        <v>758</v>
      </c>
      <c r="O5" s="92">
        <f>SUM(O3:O4)</f>
        <v>100</v>
      </c>
    </row>
    <row r="6" spans="1:20">
      <c r="A6" s="70" t="s">
        <v>263</v>
      </c>
      <c r="B6" s="75">
        <f ca="1">COUNTIF(Schedule!L:L,"&gt;0")  - 1 - B4</f>
        <v>1</v>
      </c>
      <c r="D6" s="71" t="s">
        <v>264</v>
      </c>
      <c r="E6" s="74">
        <f>COUNTIF(Schedule!I:I,"&gt;=100%")</f>
        <v>4</v>
      </c>
      <c r="G6" s="191" t="s">
        <v>265</v>
      </c>
      <c r="H6" s="191"/>
      <c r="I6" s="76">
        <f>Budget!K26</f>
        <v>6500</v>
      </c>
      <c r="J6" s="76">
        <f>Budget!L26</f>
        <v>2200</v>
      </c>
      <c r="K6" s="76">
        <f t="shared" si="0"/>
        <v>4300</v>
      </c>
    </row>
    <row r="7" spans="1:20" ht="12.95">
      <c r="G7" s="187" t="s">
        <v>266</v>
      </c>
      <c r="H7" s="187"/>
      <c r="I7" s="79">
        <f>SUM(I4:I6)</f>
        <v>940500</v>
      </c>
      <c r="J7" s="79">
        <f t="shared" ref="J7:K7" si="1">SUM(J4:J6)</f>
        <v>340400</v>
      </c>
      <c r="K7" s="79">
        <f t="shared" si="1"/>
        <v>600100</v>
      </c>
    </row>
    <row r="10" spans="1:20">
      <c r="G10" s="78"/>
      <c r="H10" s="78"/>
      <c r="I10" s="78"/>
    </row>
    <row r="11" spans="1:20" ht="12.95">
      <c r="A11" s="186" t="s">
        <v>267</v>
      </c>
      <c r="B11" s="186"/>
      <c r="D11" s="186" t="s">
        <v>268</v>
      </c>
      <c r="E11" s="186"/>
      <c r="G11" s="186" t="s">
        <v>269</v>
      </c>
      <c r="H11" s="186"/>
      <c r="J11" s="186" t="s">
        <v>270</v>
      </c>
      <c r="K11" s="186"/>
      <c r="M11" s="186" t="s">
        <v>271</v>
      </c>
      <c r="N11" s="186"/>
    </row>
    <row r="12" spans="1:20">
      <c r="A12" s="70" t="s">
        <v>172</v>
      </c>
      <c r="B12" s="77">
        <f>COUNTIFS(Risks!I:I,"=Critical", Risks!E:E,"&lt;&gt;Closed")</f>
        <v>0</v>
      </c>
      <c r="D12" s="70" t="s">
        <v>172</v>
      </c>
      <c r="E12" s="77">
        <f>COUNTIFS(Issues!J:J,"&lt;&gt;Closed",Issues!H:H,"=Critical")</f>
        <v>2</v>
      </c>
      <c r="G12" s="70" t="s">
        <v>272</v>
      </c>
      <c r="H12" s="77">
        <f>COUNTIFS(Actions!F:F,"&lt;&gt;Closed",Actions!G:G,"=Urgent")</f>
        <v>0</v>
      </c>
      <c r="J12" s="72"/>
      <c r="K12" s="77"/>
      <c r="M12" s="72" t="s">
        <v>123</v>
      </c>
      <c r="N12" s="77">
        <f>COUNTIF(Decisions!G:G,"New")</f>
        <v>1</v>
      </c>
    </row>
    <row r="13" spans="1:20">
      <c r="A13" s="70" t="s">
        <v>126</v>
      </c>
      <c r="B13" s="77">
        <f>COUNTIFS(Risks!E:E,"&lt;&gt;Closed",Risks!I:I,"=High")</f>
        <v>2</v>
      </c>
      <c r="D13" s="70" t="s">
        <v>126</v>
      </c>
      <c r="E13" s="77">
        <f>COUNTIFS(Issues!J:J,"&lt;&gt;Closed",Issues!H:H,"=High")</f>
        <v>1</v>
      </c>
      <c r="G13" s="70" t="s">
        <v>126</v>
      </c>
      <c r="H13" s="77">
        <f>COUNTIFS(Actions!F:F,"&lt;&gt;Closed",Actions!G:G,"=High")</f>
        <v>0</v>
      </c>
      <c r="J13" s="72" t="s">
        <v>210</v>
      </c>
      <c r="K13" s="77">
        <f>COUNTIF('Change Requests'!G:G,"Rejected")</f>
        <v>1</v>
      </c>
      <c r="M13" s="72" t="s">
        <v>130</v>
      </c>
      <c r="N13" s="77">
        <f>COUNTIF(Decisions!G:G,"WIP")</f>
        <v>0</v>
      </c>
    </row>
    <row r="14" spans="1:20">
      <c r="A14" s="70" t="s">
        <v>138</v>
      </c>
      <c r="B14" s="77">
        <f>COUNTIFS(Risks!E:E,"&lt;&gt;Closed",Risks!I:I,"=Medium")</f>
        <v>1</v>
      </c>
      <c r="D14" s="70" t="s">
        <v>138</v>
      </c>
      <c r="E14" s="77">
        <f>COUNTIFS(Issues!J:J,"&lt;&gt;Closed",Issues!H:H,"=Medium")</f>
        <v>1</v>
      </c>
      <c r="G14" s="70" t="s">
        <v>138</v>
      </c>
      <c r="H14" s="77">
        <f>COUNTIFS(Actions!F:F,"&lt;&gt;Closed",Actions!G:G,"=Medium")</f>
        <v>1</v>
      </c>
      <c r="J14" s="72" t="s">
        <v>136</v>
      </c>
      <c r="K14" s="77">
        <f>COUNTIF('Change Requests'!G:G,"On Hold")</f>
        <v>1</v>
      </c>
      <c r="M14" s="72"/>
      <c r="N14" s="77"/>
    </row>
    <row r="15" spans="1:20">
      <c r="A15" s="70" t="s">
        <v>144</v>
      </c>
      <c r="B15" s="77">
        <f>COUNTIFS(Risks!E:E,"&lt;&gt;Closed",Risks!I:I,"=Low")</f>
        <v>1</v>
      </c>
      <c r="D15" s="70" t="s">
        <v>144</v>
      </c>
      <c r="E15" s="77">
        <f>COUNTIFS(Issues!J:J,"&lt;&gt;Closed",Issues!H:H,"=Low")</f>
        <v>1</v>
      </c>
      <c r="G15" s="70" t="s">
        <v>144</v>
      </c>
      <c r="H15" s="77">
        <f>COUNTIFS(Actions!F:F,"&lt;&gt;Closed",Actions!G:G,"=Low")</f>
        <v>3</v>
      </c>
      <c r="J15" s="72" t="s">
        <v>123</v>
      </c>
      <c r="K15" s="77">
        <f>COUNTIF('Change Requests'!G:G,"New")</f>
        <v>0</v>
      </c>
      <c r="M15" s="72" t="s">
        <v>136</v>
      </c>
      <c r="N15" s="77">
        <f>COUNTIF(Decisions!G:G,"On Hold")</f>
        <v>0</v>
      </c>
    </row>
    <row r="16" spans="1:20">
      <c r="G16" s="43" t="s">
        <v>250</v>
      </c>
      <c r="H16" s="43">
        <f>SUM(H12:H15)</f>
        <v>4</v>
      </c>
      <c r="J16" s="72" t="s">
        <v>130</v>
      </c>
      <c r="K16" s="77">
        <f>COUNTIF('Change Requests'!G:G,"WIP")</f>
        <v>0</v>
      </c>
      <c r="M16" s="72" t="s">
        <v>186</v>
      </c>
      <c r="N16" s="77">
        <f>COUNTIF(Decisions!G:G,"Open")</f>
        <v>0</v>
      </c>
    </row>
    <row r="17" spans="10:14">
      <c r="J17" s="43" t="s">
        <v>250</v>
      </c>
      <c r="K17" s="43">
        <f>SUM(K12:K16)</f>
        <v>2</v>
      </c>
      <c r="M17" s="43" t="s">
        <v>250</v>
      </c>
      <c r="N17" s="43">
        <f>SUM(N12:N16)</f>
        <v>1</v>
      </c>
    </row>
  </sheetData>
  <mergeCells count="15">
    <mergeCell ref="A1:T1"/>
    <mergeCell ref="A2:B2"/>
    <mergeCell ref="D2:E2"/>
    <mergeCell ref="A11:B11"/>
    <mergeCell ref="M2:N2"/>
    <mergeCell ref="G11:H11"/>
    <mergeCell ref="J11:K11"/>
    <mergeCell ref="M11:N11"/>
    <mergeCell ref="D11:E11"/>
    <mergeCell ref="G7:H7"/>
    <mergeCell ref="G2:K2"/>
    <mergeCell ref="G3:H3"/>
    <mergeCell ref="G4:H4"/>
    <mergeCell ref="G5:H5"/>
    <mergeCell ref="G6:H6"/>
  </mergeCells>
  <pageMargins left="0.7" right="0.7" top="0.75" bottom="0.75" header="0.3" footer="0.3"/>
  <pageSetup paperSize="9" orientation="portrait" horizontalDpi="4294967293" vertic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A0A108017FF0488F77AF220F8E2769" ma:contentTypeVersion="13" ma:contentTypeDescription="Create a new document." ma:contentTypeScope="" ma:versionID="1def7306c3cf6a6cc6ed2f4a8440267b">
  <xsd:schema xmlns:xsd="http://www.w3.org/2001/XMLSchema" xmlns:xs="http://www.w3.org/2001/XMLSchema" xmlns:p="http://schemas.microsoft.com/office/2006/metadata/properties" xmlns:ns2="a11fd71f-e386-4b2a-89e4-a10e79b1a3d8" xmlns:ns3="e35a21f2-4e4d-4e55-b316-830f13664140" targetNamespace="http://schemas.microsoft.com/office/2006/metadata/properties" ma:root="true" ma:fieldsID="cec201c8ddf967daa8f6a4c340cd7066" ns2:_="" ns3:_="">
    <xsd:import namespace="a11fd71f-e386-4b2a-89e4-a10e79b1a3d8"/>
    <xsd:import namespace="e35a21f2-4e4d-4e55-b316-830f136641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1fd71f-e386-4b2a-89e4-a10e79b1a3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5a21f2-4e4d-4e55-b316-830f1366414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35a21f2-4e4d-4e55-b316-830f13664140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B3D0CF13-5247-40DE-AA45-979E27103D07}"/>
</file>

<file path=customXml/itemProps2.xml><?xml version="1.0" encoding="utf-8"?>
<ds:datastoreItem xmlns:ds="http://schemas.openxmlformats.org/officeDocument/2006/customXml" ds:itemID="{55CC5624-8D40-46CA-BAAA-C44A37D822F7}"/>
</file>

<file path=customXml/itemProps3.xml><?xml version="1.0" encoding="utf-8"?>
<ds:datastoreItem xmlns:ds="http://schemas.openxmlformats.org/officeDocument/2006/customXml" ds:itemID="{0A098F88-C1F3-4457-9081-8DC94D254E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2015-06-05T18:17:20Z</dcterms:created>
  <dcterms:modified xsi:type="dcterms:W3CDTF">2022-10-01T04:38:30Z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0x010100F5A0A108017FF0488F77AF220F8E2769</vt:lpwstr>
  </property>
  <property fmtid="{D5CDD505-2E9C-101B-9397-08002B2CF9AE}" pid="3" name="Order">
    <vt:r8>9647400</vt:r8>
  </property>
  <property fmtid="{D5CDD505-2E9C-101B-9397-08002B2CF9AE}" pid="4" name="ComplianceAssetId">
    <vt:lpwstr/>
  </property>
</Properties>
</file>