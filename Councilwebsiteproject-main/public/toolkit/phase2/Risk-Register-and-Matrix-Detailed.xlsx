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1"/>
  <workbookPr defaultThemeVersion="166925"/>
  <mc:AlternateContent xmlns:mc="http://schemas.openxmlformats.org/markup-compatibility/2006">
    <mc:Choice Requires="x15">
      <x15ac:absPath xmlns:x15ac="http://schemas.microsoft.com/office/spreadsheetml/2010/11/ac" url="https://enginge-my.sharepoint.com/personal/nassim_enginge_com/Documents/Companies/Australia/Engineering Ingenuity/IPWEA/2022/PM Toolkit/PM Toolkit - Modified/Module 2 - Planning/Risk Management/"/>
    </mc:Choice>
  </mc:AlternateContent>
  <xr:revisionPtr revIDLastSave="6" documentId="8_{0CC1D7A9-0E95-4053-9F93-E597DA4F2AC0}" xr6:coauthVersionLast="47" xr6:coauthVersionMax="47" xr10:uidLastSave="{B5D4ECB8-5D61-4F7B-8A9B-4AF5F635C86D}"/>
  <bookViews>
    <workbookView xWindow="28680" yWindow="-120" windowWidth="29040" windowHeight="15840" xr2:uid="{00000000-000D-0000-FFFF-FFFF00000000}"/>
  </bookViews>
  <sheets>
    <sheet name="Info" sheetId="4" r:id="rId1"/>
    <sheet name="Risk Register" sheetId="1" r:id="rId2"/>
    <sheet name="Risk Range &amp; Risk Matrix" sheetId="3" r:id="rId3"/>
    <sheet name="Lists" sheetId="2" state="hidden" r:id="rId4"/>
  </sheets>
  <externalReferences>
    <externalReference r:id="rId5"/>
  </externalReferences>
  <definedNames>
    <definedName name="_xlnm._FilterDatabase" localSheetId="1" hidden="1">'Risk Register'!$B$8:$AB$8</definedName>
    <definedName name="Current_Rating">'[1]Risks Register'!$M$14:$M$38</definedName>
    <definedName name="Impact">[1]Ratings!$D$9:$H$9</definedName>
    <definedName name="Issues_Rating">[1]Ratings!$D$19:$H$20</definedName>
    <definedName name="Likelihood">[1]Ratings!$C$4:$C$8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5" i="1" l="1"/>
  <c r="N105" i="1"/>
  <c r="T105" i="1"/>
  <c r="V105" i="1"/>
  <c r="L106" i="1"/>
  <c r="N106" i="1"/>
  <c r="T106" i="1"/>
  <c r="V106" i="1"/>
  <c r="L107" i="1"/>
  <c r="N107" i="1"/>
  <c r="T107" i="1"/>
  <c r="V107" i="1"/>
  <c r="L108" i="1"/>
  <c r="N108" i="1"/>
  <c r="T108" i="1"/>
  <c r="V108" i="1"/>
  <c r="L109" i="1"/>
  <c r="N109" i="1"/>
  <c r="T109" i="1"/>
  <c r="V109" i="1"/>
  <c r="L25" i="1"/>
  <c r="N25" i="1"/>
  <c r="T25" i="1"/>
  <c r="V25" i="1"/>
  <c r="L26" i="1"/>
  <c r="N26" i="1"/>
  <c r="T26" i="1"/>
  <c r="V26" i="1"/>
  <c r="L27" i="1"/>
  <c r="N27" i="1"/>
  <c r="T27" i="1"/>
  <c r="V27" i="1"/>
  <c r="L28" i="1"/>
  <c r="N28" i="1"/>
  <c r="T28" i="1"/>
  <c r="V28" i="1"/>
  <c r="L29" i="1"/>
  <c r="N29" i="1"/>
  <c r="T29" i="1"/>
  <c r="V29" i="1"/>
  <c r="L30" i="1"/>
  <c r="N30" i="1"/>
  <c r="T30" i="1"/>
  <c r="V30" i="1"/>
  <c r="L31" i="1"/>
  <c r="N31" i="1"/>
  <c r="T31" i="1"/>
  <c r="V31" i="1"/>
  <c r="L32" i="1"/>
  <c r="N32" i="1"/>
  <c r="T32" i="1"/>
  <c r="V32" i="1"/>
  <c r="L33" i="1"/>
  <c r="N33" i="1"/>
  <c r="T33" i="1"/>
  <c r="V33" i="1"/>
  <c r="L34" i="1"/>
  <c r="N34" i="1"/>
  <c r="T34" i="1"/>
  <c r="V34" i="1"/>
  <c r="L35" i="1"/>
  <c r="N35" i="1"/>
  <c r="T35" i="1"/>
  <c r="V35" i="1"/>
  <c r="L36" i="1"/>
  <c r="N36" i="1"/>
  <c r="T36" i="1"/>
  <c r="V36" i="1"/>
  <c r="L37" i="1"/>
  <c r="N37" i="1"/>
  <c r="T37" i="1"/>
  <c r="V37" i="1"/>
  <c r="L38" i="1"/>
  <c r="N38" i="1"/>
  <c r="T38" i="1"/>
  <c r="V38" i="1"/>
  <c r="L39" i="1"/>
  <c r="N39" i="1"/>
  <c r="T39" i="1"/>
  <c r="V39" i="1"/>
  <c r="L40" i="1"/>
  <c r="N40" i="1"/>
  <c r="T40" i="1"/>
  <c r="V40" i="1"/>
  <c r="L41" i="1"/>
  <c r="N41" i="1"/>
  <c r="T41" i="1"/>
  <c r="V41" i="1"/>
  <c r="L42" i="1"/>
  <c r="N42" i="1"/>
  <c r="T42" i="1"/>
  <c r="V42" i="1"/>
  <c r="L43" i="1"/>
  <c r="N43" i="1"/>
  <c r="T43" i="1"/>
  <c r="V43" i="1"/>
  <c r="L44" i="1"/>
  <c r="N44" i="1"/>
  <c r="T44" i="1"/>
  <c r="V44" i="1"/>
  <c r="L45" i="1"/>
  <c r="N45" i="1"/>
  <c r="T45" i="1"/>
  <c r="V45" i="1"/>
  <c r="L46" i="1"/>
  <c r="N46" i="1"/>
  <c r="T46" i="1"/>
  <c r="V46" i="1"/>
  <c r="L47" i="1"/>
  <c r="N47" i="1"/>
  <c r="T47" i="1"/>
  <c r="V47" i="1"/>
  <c r="L48" i="1"/>
  <c r="N48" i="1"/>
  <c r="T48" i="1"/>
  <c r="V48" i="1"/>
  <c r="L49" i="1"/>
  <c r="N49" i="1"/>
  <c r="T49" i="1"/>
  <c r="V49" i="1"/>
  <c r="L50" i="1"/>
  <c r="N50" i="1"/>
  <c r="T50" i="1"/>
  <c r="V50" i="1"/>
  <c r="L51" i="1"/>
  <c r="N51" i="1"/>
  <c r="T51" i="1"/>
  <c r="V51" i="1"/>
  <c r="L52" i="1"/>
  <c r="N52" i="1"/>
  <c r="T52" i="1"/>
  <c r="V52" i="1"/>
  <c r="L53" i="1"/>
  <c r="N53" i="1"/>
  <c r="T53" i="1"/>
  <c r="V53" i="1"/>
  <c r="L54" i="1"/>
  <c r="N54" i="1"/>
  <c r="T54" i="1"/>
  <c r="V54" i="1"/>
  <c r="L55" i="1"/>
  <c r="N55" i="1"/>
  <c r="T55" i="1"/>
  <c r="V55" i="1"/>
  <c r="L56" i="1"/>
  <c r="N56" i="1"/>
  <c r="T56" i="1"/>
  <c r="V56" i="1"/>
  <c r="L57" i="1"/>
  <c r="N57" i="1"/>
  <c r="T57" i="1"/>
  <c r="V57" i="1"/>
  <c r="L58" i="1"/>
  <c r="N58" i="1"/>
  <c r="T58" i="1"/>
  <c r="V58" i="1"/>
  <c r="L59" i="1"/>
  <c r="N59" i="1"/>
  <c r="T59" i="1"/>
  <c r="V59" i="1"/>
  <c r="L60" i="1"/>
  <c r="N60" i="1"/>
  <c r="T60" i="1"/>
  <c r="V60" i="1"/>
  <c r="L61" i="1"/>
  <c r="N61" i="1"/>
  <c r="T61" i="1"/>
  <c r="V61" i="1"/>
  <c r="L62" i="1"/>
  <c r="N62" i="1"/>
  <c r="T62" i="1"/>
  <c r="V62" i="1"/>
  <c r="L63" i="1"/>
  <c r="N63" i="1"/>
  <c r="T63" i="1"/>
  <c r="V63" i="1"/>
  <c r="L64" i="1"/>
  <c r="N64" i="1"/>
  <c r="T64" i="1"/>
  <c r="V64" i="1"/>
  <c r="L65" i="1"/>
  <c r="N65" i="1"/>
  <c r="T65" i="1"/>
  <c r="V65" i="1"/>
  <c r="L66" i="1"/>
  <c r="N66" i="1"/>
  <c r="T66" i="1"/>
  <c r="V66" i="1"/>
  <c r="L67" i="1"/>
  <c r="N67" i="1"/>
  <c r="T67" i="1"/>
  <c r="V67" i="1"/>
  <c r="L68" i="1"/>
  <c r="N68" i="1"/>
  <c r="T68" i="1"/>
  <c r="V68" i="1"/>
  <c r="L69" i="1"/>
  <c r="N69" i="1"/>
  <c r="T69" i="1"/>
  <c r="V69" i="1"/>
  <c r="L70" i="1"/>
  <c r="N70" i="1"/>
  <c r="T70" i="1"/>
  <c r="V70" i="1"/>
  <c r="L71" i="1"/>
  <c r="N71" i="1"/>
  <c r="T71" i="1"/>
  <c r="V71" i="1"/>
  <c r="L72" i="1"/>
  <c r="N72" i="1"/>
  <c r="T72" i="1"/>
  <c r="V72" i="1"/>
  <c r="L73" i="1"/>
  <c r="N73" i="1"/>
  <c r="T73" i="1"/>
  <c r="V73" i="1"/>
  <c r="L74" i="1"/>
  <c r="N74" i="1"/>
  <c r="T74" i="1"/>
  <c r="V74" i="1"/>
  <c r="L75" i="1"/>
  <c r="N75" i="1"/>
  <c r="T75" i="1"/>
  <c r="V75" i="1"/>
  <c r="L76" i="1"/>
  <c r="N76" i="1"/>
  <c r="T76" i="1"/>
  <c r="V76" i="1"/>
  <c r="L77" i="1"/>
  <c r="N77" i="1"/>
  <c r="T77" i="1"/>
  <c r="V77" i="1"/>
  <c r="L78" i="1"/>
  <c r="N78" i="1"/>
  <c r="T78" i="1"/>
  <c r="V78" i="1"/>
  <c r="L79" i="1"/>
  <c r="N79" i="1"/>
  <c r="T79" i="1"/>
  <c r="V79" i="1"/>
  <c r="L80" i="1"/>
  <c r="N80" i="1"/>
  <c r="T80" i="1"/>
  <c r="V80" i="1"/>
  <c r="L81" i="1"/>
  <c r="N81" i="1"/>
  <c r="T81" i="1"/>
  <c r="V81" i="1"/>
  <c r="L82" i="1"/>
  <c r="N82" i="1"/>
  <c r="T82" i="1"/>
  <c r="V82" i="1"/>
  <c r="L83" i="1"/>
  <c r="N83" i="1"/>
  <c r="T83" i="1"/>
  <c r="V83" i="1"/>
  <c r="L84" i="1"/>
  <c r="N84" i="1"/>
  <c r="T84" i="1"/>
  <c r="V84" i="1"/>
  <c r="L85" i="1"/>
  <c r="N85" i="1"/>
  <c r="T85" i="1"/>
  <c r="V85" i="1"/>
  <c r="L86" i="1"/>
  <c r="N86" i="1"/>
  <c r="T86" i="1"/>
  <c r="V86" i="1"/>
  <c r="L87" i="1"/>
  <c r="N87" i="1"/>
  <c r="T87" i="1"/>
  <c r="V87" i="1"/>
  <c r="L88" i="1"/>
  <c r="N88" i="1"/>
  <c r="T88" i="1"/>
  <c r="V88" i="1"/>
  <c r="L89" i="1"/>
  <c r="N89" i="1"/>
  <c r="T89" i="1"/>
  <c r="V89" i="1"/>
  <c r="L90" i="1"/>
  <c r="N90" i="1"/>
  <c r="T90" i="1"/>
  <c r="V90" i="1"/>
  <c r="L91" i="1"/>
  <c r="N91" i="1"/>
  <c r="T91" i="1"/>
  <c r="V91" i="1"/>
  <c r="L92" i="1"/>
  <c r="N92" i="1"/>
  <c r="T92" i="1"/>
  <c r="V92" i="1"/>
  <c r="L93" i="1"/>
  <c r="N93" i="1"/>
  <c r="T93" i="1"/>
  <c r="V93" i="1"/>
  <c r="L94" i="1"/>
  <c r="N94" i="1"/>
  <c r="T94" i="1"/>
  <c r="V94" i="1"/>
  <c r="L95" i="1"/>
  <c r="N95" i="1"/>
  <c r="T95" i="1"/>
  <c r="V95" i="1"/>
  <c r="L96" i="1"/>
  <c r="N96" i="1"/>
  <c r="T96" i="1"/>
  <c r="V96" i="1"/>
  <c r="L97" i="1"/>
  <c r="N97" i="1"/>
  <c r="T97" i="1"/>
  <c r="V97" i="1"/>
  <c r="L98" i="1"/>
  <c r="N98" i="1"/>
  <c r="T98" i="1"/>
  <c r="V98" i="1"/>
  <c r="L99" i="1"/>
  <c r="N99" i="1"/>
  <c r="T99" i="1"/>
  <c r="V99" i="1"/>
  <c r="L100" i="1"/>
  <c r="N100" i="1"/>
  <c r="T100" i="1"/>
  <c r="V100" i="1"/>
  <c r="L101" i="1"/>
  <c r="N101" i="1"/>
  <c r="T101" i="1"/>
  <c r="V101" i="1"/>
  <c r="L102" i="1"/>
  <c r="N102" i="1"/>
  <c r="T102" i="1"/>
  <c r="V102" i="1"/>
  <c r="L103" i="1"/>
  <c r="N103" i="1"/>
  <c r="T103" i="1"/>
  <c r="V103" i="1"/>
  <c r="L104" i="1"/>
  <c r="N104" i="1"/>
  <c r="T104" i="1"/>
  <c r="V104" i="1"/>
  <c r="N16" i="1"/>
  <c r="N14" i="1"/>
  <c r="N15" i="1"/>
  <c r="N17" i="1"/>
  <c r="N18" i="1"/>
  <c r="N19" i="1"/>
  <c r="N20" i="1"/>
  <c r="N21" i="1"/>
  <c r="N22" i="1"/>
  <c r="N23" i="1"/>
  <c r="N24" i="1"/>
  <c r="L15" i="1"/>
  <c r="L16" i="1"/>
  <c r="L17" i="1"/>
  <c r="L18" i="1"/>
  <c r="L19" i="1"/>
  <c r="L20" i="1"/>
  <c r="L21" i="1"/>
  <c r="L22" i="1"/>
  <c r="L23" i="1"/>
  <c r="L24" i="1"/>
  <c r="T9" i="1"/>
  <c r="V9" i="1"/>
  <c r="V24" i="1"/>
  <c r="T24" i="1"/>
  <c r="V23" i="1"/>
  <c r="T23" i="1"/>
  <c r="V22" i="1"/>
  <c r="T22" i="1"/>
  <c r="V21" i="1"/>
  <c r="T21" i="1"/>
  <c r="V20" i="1"/>
  <c r="T20" i="1"/>
  <c r="V19" i="1"/>
  <c r="T19" i="1"/>
  <c r="V18" i="1"/>
  <c r="T18" i="1"/>
  <c r="V17" i="1"/>
  <c r="T17" i="1"/>
  <c r="V16" i="1"/>
  <c r="T16" i="1"/>
  <c r="V15" i="1"/>
  <c r="T15" i="1"/>
  <c r="V14" i="1"/>
  <c r="T14" i="1"/>
  <c r="V13" i="1"/>
  <c r="T13" i="1"/>
  <c r="V12" i="1"/>
  <c r="T12" i="1"/>
  <c r="V11" i="1"/>
  <c r="T11" i="1"/>
  <c r="V10" i="1"/>
  <c r="T10" i="1"/>
  <c r="C12" i="3"/>
  <c r="D9" i="3"/>
  <c r="C9" i="3"/>
  <c r="C10" i="3"/>
  <c r="C11" i="3"/>
  <c r="N10" i="1"/>
  <c r="N11" i="1"/>
  <c r="N12" i="1"/>
  <c r="N13" i="1"/>
  <c r="N9" i="1"/>
  <c r="L14" i="1"/>
  <c r="L10" i="1"/>
  <c r="L11" i="1"/>
  <c r="L12" i="1"/>
  <c r="L13" i="1"/>
  <c r="L9" i="1"/>
  <c r="W36" i="1" l="1"/>
  <c r="X36" i="1" s="1"/>
  <c r="W28" i="1"/>
  <c r="X28" i="1" s="1"/>
  <c r="W27" i="1"/>
  <c r="X27" i="1" s="1"/>
  <c r="W26" i="1"/>
  <c r="X26" i="1" s="1"/>
  <c r="W25" i="1"/>
  <c r="X25" i="1" s="1"/>
  <c r="W109" i="1"/>
  <c r="X109" i="1" s="1"/>
  <c r="W106" i="1"/>
  <c r="X106" i="1" s="1"/>
  <c r="O66" i="1"/>
  <c r="P66" i="1" s="1"/>
  <c r="O62" i="1"/>
  <c r="P62" i="1" s="1"/>
  <c r="O50" i="1"/>
  <c r="P50" i="1" s="1"/>
  <c r="O46" i="1"/>
  <c r="P46" i="1" s="1"/>
  <c r="O34" i="1"/>
  <c r="P34" i="1" s="1"/>
  <c r="O108" i="1"/>
  <c r="P108" i="1" s="1"/>
  <c r="W52" i="1"/>
  <c r="X52" i="1" s="1"/>
  <c r="W50" i="1"/>
  <c r="X50" i="1" s="1"/>
  <c r="W46" i="1"/>
  <c r="X46" i="1" s="1"/>
  <c r="W97" i="1"/>
  <c r="X97" i="1" s="1"/>
  <c r="W93" i="1"/>
  <c r="X93" i="1" s="1"/>
  <c r="W90" i="1"/>
  <c r="X90" i="1" s="1"/>
  <c r="W87" i="1"/>
  <c r="X87" i="1" s="1"/>
  <c r="W84" i="1"/>
  <c r="X84" i="1" s="1"/>
  <c r="W80" i="1"/>
  <c r="X80" i="1" s="1"/>
  <c r="W77" i="1"/>
  <c r="X77" i="1" s="1"/>
  <c r="W42" i="1"/>
  <c r="X42" i="1" s="1"/>
  <c r="W100" i="1"/>
  <c r="X100" i="1" s="1"/>
  <c r="W98" i="1"/>
  <c r="X98" i="1" s="1"/>
  <c r="W95" i="1"/>
  <c r="X95" i="1" s="1"/>
  <c r="W92" i="1"/>
  <c r="X92" i="1" s="1"/>
  <c r="W89" i="1"/>
  <c r="X89" i="1" s="1"/>
  <c r="W86" i="1"/>
  <c r="X86" i="1" s="1"/>
  <c r="W83" i="1"/>
  <c r="X83" i="1" s="1"/>
  <c r="W81" i="1"/>
  <c r="X81" i="1" s="1"/>
  <c r="W78" i="1"/>
  <c r="X78" i="1" s="1"/>
  <c r="W43" i="1"/>
  <c r="X43" i="1" s="1"/>
  <c r="W40" i="1"/>
  <c r="X40" i="1" s="1"/>
  <c r="W99" i="1"/>
  <c r="X99" i="1" s="1"/>
  <c r="W96" i="1"/>
  <c r="X96" i="1" s="1"/>
  <c r="W94" i="1"/>
  <c r="X94" i="1" s="1"/>
  <c r="W91" i="1"/>
  <c r="X91" i="1" s="1"/>
  <c r="W88" i="1"/>
  <c r="X88" i="1" s="1"/>
  <c r="W85" i="1"/>
  <c r="X85" i="1" s="1"/>
  <c r="W82" i="1"/>
  <c r="X82" i="1" s="1"/>
  <c r="W79" i="1"/>
  <c r="X79" i="1" s="1"/>
  <c r="W76" i="1"/>
  <c r="X76" i="1" s="1"/>
  <c r="W44" i="1"/>
  <c r="X44" i="1" s="1"/>
  <c r="W39" i="1"/>
  <c r="X39" i="1" s="1"/>
  <c r="O105" i="1"/>
  <c r="P105" i="1" s="1"/>
  <c r="O24" i="1"/>
  <c r="P24" i="1" s="1"/>
  <c r="O20" i="1"/>
  <c r="P20" i="1" s="1"/>
  <c r="O59" i="1"/>
  <c r="P59" i="1" s="1"/>
  <c r="O55" i="1"/>
  <c r="P55" i="1" s="1"/>
  <c r="W105" i="1"/>
  <c r="X105" i="1" s="1"/>
  <c r="O43" i="1"/>
  <c r="P43" i="1" s="1"/>
  <c r="O39" i="1"/>
  <c r="P39" i="1" s="1"/>
  <c r="O27" i="1"/>
  <c r="P27" i="1" s="1"/>
  <c r="O109" i="1"/>
  <c r="P109" i="1" s="1"/>
  <c r="W75" i="1"/>
  <c r="X75" i="1" s="1"/>
  <c r="W74" i="1"/>
  <c r="X74" i="1" s="1"/>
  <c r="W73" i="1"/>
  <c r="X73" i="1" s="1"/>
  <c r="W72" i="1"/>
  <c r="X72" i="1" s="1"/>
  <c r="W71" i="1"/>
  <c r="X71" i="1" s="1"/>
  <c r="W70" i="1"/>
  <c r="X70" i="1" s="1"/>
  <c r="W69" i="1"/>
  <c r="X69" i="1" s="1"/>
  <c r="W68" i="1"/>
  <c r="X68" i="1" s="1"/>
  <c r="W67" i="1"/>
  <c r="X67" i="1" s="1"/>
  <c r="W64" i="1"/>
  <c r="X64" i="1" s="1"/>
  <c r="W63" i="1"/>
  <c r="X63" i="1" s="1"/>
  <c r="W62" i="1"/>
  <c r="X62" i="1" s="1"/>
  <c r="W60" i="1"/>
  <c r="X60" i="1" s="1"/>
  <c r="W59" i="1"/>
  <c r="X59" i="1" s="1"/>
  <c r="W56" i="1"/>
  <c r="X56" i="1" s="1"/>
  <c r="W55" i="1"/>
  <c r="X55" i="1" s="1"/>
  <c r="W54" i="1"/>
  <c r="X54" i="1" s="1"/>
  <c r="W30" i="1"/>
  <c r="X30" i="1" s="1"/>
  <c r="W108" i="1"/>
  <c r="X108" i="1" s="1"/>
  <c r="O99" i="1"/>
  <c r="P99" i="1" s="1"/>
  <c r="O98" i="1"/>
  <c r="P98" i="1" s="1"/>
  <c r="O97" i="1"/>
  <c r="P97" i="1" s="1"/>
  <c r="O96" i="1"/>
  <c r="P96" i="1" s="1"/>
  <c r="O95" i="1"/>
  <c r="P95" i="1" s="1"/>
  <c r="O94" i="1"/>
  <c r="P94" i="1" s="1"/>
  <c r="O93" i="1"/>
  <c r="P93" i="1" s="1"/>
  <c r="O92" i="1"/>
  <c r="P92" i="1" s="1"/>
  <c r="O91" i="1"/>
  <c r="P91" i="1" s="1"/>
  <c r="O90" i="1"/>
  <c r="P90" i="1" s="1"/>
  <c r="O89" i="1"/>
  <c r="P89" i="1" s="1"/>
  <c r="O88" i="1"/>
  <c r="P88" i="1" s="1"/>
  <c r="O87" i="1"/>
  <c r="P87" i="1" s="1"/>
  <c r="O86" i="1"/>
  <c r="P86" i="1" s="1"/>
  <c r="O85" i="1"/>
  <c r="P85" i="1" s="1"/>
  <c r="O84" i="1"/>
  <c r="P84" i="1" s="1"/>
  <c r="O83" i="1"/>
  <c r="P83" i="1" s="1"/>
  <c r="O82" i="1"/>
  <c r="P82" i="1" s="1"/>
  <c r="O81" i="1"/>
  <c r="P81" i="1" s="1"/>
  <c r="O80" i="1"/>
  <c r="P80" i="1" s="1"/>
  <c r="O79" i="1"/>
  <c r="P79" i="1" s="1"/>
  <c r="O78" i="1"/>
  <c r="P78" i="1" s="1"/>
  <c r="O77" i="1"/>
  <c r="P77" i="1" s="1"/>
  <c r="O76" i="1"/>
  <c r="P76" i="1" s="1"/>
  <c r="O75" i="1"/>
  <c r="P75" i="1" s="1"/>
  <c r="O74" i="1"/>
  <c r="P74" i="1" s="1"/>
  <c r="O73" i="1"/>
  <c r="P73" i="1" s="1"/>
  <c r="O72" i="1"/>
  <c r="P72" i="1" s="1"/>
  <c r="O71" i="1"/>
  <c r="P71" i="1" s="1"/>
  <c r="O70" i="1"/>
  <c r="P70" i="1" s="1"/>
  <c r="O69" i="1"/>
  <c r="P69" i="1" s="1"/>
  <c r="O68" i="1"/>
  <c r="P68" i="1" s="1"/>
  <c r="O67" i="1"/>
  <c r="P67" i="1" s="1"/>
  <c r="O63" i="1"/>
  <c r="P63" i="1" s="1"/>
  <c r="O58" i="1"/>
  <c r="P58" i="1" s="1"/>
  <c r="O54" i="1"/>
  <c r="P54" i="1" s="1"/>
  <c r="W51" i="1"/>
  <c r="X51" i="1" s="1"/>
  <c r="W48" i="1"/>
  <c r="X48" i="1" s="1"/>
  <c r="W47" i="1"/>
  <c r="X47" i="1" s="1"/>
  <c r="W38" i="1"/>
  <c r="X38" i="1" s="1"/>
  <c r="O35" i="1"/>
  <c r="P35" i="1" s="1"/>
  <c r="O31" i="1"/>
  <c r="P31" i="1" s="1"/>
  <c r="O29" i="1"/>
  <c r="P29" i="1" s="1"/>
  <c r="O26" i="1"/>
  <c r="P26" i="1" s="1"/>
  <c r="W107" i="1"/>
  <c r="X107" i="1" s="1"/>
  <c r="W104" i="1"/>
  <c r="X104" i="1" s="1"/>
  <c r="W103" i="1"/>
  <c r="X103" i="1" s="1"/>
  <c r="W66" i="1"/>
  <c r="X66" i="1" s="1"/>
  <c r="W58" i="1"/>
  <c r="X58" i="1" s="1"/>
  <c r="O51" i="1"/>
  <c r="P51" i="1" s="1"/>
  <c r="O47" i="1"/>
  <c r="P47" i="1" s="1"/>
  <c r="O42" i="1"/>
  <c r="P42" i="1" s="1"/>
  <c r="O38" i="1"/>
  <c r="P38" i="1" s="1"/>
  <c r="W35" i="1"/>
  <c r="X35" i="1" s="1"/>
  <c r="W34" i="1"/>
  <c r="X34" i="1" s="1"/>
  <c r="W32" i="1"/>
  <c r="X32" i="1" s="1"/>
  <c r="W31" i="1"/>
  <c r="X31" i="1" s="1"/>
  <c r="O107" i="1"/>
  <c r="P107" i="1" s="1"/>
  <c r="O106" i="1"/>
  <c r="P106" i="1" s="1"/>
  <c r="W102" i="1"/>
  <c r="X102" i="1" s="1"/>
  <c r="W101" i="1"/>
  <c r="X101" i="1" s="1"/>
  <c r="O65" i="1"/>
  <c r="P65" i="1" s="1"/>
  <c r="O64" i="1"/>
  <c r="P64" i="1" s="1"/>
  <c r="W61" i="1"/>
  <c r="X61" i="1" s="1"/>
  <c r="O57" i="1"/>
  <c r="P57" i="1" s="1"/>
  <c r="O56" i="1"/>
  <c r="P56" i="1" s="1"/>
  <c r="W53" i="1"/>
  <c r="X53" i="1" s="1"/>
  <c r="O49" i="1"/>
  <c r="P49" i="1" s="1"/>
  <c r="O48" i="1"/>
  <c r="P48" i="1" s="1"/>
  <c r="W45" i="1"/>
  <c r="X45" i="1" s="1"/>
  <c r="O41" i="1"/>
  <c r="P41" i="1" s="1"/>
  <c r="O40" i="1"/>
  <c r="P40" i="1" s="1"/>
  <c r="W37" i="1"/>
  <c r="X37" i="1" s="1"/>
  <c r="O33" i="1"/>
  <c r="P33" i="1" s="1"/>
  <c r="O32" i="1"/>
  <c r="P32" i="1" s="1"/>
  <c r="W29" i="1"/>
  <c r="X29" i="1" s="1"/>
  <c r="O25" i="1"/>
  <c r="P25" i="1" s="1"/>
  <c r="O23" i="1"/>
  <c r="P23" i="1" s="1"/>
  <c r="O30" i="1"/>
  <c r="P30" i="1" s="1"/>
  <c r="O14" i="1"/>
  <c r="O19" i="1"/>
  <c r="P19" i="1" s="1"/>
  <c r="O22" i="1"/>
  <c r="P22" i="1" s="1"/>
  <c r="O18" i="1"/>
  <c r="P18" i="1" s="1"/>
  <c r="W65" i="1"/>
  <c r="X65" i="1" s="1"/>
  <c r="O61" i="1"/>
  <c r="P61" i="1" s="1"/>
  <c r="O60" i="1"/>
  <c r="P60" i="1" s="1"/>
  <c r="W57" i="1"/>
  <c r="X57" i="1" s="1"/>
  <c r="O53" i="1"/>
  <c r="P53" i="1" s="1"/>
  <c r="O52" i="1"/>
  <c r="P52" i="1" s="1"/>
  <c r="W49" i="1"/>
  <c r="X49" i="1" s="1"/>
  <c r="O45" i="1"/>
  <c r="P45" i="1" s="1"/>
  <c r="O44" i="1"/>
  <c r="P44" i="1" s="1"/>
  <c r="W41" i="1"/>
  <c r="X41" i="1" s="1"/>
  <c r="O37" i="1"/>
  <c r="P37" i="1" s="1"/>
  <c r="O36" i="1"/>
  <c r="P36" i="1" s="1"/>
  <c r="W33" i="1"/>
  <c r="X33" i="1" s="1"/>
  <c r="O28" i="1"/>
  <c r="P28" i="1" s="1"/>
  <c r="O104" i="1"/>
  <c r="P104" i="1" s="1"/>
  <c r="O102" i="1"/>
  <c r="P102" i="1" s="1"/>
  <c r="O100" i="1"/>
  <c r="P100" i="1" s="1"/>
  <c r="O103" i="1"/>
  <c r="P103" i="1" s="1"/>
  <c r="O101" i="1"/>
  <c r="P101" i="1" s="1"/>
  <c r="O12" i="1"/>
  <c r="P12" i="1" s="1"/>
  <c r="W11" i="1"/>
  <c r="X11" i="1" s="1"/>
  <c r="W13" i="1"/>
  <c r="X13" i="1" s="1"/>
  <c r="W15" i="1"/>
  <c r="X15" i="1" s="1"/>
  <c r="W17" i="1"/>
  <c r="X17" i="1" s="1"/>
  <c r="W19" i="1"/>
  <c r="X19" i="1" s="1"/>
  <c r="W21" i="1"/>
  <c r="X21" i="1" s="1"/>
  <c r="W23" i="1"/>
  <c r="X23" i="1" s="1"/>
  <c r="O17" i="1"/>
  <c r="P17" i="1" s="1"/>
  <c r="O15" i="1"/>
  <c r="P15" i="1" s="1"/>
  <c r="W10" i="1"/>
  <c r="X10" i="1" s="1"/>
  <c r="W12" i="1"/>
  <c r="X12" i="1" s="1"/>
  <c r="W14" i="1"/>
  <c r="X14" i="1" s="1"/>
  <c r="W16" i="1"/>
  <c r="X16" i="1" s="1"/>
  <c r="W18" i="1"/>
  <c r="X18" i="1" s="1"/>
  <c r="W20" i="1"/>
  <c r="X20" i="1" s="1"/>
  <c r="W22" i="1"/>
  <c r="X22" i="1" s="1"/>
  <c r="W24" i="1"/>
  <c r="X24" i="1" s="1"/>
  <c r="O21" i="1"/>
  <c r="P21" i="1" s="1"/>
  <c r="O9" i="1"/>
  <c r="P9" i="1" s="1"/>
  <c r="O10" i="1"/>
  <c r="P10" i="1" s="1"/>
  <c r="O16" i="1"/>
  <c r="P16" i="1" s="1"/>
  <c r="O11" i="1"/>
  <c r="P11" i="1" s="1"/>
  <c r="O13" i="1"/>
  <c r="P13" i="1" s="1"/>
  <c r="W9" i="1"/>
  <c r="X9" i="1" s="1"/>
  <c r="P14" i="1"/>
  <c r="J9" i="3"/>
  <c r="K9" i="3"/>
  <c r="L9" i="3"/>
  <c r="M9" i="3"/>
  <c r="J10" i="3"/>
  <c r="K10" i="3"/>
  <c r="L10" i="3"/>
  <c r="M10" i="3"/>
  <c r="J11" i="3"/>
  <c r="K11" i="3"/>
  <c r="L11" i="3"/>
  <c r="M11" i="3"/>
  <c r="J12" i="3"/>
  <c r="K12" i="3"/>
  <c r="L12" i="3"/>
  <c r="M12" i="3"/>
  <c r="I12" i="3"/>
  <c r="I11" i="3"/>
  <c r="I10" i="3"/>
  <c r="I9" i="3"/>
  <c r="J8" i="3"/>
  <c r="K8" i="3"/>
  <c r="L8" i="3"/>
  <c r="M8" i="3"/>
  <c r="I8" i="3"/>
</calcChain>
</file>

<file path=xl/sharedStrings.xml><?xml version="1.0" encoding="utf-8"?>
<sst xmlns="http://schemas.openxmlformats.org/spreadsheetml/2006/main" count="275" uniqueCount="187">
  <si>
    <t>Info</t>
  </si>
  <si>
    <r>
      <t xml:space="preserve">This excel file is composed by four tabs: 
•	Risk Register
•	Risk Range &amp; Risk Matrix,
•	Lists </t>
    </r>
    <r>
      <rPr>
        <i/>
        <sz val="11"/>
        <color theme="1"/>
        <rFont val="Calibri"/>
        <family val="2"/>
        <scheme val="minor"/>
      </rPr>
      <t>(hidden tab needs to be unhidden to be edited)</t>
    </r>
    <r>
      <rPr>
        <sz val="11"/>
        <color theme="1"/>
        <rFont val="Calibri"/>
        <family val="2"/>
        <scheme val="minor"/>
      </rPr>
      <t xml:space="preserve"> and, 
•	Info</t>
    </r>
  </si>
  <si>
    <r>
      <rPr>
        <b/>
        <sz val="11"/>
        <color theme="1"/>
        <rFont val="Calibri"/>
        <family val="2"/>
        <scheme val="minor"/>
      </rPr>
      <t xml:space="preserve">Risk Register </t>
    </r>
    <r>
      <rPr>
        <sz val="11"/>
        <color theme="1"/>
        <rFont val="Calibri"/>
        <family val="2"/>
        <scheme val="minor"/>
      </rPr>
      <t xml:space="preserve">is composed by three different type of fields. Conditioned fields and Automatic fields and Free fields.
Conditioned fields means the user can only select from a dropdown menu list and the content and/or format will be populated after selection.
Automatic fields means the content and/or format will self-populate according to other conditioned fileds inputed in the same row. 
Free fields means the user can type without restrictions.
Conditioned fileds are in Type (column G), Urgency (column H), Category (column I), Characteristic (column J), Likelihood (columns K and  S), Impact (columns M and U), Treatment (Q &amp; Y). 
Automatic fields are Risk rating (columns P  and X ), Likelihood formula (columns L and T ), Impact formula (columns N and V) and Risk rating formula (columns O and W) 
The rest are free fields.
</t>
    </r>
    <r>
      <rPr>
        <i/>
        <sz val="11"/>
        <color theme="1"/>
        <rFont val="Calibri"/>
        <family val="2"/>
        <scheme val="minor"/>
      </rPr>
      <t>It is recomeneded to leave the automaticn fields  Formula columns (L,T,N,V,O and W) hidden.</t>
    </r>
    <r>
      <rPr>
        <sz val="11"/>
        <color theme="1"/>
        <rFont val="Calibri"/>
        <family val="2"/>
        <scheme val="minor"/>
      </rPr>
      <t xml:space="preserve">
The Risk register is currently programmed for 100 risks initially as an example, but this can be easily be extended if further rows are needed.</t>
    </r>
  </si>
  <si>
    <r>
      <rPr>
        <b/>
        <sz val="11"/>
        <color theme="1"/>
        <rFont val="Calibri"/>
        <family val="2"/>
        <scheme val="minor"/>
      </rPr>
      <t>Risk Range and Risk Matrix</t>
    </r>
    <r>
      <rPr>
        <sz val="11"/>
        <color theme="1"/>
        <rFont val="Calibri"/>
        <family val="2"/>
        <scheme val="minor"/>
      </rPr>
      <t xml:space="preserve">
Risk range and Risk Matrix are interlinked with each other and are linked to the Risk Register. 
Changing editable fields (yellow filled cells) can be done to adjust the risk ranges and impact and likelihood values to be aligned with the project risk assessment policy.</t>
    </r>
  </si>
  <si>
    <r>
      <t xml:space="preserve">Lists
</t>
    </r>
    <r>
      <rPr>
        <sz val="11"/>
        <color theme="1"/>
        <rFont val="Calibri"/>
        <family val="2"/>
        <scheme val="minor"/>
      </rPr>
      <t>The list fields contains stored info used for dropdown menu conditioned fileds in the Risk Register tab</t>
    </r>
  </si>
  <si>
    <t>Risk Register</t>
  </si>
  <si>
    <t>Identification</t>
  </si>
  <si>
    <t>Categorization</t>
  </si>
  <si>
    <t>Risk Assessment</t>
  </si>
  <si>
    <t>Treatment</t>
  </si>
  <si>
    <t>Re-assessment</t>
  </si>
  <si>
    <t>Monitoring</t>
  </si>
  <si>
    <t>Rn-id</t>
  </si>
  <si>
    <t>Reported  by</t>
  </si>
  <si>
    <t>Date</t>
  </si>
  <si>
    <t>Description</t>
  </si>
  <si>
    <t>Owner</t>
  </si>
  <si>
    <t>Type</t>
  </si>
  <si>
    <t>Urgency</t>
  </si>
  <si>
    <t>Category</t>
  </si>
  <si>
    <t>Characteristic</t>
  </si>
  <si>
    <t>Likelihood</t>
  </si>
  <si>
    <t>Likelihood formula</t>
  </si>
  <si>
    <t>Impact</t>
  </si>
  <si>
    <t>Impact formula</t>
  </si>
  <si>
    <t>Risk Rating formula</t>
  </si>
  <si>
    <t>Risk Rating</t>
  </si>
  <si>
    <t>Comments</t>
  </si>
  <si>
    <t>Last updated</t>
  </si>
  <si>
    <t>R1</t>
  </si>
  <si>
    <t>Internal</t>
  </si>
  <si>
    <t xml:space="preserve">High </t>
  </si>
  <si>
    <t>Technical</t>
  </si>
  <si>
    <t>Positive</t>
  </si>
  <si>
    <t>Unlikely</t>
  </si>
  <si>
    <t>Insignificant</t>
  </si>
  <si>
    <t>R2</t>
  </si>
  <si>
    <t>External</t>
  </si>
  <si>
    <t>Medium</t>
  </si>
  <si>
    <t>Cost</t>
  </si>
  <si>
    <t>Negative</t>
  </si>
  <si>
    <t>Likely</t>
  </si>
  <si>
    <t>Minor</t>
  </si>
  <si>
    <t xml:space="preserve">Accept </t>
  </si>
  <si>
    <t>R3</t>
  </si>
  <si>
    <t>Low</t>
  </si>
  <si>
    <t>Schedule</t>
  </si>
  <si>
    <t>Possible</t>
  </si>
  <si>
    <t>Moderate</t>
  </si>
  <si>
    <t>Transfer</t>
  </si>
  <si>
    <t>R4</t>
  </si>
  <si>
    <t>Contractual</t>
  </si>
  <si>
    <t>Very likely</t>
  </si>
  <si>
    <t>Major</t>
  </si>
  <si>
    <t>Mitigate</t>
  </si>
  <si>
    <t>R5</t>
  </si>
  <si>
    <t>Weather</t>
  </si>
  <si>
    <t>Almost certain</t>
  </si>
  <si>
    <t>Catastrophic</t>
  </si>
  <si>
    <t>Avoid</t>
  </si>
  <si>
    <t>R6</t>
  </si>
  <si>
    <t>Quality</t>
  </si>
  <si>
    <t>Exploit potential</t>
  </si>
  <si>
    <t>R7</t>
  </si>
  <si>
    <t>Financial</t>
  </si>
  <si>
    <t>Share</t>
  </si>
  <si>
    <t>R8</t>
  </si>
  <si>
    <t>Political</t>
  </si>
  <si>
    <t>R9</t>
  </si>
  <si>
    <t>Environmental</t>
  </si>
  <si>
    <t>R10</t>
  </si>
  <si>
    <t>Safety</t>
  </si>
  <si>
    <t>R11</t>
  </si>
  <si>
    <t>Resources</t>
  </si>
  <si>
    <t>R12</t>
  </si>
  <si>
    <t>Regulatory</t>
  </si>
  <si>
    <t>R13</t>
  </si>
  <si>
    <t>Dependencies</t>
  </si>
  <si>
    <t>R14</t>
  </si>
  <si>
    <t>Market</t>
  </si>
  <si>
    <t>R15</t>
  </si>
  <si>
    <t>Legal</t>
  </si>
  <si>
    <t>R16</t>
  </si>
  <si>
    <t>Ethical</t>
  </si>
  <si>
    <t>R17</t>
  </si>
  <si>
    <t>Reputation</t>
  </si>
  <si>
    <t>R18</t>
  </si>
  <si>
    <t>Community</t>
  </si>
  <si>
    <t>R19</t>
  </si>
  <si>
    <t>Heritage</t>
  </si>
  <si>
    <t>R20</t>
  </si>
  <si>
    <t>Other</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</si>
  <si>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</si>
  <si>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</si>
  <si>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</si>
  <si>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</si>
  <si>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</si>
  <si>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</si>
  <si>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</si>
  <si>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</si>
  <si>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</si>
  <si>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</si>
  <si>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</si>
  <si>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</si>
  <si>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</si>
  <si>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</si>
  <si>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</si>
  <si>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</si>
  <si>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</si>
  <si>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</si>
  <si>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</si>
  <si>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</si>
  <si>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</si>
  <si>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</si>
  <si>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</si>
  <si>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</si>
  <si>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</si>
  <si>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</si>
  <si>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</si>
  <si>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</si>
  <si>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</si>
  <si>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</si>
  <si>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</si>
  <si>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</si>
  <si>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</si>
  <si>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</si>
  <si>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</si>
  <si>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</si>
  <si>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</si>
  <si>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</si>
  <si>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</si>
  <si>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</si>
  <si>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</si>
  <si>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</si>
  <si>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</si>
  <si>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</si>
  <si>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</si>
  <si>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</si>
  <si>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</si>
  <si>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</si>
  <si>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</si>
  <si>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</si>
  <si>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</si>
  <si>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</si>
  <si>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</si>
  <si>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</si>
  <si>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</si>
  <si>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</si>
  <si>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</si>
  <si>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</si>
  <si>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</si>
  <si>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</si>
  <si>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</si>
  <si>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</si>
  <si>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</si>
  <si>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</si>
  <si>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</si>
  <si>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</si>
  <si>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</si>
  <si>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</si>
  <si>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</si>
  <si>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</si>
  <si>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</si>
  <si>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</si>
  <si>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</si>
  <si>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</si>
  <si>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</si>
  <si>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</si>
  <si>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</si>
  <si>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</si>
  <si>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</si>
  <si>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R100</t>
  </si>
  <si>
    <t>Rn</t>
  </si>
  <si>
    <t>Editable fields</t>
  </si>
  <si>
    <t>Risk Matrix</t>
  </si>
  <si>
    <t>Risk Range</t>
  </si>
  <si>
    <t>Min value</t>
  </si>
  <si>
    <t>Max value</t>
  </si>
  <si>
    <t>Extreme risk</t>
  </si>
  <si>
    <t>Possible project faliure</t>
  </si>
  <si>
    <t>High risk</t>
  </si>
  <si>
    <t>Significant delay in schedule or need for additional resources and/or planning</t>
  </si>
  <si>
    <t>Medium risk</t>
  </si>
  <si>
    <t>Bearable delay in schedule or budget.</t>
  </si>
  <si>
    <t>Low risk</t>
  </si>
  <si>
    <t>Sufficient contingency built into the project to contain risk</t>
  </si>
  <si>
    <t>Urgency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</si>
</sst>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b/>
      <sz val="24"/>
      <color theme="1"/>
      <name val="Calibri"/>
      <family val="2"/>
      <scheme val="minor"/>
    </font>
    <font>
      <b/>
      <sz val="16"/>
      <color theme="1"/>
      <name val="Calibri"/>
      <family val="2"/>
      <scheme val="minor"/>
    </font>
    <font>
      <b/>
      <sz val="16"/>
      <name val="Calibri"/>
      <family val="2"/>
      <scheme val="minor"/>
    </font>
    <font>
      <b/>
      <sz val="14"/>
      <color theme="1"/>
      <name val="Calibri"/>
      <family val="2"/>
      <scheme val="minor"/>
    </font>
    <font>
      <sz val="10"/>
      <name val="Arial"/>
      <family val="2"/>
    </font>
    <font>
      <b/>
      <sz val="10"/>
      <name val="Arial"/>
      <family val="2"/>
    </font>
    <font>
      <b/>
      <sz val="10"/>
      <color theme="0"/>
      <name val="Arial"/>
      <family val="2"/>
    </font>
    <font>
      <sz val="11"/>
      <name val="Calibri"/>
      <family val="2"/>
      <scheme val="minor"/>
    </font>
    <font>
      <b/>
      <sz val="14"/>
      <color theme="9" tint="-0.249977111117893"/>
      <name val="Calibri"/>
      <family val="2"/>
      <scheme val="minor"/>
    </font>
    <font>
      <sz val="11"/>
      <color rgb="FF00B050"/>
      <name val="Calibri"/>
      <family val="2"/>
      <scheme val="minor"/>
    </font>
    <font>
      <sz val="11"/>
      <color rgb="FFC00000"/>
      <name val="Calibri"/>
      <family val="2"/>
      <scheme val="minor"/>
    </font>
    <font>
      <sz val="8"/>
      <name val="Calibri"/>
      <family val="2"/>
      <scheme val="minor"/>
    </font>
    <font>
      <i/>
      <sz val="11"/>
      <color theme="1"/>
      <name val="Calibri"/>
      <family val="2"/>
      <scheme val="minor"/>
    </font>
  </fonts>
  <fills count="10">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style="medium">
        <color indexed="64"/>
      </bottom>
      <diagonal/>
    </border>
    <border>
      <left style="medium">
        <color indexed="64"/>
      </left>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diagonal/>
    </border>
    <border>
      <left/>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s>
  <cellStyleXfs count="3">
    <xf numFmtId="0" fontId="0" fillId="0" borderId="0"/>
    <xf numFmtId="0" fontId="6" fillId="0" borderId="0"/>
    <xf numFmtId="9" fontId="6" fillId="0" borderId="0" applyFont="0" applyFill="0" applyBorder="0" applyAlignment="0" applyProtection="0"/>
  </cellStyleXfs>
  <cellXfs count="118">
    <xf numFmtId="0" fontId="0" fillId="0" borderId="0" xfId="0"/>
    <xf numFmtId="0" fontId="1" fillId="0" borderId="0" xfId="0" applyFont="1"/>
    <xf numFmtId="0" fontId="0" fillId="0" borderId="5" xfId="0" applyBorder="1"/>
    <xf numFmtId="0" fontId="0" fillId="0" borderId="6"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6" xfId="0" applyBorder="1"/>
    <xf numFmtId="0" fontId="0" fillId="0" borderId="22" xfId="0" applyBorder="1"/>
    <xf numFmtId="0" fontId="0" fillId="0" borderId="23" xfId="0" applyBorder="1"/>
    <xf numFmtId="0" fontId="0" fillId="0" borderId="24" xfId="0" applyBorder="1"/>
    <xf numFmtId="0" fontId="0" fillId="0" borderId="17" xfId="0" applyBorder="1"/>
    <xf numFmtId="0" fontId="0" fillId="0" borderId="18" xfId="0" applyBorder="1"/>
    <xf numFmtId="0" fontId="0" fillId="0" borderId="15" xfId="0" applyBorder="1"/>
    <xf numFmtId="0" fontId="0" fillId="0" borderId="21" xfId="0" applyBorder="1"/>
    <xf numFmtId="0" fontId="1" fillId="0" borderId="1" xfId="0" applyFont="1" applyBorder="1"/>
    <xf numFmtId="0" fontId="1" fillId="0" borderId="2" xfId="0" applyFont="1" applyBorder="1"/>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1" fillId="0" borderId="28" xfId="0" applyFont="1" applyBorder="1"/>
    <xf numFmtId="0" fontId="1" fillId="0" borderId="1" xfId="0" applyFont="1" applyBorder="1" applyAlignment="1">
      <alignment horizontal="center"/>
    </xf>
    <xf numFmtId="0" fontId="1" fillId="0" borderId="28" xfId="0" applyFont="1" applyBorder="1" applyAlignment="1">
      <alignment horizontal="center"/>
    </xf>
    <xf numFmtId="0" fontId="0" fillId="0" borderId="33" xfId="0" applyBorder="1"/>
    <xf numFmtId="0" fontId="0" fillId="0" borderId="34" xfId="0" applyBorder="1"/>
    <xf numFmtId="0" fontId="0" fillId="0" borderId="35" xfId="0" applyBorder="1"/>
    <xf numFmtId="0" fontId="0" fillId="0" borderId="36" xfId="0" applyBorder="1"/>
    <xf numFmtId="0" fontId="0" fillId="0" borderId="29" xfId="0" applyBorder="1"/>
    <xf numFmtId="0" fontId="0" fillId="0" borderId="37" xfId="0" applyBorder="1"/>
    <xf numFmtId="0" fontId="0" fillId="0" borderId="27" xfId="0" applyBorder="1"/>
    <xf numFmtId="0" fontId="9" fillId="0" borderId="5" xfId="0" applyFont="1" applyBorder="1"/>
    <xf numFmtId="0" fontId="9" fillId="0" borderId="10" xfId="0" applyFont="1" applyBorder="1"/>
    <xf numFmtId="0" fontId="9" fillId="0" borderId="11" xfId="0" applyFont="1" applyBorder="1" applyAlignment="1">
      <alignment horizontal="center"/>
    </xf>
    <xf numFmtId="0" fontId="9" fillId="0" borderId="12" xfId="0" applyFont="1" applyBorder="1"/>
    <xf numFmtId="0" fontId="9" fillId="0" borderId="13" xfId="0" applyFont="1" applyBorder="1"/>
    <xf numFmtId="0" fontId="9" fillId="0" borderId="14" xfId="0" applyFont="1" applyBorder="1" applyAlignment="1">
      <alignment horizontal="center"/>
    </xf>
    <xf numFmtId="0" fontId="9" fillId="0" borderId="5" xfId="0" applyFont="1" applyBorder="1" applyAlignment="1">
      <alignment horizontal="center"/>
    </xf>
    <xf numFmtId="0" fontId="9" fillId="0" borderId="17" xfId="0" applyFont="1" applyBorder="1"/>
    <xf numFmtId="0" fontId="9" fillId="0" borderId="18" xfId="0" applyFont="1" applyBorder="1"/>
    <xf numFmtId="0" fontId="9" fillId="0" borderId="19" xfId="0" applyFont="1" applyBorder="1" applyAlignment="1">
      <alignment horizontal="center"/>
    </xf>
    <xf numFmtId="0" fontId="0" fillId="0" borderId="19" xfId="0" applyBorder="1" applyAlignment="1">
      <alignment wrapText="1"/>
    </xf>
    <xf numFmtId="0" fontId="0" fillId="0" borderId="11" xfId="0" applyBorder="1" applyAlignment="1">
      <alignment wrapText="1"/>
    </xf>
    <xf numFmtId="0" fontId="0" fillId="0" borderId="14" xfId="0" applyBorder="1" applyAlignment="1">
      <alignment wrapText="1"/>
    </xf>
    <xf numFmtId="0" fontId="9" fillId="0" borderId="13" xfId="0" applyFont="1" applyBorder="1" applyAlignment="1">
      <alignment horizontal="center"/>
    </xf>
    <xf numFmtId="1" fontId="0" fillId="8" borderId="7" xfId="0" applyNumberFormat="1" applyFill="1" applyBorder="1" applyAlignment="1">
      <alignment horizontal="center"/>
    </xf>
    <xf numFmtId="1" fontId="0" fillId="8" borderId="41" xfId="0" applyNumberFormat="1" applyFill="1" applyBorder="1" applyAlignment="1">
      <alignment horizontal="center"/>
    </xf>
    <xf numFmtId="1" fontId="11" fillId="8" borderId="42" xfId="0" applyNumberFormat="1" applyFont="1" applyFill="1" applyBorder="1" applyAlignment="1">
      <alignment horizontal="center"/>
    </xf>
    <xf numFmtId="1" fontId="12" fillId="8" borderId="43" xfId="0" applyNumberFormat="1" applyFont="1" applyFill="1" applyBorder="1" applyAlignment="1">
      <alignment horizontal="center"/>
    </xf>
    <xf numFmtId="1" fontId="0" fillId="5" borderId="38" xfId="0" applyNumberFormat="1" applyFill="1" applyBorder="1" applyAlignment="1">
      <alignment horizontal="center"/>
    </xf>
    <xf numFmtId="0" fontId="0" fillId="5" borderId="38" xfId="0" applyFill="1" applyBorder="1" applyAlignment="1">
      <alignment horizontal="center"/>
    </xf>
    <xf numFmtId="0" fontId="0" fillId="5" borderId="38" xfId="0" applyFill="1" applyBorder="1" applyAlignment="1">
      <alignment horizontal="center" vertical="center"/>
    </xf>
    <xf numFmtId="0" fontId="1" fillId="0" borderId="0" xfId="0" applyFont="1" applyAlignment="1">
      <alignment vertical="center"/>
    </xf>
    <xf numFmtId="0" fontId="0" fillId="0" borderId="37" xfId="0" applyBorder="1" applyAlignment="1">
      <alignment wrapText="1"/>
    </xf>
    <xf numFmtId="0" fontId="0" fillId="0" borderId="27" xfId="0" applyBorder="1" applyAlignment="1">
      <alignment wrapText="1"/>
    </xf>
    <xf numFmtId="0" fontId="0" fillId="0" borderId="29" xfId="0" applyBorder="1" applyAlignment="1">
      <alignment wrapText="1"/>
    </xf>
    <xf numFmtId="0" fontId="0" fillId="0" borderId="0" xfId="0" applyAlignment="1">
      <alignment wrapText="1"/>
    </xf>
    <xf numFmtId="0" fontId="5" fillId="7" borderId="12" xfId="0" applyFont="1" applyFill="1" applyBorder="1" applyAlignment="1">
      <alignment horizontal="center"/>
    </xf>
    <xf numFmtId="0" fontId="5" fillId="7" borderId="13" xfId="0" applyFont="1" applyFill="1" applyBorder="1" applyAlignment="1">
      <alignment horizontal="center"/>
    </xf>
    <xf numFmtId="0" fontId="5" fillId="7" borderId="14" xfId="0" applyFont="1" applyFill="1" applyBorder="1" applyAlignment="1">
      <alignment horizontal="center"/>
    </xf>
    <xf numFmtId="0" fontId="5" fillId="7" borderId="29" xfId="0" applyFont="1" applyFill="1" applyBorder="1" applyAlignment="1">
      <alignment horizontal="center"/>
    </xf>
    <xf numFmtId="0" fontId="5" fillId="7" borderId="36" xfId="0" applyFont="1" applyFill="1" applyBorder="1" applyAlignment="1">
      <alignment horizontal="center"/>
    </xf>
    <xf numFmtId="0" fontId="5" fillId="7" borderId="14" xfId="0" applyFont="1" applyFill="1" applyBorder="1" applyAlignment="1">
      <alignment horizontal="center" wrapText="1"/>
    </xf>
    <xf numFmtId="0" fontId="5" fillId="7" borderId="23" xfId="0" applyFont="1" applyFill="1" applyBorder="1" applyAlignment="1">
      <alignment horizontal="center"/>
    </xf>
    <xf numFmtId="0" fontId="5" fillId="7" borderId="24" xfId="0" applyFont="1" applyFill="1" applyBorder="1" applyAlignment="1">
      <alignment horizontal="center"/>
    </xf>
    <xf numFmtId="0" fontId="0" fillId="0" borderId="0" xfId="0" applyAlignment="1">
      <alignment horizontal="center"/>
    </xf>
    <xf numFmtId="0" fontId="0" fillId="0" borderId="45" xfId="0" applyBorder="1"/>
    <xf numFmtId="0" fontId="9" fillId="0" borderId="18" xfId="0" applyFont="1" applyBorder="1" applyAlignment="1">
      <alignment horizontal="center"/>
    </xf>
    <xf numFmtId="0" fontId="10" fillId="7" borderId="13" xfId="0" applyFont="1" applyFill="1" applyBorder="1" applyAlignment="1">
      <alignment horizontal="center"/>
    </xf>
    <xf numFmtId="0" fontId="1" fillId="0" borderId="25" xfId="0" applyFont="1" applyBorder="1"/>
    <xf numFmtId="0" fontId="1" fillId="0" borderId="41" xfId="0" applyFont="1" applyBorder="1"/>
    <xf numFmtId="0" fontId="1" fillId="0" borderId="42" xfId="0" applyFont="1" applyBorder="1"/>
    <xf numFmtId="0" fontId="1" fillId="0" borderId="38" xfId="0" applyFont="1" applyBorder="1"/>
    <xf numFmtId="0" fontId="8" fillId="3" borderId="30" xfId="1" applyFont="1" applyFill="1" applyBorder="1" applyAlignment="1">
      <alignment horizontal="left" vertical="center"/>
    </xf>
    <xf numFmtId="0" fontId="7" fillId="2" borderId="31" xfId="1" applyFont="1" applyFill="1" applyBorder="1" applyAlignment="1">
      <alignment horizontal="left" vertical="center"/>
    </xf>
    <xf numFmtId="0" fontId="7" fillId="4" borderId="31" xfId="1" applyFont="1" applyFill="1" applyBorder="1" applyAlignment="1">
      <alignment horizontal="left" vertical="center"/>
    </xf>
    <xf numFmtId="0" fontId="7" fillId="6" borderId="32" xfId="1" applyFont="1" applyFill="1" applyBorder="1" applyAlignment="1">
      <alignment horizontal="left" vertical="center"/>
    </xf>
    <xf numFmtId="0" fontId="0" fillId="0" borderId="20" xfId="0" applyBorder="1"/>
    <xf numFmtId="0" fontId="1" fillId="5" borderId="28" xfId="0" applyFont="1" applyFill="1" applyBorder="1"/>
    <xf numFmtId="0" fontId="0" fillId="9" borderId="0" xfId="0" applyFill="1"/>
    <xf numFmtId="0" fontId="0" fillId="9" borderId="0" xfId="0" applyFill="1" applyAlignment="1">
      <alignment horizontal="center"/>
    </xf>
    <xf numFmtId="0" fontId="0" fillId="9" borderId="0" xfId="0" applyFill="1" applyAlignment="1">
      <alignment wrapText="1"/>
    </xf>
    <xf numFmtId="0" fontId="1" fillId="0" borderId="5" xfId="0" applyFont="1" applyBorder="1"/>
    <xf numFmtId="49" fontId="0" fillId="0" borderId="5" xfId="0" applyNumberFormat="1" applyBorder="1" applyAlignment="1">
      <alignment horizontal="left" wrapText="1"/>
    </xf>
    <xf numFmtId="0" fontId="0" fillId="0" borderId="5" xfId="0" applyBorder="1" applyAlignment="1">
      <alignment vertical="top" wrapText="1"/>
    </xf>
    <xf numFmtId="0" fontId="0" fillId="0" borderId="5" xfId="0" applyBorder="1" applyAlignment="1">
      <alignment wrapText="1"/>
    </xf>
    <xf numFmtId="0" fontId="1" fillId="0" borderId="5" xfId="0" applyFont="1" applyBorder="1" applyAlignment="1">
      <alignment wrapText="1"/>
    </xf>
    <xf numFmtId="0" fontId="9" fillId="9" borderId="0" xfId="0" applyFont="1" applyFill="1"/>
    <xf numFmtId="0" fontId="2" fillId="8" borderId="1" xfId="0" applyFont="1" applyFill="1" applyBorder="1" applyAlignment="1">
      <alignment horizontal="center"/>
    </xf>
    <xf numFmtId="0" fontId="2" fillId="8" borderId="40" xfId="0" applyFont="1" applyFill="1" applyBorder="1" applyAlignment="1">
      <alignment horizontal="center"/>
    </xf>
    <xf numFmtId="0" fontId="2" fillId="8" borderId="3" xfId="0" applyFont="1" applyFill="1" applyBorder="1" applyAlignment="1">
      <alignment horizontal="center"/>
    </xf>
    <xf numFmtId="0" fontId="2" fillId="8" borderId="4" xfId="0" applyFont="1" applyFill="1" applyBorder="1" applyAlignment="1">
      <alignment horizontal="center"/>
    </xf>
    <xf numFmtId="0" fontId="4" fillId="7" borderId="44" xfId="0" applyFont="1" applyFill="1" applyBorder="1" applyAlignment="1">
      <alignment horizontal="center"/>
    </xf>
    <xf numFmtId="0" fontId="4" fillId="7" borderId="26" xfId="0" applyFont="1" applyFill="1" applyBorder="1" applyAlignment="1">
      <alignment horizontal="center"/>
    </xf>
    <xf numFmtId="0" fontId="4" fillId="7" borderId="7" xfId="0" applyFont="1" applyFill="1" applyBorder="1" applyAlignment="1">
      <alignment horizontal="center"/>
    </xf>
    <xf numFmtId="0" fontId="4" fillId="7" borderId="8" xfId="0" applyFont="1" applyFill="1" applyBorder="1" applyAlignment="1">
      <alignment horizontal="center"/>
    </xf>
    <xf numFmtId="0" fontId="4" fillId="7" borderId="9" xfId="0" applyFont="1" applyFill="1" applyBorder="1" applyAlignment="1">
      <alignment horizontal="center"/>
    </xf>
    <xf numFmtId="0" fontId="3" fillId="7" borderId="20" xfId="0" applyFont="1" applyFill="1" applyBorder="1" applyAlignment="1">
      <alignment horizontal="center"/>
    </xf>
    <xf numFmtId="0" fontId="3" fillId="7" borderId="18" xfId="0" applyFont="1" applyFill="1" applyBorder="1" applyAlignment="1">
      <alignment horizontal="center"/>
    </xf>
    <xf numFmtId="0" fontId="3" fillId="7" borderId="37" xfId="0" applyFont="1" applyFill="1" applyBorder="1" applyAlignment="1">
      <alignment horizontal="center"/>
    </xf>
    <xf numFmtId="0" fontId="3" fillId="7" borderId="39" xfId="0" applyFont="1" applyFill="1" applyBorder="1" applyAlignment="1">
      <alignment horizontal="center"/>
    </xf>
    <xf numFmtId="0" fontId="3" fillId="7" borderId="9" xfId="0" applyFont="1" applyFill="1" applyBorder="1" applyAlignment="1">
      <alignment horizontal="center"/>
    </xf>
    <xf numFmtId="0" fontId="3" fillId="7" borderId="25" xfId="0" applyFont="1" applyFill="1" applyBorder="1" applyAlignment="1">
      <alignment horizontal="center"/>
    </xf>
    <xf numFmtId="0" fontId="3" fillId="7" borderId="44" xfId="0" applyFont="1" applyFill="1" applyBorder="1" applyAlignment="1">
      <alignment horizontal="center"/>
    </xf>
    <xf numFmtId="0" fontId="3" fillId="7" borderId="26" xfId="0" applyFont="1" applyFill="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46" xfId="0" applyFont="1" applyBorder="1" applyAlignment="1">
      <alignment horizontal="center" vertical="center"/>
    </xf>
    <xf numFmtId="0" fontId="3" fillId="0" borderId="47" xfId="0" applyFont="1" applyBorder="1" applyAlignment="1">
      <alignment horizontal="center" vertical="center"/>
    </xf>
    <xf numFmtId="0" fontId="1" fillId="0" borderId="48"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cellXfs>
  <cellStyles count="3">
    <cellStyle name="Normal" xfId="0" builtinId="0"/>
    <cellStyle name="Normal 2" xfId="1" xr:uid="{00000000-0005-0000-0000-000001000000}"/>
    <cellStyle name="Percent 2" xfId="2" xr:uid="{00000000-0005-0000-0000-000002000000}"/>
  </cellStyles>
  <dxfs count="34">
    <dxf>
      <fill>
        <patternFill>
          <bgColor rgb="FF92D050"/>
        </patternFill>
      </fill>
    </dxf>
    <dxf>
      <fill>
        <patternFill>
          <bgColor rgb="FFFFC000"/>
        </patternFill>
      </fill>
    </dxf>
    <dxf>
      <fill>
        <patternFill>
          <bgColor rgb="FFFF0000"/>
        </patternFill>
      </fill>
    </dxf>
    <dxf>
      <font>
        <color theme="0"/>
      </font>
      <fill>
        <patternFill>
          <bgColor rgb="FFC0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C000"/>
        </patternFill>
      </fill>
    </dxf>
    <dxf>
      <font>
        <color auto="1"/>
      </font>
      <fill>
        <patternFill>
          <bgColor rgb="FFFF0000"/>
        </patternFill>
      </fill>
    </dxf>
    <dxf>
      <font>
        <color theme="0"/>
      </font>
      <fill>
        <patternFill>
          <bgColor rgb="FFC00000"/>
        </patternFill>
      </fill>
    </dxf>
    <dxf>
      <fill>
        <patternFill>
          <bgColor rgb="FF92D050"/>
        </patternFill>
      </fill>
    </dxf>
    <dxf>
      <fill>
        <patternFill>
          <bgColor rgb="FFFFC000"/>
        </patternFill>
      </fill>
    </dxf>
    <dxf>
      <font>
        <color auto="1"/>
      </font>
      <fill>
        <patternFill>
          <bgColor rgb="FFFF0000"/>
        </patternFill>
      </fill>
    </dxf>
    <dxf>
      <font>
        <color theme="0"/>
      </font>
      <fill>
        <patternFill>
          <bgColor rgb="FFC00000"/>
        </patternFill>
      </fill>
    </dxf>
    <dxf>
      <font>
        <color theme="0"/>
      </font>
      <numFmt numFmtId="0" formatCode="General"/>
      <fill>
        <patternFill patternType="none">
          <bgColor auto="1"/>
        </patternFill>
      </fill>
    </dxf>
    <dxf>
      <font>
        <color theme="0"/>
      </font>
      <numFmt numFmtId="0" formatCode="General"/>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2028825</xdr:colOff>
      <xdr:row>3</xdr:row>
      <xdr:rowOff>149225</xdr:rowOff>
    </xdr:to>
    <xdr:grpSp>
      <xdr:nvGrpSpPr>
        <xdr:cNvPr id="6" name="Group 5">
          <a:extLst>
            <a:ext uri="{FF2B5EF4-FFF2-40B4-BE49-F238E27FC236}">
              <a16:creationId xmlns:a16="http://schemas.microsoft.com/office/drawing/2014/main" id="{A726B037-D0DE-45C0-91A4-F00433C94DEE}"/>
            </a:ext>
          </a:extLst>
        </xdr:cNvPr>
        <xdr:cNvGrpSpPr>
          <a:grpSpLocks noChangeAspect="1"/>
        </xdr:cNvGrpSpPr>
      </xdr:nvGrpSpPr>
      <xdr:grpSpPr>
        <a:xfrm>
          <a:off x="238125" y="209550"/>
          <a:ext cx="2028825" cy="530225"/>
          <a:chOff x="0" y="0"/>
          <a:chExt cx="2061635" cy="539750"/>
        </a:xfrm>
      </xdr:grpSpPr>
      <xdr:pic>
        <xdr:nvPicPr>
          <xdr:cNvPr id="7" name="Picture 6">
            <a:extLst>
              <a:ext uri="{FF2B5EF4-FFF2-40B4-BE49-F238E27FC236}">
                <a16:creationId xmlns:a16="http://schemas.microsoft.com/office/drawing/2014/main" id="{35A1806D-208A-4FA4-9808-D00C9F70AC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11175" cy="539750"/>
          </a:xfrm>
          <a:prstGeom prst="rect">
            <a:avLst/>
          </a:prstGeom>
        </xdr:spPr>
      </xdr:pic>
      <xdr:pic>
        <xdr:nvPicPr>
          <xdr:cNvPr id="8" name="Picture 7">
            <a:extLst>
              <a:ext uri="{FF2B5EF4-FFF2-40B4-BE49-F238E27FC236}">
                <a16:creationId xmlns:a16="http://schemas.microsoft.com/office/drawing/2014/main" id="{1618751E-6B65-48C1-BE93-A367D7E9BE6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8426" y="125397"/>
            <a:ext cx="1113209" cy="414103"/>
          </a:xfrm>
          <a:prstGeom prst="rect">
            <a:avLst/>
          </a:prstGeom>
        </xdr:spPr>
      </xdr:pic>
      <xdr:cxnSp macro="">
        <xdr:nvCxnSpPr>
          <xdr:cNvPr id="9" name="Straight Connector 8">
            <a:extLst>
              <a:ext uri="{FF2B5EF4-FFF2-40B4-BE49-F238E27FC236}">
                <a16:creationId xmlns:a16="http://schemas.microsoft.com/office/drawing/2014/main" id="{91FEF1F7-DA3C-490A-8476-5145DC613700}"/>
              </a:ext>
            </a:extLst>
          </xdr:cNvPr>
          <xdr:cNvCxnSpPr/>
        </xdr:nvCxnSpPr>
        <xdr:spPr>
          <a:xfrm>
            <a:off x="729574" y="0"/>
            <a:ext cx="0" cy="53928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1129242</xdr:colOff>
      <xdr:row>3</xdr:row>
      <xdr:rowOff>149225</xdr:rowOff>
    </xdr:to>
    <xdr:grpSp>
      <xdr:nvGrpSpPr>
        <xdr:cNvPr id="6" name="Group 5">
          <a:extLst>
            <a:ext uri="{FF2B5EF4-FFF2-40B4-BE49-F238E27FC236}">
              <a16:creationId xmlns:a16="http://schemas.microsoft.com/office/drawing/2014/main" id="{99595EDD-40B9-4B85-B39D-2813EE401C0B}"/>
            </a:ext>
          </a:extLst>
        </xdr:cNvPr>
        <xdr:cNvGrpSpPr>
          <a:grpSpLocks noChangeAspect="1"/>
        </xdr:cNvGrpSpPr>
      </xdr:nvGrpSpPr>
      <xdr:grpSpPr>
        <a:xfrm>
          <a:off x="257175" y="209550"/>
          <a:ext cx="2024592" cy="530225"/>
          <a:chOff x="0" y="0"/>
          <a:chExt cx="2061635" cy="539750"/>
        </a:xfrm>
      </xdr:grpSpPr>
      <xdr:pic>
        <xdr:nvPicPr>
          <xdr:cNvPr id="7" name="Picture 6">
            <a:extLst>
              <a:ext uri="{FF2B5EF4-FFF2-40B4-BE49-F238E27FC236}">
                <a16:creationId xmlns:a16="http://schemas.microsoft.com/office/drawing/2014/main" id="{4CCA3DAB-B08B-4EA3-9561-427824A1A4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11175" cy="539750"/>
          </a:xfrm>
          <a:prstGeom prst="rect">
            <a:avLst/>
          </a:prstGeom>
        </xdr:spPr>
      </xdr:pic>
      <xdr:pic>
        <xdr:nvPicPr>
          <xdr:cNvPr id="8" name="Picture 7">
            <a:extLst>
              <a:ext uri="{FF2B5EF4-FFF2-40B4-BE49-F238E27FC236}">
                <a16:creationId xmlns:a16="http://schemas.microsoft.com/office/drawing/2014/main" id="{ECA9950E-BC3C-4B72-AFBF-2B54B8E5B8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8426" y="125397"/>
            <a:ext cx="1113209" cy="414103"/>
          </a:xfrm>
          <a:prstGeom prst="rect">
            <a:avLst/>
          </a:prstGeom>
        </xdr:spPr>
      </xdr:pic>
      <xdr:cxnSp macro="">
        <xdr:nvCxnSpPr>
          <xdr:cNvPr id="9" name="Straight Connector 8">
            <a:extLst>
              <a:ext uri="{FF2B5EF4-FFF2-40B4-BE49-F238E27FC236}">
                <a16:creationId xmlns:a16="http://schemas.microsoft.com/office/drawing/2014/main" id="{15584B82-40C2-408F-AAFE-ABE86D5B09A0}"/>
              </a:ext>
            </a:extLst>
          </xdr:cNvPr>
          <xdr:cNvCxnSpPr/>
        </xdr:nvCxnSpPr>
        <xdr:spPr>
          <a:xfrm>
            <a:off x="729574" y="0"/>
            <a:ext cx="0" cy="53928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123825</xdr:colOff>
      <xdr:row>3</xdr:row>
      <xdr:rowOff>152820</xdr:rowOff>
    </xdr:to>
    <xdr:grpSp>
      <xdr:nvGrpSpPr>
        <xdr:cNvPr id="6" name="Group 5">
          <a:extLst>
            <a:ext uri="{FF2B5EF4-FFF2-40B4-BE49-F238E27FC236}">
              <a16:creationId xmlns:a16="http://schemas.microsoft.com/office/drawing/2014/main" id="{8FB2BD6C-1792-4500-9EAE-9DA209038BBB}"/>
            </a:ext>
          </a:extLst>
        </xdr:cNvPr>
        <xdr:cNvGrpSpPr>
          <a:grpSpLocks noChangeAspect="1"/>
        </xdr:cNvGrpSpPr>
      </xdr:nvGrpSpPr>
      <xdr:grpSpPr>
        <a:xfrm>
          <a:off x="247650" y="209550"/>
          <a:ext cx="2028825" cy="533820"/>
          <a:chOff x="0" y="0"/>
          <a:chExt cx="2061635" cy="539750"/>
        </a:xfrm>
      </xdr:grpSpPr>
      <xdr:pic>
        <xdr:nvPicPr>
          <xdr:cNvPr id="7" name="Picture 6">
            <a:extLst>
              <a:ext uri="{FF2B5EF4-FFF2-40B4-BE49-F238E27FC236}">
                <a16:creationId xmlns:a16="http://schemas.microsoft.com/office/drawing/2014/main" id="{6AD4362F-816C-48E8-9E3E-2D5487612D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11175" cy="539750"/>
          </a:xfrm>
          <a:prstGeom prst="rect">
            <a:avLst/>
          </a:prstGeom>
        </xdr:spPr>
      </xdr:pic>
      <xdr:pic>
        <xdr:nvPicPr>
          <xdr:cNvPr id="8" name="Picture 7">
            <a:extLst>
              <a:ext uri="{FF2B5EF4-FFF2-40B4-BE49-F238E27FC236}">
                <a16:creationId xmlns:a16="http://schemas.microsoft.com/office/drawing/2014/main" id="{74985470-9D9B-46E3-8C77-6357EB35D4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8426" y="125397"/>
            <a:ext cx="1113209" cy="414103"/>
          </a:xfrm>
          <a:prstGeom prst="rect">
            <a:avLst/>
          </a:prstGeom>
        </xdr:spPr>
      </xdr:pic>
      <xdr:cxnSp macro="">
        <xdr:nvCxnSpPr>
          <xdr:cNvPr id="9" name="Straight Connector 8">
            <a:extLst>
              <a:ext uri="{FF2B5EF4-FFF2-40B4-BE49-F238E27FC236}">
                <a16:creationId xmlns:a16="http://schemas.microsoft.com/office/drawing/2014/main" id="{C13E4025-9EB0-4624-A37F-1F2683B4F380}"/>
              </a:ext>
            </a:extLst>
          </xdr:cNvPr>
          <xdr:cNvCxnSpPr/>
        </xdr:nvCxnSpPr>
        <xdr:spPr>
          <a:xfrm>
            <a:off x="729574" y="0"/>
            <a:ext cx="0" cy="53928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arlos/Downloads/risks-issues-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Risks Register"/>
      <sheetName val="Issues Register"/>
      <sheetName val="Action Map"/>
      <sheetName val="Ratings"/>
      <sheetName val="Defn"/>
      <sheetName val="Defn Risk v Issue"/>
    </sheetNames>
    <sheetDataSet>
      <sheetData sheetId="0" refreshError="1"/>
      <sheetData sheetId="1" refreshError="1"/>
      <sheetData sheetId="2"/>
      <sheetData sheetId="3"/>
      <sheetData sheetId="4" refreshError="1"/>
      <sheetData sheetId="5"/>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tabSelected="1" workbookViewId="0">
      <selection activeCell="C5" sqref="C5"/>
    </sheetView>
  </sheetViews>
  <sheetFormatPr defaultRowHeight="15"/>
  <cols>
    <col min="1" max="1" width="3.5703125" customWidth="1"/>
    <col min="2" max="2" width="169.7109375" customWidth="1"/>
  </cols>
  <sheetData>
    <row r="1" spans="1:3" ht="16.5" customHeight="1">
      <c r="A1" s="85"/>
      <c r="B1" s="85"/>
      <c r="C1" s="85"/>
    </row>
    <row r="2" spans="1:3">
      <c r="A2" s="85"/>
      <c r="B2" s="85"/>
      <c r="C2" s="85"/>
    </row>
    <row r="3" spans="1:3">
      <c r="A3" s="85"/>
      <c r="B3" s="85"/>
      <c r="C3" s="85"/>
    </row>
    <row r="4" spans="1:3">
      <c r="A4" s="85"/>
      <c r="B4" s="85"/>
      <c r="C4" s="85"/>
    </row>
    <row r="5" spans="1:3" ht="16.5" customHeight="1">
      <c r="A5" s="85"/>
      <c r="B5" s="85"/>
      <c r="C5" s="85"/>
    </row>
    <row r="6" spans="1:3">
      <c r="A6" s="85"/>
      <c r="B6" s="88" t="s">
        <v>0</v>
      </c>
      <c r="C6" s="85"/>
    </row>
    <row r="7" spans="1:3" ht="75">
      <c r="A7" s="85"/>
      <c r="B7" s="89" t="s">
        <v>1</v>
      </c>
      <c r="C7" s="85"/>
    </row>
    <row r="8" spans="1:3" ht="210">
      <c r="A8" s="85"/>
      <c r="B8" s="90" t="s">
        <v>2</v>
      </c>
      <c r="C8" s="85"/>
    </row>
    <row r="9" spans="1:3" ht="45">
      <c r="A9" s="85"/>
      <c r="B9" s="91" t="s">
        <v>3</v>
      </c>
      <c r="C9" s="85"/>
    </row>
    <row r="10" spans="1:3" ht="30">
      <c r="A10" s="85"/>
      <c r="B10" s="92" t="s">
        <v>4</v>
      </c>
      <c r="C10" s="85"/>
    </row>
    <row r="11" spans="1:3">
      <c r="A11" s="85"/>
      <c r="B11" s="85"/>
      <c r="C11" s="8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10"/>
  <sheetViews>
    <sheetView zoomScale="90" zoomScaleNormal="90" workbookViewId="0">
      <selection activeCell="Z114" sqref="Z114"/>
    </sheetView>
  </sheetViews>
  <sheetFormatPr defaultRowHeight="15"/>
  <cols>
    <col min="1" max="1" width="3.85546875" customWidth="1"/>
    <col min="2" max="2" width="13.42578125" bestFit="1" customWidth="1"/>
    <col min="3" max="3" width="22.5703125" bestFit="1" customWidth="1"/>
    <col min="4" max="4" width="12.85546875" bestFit="1" customWidth="1"/>
    <col min="5" max="5" width="48.140625" customWidth="1"/>
    <col min="6" max="6" width="15" bestFit="1" customWidth="1"/>
    <col min="7" max="7" width="13.140625" bestFit="1" customWidth="1"/>
    <col min="8" max="8" width="17" bestFit="1" customWidth="1"/>
    <col min="9" max="9" width="17.7109375" bestFit="1" customWidth="1"/>
    <col min="10" max="10" width="23.140625" bestFit="1" customWidth="1"/>
    <col min="11" max="11" width="19.28515625" bestFit="1" customWidth="1"/>
    <col min="12" max="12" width="29.140625" hidden="1" customWidth="1"/>
    <col min="13" max="13" width="23.140625" bestFit="1" customWidth="1"/>
    <col min="14" max="14" width="25.7109375" hidden="1" customWidth="1"/>
    <col min="15" max="15" width="29.85546875" hidden="1" customWidth="1"/>
    <col min="16" max="16" width="20" bestFit="1" customWidth="1"/>
    <col min="17" max="17" width="19.42578125" bestFit="1" customWidth="1"/>
    <col min="18" max="18" width="20.5703125" style="62" bestFit="1" customWidth="1"/>
    <col min="19" max="19" width="19.28515625" bestFit="1" customWidth="1"/>
    <col min="20" max="20" width="29.85546875" hidden="1" customWidth="1"/>
    <col min="21" max="21" width="23.140625" bestFit="1" customWidth="1"/>
    <col min="22" max="22" width="25.7109375" hidden="1" customWidth="1"/>
    <col min="23" max="23" width="29.85546875" hidden="1" customWidth="1"/>
    <col min="24" max="24" width="20" bestFit="1" customWidth="1"/>
    <col min="25" max="25" width="19.42578125" bestFit="1" customWidth="1"/>
    <col min="26" max="26" width="43.140625" style="62" customWidth="1"/>
    <col min="27" max="27" width="37.5703125" customWidth="1"/>
    <col min="28" max="28" width="22.7109375" bestFit="1" customWidth="1"/>
  </cols>
  <sheetData>
    <row r="1" spans="1:29" ht="16.5" customHeight="1">
      <c r="A1" s="85"/>
      <c r="B1" s="85"/>
      <c r="C1" s="85"/>
      <c r="D1" s="85"/>
      <c r="E1" s="85"/>
      <c r="F1" s="85"/>
      <c r="G1" s="85"/>
      <c r="H1" s="85"/>
      <c r="I1" s="85"/>
      <c r="J1" s="85"/>
      <c r="K1" s="85"/>
      <c r="L1" s="85"/>
      <c r="M1" s="85"/>
      <c r="N1" s="85"/>
      <c r="O1" s="85"/>
      <c r="P1" s="85"/>
      <c r="Q1" s="85"/>
      <c r="R1" s="87"/>
      <c r="S1" s="85"/>
      <c r="T1" s="85"/>
      <c r="U1" s="85"/>
      <c r="V1" s="85"/>
      <c r="W1" s="85"/>
      <c r="X1" s="85"/>
      <c r="Y1" s="85"/>
      <c r="Z1" s="87"/>
      <c r="AA1" s="85"/>
      <c r="AB1" s="85"/>
      <c r="AC1" s="85"/>
    </row>
    <row r="2" spans="1:29">
      <c r="A2" s="85"/>
      <c r="B2" s="85"/>
      <c r="C2" s="85"/>
      <c r="D2" s="85"/>
      <c r="E2" s="85"/>
      <c r="F2" s="85"/>
      <c r="G2" s="85"/>
      <c r="H2" s="85"/>
      <c r="I2" s="85"/>
      <c r="J2" s="85"/>
      <c r="K2" s="85"/>
      <c r="L2" s="85"/>
      <c r="M2" s="85"/>
      <c r="N2" s="85"/>
      <c r="O2" s="85"/>
      <c r="P2" s="85"/>
      <c r="Q2" s="85"/>
      <c r="R2" s="87"/>
      <c r="S2" s="85"/>
      <c r="T2" s="85"/>
      <c r="U2" s="85"/>
      <c r="V2" s="85"/>
      <c r="W2" s="85"/>
      <c r="X2" s="85"/>
      <c r="Y2" s="85"/>
      <c r="Z2" s="87"/>
      <c r="AA2" s="85"/>
      <c r="AB2" s="85"/>
      <c r="AC2" s="85"/>
    </row>
    <row r="3" spans="1:29">
      <c r="A3" s="85"/>
      <c r="B3" s="85"/>
      <c r="C3" s="85"/>
      <c r="D3" s="85"/>
      <c r="E3" s="85"/>
      <c r="F3" s="85"/>
      <c r="G3" s="85"/>
      <c r="H3" s="85"/>
      <c r="I3" s="85"/>
      <c r="J3" s="85"/>
      <c r="K3" s="85"/>
      <c r="L3" s="85"/>
      <c r="M3" s="85"/>
      <c r="N3" s="85"/>
      <c r="O3" s="85"/>
      <c r="P3" s="85"/>
      <c r="Q3" s="85"/>
      <c r="R3" s="87"/>
      <c r="S3" s="85"/>
      <c r="T3" s="85"/>
      <c r="U3" s="85"/>
      <c r="V3" s="85"/>
      <c r="W3" s="85"/>
      <c r="X3" s="85"/>
      <c r="Y3" s="85"/>
      <c r="Z3" s="87"/>
      <c r="AA3" s="85"/>
      <c r="AB3" s="85"/>
      <c r="AC3" s="85"/>
    </row>
    <row r="4" spans="1:29">
      <c r="A4" s="85"/>
      <c r="B4" s="85"/>
      <c r="C4" s="85"/>
      <c r="D4" s="85"/>
      <c r="E4" s="85"/>
      <c r="F4" s="85"/>
      <c r="G4" s="85"/>
      <c r="H4" s="85"/>
      <c r="I4" s="85"/>
      <c r="J4" s="85"/>
      <c r="K4" s="85"/>
      <c r="L4" s="85"/>
      <c r="M4" s="85"/>
      <c r="N4" s="85"/>
      <c r="O4" s="85"/>
      <c r="P4" s="85"/>
      <c r="Q4" s="85"/>
      <c r="R4" s="87"/>
      <c r="S4" s="85"/>
      <c r="T4" s="85"/>
      <c r="U4" s="85"/>
      <c r="V4" s="85"/>
      <c r="W4" s="85"/>
      <c r="X4" s="85"/>
      <c r="Y4" s="85"/>
      <c r="Z4" s="87"/>
      <c r="AA4" s="85"/>
      <c r="AB4" s="85"/>
      <c r="AC4" s="85"/>
    </row>
    <row r="5" spans="1:29" ht="16.5" customHeight="1" thickBot="1">
      <c r="A5" s="85"/>
      <c r="B5" s="85"/>
      <c r="C5" s="85"/>
      <c r="D5" s="85"/>
      <c r="E5" s="85"/>
      <c r="F5" s="85"/>
      <c r="G5" s="85"/>
      <c r="H5" s="85"/>
      <c r="I5" s="85"/>
      <c r="J5" s="85"/>
      <c r="K5" s="85"/>
      <c r="L5" s="85"/>
      <c r="M5" s="85"/>
      <c r="N5" s="85"/>
      <c r="O5" s="85"/>
      <c r="P5" s="85"/>
      <c r="Q5" s="85"/>
      <c r="R5" s="85"/>
      <c r="S5" s="85"/>
      <c r="T5" s="85"/>
      <c r="U5" s="85"/>
      <c r="V5" s="85"/>
      <c r="W5" s="85"/>
      <c r="X5" s="85"/>
      <c r="Y5" s="85"/>
      <c r="Z5" s="85"/>
      <c r="AA5" s="85"/>
      <c r="AB5" s="85"/>
      <c r="AC5" s="85"/>
    </row>
    <row r="6" spans="1:29" ht="32.25" thickBot="1">
      <c r="A6" s="85"/>
      <c r="B6" s="94" t="s">
        <v>5</v>
      </c>
      <c r="C6" s="95"/>
      <c r="D6" s="95"/>
      <c r="E6" s="95"/>
      <c r="F6" s="95"/>
      <c r="G6" s="96"/>
      <c r="H6" s="96"/>
      <c r="I6" s="96"/>
      <c r="J6" s="96"/>
      <c r="K6" s="95"/>
      <c r="L6" s="95"/>
      <c r="M6" s="95"/>
      <c r="N6" s="95"/>
      <c r="O6" s="95"/>
      <c r="P6" s="95"/>
      <c r="Q6" s="96"/>
      <c r="R6" s="96"/>
      <c r="S6" s="95"/>
      <c r="T6" s="95"/>
      <c r="U6" s="95"/>
      <c r="V6" s="95"/>
      <c r="W6" s="95"/>
      <c r="X6" s="95"/>
      <c r="Y6" s="95"/>
      <c r="Z6" s="95"/>
      <c r="AA6" s="96"/>
      <c r="AB6" s="97"/>
      <c r="AC6" s="85"/>
    </row>
    <row r="7" spans="1:29" ht="21">
      <c r="A7" s="85"/>
      <c r="B7" s="108" t="s">
        <v>6</v>
      </c>
      <c r="C7" s="109"/>
      <c r="D7" s="109"/>
      <c r="E7" s="109"/>
      <c r="F7" s="110"/>
      <c r="G7" s="103" t="s">
        <v>7</v>
      </c>
      <c r="H7" s="103"/>
      <c r="I7" s="104"/>
      <c r="J7" s="105"/>
      <c r="K7" s="100" t="s">
        <v>8</v>
      </c>
      <c r="L7" s="101"/>
      <c r="M7" s="101"/>
      <c r="N7" s="101"/>
      <c r="O7" s="101"/>
      <c r="P7" s="102"/>
      <c r="Q7" s="103" t="s">
        <v>9</v>
      </c>
      <c r="R7" s="105"/>
      <c r="S7" s="100" t="s">
        <v>10</v>
      </c>
      <c r="T7" s="101"/>
      <c r="U7" s="101"/>
      <c r="V7" s="101"/>
      <c r="W7" s="101"/>
      <c r="X7" s="102"/>
      <c r="Y7" s="106" t="s">
        <v>9</v>
      </c>
      <c r="Z7" s="107"/>
      <c r="AA7" s="98" t="s">
        <v>11</v>
      </c>
      <c r="AB7" s="99"/>
      <c r="AC7" s="85"/>
    </row>
    <row r="8" spans="1:29" s="71" customFormat="1" ht="19.5" thickBot="1">
      <c r="A8" s="86"/>
      <c r="B8" s="63" t="s">
        <v>12</v>
      </c>
      <c r="C8" s="64" t="s">
        <v>13</v>
      </c>
      <c r="D8" s="64" t="s">
        <v>14</v>
      </c>
      <c r="E8" s="64" t="s">
        <v>15</v>
      </c>
      <c r="F8" s="65" t="s">
        <v>16</v>
      </c>
      <c r="G8" s="67" t="s">
        <v>17</v>
      </c>
      <c r="H8" s="67" t="s">
        <v>18</v>
      </c>
      <c r="I8" s="64" t="s">
        <v>19</v>
      </c>
      <c r="J8" s="66" t="s">
        <v>20</v>
      </c>
      <c r="K8" s="63" t="s">
        <v>21</v>
      </c>
      <c r="L8" s="74" t="s">
        <v>22</v>
      </c>
      <c r="M8" s="64" t="s">
        <v>23</v>
      </c>
      <c r="N8" s="74" t="s">
        <v>24</v>
      </c>
      <c r="O8" s="74" t="s">
        <v>25</v>
      </c>
      <c r="P8" s="65" t="s">
        <v>26</v>
      </c>
      <c r="Q8" s="67" t="s">
        <v>9</v>
      </c>
      <c r="R8" s="66" t="s">
        <v>15</v>
      </c>
      <c r="S8" s="63" t="s">
        <v>21</v>
      </c>
      <c r="T8" s="74" t="s">
        <v>22</v>
      </c>
      <c r="U8" s="64" t="s">
        <v>23</v>
      </c>
      <c r="V8" s="74" t="s">
        <v>24</v>
      </c>
      <c r="W8" s="74" t="s">
        <v>25</v>
      </c>
      <c r="X8" s="65" t="s">
        <v>26</v>
      </c>
      <c r="Y8" s="67" t="s">
        <v>9</v>
      </c>
      <c r="Z8" s="68" t="s">
        <v>15</v>
      </c>
      <c r="AA8" s="69" t="s">
        <v>27</v>
      </c>
      <c r="AB8" s="70" t="s">
        <v>28</v>
      </c>
      <c r="AC8" s="86"/>
    </row>
    <row r="9" spans="1:29">
      <c r="A9" s="85"/>
      <c r="B9" s="12" t="s">
        <v>29</v>
      </c>
      <c r="C9" s="13"/>
      <c r="D9" s="13"/>
      <c r="E9" s="13"/>
      <c r="F9" s="13"/>
      <c r="G9" s="12" t="s">
        <v>30</v>
      </c>
      <c r="H9" s="83" t="s">
        <v>31</v>
      </c>
      <c r="I9" s="13" t="s">
        <v>32</v>
      </c>
      <c r="J9" s="35" t="s">
        <v>33</v>
      </c>
      <c r="K9" s="44" t="s">
        <v>34</v>
      </c>
      <c r="L9" s="13">
        <f>IF(K9='Risk Range &amp; Risk Matrix'!$G$12,'Risk Range &amp; Risk Matrix'!$H$12,IF(K9='Risk Range &amp; Risk Matrix'!$G$11,'Risk Range &amp; Risk Matrix'!$H$11,IF(K9='Risk Range &amp; Risk Matrix'!$G$10,'Risk Range &amp; Risk Matrix'!$H$10,IF(K9='Risk Range &amp; Risk Matrix'!$G$9,'Risk Range &amp; Risk Matrix'!$H$9,IF(K9='Risk Range &amp; Risk Matrix'!$G$8,'Risk Range &amp; Risk Matrix'!$H$8,"")))))</f>
        <v>1</v>
      </c>
      <c r="M9" s="45" t="s">
        <v>35</v>
      </c>
      <c r="N9" s="45">
        <f>IF(M9='Risk Range &amp; Risk Matrix'!$I$6,'Risk Range &amp; Risk Matrix'!$I$7,IF(M9='Risk Range &amp; Risk Matrix'!$J$6,'Risk Range &amp; Risk Matrix'!$J$7,IF(M9='Risk Range &amp; Risk Matrix'!$K$6,'Risk Range &amp; Risk Matrix'!$K$7,IF(M9='Risk Range &amp; Risk Matrix'!$L$6,'Risk Range &amp; Risk Matrix'!$L$7,IF(M9='Risk Range &amp; Risk Matrix'!$M$6,'Risk Range &amp; Risk Matrix'!$M$7,"")))))</f>
        <v>1</v>
      </c>
      <c r="O9" s="73">
        <f t="shared" ref="O9:O40" si="0">IF(OR(L9="",N9=""),"empty",L9*N9)</f>
        <v>1</v>
      </c>
      <c r="P9" s="46">
        <f t="shared" ref="P9:P40" si="1">O9</f>
        <v>1</v>
      </c>
      <c r="Q9" s="3"/>
      <c r="R9" s="59"/>
      <c r="S9" s="44" t="s">
        <v>34</v>
      </c>
      <c r="T9" s="13">
        <f>IF(S9='Risk Range &amp; Risk Matrix'!$G$12,'Risk Range &amp; Risk Matrix'!$H$12,IF(S9='Risk Range &amp; Risk Matrix'!$G$11,'Risk Range &amp; Risk Matrix'!$H$11,IF(S9='Risk Range &amp; Risk Matrix'!$G$10,'Risk Range &amp; Risk Matrix'!$H$10,IF(S9='Risk Range &amp; Risk Matrix'!$G$9,'Risk Range &amp; Risk Matrix'!$H$9,IF(S9='Risk Range &amp; Risk Matrix'!$G$8,'Risk Range &amp; Risk Matrix'!$H$8,"")))))</f>
        <v>1</v>
      </c>
      <c r="U9" s="45" t="s">
        <v>35</v>
      </c>
      <c r="V9" s="45">
        <f>IF(U9='Risk Range &amp; Risk Matrix'!$I$6,'Risk Range &amp; Risk Matrix'!$I$7,IF(U9='Risk Range &amp; Risk Matrix'!$J$6,'Risk Range &amp; Risk Matrix'!$J$7,IF(U9='Risk Range &amp; Risk Matrix'!$K$6,'Risk Range &amp; Risk Matrix'!$K$7,IF(U9='Risk Range &amp; Risk Matrix'!$L$6,'Risk Range &amp; Risk Matrix'!$L$7,IF(U9='Risk Range &amp; Risk Matrix'!$M$6,'Risk Range &amp; Risk Matrix'!$M$7,"")))))</f>
        <v>1</v>
      </c>
      <c r="W9" s="73">
        <f t="shared" ref="W9:W40" si="2">IF(OR(T9="",V9=""),"empty",T9*V9)</f>
        <v>1</v>
      </c>
      <c r="X9" s="46">
        <f t="shared" ref="X9:X40" si="3">W9</f>
        <v>1</v>
      </c>
      <c r="Y9" s="3"/>
      <c r="Z9" s="47"/>
      <c r="AA9" s="14"/>
      <c r="AB9" s="15"/>
      <c r="AC9" s="85"/>
    </row>
    <row r="10" spans="1:29">
      <c r="A10" s="85"/>
      <c r="B10" s="4" t="s">
        <v>36</v>
      </c>
      <c r="C10" s="2"/>
      <c r="D10" s="2"/>
      <c r="E10" s="2"/>
      <c r="F10" s="2"/>
      <c r="G10" s="4" t="s">
        <v>37</v>
      </c>
      <c r="H10" s="3" t="s">
        <v>38</v>
      </c>
      <c r="I10" s="2" t="s">
        <v>39</v>
      </c>
      <c r="J10" s="36" t="s">
        <v>40</v>
      </c>
      <c r="K10" s="38" t="s">
        <v>41</v>
      </c>
      <c r="L10" s="2">
        <f>IF(K10='Risk Range &amp; Risk Matrix'!$G$12,'Risk Range &amp; Risk Matrix'!$H$12,IF(K10='Risk Range &amp; Risk Matrix'!$G$11,'Risk Range &amp; Risk Matrix'!$H$11,IF(K10='Risk Range &amp; Risk Matrix'!$G$10,'Risk Range &amp; Risk Matrix'!$H$10,IF(K10='Risk Range &amp; Risk Matrix'!$G$9,'Risk Range &amp; Risk Matrix'!$H$9,IF(K10='Risk Range &amp; Risk Matrix'!$G$8,'Risk Range &amp; Risk Matrix'!$H$8,"")))))</f>
        <v>2</v>
      </c>
      <c r="M10" s="37" t="s">
        <v>42</v>
      </c>
      <c r="N10" s="37">
        <f>IF(M10='Risk Range &amp; Risk Matrix'!$I$6,'Risk Range &amp; Risk Matrix'!$I$7,IF(M10='Risk Range &amp; Risk Matrix'!$J$6,'Risk Range &amp; Risk Matrix'!$J$7,IF(M10='Risk Range &amp; Risk Matrix'!$K$6,'Risk Range &amp; Risk Matrix'!$K$7,IF(M10='Risk Range &amp; Risk Matrix'!$L$6,'Risk Range &amp; Risk Matrix'!$L$7,IF(M10='Risk Range &amp; Risk Matrix'!$M$6,'Risk Range &amp; Risk Matrix'!$M$7,"")))))</f>
        <v>2</v>
      </c>
      <c r="O10" s="43">
        <f t="shared" si="0"/>
        <v>4</v>
      </c>
      <c r="P10" s="39">
        <f t="shared" si="1"/>
        <v>4</v>
      </c>
      <c r="Q10" s="3" t="s">
        <v>43</v>
      </c>
      <c r="R10" s="60"/>
      <c r="S10" s="38" t="s">
        <v>41</v>
      </c>
      <c r="T10" s="2">
        <f>IF(S10='Risk Range &amp; Risk Matrix'!$G$12,'Risk Range &amp; Risk Matrix'!$H$12,IF(S10='Risk Range &amp; Risk Matrix'!$G$11,'Risk Range &amp; Risk Matrix'!$H$11,IF(S10='Risk Range &amp; Risk Matrix'!$G$10,'Risk Range &amp; Risk Matrix'!$H$10,IF(S10='Risk Range &amp; Risk Matrix'!$G$9,'Risk Range &amp; Risk Matrix'!$H$9,IF(S10='Risk Range &amp; Risk Matrix'!$G$8,'Risk Range &amp; Risk Matrix'!$H$8,"")))))</f>
        <v>2</v>
      </c>
      <c r="U10" s="37" t="s">
        <v>42</v>
      </c>
      <c r="V10" s="37">
        <f>IF(U10='Risk Range &amp; Risk Matrix'!$I$6,'Risk Range &amp; Risk Matrix'!$I$7,IF(U10='Risk Range &amp; Risk Matrix'!$J$6,'Risk Range &amp; Risk Matrix'!$J$7,IF(U10='Risk Range &amp; Risk Matrix'!$K$6,'Risk Range &amp; Risk Matrix'!$K$7,IF(U10='Risk Range &amp; Risk Matrix'!$L$6,'Risk Range &amp; Risk Matrix'!$L$7,IF(U10='Risk Range &amp; Risk Matrix'!$M$6,'Risk Range &amp; Risk Matrix'!$M$7,"")))))</f>
        <v>2</v>
      </c>
      <c r="W10" s="43">
        <f t="shared" si="2"/>
        <v>4</v>
      </c>
      <c r="X10" s="39">
        <f t="shared" si="3"/>
        <v>4</v>
      </c>
      <c r="Y10" s="3" t="s">
        <v>43</v>
      </c>
      <c r="Z10" s="48"/>
      <c r="AA10" s="8"/>
      <c r="AB10" s="9"/>
      <c r="AC10" s="85"/>
    </row>
    <row r="11" spans="1:29">
      <c r="A11" s="85"/>
      <c r="B11" s="12" t="s">
        <v>44</v>
      </c>
      <c r="C11" s="2"/>
      <c r="D11" s="2"/>
      <c r="E11" s="2"/>
      <c r="F11" s="2"/>
      <c r="G11" s="4"/>
      <c r="H11" s="3" t="s">
        <v>45</v>
      </c>
      <c r="I11" s="2" t="s">
        <v>46</v>
      </c>
      <c r="J11" s="36"/>
      <c r="K11" s="38" t="s">
        <v>47</v>
      </c>
      <c r="L11" s="2">
        <f>IF(K11='Risk Range &amp; Risk Matrix'!$G$12,'Risk Range &amp; Risk Matrix'!$H$12,IF(K11='Risk Range &amp; Risk Matrix'!$G$11,'Risk Range &amp; Risk Matrix'!$H$11,IF(K11='Risk Range &amp; Risk Matrix'!$G$10,'Risk Range &amp; Risk Matrix'!$H$10,IF(K11='Risk Range &amp; Risk Matrix'!$G$9,'Risk Range &amp; Risk Matrix'!$H$9,IF(K11='Risk Range &amp; Risk Matrix'!$G$8,'Risk Range &amp; Risk Matrix'!$H$8,"")))))</f>
        <v>2</v>
      </c>
      <c r="M11" s="37" t="s">
        <v>48</v>
      </c>
      <c r="N11" s="37">
        <f>IF(M11='Risk Range &amp; Risk Matrix'!$I$6,'Risk Range &amp; Risk Matrix'!$I$7,IF(M11='Risk Range &amp; Risk Matrix'!$J$6,'Risk Range &amp; Risk Matrix'!$J$7,IF(M11='Risk Range &amp; Risk Matrix'!$K$6,'Risk Range &amp; Risk Matrix'!$K$7,IF(M11='Risk Range &amp; Risk Matrix'!$L$6,'Risk Range &amp; Risk Matrix'!$L$7,IF(M11='Risk Range &amp; Risk Matrix'!$M$6,'Risk Range &amp; Risk Matrix'!$M$7,"")))))</f>
        <v>3</v>
      </c>
      <c r="O11" s="43">
        <f t="shared" si="0"/>
        <v>6</v>
      </c>
      <c r="P11" s="39">
        <f t="shared" si="1"/>
        <v>6</v>
      </c>
      <c r="Q11" s="3" t="s">
        <v>49</v>
      </c>
      <c r="R11" s="60"/>
      <c r="S11" s="38" t="s">
        <v>47</v>
      </c>
      <c r="T11" s="2">
        <f>IF(S11='Risk Range &amp; Risk Matrix'!$G$12,'Risk Range &amp; Risk Matrix'!$H$12,IF(S11='Risk Range &amp; Risk Matrix'!$G$11,'Risk Range &amp; Risk Matrix'!$H$11,IF(S11='Risk Range &amp; Risk Matrix'!$G$10,'Risk Range &amp; Risk Matrix'!$H$10,IF(S11='Risk Range &amp; Risk Matrix'!$G$9,'Risk Range &amp; Risk Matrix'!$H$9,IF(S11='Risk Range &amp; Risk Matrix'!$G$8,'Risk Range &amp; Risk Matrix'!$H$8,"")))))</f>
        <v>2</v>
      </c>
      <c r="U11" s="37" t="s">
        <v>48</v>
      </c>
      <c r="V11" s="37">
        <f>IF(U11='Risk Range &amp; Risk Matrix'!$I$6,'Risk Range &amp; Risk Matrix'!$I$7,IF(U11='Risk Range &amp; Risk Matrix'!$J$6,'Risk Range &amp; Risk Matrix'!$J$7,IF(U11='Risk Range &amp; Risk Matrix'!$K$6,'Risk Range &amp; Risk Matrix'!$K$7,IF(U11='Risk Range &amp; Risk Matrix'!$L$6,'Risk Range &amp; Risk Matrix'!$L$7,IF(U11='Risk Range &amp; Risk Matrix'!$M$6,'Risk Range &amp; Risk Matrix'!$M$7,"")))))</f>
        <v>3</v>
      </c>
      <c r="W11" s="43">
        <f t="shared" si="2"/>
        <v>6</v>
      </c>
      <c r="X11" s="39">
        <f t="shared" si="3"/>
        <v>6</v>
      </c>
      <c r="Y11" s="3" t="s">
        <v>49</v>
      </c>
      <c r="Z11" s="48"/>
      <c r="AA11" s="8"/>
      <c r="AB11" s="9"/>
      <c r="AC11" s="85"/>
    </row>
    <row r="12" spans="1:29">
      <c r="A12" s="85"/>
      <c r="B12" s="4" t="s">
        <v>50</v>
      </c>
      <c r="C12" s="2"/>
      <c r="D12" s="2"/>
      <c r="E12" s="2"/>
      <c r="F12" s="2"/>
      <c r="G12" s="4"/>
      <c r="H12" s="3"/>
      <c r="I12" s="2" t="s">
        <v>51</v>
      </c>
      <c r="J12" s="36"/>
      <c r="K12" s="38" t="s">
        <v>52</v>
      </c>
      <c r="L12" s="2">
        <f>IF(K12='Risk Range &amp; Risk Matrix'!$G$12,'Risk Range &amp; Risk Matrix'!$H$12,IF(K12='Risk Range &amp; Risk Matrix'!$G$11,'Risk Range &amp; Risk Matrix'!$H$11,IF(K12='Risk Range &amp; Risk Matrix'!$G$10,'Risk Range &amp; Risk Matrix'!$H$10,IF(K12='Risk Range &amp; Risk Matrix'!$G$9,'Risk Range &amp; Risk Matrix'!$H$9,IF(K12='Risk Range &amp; Risk Matrix'!$G$8,'Risk Range &amp; Risk Matrix'!$H$8,"")))))</f>
        <v>4</v>
      </c>
      <c r="M12" s="37" t="s">
        <v>53</v>
      </c>
      <c r="N12" s="37">
        <f>IF(M12='Risk Range &amp; Risk Matrix'!$I$6,'Risk Range &amp; Risk Matrix'!$I$7,IF(M12='Risk Range &amp; Risk Matrix'!$J$6,'Risk Range &amp; Risk Matrix'!$J$7,IF(M12='Risk Range &amp; Risk Matrix'!$K$6,'Risk Range &amp; Risk Matrix'!$K$7,IF(M12='Risk Range &amp; Risk Matrix'!$L$6,'Risk Range &amp; Risk Matrix'!$L$7,IF(M12='Risk Range &amp; Risk Matrix'!$M$6,'Risk Range &amp; Risk Matrix'!$M$7,"")))))</f>
        <v>4</v>
      </c>
      <c r="O12" s="43">
        <f t="shared" si="0"/>
        <v>16</v>
      </c>
      <c r="P12" s="39">
        <f t="shared" si="1"/>
        <v>16</v>
      </c>
      <c r="Q12" s="3" t="s">
        <v>54</v>
      </c>
      <c r="R12" s="60"/>
      <c r="S12" s="38" t="s">
        <v>52</v>
      </c>
      <c r="T12" s="2">
        <f>IF(S12='Risk Range &amp; Risk Matrix'!$G$12,'Risk Range &amp; Risk Matrix'!$H$12,IF(S12='Risk Range &amp; Risk Matrix'!$G$11,'Risk Range &amp; Risk Matrix'!$H$11,IF(S12='Risk Range &amp; Risk Matrix'!$G$10,'Risk Range &amp; Risk Matrix'!$H$10,IF(S12='Risk Range &amp; Risk Matrix'!$G$9,'Risk Range &amp; Risk Matrix'!$H$9,IF(S12='Risk Range &amp; Risk Matrix'!$G$8,'Risk Range &amp; Risk Matrix'!$H$8,"")))))</f>
        <v>4</v>
      </c>
      <c r="U12" s="37" t="s">
        <v>53</v>
      </c>
      <c r="V12" s="37">
        <f>IF(U12='Risk Range &amp; Risk Matrix'!$I$6,'Risk Range &amp; Risk Matrix'!$I$7,IF(U12='Risk Range &amp; Risk Matrix'!$J$6,'Risk Range &amp; Risk Matrix'!$J$7,IF(U12='Risk Range &amp; Risk Matrix'!$K$6,'Risk Range &amp; Risk Matrix'!$K$7,IF(U12='Risk Range &amp; Risk Matrix'!$L$6,'Risk Range &amp; Risk Matrix'!$L$7,IF(U12='Risk Range &amp; Risk Matrix'!$M$6,'Risk Range &amp; Risk Matrix'!$M$7,"")))))</f>
        <v>4</v>
      </c>
      <c r="W12" s="43">
        <f t="shared" si="2"/>
        <v>16</v>
      </c>
      <c r="X12" s="39">
        <f t="shared" si="3"/>
        <v>16</v>
      </c>
      <c r="Y12" s="3" t="s">
        <v>54</v>
      </c>
      <c r="Z12" s="48"/>
      <c r="AA12" s="8"/>
      <c r="AB12" s="9"/>
      <c r="AC12" s="85"/>
    </row>
    <row r="13" spans="1:29">
      <c r="A13" s="85"/>
      <c r="B13" s="12" t="s">
        <v>55</v>
      </c>
      <c r="C13" s="2"/>
      <c r="D13" s="2"/>
      <c r="E13" s="2"/>
      <c r="F13" s="2"/>
      <c r="G13" s="4"/>
      <c r="H13" s="3"/>
      <c r="I13" s="2" t="s">
        <v>56</v>
      </c>
      <c r="J13" s="36"/>
      <c r="K13" s="38" t="s">
        <v>57</v>
      </c>
      <c r="L13" s="2">
        <f>IF(K13='Risk Range &amp; Risk Matrix'!$G$12,'Risk Range &amp; Risk Matrix'!$H$12,IF(K13='Risk Range &amp; Risk Matrix'!$G$11,'Risk Range &amp; Risk Matrix'!$H$11,IF(K13='Risk Range &amp; Risk Matrix'!$G$10,'Risk Range &amp; Risk Matrix'!$H$10,IF(K13='Risk Range &amp; Risk Matrix'!$G$9,'Risk Range &amp; Risk Matrix'!$H$9,IF(K13='Risk Range &amp; Risk Matrix'!$G$8,'Risk Range &amp; Risk Matrix'!$H$8,"")))))</f>
        <v>5</v>
      </c>
      <c r="M13" s="37" t="s">
        <v>58</v>
      </c>
      <c r="N13" s="37">
        <f>IF(M13='Risk Range &amp; Risk Matrix'!$I$6,'Risk Range &amp; Risk Matrix'!$I$7,IF(M13='Risk Range &amp; Risk Matrix'!$J$6,'Risk Range &amp; Risk Matrix'!$J$7,IF(M13='Risk Range &amp; Risk Matrix'!$K$6,'Risk Range &amp; Risk Matrix'!$K$7,IF(M13='Risk Range &amp; Risk Matrix'!$L$6,'Risk Range &amp; Risk Matrix'!$L$7,IF(M13='Risk Range &amp; Risk Matrix'!$M$6,'Risk Range &amp; Risk Matrix'!$M$7,"")))))</f>
        <v>5</v>
      </c>
      <c r="O13" s="43">
        <f t="shared" si="0"/>
        <v>25</v>
      </c>
      <c r="P13" s="39">
        <f t="shared" si="1"/>
        <v>25</v>
      </c>
      <c r="Q13" s="3" t="s">
        <v>59</v>
      </c>
      <c r="R13" s="60"/>
      <c r="S13" s="38" t="s">
        <v>57</v>
      </c>
      <c r="T13" s="2">
        <f>IF(S13='Risk Range &amp; Risk Matrix'!$G$12,'Risk Range &amp; Risk Matrix'!$H$12,IF(S13='Risk Range &amp; Risk Matrix'!$G$11,'Risk Range &amp; Risk Matrix'!$H$11,IF(S13='Risk Range &amp; Risk Matrix'!$G$10,'Risk Range &amp; Risk Matrix'!$H$10,IF(S13='Risk Range &amp; Risk Matrix'!$G$9,'Risk Range &amp; Risk Matrix'!$H$9,IF(S13='Risk Range &amp; Risk Matrix'!$G$8,'Risk Range &amp; Risk Matrix'!$H$8,"")))))</f>
        <v>5</v>
      </c>
      <c r="U13" s="37" t="s">
        <v>58</v>
      </c>
      <c r="V13" s="37">
        <f>IF(U13='Risk Range &amp; Risk Matrix'!$I$6,'Risk Range &amp; Risk Matrix'!$I$7,IF(U13='Risk Range &amp; Risk Matrix'!$J$6,'Risk Range &amp; Risk Matrix'!$J$7,IF(U13='Risk Range &amp; Risk Matrix'!$K$6,'Risk Range &amp; Risk Matrix'!$K$7,IF(U13='Risk Range &amp; Risk Matrix'!$L$6,'Risk Range &amp; Risk Matrix'!$L$7,IF(U13='Risk Range &amp; Risk Matrix'!$M$6,'Risk Range &amp; Risk Matrix'!$M$7,"")))))</f>
        <v>5</v>
      </c>
      <c r="W13" s="43">
        <f t="shared" si="2"/>
        <v>25</v>
      </c>
      <c r="X13" s="39">
        <f t="shared" si="3"/>
        <v>25</v>
      </c>
      <c r="Y13" s="3" t="s">
        <v>59</v>
      </c>
      <c r="Z13" s="48"/>
      <c r="AA13" s="8"/>
      <c r="AB13" s="9"/>
      <c r="AC13" s="85"/>
    </row>
    <row r="14" spans="1:29">
      <c r="A14" s="85"/>
      <c r="B14" s="4" t="s">
        <v>60</v>
      </c>
      <c r="C14" s="2"/>
      <c r="D14" s="2"/>
      <c r="E14" s="2"/>
      <c r="F14" s="2"/>
      <c r="G14" s="4"/>
      <c r="H14" s="3"/>
      <c r="I14" s="2" t="s">
        <v>61</v>
      </c>
      <c r="J14" s="36"/>
      <c r="K14" s="38"/>
      <c r="L14" s="2" t="str">
        <f>IF(K14='Risk Range &amp; Risk Matrix'!$G$12,'Risk Range &amp; Risk Matrix'!$H$12,IF(K14='Risk Range &amp; Risk Matrix'!$G$11,'Risk Range &amp; Risk Matrix'!$H$11,IF(K14='Risk Range &amp; Risk Matrix'!$G$10,'Risk Range &amp; Risk Matrix'!$H$10,IF(K14='Risk Range &amp; Risk Matrix'!$G$9,'Risk Range &amp; Risk Matrix'!$H$9,IF(K14='Risk Range &amp; Risk Matrix'!$G$8,'Risk Range &amp; Risk Matrix'!$H$8,"")))))</f>
        <v/>
      </c>
      <c r="M14" s="37"/>
      <c r="N14" s="37" t="str">
        <f>IF(M14='Risk Range &amp; Risk Matrix'!$I$6,'Risk Range &amp; Risk Matrix'!$I$7,IF(M14='Risk Range &amp; Risk Matrix'!$J$6,'Risk Range &amp; Risk Matrix'!$J$7,IF(M14='Risk Range &amp; Risk Matrix'!$K$6,'Risk Range &amp; Risk Matrix'!$K$7,IF(M14='Risk Range &amp; Risk Matrix'!$L$6,'Risk Range &amp; Risk Matrix'!$L$7,IF(M14='Risk Range &amp; Risk Matrix'!$M$6,'Risk Range &amp; Risk Matrix'!$M$7,"")))))</f>
        <v/>
      </c>
      <c r="O14" s="43" t="str">
        <f t="shared" si="0"/>
        <v>empty</v>
      </c>
      <c r="P14" s="5" t="str">
        <f t="shared" si="1"/>
        <v>empty</v>
      </c>
      <c r="Q14" s="3" t="s">
        <v>62</v>
      </c>
      <c r="R14" s="60"/>
      <c r="S14" s="38"/>
      <c r="T14" s="2" t="str">
        <f>IF(S14='Risk Range &amp; Risk Matrix'!$G$12,'Risk Range &amp; Risk Matrix'!$H$12,IF(S14='Risk Range &amp; Risk Matrix'!$G$11,'Risk Range &amp; Risk Matrix'!$H$11,IF(S14='Risk Range &amp; Risk Matrix'!$G$10,'Risk Range &amp; Risk Matrix'!$H$10,IF(S14='Risk Range &amp; Risk Matrix'!$G$9,'Risk Range &amp; Risk Matrix'!$H$9,IF(S14='Risk Range &amp; Risk Matrix'!$G$8,'Risk Range &amp; Risk Matrix'!$H$8,"")))))</f>
        <v/>
      </c>
      <c r="U14" s="37"/>
      <c r="V14" s="37" t="str">
        <f>IF(U14='Risk Range &amp; Risk Matrix'!$I$6,'Risk Range &amp; Risk Matrix'!$I$7,IF(U14='Risk Range &amp; Risk Matrix'!$J$6,'Risk Range &amp; Risk Matrix'!$J$7,IF(U14='Risk Range &amp; Risk Matrix'!$K$6,'Risk Range &amp; Risk Matrix'!$K$7,IF(U14='Risk Range &amp; Risk Matrix'!$L$6,'Risk Range &amp; Risk Matrix'!$L$7,IF(U14='Risk Range &amp; Risk Matrix'!$M$6,'Risk Range &amp; Risk Matrix'!$M$7,"")))))</f>
        <v/>
      </c>
      <c r="W14" s="43" t="str">
        <f t="shared" si="2"/>
        <v>empty</v>
      </c>
      <c r="X14" s="5" t="str">
        <f t="shared" si="3"/>
        <v>empty</v>
      </c>
      <c r="Y14" s="3" t="s">
        <v>62</v>
      </c>
      <c r="Z14" s="48"/>
      <c r="AA14" s="8"/>
      <c r="AB14" s="9"/>
      <c r="AC14" s="85"/>
    </row>
    <row r="15" spans="1:29">
      <c r="A15" s="85"/>
      <c r="B15" s="12" t="s">
        <v>63</v>
      </c>
      <c r="C15" s="2"/>
      <c r="D15" s="2"/>
      <c r="E15" s="2"/>
      <c r="F15" s="2"/>
      <c r="G15" s="4"/>
      <c r="H15" s="3"/>
      <c r="I15" s="2" t="s">
        <v>64</v>
      </c>
      <c r="J15" s="36"/>
      <c r="K15" s="38"/>
      <c r="L15" s="2" t="str">
        <f>IF(K15='Risk Range &amp; Risk Matrix'!$G$12,'Risk Range &amp; Risk Matrix'!$H$12,IF(K15='Risk Range &amp; Risk Matrix'!$G$11,'Risk Range &amp; Risk Matrix'!$H$11,IF(K15='Risk Range &amp; Risk Matrix'!$G$10,'Risk Range &amp; Risk Matrix'!$H$10,IF(K15='Risk Range &amp; Risk Matrix'!$G$9,'Risk Range &amp; Risk Matrix'!$H$9,IF(K15='Risk Range &amp; Risk Matrix'!$G$8,'Risk Range &amp; Risk Matrix'!$H$8,"")))))</f>
        <v/>
      </c>
      <c r="M15" s="37"/>
      <c r="N15" s="37" t="str">
        <f>IF(M15='Risk Range &amp; Risk Matrix'!$I$6,'Risk Range &amp; Risk Matrix'!$I$7,IF(M15='Risk Range &amp; Risk Matrix'!$J$6,'Risk Range &amp; Risk Matrix'!$J$7,IF(M15='Risk Range &amp; Risk Matrix'!$K$6,'Risk Range &amp; Risk Matrix'!$K$7,IF(M15='Risk Range &amp; Risk Matrix'!$L$6,'Risk Range &amp; Risk Matrix'!$L$7,IF(M15='Risk Range &amp; Risk Matrix'!$M$6,'Risk Range &amp; Risk Matrix'!$M$7,"")))))</f>
        <v/>
      </c>
      <c r="O15" s="43" t="str">
        <f t="shared" si="0"/>
        <v>empty</v>
      </c>
      <c r="P15" s="39" t="str">
        <f t="shared" si="1"/>
        <v>empty</v>
      </c>
      <c r="Q15" s="3" t="s">
        <v>65</v>
      </c>
      <c r="R15" s="60"/>
      <c r="S15" s="38"/>
      <c r="T15" s="2" t="str">
        <f>IF(S15='Risk Range &amp; Risk Matrix'!$G$12,'Risk Range &amp; Risk Matrix'!$H$12,IF(S15='Risk Range &amp; Risk Matrix'!$G$11,'Risk Range &amp; Risk Matrix'!$H$11,IF(S15='Risk Range &amp; Risk Matrix'!$G$10,'Risk Range &amp; Risk Matrix'!$H$10,IF(S15='Risk Range &amp; Risk Matrix'!$G$9,'Risk Range &amp; Risk Matrix'!$H$9,IF(S15='Risk Range &amp; Risk Matrix'!$G$8,'Risk Range &amp; Risk Matrix'!$H$8,"")))))</f>
        <v/>
      </c>
      <c r="U15" s="37"/>
      <c r="V15" s="37" t="str">
        <f>IF(U15='Risk Range &amp; Risk Matrix'!$I$6,'Risk Range &amp; Risk Matrix'!$I$7,IF(U15='Risk Range &amp; Risk Matrix'!$J$6,'Risk Range &amp; Risk Matrix'!$J$7,IF(U15='Risk Range &amp; Risk Matrix'!$K$6,'Risk Range &amp; Risk Matrix'!$K$7,IF(U15='Risk Range &amp; Risk Matrix'!$L$6,'Risk Range &amp; Risk Matrix'!$L$7,IF(U15='Risk Range &amp; Risk Matrix'!$M$6,'Risk Range &amp; Risk Matrix'!$M$7,"")))))</f>
        <v/>
      </c>
      <c r="W15" s="43" t="str">
        <f t="shared" si="2"/>
        <v>empty</v>
      </c>
      <c r="X15" s="39" t="str">
        <f t="shared" si="3"/>
        <v>empty</v>
      </c>
      <c r="Y15" s="3" t="s">
        <v>65</v>
      </c>
      <c r="Z15" s="48"/>
      <c r="AA15" s="8"/>
      <c r="AB15" s="9"/>
      <c r="AC15" s="85"/>
    </row>
    <row r="16" spans="1:29">
      <c r="A16" s="85"/>
      <c r="B16" s="4" t="s">
        <v>66</v>
      </c>
      <c r="C16" s="2"/>
      <c r="D16" s="2"/>
      <c r="E16" s="2"/>
      <c r="F16" s="2"/>
      <c r="G16" s="4"/>
      <c r="H16" s="3"/>
      <c r="I16" s="2" t="s">
        <v>67</v>
      </c>
      <c r="J16" s="36"/>
      <c r="K16" s="38"/>
      <c r="L16" s="2" t="str">
        <f>IF(K16='Risk Range &amp; Risk Matrix'!$G$12,'Risk Range &amp; Risk Matrix'!$H$12,IF(K16='Risk Range &amp; Risk Matrix'!$G$11,'Risk Range &amp; Risk Matrix'!$H$11,IF(K16='Risk Range &amp; Risk Matrix'!$G$10,'Risk Range &amp; Risk Matrix'!$H$10,IF(K16='Risk Range &amp; Risk Matrix'!$G$9,'Risk Range &amp; Risk Matrix'!$H$9,IF(K16='Risk Range &amp; Risk Matrix'!$G$8,'Risk Range &amp; Risk Matrix'!$H$8,"")))))</f>
        <v/>
      </c>
      <c r="M16" s="37"/>
      <c r="N16" s="37" t="str">
        <f>IF(M16='Risk Range &amp; Risk Matrix'!$I$6,'Risk Range &amp; Risk Matrix'!$I$7,IF(M16='Risk Range &amp; Risk Matrix'!$J$6,'Risk Range &amp; Risk Matrix'!$J$7,IF(M16='Risk Range &amp; Risk Matrix'!$K$6,'Risk Range &amp; Risk Matrix'!$K$7,IF(M16='Risk Range &amp; Risk Matrix'!$L$6,'Risk Range &amp; Risk Matrix'!$L$7,IF(M16='Risk Range &amp; Risk Matrix'!$M$6,'Risk Range &amp; Risk Matrix'!$M$7,"")))))</f>
        <v/>
      </c>
      <c r="O16" s="43" t="str">
        <f t="shared" si="0"/>
        <v>empty</v>
      </c>
      <c r="P16" s="39" t="str">
        <f t="shared" si="1"/>
        <v>empty</v>
      </c>
      <c r="Q16" s="3"/>
      <c r="R16" s="60"/>
      <c r="S16" s="38"/>
      <c r="T16" s="2" t="str">
        <f>IF(S16='Risk Range &amp; Risk Matrix'!$G$12,'Risk Range &amp; Risk Matrix'!$H$12,IF(S16='Risk Range &amp; Risk Matrix'!$G$11,'Risk Range &amp; Risk Matrix'!$H$11,IF(S16='Risk Range &amp; Risk Matrix'!$G$10,'Risk Range &amp; Risk Matrix'!$H$10,IF(S16='Risk Range &amp; Risk Matrix'!$G$9,'Risk Range &amp; Risk Matrix'!$H$9,IF(S16='Risk Range &amp; Risk Matrix'!$G$8,'Risk Range &amp; Risk Matrix'!$H$8,"")))))</f>
        <v/>
      </c>
      <c r="U16" s="37"/>
      <c r="V16" s="37" t="str">
        <f>IF(U16='Risk Range &amp; Risk Matrix'!$I$6,'Risk Range &amp; Risk Matrix'!$I$7,IF(U16='Risk Range &amp; Risk Matrix'!$J$6,'Risk Range &amp; Risk Matrix'!$J$7,IF(U16='Risk Range &amp; Risk Matrix'!$K$6,'Risk Range &amp; Risk Matrix'!$K$7,IF(U16='Risk Range &amp; Risk Matrix'!$L$6,'Risk Range &amp; Risk Matrix'!$L$7,IF(U16='Risk Range &amp; Risk Matrix'!$M$6,'Risk Range &amp; Risk Matrix'!$M$7,"")))))</f>
        <v/>
      </c>
      <c r="W16" s="43" t="str">
        <f t="shared" si="2"/>
        <v>empty</v>
      </c>
      <c r="X16" s="39" t="str">
        <f t="shared" si="3"/>
        <v>empty</v>
      </c>
      <c r="Y16" s="3"/>
      <c r="Z16" s="48"/>
      <c r="AA16" s="8"/>
      <c r="AB16" s="9"/>
      <c r="AC16" s="85"/>
    </row>
    <row r="17" spans="1:29">
      <c r="A17" s="85"/>
      <c r="B17" s="12" t="s">
        <v>68</v>
      </c>
      <c r="C17" s="2"/>
      <c r="D17" s="2"/>
      <c r="E17" s="2"/>
      <c r="F17" s="2"/>
      <c r="G17" s="4"/>
      <c r="H17" s="3"/>
      <c r="I17" s="2" t="s">
        <v>69</v>
      </c>
      <c r="J17" s="36"/>
      <c r="K17" s="38"/>
      <c r="L17" s="2" t="str">
        <f>IF(K17='Risk Range &amp; Risk Matrix'!$G$12,'Risk Range &amp; Risk Matrix'!$H$12,IF(K17='Risk Range &amp; Risk Matrix'!$G$11,'Risk Range &amp; Risk Matrix'!$H$11,IF(K17='Risk Range &amp; Risk Matrix'!$G$10,'Risk Range &amp; Risk Matrix'!$H$10,IF(K17='Risk Range &amp; Risk Matrix'!$G$9,'Risk Range &amp; Risk Matrix'!$H$9,IF(K17='Risk Range &amp; Risk Matrix'!$G$8,'Risk Range &amp; Risk Matrix'!$H$8,"")))))</f>
        <v/>
      </c>
      <c r="M17" s="37"/>
      <c r="N17" s="37" t="str">
        <f>IF(M17='Risk Range &amp; Risk Matrix'!$I$6,'Risk Range &amp; Risk Matrix'!$I$7,IF(M17='Risk Range &amp; Risk Matrix'!$J$6,'Risk Range &amp; Risk Matrix'!$J$7,IF(M17='Risk Range &amp; Risk Matrix'!$K$6,'Risk Range &amp; Risk Matrix'!$K$7,IF(M17='Risk Range &amp; Risk Matrix'!$L$6,'Risk Range &amp; Risk Matrix'!$L$7,IF(M17='Risk Range &amp; Risk Matrix'!$M$6,'Risk Range &amp; Risk Matrix'!$M$7,"")))))</f>
        <v/>
      </c>
      <c r="O17" s="43" t="str">
        <f t="shared" si="0"/>
        <v>empty</v>
      </c>
      <c r="P17" s="39" t="str">
        <f t="shared" si="1"/>
        <v>empty</v>
      </c>
      <c r="Q17" s="3"/>
      <c r="R17" s="60"/>
      <c r="S17" s="38"/>
      <c r="T17" s="2" t="str">
        <f>IF(S17='Risk Range &amp; Risk Matrix'!$G$12,'Risk Range &amp; Risk Matrix'!$H$12,IF(S17='Risk Range &amp; Risk Matrix'!$G$11,'Risk Range &amp; Risk Matrix'!$H$11,IF(S17='Risk Range &amp; Risk Matrix'!$G$10,'Risk Range &amp; Risk Matrix'!$H$10,IF(S17='Risk Range &amp; Risk Matrix'!$G$9,'Risk Range &amp; Risk Matrix'!$H$9,IF(S17='Risk Range &amp; Risk Matrix'!$G$8,'Risk Range &amp; Risk Matrix'!$H$8,"")))))</f>
        <v/>
      </c>
      <c r="U17" s="37"/>
      <c r="V17" s="37" t="str">
        <f>IF(U17='Risk Range &amp; Risk Matrix'!$I$6,'Risk Range &amp; Risk Matrix'!$I$7,IF(U17='Risk Range &amp; Risk Matrix'!$J$6,'Risk Range &amp; Risk Matrix'!$J$7,IF(U17='Risk Range &amp; Risk Matrix'!$K$6,'Risk Range &amp; Risk Matrix'!$K$7,IF(U17='Risk Range &amp; Risk Matrix'!$L$6,'Risk Range &amp; Risk Matrix'!$L$7,IF(U17='Risk Range &amp; Risk Matrix'!$M$6,'Risk Range &amp; Risk Matrix'!$M$7,"")))))</f>
        <v/>
      </c>
      <c r="W17" s="43" t="str">
        <f t="shared" si="2"/>
        <v>empty</v>
      </c>
      <c r="X17" s="39" t="str">
        <f t="shared" si="3"/>
        <v>empty</v>
      </c>
      <c r="Y17" s="3"/>
      <c r="Z17" s="48"/>
      <c r="AA17" s="8"/>
      <c r="AB17" s="9"/>
      <c r="AC17" s="85"/>
    </row>
    <row r="18" spans="1:29">
      <c r="A18" s="85"/>
      <c r="B18" s="4" t="s">
        <v>70</v>
      </c>
      <c r="C18" s="2"/>
      <c r="D18" s="2"/>
      <c r="E18" s="2"/>
      <c r="F18" s="2"/>
      <c r="G18" s="4"/>
      <c r="H18" s="3"/>
      <c r="I18" s="2" t="s">
        <v>71</v>
      </c>
      <c r="J18" s="36"/>
      <c r="K18" s="38"/>
      <c r="L18" s="2" t="str">
        <f>IF(K18='Risk Range &amp; Risk Matrix'!$G$12,'Risk Range &amp; Risk Matrix'!$H$12,IF(K18='Risk Range &amp; Risk Matrix'!$G$11,'Risk Range &amp; Risk Matrix'!$H$11,IF(K18='Risk Range &amp; Risk Matrix'!$G$10,'Risk Range &amp; Risk Matrix'!$H$10,IF(K18='Risk Range &amp; Risk Matrix'!$G$9,'Risk Range &amp; Risk Matrix'!$H$9,IF(K18='Risk Range &amp; Risk Matrix'!$G$8,'Risk Range &amp; Risk Matrix'!$H$8,"")))))</f>
        <v/>
      </c>
      <c r="M18" s="37"/>
      <c r="N18" s="37" t="str">
        <f>IF(M18='Risk Range &amp; Risk Matrix'!$I$6,'Risk Range &amp; Risk Matrix'!$I$7,IF(M18='Risk Range &amp; Risk Matrix'!$J$6,'Risk Range &amp; Risk Matrix'!$J$7,IF(M18='Risk Range &amp; Risk Matrix'!$K$6,'Risk Range &amp; Risk Matrix'!$K$7,IF(M18='Risk Range &amp; Risk Matrix'!$L$6,'Risk Range &amp; Risk Matrix'!$L$7,IF(M18='Risk Range &amp; Risk Matrix'!$M$6,'Risk Range &amp; Risk Matrix'!$M$7,"")))))</f>
        <v/>
      </c>
      <c r="O18" s="43" t="str">
        <f t="shared" si="0"/>
        <v>empty</v>
      </c>
      <c r="P18" s="39" t="str">
        <f t="shared" si="1"/>
        <v>empty</v>
      </c>
      <c r="Q18" s="3"/>
      <c r="R18" s="60"/>
      <c r="S18" s="38"/>
      <c r="T18" s="2" t="str">
        <f>IF(S18='Risk Range &amp; Risk Matrix'!$G$12,'Risk Range &amp; Risk Matrix'!$H$12,IF(S18='Risk Range &amp; Risk Matrix'!$G$11,'Risk Range &amp; Risk Matrix'!$H$11,IF(S18='Risk Range &amp; Risk Matrix'!$G$10,'Risk Range &amp; Risk Matrix'!$H$10,IF(S18='Risk Range &amp; Risk Matrix'!$G$9,'Risk Range &amp; Risk Matrix'!$H$9,IF(S18='Risk Range &amp; Risk Matrix'!$G$8,'Risk Range &amp; Risk Matrix'!$H$8,"")))))</f>
        <v/>
      </c>
      <c r="U18" s="37"/>
      <c r="V18" s="37" t="str">
        <f>IF(U18='Risk Range &amp; Risk Matrix'!$I$6,'Risk Range &amp; Risk Matrix'!$I$7,IF(U18='Risk Range &amp; Risk Matrix'!$J$6,'Risk Range &amp; Risk Matrix'!$J$7,IF(U18='Risk Range &amp; Risk Matrix'!$K$6,'Risk Range &amp; Risk Matrix'!$K$7,IF(U18='Risk Range &amp; Risk Matrix'!$L$6,'Risk Range &amp; Risk Matrix'!$L$7,IF(U18='Risk Range &amp; Risk Matrix'!$M$6,'Risk Range &amp; Risk Matrix'!$M$7,"")))))</f>
        <v/>
      </c>
      <c r="W18" s="43" t="str">
        <f t="shared" si="2"/>
        <v>empty</v>
      </c>
      <c r="X18" s="39" t="str">
        <f t="shared" si="3"/>
        <v>empty</v>
      </c>
      <c r="Y18" s="3"/>
      <c r="Z18" s="48"/>
      <c r="AA18" s="8"/>
      <c r="AB18" s="9"/>
      <c r="AC18" s="85"/>
    </row>
    <row r="19" spans="1:29">
      <c r="A19" s="85"/>
      <c r="B19" s="12" t="s">
        <v>72</v>
      </c>
      <c r="C19" s="2"/>
      <c r="D19" s="2"/>
      <c r="E19" s="2"/>
      <c r="F19" s="2"/>
      <c r="G19" s="4"/>
      <c r="H19" s="3"/>
      <c r="I19" s="2" t="s">
        <v>73</v>
      </c>
      <c r="J19" s="36"/>
      <c r="K19" s="38"/>
      <c r="L19" s="2" t="str">
        <f>IF(K19='Risk Range &amp; Risk Matrix'!$G$12,'Risk Range &amp; Risk Matrix'!$H$12,IF(K19='Risk Range &amp; Risk Matrix'!$G$11,'Risk Range &amp; Risk Matrix'!$H$11,IF(K19='Risk Range &amp; Risk Matrix'!$G$10,'Risk Range &amp; Risk Matrix'!$H$10,IF(K19='Risk Range &amp; Risk Matrix'!$G$9,'Risk Range &amp; Risk Matrix'!$H$9,IF(K19='Risk Range &amp; Risk Matrix'!$G$8,'Risk Range &amp; Risk Matrix'!$H$8,"")))))</f>
        <v/>
      </c>
      <c r="M19" s="37"/>
      <c r="N19" s="37" t="str">
        <f>IF(M19='Risk Range &amp; Risk Matrix'!$I$6,'Risk Range &amp; Risk Matrix'!$I$7,IF(M19='Risk Range &amp; Risk Matrix'!$J$6,'Risk Range &amp; Risk Matrix'!$J$7,IF(M19='Risk Range &amp; Risk Matrix'!$K$6,'Risk Range &amp; Risk Matrix'!$K$7,IF(M19='Risk Range &amp; Risk Matrix'!$L$6,'Risk Range &amp; Risk Matrix'!$L$7,IF(M19='Risk Range &amp; Risk Matrix'!$M$6,'Risk Range &amp; Risk Matrix'!$M$7,"")))))</f>
        <v/>
      </c>
      <c r="O19" s="43" t="str">
        <f t="shared" si="0"/>
        <v>empty</v>
      </c>
      <c r="P19" s="39" t="str">
        <f t="shared" si="1"/>
        <v>empty</v>
      </c>
      <c r="Q19" s="3"/>
      <c r="R19" s="60"/>
      <c r="S19" s="38"/>
      <c r="T19" s="2" t="str">
        <f>IF(S19='Risk Range &amp; Risk Matrix'!$G$12,'Risk Range &amp; Risk Matrix'!$H$12,IF(S19='Risk Range &amp; Risk Matrix'!$G$11,'Risk Range &amp; Risk Matrix'!$H$11,IF(S19='Risk Range &amp; Risk Matrix'!$G$10,'Risk Range &amp; Risk Matrix'!$H$10,IF(S19='Risk Range &amp; Risk Matrix'!$G$9,'Risk Range &amp; Risk Matrix'!$H$9,IF(S19='Risk Range &amp; Risk Matrix'!$G$8,'Risk Range &amp; Risk Matrix'!$H$8,"")))))</f>
        <v/>
      </c>
      <c r="U19" s="37"/>
      <c r="V19" s="37" t="str">
        <f>IF(U19='Risk Range &amp; Risk Matrix'!$I$6,'Risk Range &amp; Risk Matrix'!$I$7,IF(U19='Risk Range &amp; Risk Matrix'!$J$6,'Risk Range &amp; Risk Matrix'!$J$7,IF(U19='Risk Range &amp; Risk Matrix'!$K$6,'Risk Range &amp; Risk Matrix'!$K$7,IF(U19='Risk Range &amp; Risk Matrix'!$L$6,'Risk Range &amp; Risk Matrix'!$L$7,IF(U19='Risk Range &amp; Risk Matrix'!$M$6,'Risk Range &amp; Risk Matrix'!$M$7,"")))))</f>
        <v/>
      </c>
      <c r="W19" s="43" t="str">
        <f t="shared" si="2"/>
        <v>empty</v>
      </c>
      <c r="X19" s="39" t="str">
        <f t="shared" si="3"/>
        <v>empty</v>
      </c>
      <c r="Y19" s="3"/>
      <c r="Z19" s="48"/>
      <c r="AA19" s="8"/>
      <c r="AB19" s="9"/>
      <c r="AC19" s="85"/>
    </row>
    <row r="20" spans="1:29">
      <c r="A20" s="85"/>
      <c r="B20" s="4" t="s">
        <v>74</v>
      </c>
      <c r="C20" s="2"/>
      <c r="D20" s="2"/>
      <c r="E20" s="2"/>
      <c r="F20" s="2"/>
      <c r="G20" s="4"/>
      <c r="H20" s="3"/>
      <c r="I20" s="2" t="s">
        <v>75</v>
      </c>
      <c r="J20" s="36"/>
      <c r="K20" s="38"/>
      <c r="L20" s="2" t="str">
        <f>IF(K20='Risk Range &amp; Risk Matrix'!$G$12,'Risk Range &amp; Risk Matrix'!$H$12,IF(K20='Risk Range &amp; Risk Matrix'!$G$11,'Risk Range &amp; Risk Matrix'!$H$11,IF(K20='Risk Range &amp; Risk Matrix'!$G$10,'Risk Range &amp; Risk Matrix'!$H$10,IF(K20='Risk Range &amp; Risk Matrix'!$G$9,'Risk Range &amp; Risk Matrix'!$H$9,IF(K20='Risk Range &amp; Risk Matrix'!$G$8,'Risk Range &amp; Risk Matrix'!$H$8,"")))))</f>
        <v/>
      </c>
      <c r="M20" s="37"/>
      <c r="N20" s="37" t="str">
        <f>IF(M20='Risk Range &amp; Risk Matrix'!$I$6,'Risk Range &amp; Risk Matrix'!$I$7,IF(M20='Risk Range &amp; Risk Matrix'!$J$6,'Risk Range &amp; Risk Matrix'!$J$7,IF(M20='Risk Range &amp; Risk Matrix'!$K$6,'Risk Range &amp; Risk Matrix'!$K$7,IF(M20='Risk Range &amp; Risk Matrix'!$L$6,'Risk Range &amp; Risk Matrix'!$L$7,IF(M20='Risk Range &amp; Risk Matrix'!$M$6,'Risk Range &amp; Risk Matrix'!$M$7,"")))))</f>
        <v/>
      </c>
      <c r="O20" s="43" t="str">
        <f t="shared" si="0"/>
        <v>empty</v>
      </c>
      <c r="P20" s="39" t="str">
        <f t="shared" si="1"/>
        <v>empty</v>
      </c>
      <c r="Q20" s="3"/>
      <c r="R20" s="60"/>
      <c r="S20" s="38"/>
      <c r="T20" s="2" t="str">
        <f>IF(S20='Risk Range &amp; Risk Matrix'!$G$12,'Risk Range &amp; Risk Matrix'!$H$12,IF(S20='Risk Range &amp; Risk Matrix'!$G$11,'Risk Range &amp; Risk Matrix'!$H$11,IF(S20='Risk Range &amp; Risk Matrix'!$G$10,'Risk Range &amp; Risk Matrix'!$H$10,IF(S20='Risk Range &amp; Risk Matrix'!$G$9,'Risk Range &amp; Risk Matrix'!$H$9,IF(S20='Risk Range &amp; Risk Matrix'!$G$8,'Risk Range &amp; Risk Matrix'!$H$8,"")))))</f>
        <v/>
      </c>
      <c r="U20" s="37"/>
      <c r="V20" s="37" t="str">
        <f>IF(U20='Risk Range &amp; Risk Matrix'!$I$6,'Risk Range &amp; Risk Matrix'!$I$7,IF(U20='Risk Range &amp; Risk Matrix'!$J$6,'Risk Range &amp; Risk Matrix'!$J$7,IF(U20='Risk Range &amp; Risk Matrix'!$K$6,'Risk Range &amp; Risk Matrix'!$K$7,IF(U20='Risk Range &amp; Risk Matrix'!$L$6,'Risk Range &amp; Risk Matrix'!$L$7,IF(U20='Risk Range &amp; Risk Matrix'!$M$6,'Risk Range &amp; Risk Matrix'!$M$7,"")))))</f>
        <v/>
      </c>
      <c r="W20" s="43" t="str">
        <f t="shared" si="2"/>
        <v>empty</v>
      </c>
      <c r="X20" s="39" t="str">
        <f t="shared" si="3"/>
        <v>empty</v>
      </c>
      <c r="Y20" s="3"/>
      <c r="Z20" s="48"/>
      <c r="AA20" s="8"/>
      <c r="AB20" s="9"/>
      <c r="AC20" s="85"/>
    </row>
    <row r="21" spans="1:29">
      <c r="A21" s="85"/>
      <c r="B21" s="12" t="s">
        <v>76</v>
      </c>
      <c r="C21" s="2"/>
      <c r="D21" s="2"/>
      <c r="E21" s="2"/>
      <c r="F21" s="2"/>
      <c r="G21" s="4"/>
      <c r="H21" s="3"/>
      <c r="I21" s="2" t="s">
        <v>77</v>
      </c>
      <c r="J21" s="36"/>
      <c r="K21" s="38"/>
      <c r="L21" s="2" t="str">
        <f>IF(K21='Risk Range &amp; Risk Matrix'!$G$12,'Risk Range &amp; Risk Matrix'!$H$12,IF(K21='Risk Range &amp; Risk Matrix'!$G$11,'Risk Range &amp; Risk Matrix'!$H$11,IF(K21='Risk Range &amp; Risk Matrix'!$G$10,'Risk Range &amp; Risk Matrix'!$H$10,IF(K21='Risk Range &amp; Risk Matrix'!$G$9,'Risk Range &amp; Risk Matrix'!$H$9,IF(K21='Risk Range &amp; Risk Matrix'!$G$8,'Risk Range &amp; Risk Matrix'!$H$8,"")))))</f>
        <v/>
      </c>
      <c r="M21" s="37"/>
      <c r="N21" s="37" t="str">
        <f>IF(M21='Risk Range &amp; Risk Matrix'!$I$6,'Risk Range &amp; Risk Matrix'!$I$7,IF(M21='Risk Range &amp; Risk Matrix'!$J$6,'Risk Range &amp; Risk Matrix'!$J$7,IF(M21='Risk Range &amp; Risk Matrix'!$K$6,'Risk Range &amp; Risk Matrix'!$K$7,IF(M21='Risk Range &amp; Risk Matrix'!$L$6,'Risk Range &amp; Risk Matrix'!$L$7,IF(M21='Risk Range &amp; Risk Matrix'!$M$6,'Risk Range &amp; Risk Matrix'!$M$7,"")))))</f>
        <v/>
      </c>
      <c r="O21" s="43" t="str">
        <f t="shared" si="0"/>
        <v>empty</v>
      </c>
      <c r="P21" s="39" t="str">
        <f t="shared" si="1"/>
        <v>empty</v>
      </c>
      <c r="Q21" s="3"/>
      <c r="R21" s="60"/>
      <c r="S21" s="38"/>
      <c r="T21" s="2" t="str">
        <f>IF(S21='Risk Range &amp; Risk Matrix'!$G$12,'Risk Range &amp; Risk Matrix'!$H$12,IF(S21='Risk Range &amp; Risk Matrix'!$G$11,'Risk Range &amp; Risk Matrix'!$H$11,IF(S21='Risk Range &amp; Risk Matrix'!$G$10,'Risk Range &amp; Risk Matrix'!$H$10,IF(S21='Risk Range &amp; Risk Matrix'!$G$9,'Risk Range &amp; Risk Matrix'!$H$9,IF(S21='Risk Range &amp; Risk Matrix'!$G$8,'Risk Range &amp; Risk Matrix'!$H$8,"")))))</f>
        <v/>
      </c>
      <c r="U21" s="37"/>
      <c r="V21" s="37" t="str">
        <f>IF(U21='Risk Range &amp; Risk Matrix'!$I$6,'Risk Range &amp; Risk Matrix'!$I$7,IF(U21='Risk Range &amp; Risk Matrix'!$J$6,'Risk Range &amp; Risk Matrix'!$J$7,IF(U21='Risk Range &amp; Risk Matrix'!$K$6,'Risk Range &amp; Risk Matrix'!$K$7,IF(U21='Risk Range &amp; Risk Matrix'!$L$6,'Risk Range &amp; Risk Matrix'!$L$7,IF(U21='Risk Range &amp; Risk Matrix'!$M$6,'Risk Range &amp; Risk Matrix'!$M$7,"")))))</f>
        <v/>
      </c>
      <c r="W21" s="43" t="str">
        <f t="shared" si="2"/>
        <v>empty</v>
      </c>
      <c r="X21" s="39" t="str">
        <f t="shared" si="3"/>
        <v>empty</v>
      </c>
      <c r="Y21" s="3"/>
      <c r="Z21" s="48"/>
      <c r="AA21" s="8"/>
      <c r="AB21" s="9"/>
      <c r="AC21" s="85"/>
    </row>
    <row r="22" spans="1:29">
      <c r="A22" s="85"/>
      <c r="B22" s="4" t="s">
        <v>78</v>
      </c>
      <c r="C22" s="2"/>
      <c r="D22" s="2"/>
      <c r="E22" s="2"/>
      <c r="F22" s="2"/>
      <c r="G22" s="4"/>
      <c r="H22" s="3"/>
      <c r="I22" s="2" t="s">
        <v>79</v>
      </c>
      <c r="J22" s="36"/>
      <c r="K22" s="38"/>
      <c r="L22" s="2" t="str">
        <f>IF(K22='Risk Range &amp; Risk Matrix'!$G$12,'Risk Range &amp; Risk Matrix'!$H$12,IF(K22='Risk Range &amp; Risk Matrix'!$G$11,'Risk Range &amp; Risk Matrix'!$H$11,IF(K22='Risk Range &amp; Risk Matrix'!$G$10,'Risk Range &amp; Risk Matrix'!$H$10,IF(K22='Risk Range &amp; Risk Matrix'!$G$9,'Risk Range &amp; Risk Matrix'!$H$9,IF(K22='Risk Range &amp; Risk Matrix'!$G$8,'Risk Range &amp; Risk Matrix'!$H$8,"")))))</f>
        <v/>
      </c>
      <c r="M22" s="37"/>
      <c r="N22" s="37" t="str">
        <f>IF(M22='Risk Range &amp; Risk Matrix'!$I$6,'Risk Range &amp; Risk Matrix'!$I$7,IF(M22='Risk Range &amp; Risk Matrix'!$J$6,'Risk Range &amp; Risk Matrix'!$J$7,IF(M22='Risk Range &amp; Risk Matrix'!$K$6,'Risk Range &amp; Risk Matrix'!$K$7,IF(M22='Risk Range &amp; Risk Matrix'!$L$6,'Risk Range &amp; Risk Matrix'!$L$7,IF(M22='Risk Range &amp; Risk Matrix'!$M$6,'Risk Range &amp; Risk Matrix'!$M$7,"")))))</f>
        <v/>
      </c>
      <c r="O22" s="43" t="str">
        <f t="shared" si="0"/>
        <v>empty</v>
      </c>
      <c r="P22" s="39" t="str">
        <f t="shared" si="1"/>
        <v>empty</v>
      </c>
      <c r="Q22" s="3"/>
      <c r="R22" s="60"/>
      <c r="S22" s="38"/>
      <c r="T22" s="2" t="str">
        <f>IF(S22='Risk Range &amp; Risk Matrix'!$G$12,'Risk Range &amp; Risk Matrix'!$H$12,IF(S22='Risk Range &amp; Risk Matrix'!$G$11,'Risk Range &amp; Risk Matrix'!$H$11,IF(S22='Risk Range &amp; Risk Matrix'!$G$10,'Risk Range &amp; Risk Matrix'!$H$10,IF(S22='Risk Range &amp; Risk Matrix'!$G$9,'Risk Range &amp; Risk Matrix'!$H$9,IF(S22='Risk Range &amp; Risk Matrix'!$G$8,'Risk Range &amp; Risk Matrix'!$H$8,"")))))</f>
        <v/>
      </c>
      <c r="U22" s="37"/>
      <c r="V22" s="37" t="str">
        <f>IF(U22='Risk Range &amp; Risk Matrix'!$I$6,'Risk Range &amp; Risk Matrix'!$I$7,IF(U22='Risk Range &amp; Risk Matrix'!$J$6,'Risk Range &amp; Risk Matrix'!$J$7,IF(U22='Risk Range &amp; Risk Matrix'!$K$6,'Risk Range &amp; Risk Matrix'!$K$7,IF(U22='Risk Range &amp; Risk Matrix'!$L$6,'Risk Range &amp; Risk Matrix'!$L$7,IF(U22='Risk Range &amp; Risk Matrix'!$M$6,'Risk Range &amp; Risk Matrix'!$M$7,"")))))</f>
        <v/>
      </c>
      <c r="W22" s="43" t="str">
        <f t="shared" si="2"/>
        <v>empty</v>
      </c>
      <c r="X22" s="39" t="str">
        <f t="shared" si="3"/>
        <v>empty</v>
      </c>
      <c r="Y22" s="3"/>
      <c r="Z22" s="48"/>
      <c r="AA22" s="8"/>
      <c r="AB22" s="9"/>
      <c r="AC22" s="85"/>
    </row>
    <row r="23" spans="1:29">
      <c r="A23" s="85"/>
      <c r="B23" s="12" t="s">
        <v>80</v>
      </c>
      <c r="C23" s="2"/>
      <c r="D23" s="2"/>
      <c r="E23" s="2"/>
      <c r="F23" s="2"/>
      <c r="G23" s="4"/>
      <c r="H23" s="3"/>
      <c r="I23" s="2" t="s">
        <v>81</v>
      </c>
      <c r="J23" s="36"/>
      <c r="K23" s="38"/>
      <c r="L23" s="2" t="str">
        <f>IF(K23='Risk Range &amp; Risk Matrix'!$G$12,'Risk Range &amp; Risk Matrix'!$H$12,IF(K23='Risk Range &amp; Risk Matrix'!$G$11,'Risk Range &amp; Risk Matrix'!$H$11,IF(K23='Risk Range &amp; Risk Matrix'!$G$10,'Risk Range &amp; Risk Matrix'!$H$10,IF(K23='Risk Range &amp; Risk Matrix'!$G$9,'Risk Range &amp; Risk Matrix'!$H$9,IF(K23='Risk Range &amp; Risk Matrix'!$G$8,'Risk Range &amp; Risk Matrix'!$H$8,"")))))</f>
        <v/>
      </c>
      <c r="M23" s="37"/>
      <c r="N23" s="37" t="str">
        <f>IF(M23='Risk Range &amp; Risk Matrix'!$I$6,'Risk Range &amp; Risk Matrix'!$I$7,IF(M23='Risk Range &amp; Risk Matrix'!$J$6,'Risk Range &amp; Risk Matrix'!$J$7,IF(M23='Risk Range &amp; Risk Matrix'!$K$6,'Risk Range &amp; Risk Matrix'!$K$7,IF(M23='Risk Range &amp; Risk Matrix'!$L$6,'Risk Range &amp; Risk Matrix'!$L$7,IF(M23='Risk Range &amp; Risk Matrix'!$M$6,'Risk Range &amp; Risk Matrix'!$M$7,"")))))</f>
        <v/>
      </c>
      <c r="O23" s="43" t="str">
        <f t="shared" si="0"/>
        <v>empty</v>
      </c>
      <c r="P23" s="39" t="str">
        <f t="shared" si="1"/>
        <v>empty</v>
      </c>
      <c r="Q23" s="3"/>
      <c r="R23" s="60"/>
      <c r="S23" s="38"/>
      <c r="T23" s="2" t="str">
        <f>IF(S23='Risk Range &amp; Risk Matrix'!$G$12,'Risk Range &amp; Risk Matrix'!$H$12,IF(S23='Risk Range &amp; Risk Matrix'!$G$11,'Risk Range &amp; Risk Matrix'!$H$11,IF(S23='Risk Range &amp; Risk Matrix'!$G$10,'Risk Range &amp; Risk Matrix'!$H$10,IF(S23='Risk Range &amp; Risk Matrix'!$G$9,'Risk Range &amp; Risk Matrix'!$H$9,IF(S23='Risk Range &amp; Risk Matrix'!$G$8,'Risk Range &amp; Risk Matrix'!$H$8,"")))))</f>
        <v/>
      </c>
      <c r="U23" s="37"/>
      <c r="V23" s="37" t="str">
        <f>IF(U23='Risk Range &amp; Risk Matrix'!$I$6,'Risk Range &amp; Risk Matrix'!$I$7,IF(U23='Risk Range &amp; Risk Matrix'!$J$6,'Risk Range &amp; Risk Matrix'!$J$7,IF(U23='Risk Range &amp; Risk Matrix'!$K$6,'Risk Range &amp; Risk Matrix'!$K$7,IF(U23='Risk Range &amp; Risk Matrix'!$L$6,'Risk Range &amp; Risk Matrix'!$L$7,IF(U23='Risk Range &amp; Risk Matrix'!$M$6,'Risk Range &amp; Risk Matrix'!$M$7,"")))))</f>
        <v/>
      </c>
      <c r="W23" s="43" t="str">
        <f t="shared" si="2"/>
        <v>empty</v>
      </c>
      <c r="X23" s="39" t="str">
        <f t="shared" si="3"/>
        <v>empty</v>
      </c>
      <c r="Y23" s="3"/>
      <c r="Z23" s="48"/>
      <c r="AA23" s="8"/>
      <c r="AB23" s="9"/>
      <c r="AC23" s="85"/>
    </row>
    <row r="24" spans="1:29">
      <c r="A24" s="85"/>
      <c r="B24" s="4" t="s">
        <v>82</v>
      </c>
      <c r="C24" s="2"/>
      <c r="D24" s="2"/>
      <c r="E24" s="2"/>
      <c r="F24" s="2"/>
      <c r="G24" s="4"/>
      <c r="H24" s="3"/>
      <c r="I24" s="2" t="s">
        <v>83</v>
      </c>
      <c r="J24" s="36"/>
      <c r="K24" s="38"/>
      <c r="L24" s="2" t="str">
        <f>IF(K24='Risk Range &amp; Risk Matrix'!$G$12,'Risk Range &amp; Risk Matrix'!$H$12,IF(K24='Risk Range &amp; Risk Matrix'!$G$11,'Risk Range &amp; Risk Matrix'!$H$11,IF(K24='Risk Range &amp; Risk Matrix'!$G$10,'Risk Range &amp; Risk Matrix'!$H$10,IF(K24='Risk Range &amp; Risk Matrix'!$G$9,'Risk Range &amp; Risk Matrix'!$H$9,IF(K24='Risk Range &amp; Risk Matrix'!$G$8,'Risk Range &amp; Risk Matrix'!$H$8,"")))))</f>
        <v/>
      </c>
      <c r="M24" s="37"/>
      <c r="N24" s="37" t="str">
        <f>IF(M24='Risk Range &amp; Risk Matrix'!$I$6,'Risk Range &amp; Risk Matrix'!$I$7,IF(M24='Risk Range &amp; Risk Matrix'!$J$6,'Risk Range &amp; Risk Matrix'!$J$7,IF(M24='Risk Range &amp; Risk Matrix'!$K$6,'Risk Range &amp; Risk Matrix'!$K$7,IF(M24='Risk Range &amp; Risk Matrix'!$L$6,'Risk Range &amp; Risk Matrix'!$L$7,IF(M24='Risk Range &amp; Risk Matrix'!$M$6,'Risk Range &amp; Risk Matrix'!$M$7,"")))))</f>
        <v/>
      </c>
      <c r="O24" s="43" t="str">
        <f t="shared" si="0"/>
        <v>empty</v>
      </c>
      <c r="P24" s="39" t="str">
        <f t="shared" si="1"/>
        <v>empty</v>
      </c>
      <c r="Q24" s="3"/>
      <c r="R24" s="60"/>
      <c r="S24" s="38"/>
      <c r="T24" s="2" t="str">
        <f>IF(S24='Risk Range &amp; Risk Matrix'!$G$12,'Risk Range &amp; Risk Matrix'!$H$12,IF(S24='Risk Range &amp; Risk Matrix'!$G$11,'Risk Range &amp; Risk Matrix'!$H$11,IF(S24='Risk Range &amp; Risk Matrix'!$G$10,'Risk Range &amp; Risk Matrix'!$H$10,IF(S24='Risk Range &amp; Risk Matrix'!$G$9,'Risk Range &amp; Risk Matrix'!$H$9,IF(S24='Risk Range &amp; Risk Matrix'!$G$8,'Risk Range &amp; Risk Matrix'!$H$8,"")))))</f>
        <v/>
      </c>
      <c r="U24" s="37"/>
      <c r="V24" s="37" t="str">
        <f>IF(U24='Risk Range &amp; Risk Matrix'!$I$6,'Risk Range &amp; Risk Matrix'!$I$7,IF(U24='Risk Range &amp; Risk Matrix'!$J$6,'Risk Range &amp; Risk Matrix'!$J$7,IF(U24='Risk Range &amp; Risk Matrix'!$K$6,'Risk Range &amp; Risk Matrix'!$K$7,IF(U24='Risk Range &amp; Risk Matrix'!$L$6,'Risk Range &amp; Risk Matrix'!$L$7,IF(U24='Risk Range &amp; Risk Matrix'!$M$6,'Risk Range &amp; Risk Matrix'!$M$7,"")))))</f>
        <v/>
      </c>
      <c r="W24" s="43" t="str">
        <f t="shared" si="2"/>
        <v>empty</v>
      </c>
      <c r="X24" s="39" t="str">
        <f t="shared" si="3"/>
        <v>empty</v>
      </c>
      <c r="Y24" s="3"/>
      <c r="Z24" s="48"/>
      <c r="AA24" s="8"/>
      <c r="AB24" s="9"/>
      <c r="AC24" s="85"/>
    </row>
    <row r="25" spans="1:29">
      <c r="A25" s="85"/>
      <c r="B25" s="12" t="s">
        <v>84</v>
      </c>
      <c r="C25" s="2"/>
      <c r="D25" s="2"/>
      <c r="E25" s="2"/>
      <c r="F25" s="2"/>
      <c r="G25" s="4"/>
      <c r="H25" s="3"/>
      <c r="I25" s="2" t="s">
        <v>85</v>
      </c>
      <c r="J25" s="36"/>
      <c r="K25" s="38"/>
      <c r="L25" s="2" t="str">
        <f>IF(K25='Risk Range &amp; Risk Matrix'!$G$12,'Risk Range &amp; Risk Matrix'!$H$12,IF(K25='Risk Range &amp; Risk Matrix'!$G$11,'Risk Range &amp; Risk Matrix'!$H$11,IF(K25='Risk Range &amp; Risk Matrix'!$G$10,'Risk Range &amp; Risk Matrix'!$H$10,IF(K25='Risk Range &amp; Risk Matrix'!$G$9,'Risk Range &amp; Risk Matrix'!$H$9,IF(K25='Risk Range &amp; Risk Matrix'!$G$8,'Risk Range &amp; Risk Matrix'!$H$8,"")))))</f>
        <v/>
      </c>
      <c r="M25" s="37"/>
      <c r="N25" s="37" t="str">
        <f>IF(M25='Risk Range &amp; Risk Matrix'!$I$6,'Risk Range &amp; Risk Matrix'!$I$7,IF(M25='Risk Range &amp; Risk Matrix'!$J$6,'Risk Range &amp; Risk Matrix'!$J$7,IF(M25='Risk Range &amp; Risk Matrix'!$K$6,'Risk Range &amp; Risk Matrix'!$K$7,IF(M25='Risk Range &amp; Risk Matrix'!$L$6,'Risk Range &amp; Risk Matrix'!$L$7,IF(M25='Risk Range &amp; Risk Matrix'!$M$6,'Risk Range &amp; Risk Matrix'!$M$7,"")))))</f>
        <v/>
      </c>
      <c r="O25" s="43" t="str">
        <f t="shared" si="0"/>
        <v>empty</v>
      </c>
      <c r="P25" s="39" t="str">
        <f t="shared" si="1"/>
        <v>empty</v>
      </c>
      <c r="Q25" s="3"/>
      <c r="R25" s="60"/>
      <c r="S25" s="38"/>
      <c r="T25" s="2" t="str">
        <f>IF(S25='Risk Range &amp; Risk Matrix'!$G$12,'Risk Range &amp; Risk Matrix'!$H$12,IF(S25='Risk Range &amp; Risk Matrix'!$G$11,'Risk Range &amp; Risk Matrix'!$H$11,IF(S25='Risk Range &amp; Risk Matrix'!$G$10,'Risk Range &amp; Risk Matrix'!$H$10,IF(S25='Risk Range &amp; Risk Matrix'!$G$9,'Risk Range &amp; Risk Matrix'!$H$9,IF(S25='Risk Range &amp; Risk Matrix'!$G$8,'Risk Range &amp; Risk Matrix'!$H$8,"")))))</f>
        <v/>
      </c>
      <c r="U25" s="37"/>
      <c r="V25" s="37" t="str">
        <f>IF(U25='Risk Range &amp; Risk Matrix'!$I$6,'Risk Range &amp; Risk Matrix'!$I$7,IF(U25='Risk Range &amp; Risk Matrix'!$J$6,'Risk Range &amp; Risk Matrix'!$J$7,IF(U25='Risk Range &amp; Risk Matrix'!$K$6,'Risk Range &amp; Risk Matrix'!$K$7,IF(U25='Risk Range &amp; Risk Matrix'!$L$6,'Risk Range &amp; Risk Matrix'!$L$7,IF(U25='Risk Range &amp; Risk Matrix'!$M$6,'Risk Range &amp; Risk Matrix'!$M$7,"")))))</f>
        <v/>
      </c>
      <c r="W25" s="43" t="str">
        <f t="shared" si="2"/>
        <v>empty</v>
      </c>
      <c r="X25" s="39" t="str">
        <f t="shared" si="3"/>
        <v>empty</v>
      </c>
      <c r="Y25" s="3"/>
      <c r="Z25" s="48"/>
      <c r="AA25" s="8"/>
      <c r="AB25" s="9"/>
      <c r="AC25" s="85"/>
    </row>
    <row r="26" spans="1:29">
      <c r="A26" s="85"/>
      <c r="B26" s="4" t="s">
        <v>86</v>
      </c>
      <c r="C26" s="2"/>
      <c r="D26" s="2"/>
      <c r="E26" s="2"/>
      <c r="F26" s="2"/>
      <c r="G26" s="4"/>
      <c r="H26" s="3"/>
      <c r="I26" s="2" t="s">
        <v>87</v>
      </c>
      <c r="J26" s="36"/>
      <c r="K26" s="38"/>
      <c r="L26" s="2" t="str">
        <f>IF(K26='Risk Range &amp; Risk Matrix'!$G$12,'Risk Range &amp; Risk Matrix'!$H$12,IF(K26='Risk Range &amp; Risk Matrix'!$G$11,'Risk Range &amp; Risk Matrix'!$H$11,IF(K26='Risk Range &amp; Risk Matrix'!$G$10,'Risk Range &amp; Risk Matrix'!$H$10,IF(K26='Risk Range &amp; Risk Matrix'!$G$9,'Risk Range &amp; Risk Matrix'!$H$9,IF(K26='Risk Range &amp; Risk Matrix'!$G$8,'Risk Range &amp; Risk Matrix'!$H$8,"")))))</f>
        <v/>
      </c>
      <c r="M26" s="37"/>
      <c r="N26" s="37" t="str">
        <f>IF(M26='Risk Range &amp; Risk Matrix'!$I$6,'Risk Range &amp; Risk Matrix'!$I$7,IF(M26='Risk Range &amp; Risk Matrix'!$J$6,'Risk Range &amp; Risk Matrix'!$J$7,IF(M26='Risk Range &amp; Risk Matrix'!$K$6,'Risk Range &amp; Risk Matrix'!$K$7,IF(M26='Risk Range &amp; Risk Matrix'!$L$6,'Risk Range &amp; Risk Matrix'!$L$7,IF(M26='Risk Range &amp; Risk Matrix'!$M$6,'Risk Range &amp; Risk Matrix'!$M$7,"")))))</f>
        <v/>
      </c>
      <c r="O26" s="43" t="str">
        <f t="shared" si="0"/>
        <v>empty</v>
      </c>
      <c r="P26" s="39" t="str">
        <f t="shared" si="1"/>
        <v>empty</v>
      </c>
      <c r="Q26" s="3"/>
      <c r="R26" s="60"/>
      <c r="S26" s="38"/>
      <c r="T26" s="2" t="str">
        <f>IF(S26='Risk Range &amp; Risk Matrix'!$G$12,'Risk Range &amp; Risk Matrix'!$H$12,IF(S26='Risk Range &amp; Risk Matrix'!$G$11,'Risk Range &amp; Risk Matrix'!$H$11,IF(S26='Risk Range &amp; Risk Matrix'!$G$10,'Risk Range &amp; Risk Matrix'!$H$10,IF(S26='Risk Range &amp; Risk Matrix'!$G$9,'Risk Range &amp; Risk Matrix'!$H$9,IF(S26='Risk Range &amp; Risk Matrix'!$G$8,'Risk Range &amp; Risk Matrix'!$H$8,"")))))</f>
        <v/>
      </c>
      <c r="U26" s="37"/>
      <c r="V26" s="37" t="str">
        <f>IF(U26='Risk Range &amp; Risk Matrix'!$I$6,'Risk Range &amp; Risk Matrix'!$I$7,IF(U26='Risk Range &amp; Risk Matrix'!$J$6,'Risk Range &amp; Risk Matrix'!$J$7,IF(U26='Risk Range &amp; Risk Matrix'!$K$6,'Risk Range &amp; Risk Matrix'!$K$7,IF(U26='Risk Range &amp; Risk Matrix'!$L$6,'Risk Range &amp; Risk Matrix'!$L$7,IF(U26='Risk Range &amp; Risk Matrix'!$M$6,'Risk Range &amp; Risk Matrix'!$M$7,"")))))</f>
        <v/>
      </c>
      <c r="W26" s="43" t="str">
        <f t="shared" si="2"/>
        <v>empty</v>
      </c>
      <c r="X26" s="39" t="str">
        <f t="shared" si="3"/>
        <v>empty</v>
      </c>
      <c r="Y26" s="3"/>
      <c r="Z26" s="48"/>
      <c r="AA26" s="8"/>
      <c r="AB26" s="9"/>
      <c r="AC26" s="85"/>
    </row>
    <row r="27" spans="1:29">
      <c r="A27" s="85"/>
      <c r="B27" s="12" t="s">
        <v>88</v>
      </c>
      <c r="C27" s="2"/>
      <c r="D27" s="2"/>
      <c r="E27" s="2"/>
      <c r="F27" s="2"/>
      <c r="G27" s="4"/>
      <c r="H27" s="3"/>
      <c r="I27" s="2" t="s">
        <v>89</v>
      </c>
      <c r="J27" s="36"/>
      <c r="K27" s="38"/>
      <c r="L27" s="2" t="str">
        <f>IF(K27='Risk Range &amp; Risk Matrix'!$G$12,'Risk Range &amp; Risk Matrix'!$H$12,IF(K27='Risk Range &amp; Risk Matrix'!$G$11,'Risk Range &amp; Risk Matrix'!$H$11,IF(K27='Risk Range &amp; Risk Matrix'!$G$10,'Risk Range &amp; Risk Matrix'!$H$10,IF(K27='Risk Range &amp; Risk Matrix'!$G$9,'Risk Range &amp; Risk Matrix'!$H$9,IF(K27='Risk Range &amp; Risk Matrix'!$G$8,'Risk Range &amp; Risk Matrix'!$H$8,"")))))</f>
        <v/>
      </c>
      <c r="M27" s="37"/>
      <c r="N27" s="37" t="str">
        <f>IF(M27='Risk Range &amp; Risk Matrix'!$I$6,'Risk Range &amp; Risk Matrix'!$I$7,IF(M27='Risk Range &amp; Risk Matrix'!$J$6,'Risk Range &amp; Risk Matrix'!$J$7,IF(M27='Risk Range &amp; Risk Matrix'!$K$6,'Risk Range &amp; Risk Matrix'!$K$7,IF(M27='Risk Range &amp; Risk Matrix'!$L$6,'Risk Range &amp; Risk Matrix'!$L$7,IF(M27='Risk Range &amp; Risk Matrix'!$M$6,'Risk Range &amp; Risk Matrix'!$M$7,"")))))</f>
        <v/>
      </c>
      <c r="O27" s="43" t="str">
        <f t="shared" si="0"/>
        <v>empty</v>
      </c>
      <c r="P27" s="39" t="str">
        <f t="shared" si="1"/>
        <v>empty</v>
      </c>
      <c r="Q27" s="3"/>
      <c r="R27" s="60"/>
      <c r="S27" s="38"/>
      <c r="T27" s="2" t="str">
        <f>IF(S27='Risk Range &amp; Risk Matrix'!$G$12,'Risk Range &amp; Risk Matrix'!$H$12,IF(S27='Risk Range &amp; Risk Matrix'!$G$11,'Risk Range &amp; Risk Matrix'!$H$11,IF(S27='Risk Range &amp; Risk Matrix'!$G$10,'Risk Range &amp; Risk Matrix'!$H$10,IF(S27='Risk Range &amp; Risk Matrix'!$G$9,'Risk Range &amp; Risk Matrix'!$H$9,IF(S27='Risk Range &amp; Risk Matrix'!$G$8,'Risk Range &amp; Risk Matrix'!$H$8,"")))))</f>
        <v/>
      </c>
      <c r="U27" s="37"/>
      <c r="V27" s="37" t="str">
        <f>IF(U27='Risk Range &amp; Risk Matrix'!$I$6,'Risk Range &amp; Risk Matrix'!$I$7,IF(U27='Risk Range &amp; Risk Matrix'!$J$6,'Risk Range &amp; Risk Matrix'!$J$7,IF(U27='Risk Range &amp; Risk Matrix'!$K$6,'Risk Range &amp; Risk Matrix'!$K$7,IF(U27='Risk Range &amp; Risk Matrix'!$L$6,'Risk Range &amp; Risk Matrix'!$L$7,IF(U27='Risk Range &amp; Risk Matrix'!$M$6,'Risk Range &amp; Risk Matrix'!$M$7,"")))))</f>
        <v/>
      </c>
      <c r="W27" s="43" t="str">
        <f t="shared" si="2"/>
        <v>empty</v>
      </c>
      <c r="X27" s="39" t="str">
        <f t="shared" si="3"/>
        <v>empty</v>
      </c>
      <c r="Y27" s="3"/>
      <c r="Z27" s="48"/>
      <c r="AA27" s="8"/>
      <c r="AB27" s="9"/>
      <c r="AC27" s="85"/>
    </row>
    <row r="28" spans="1:29">
      <c r="A28" s="85"/>
      <c r="B28" s="4" t="s">
        <v>90</v>
      </c>
      <c r="C28" s="2"/>
      <c r="D28" s="2"/>
      <c r="E28" s="2"/>
      <c r="F28" s="2"/>
      <c r="G28" s="4"/>
      <c r="H28" s="3"/>
      <c r="I28" s="2" t="s">
        <v>91</v>
      </c>
      <c r="J28" s="36"/>
      <c r="K28" s="38"/>
      <c r="L28" s="2" t="str">
        <f>IF(K28='Risk Range &amp; Risk Matrix'!$G$12,'Risk Range &amp; Risk Matrix'!$H$12,IF(K28='Risk Range &amp; Risk Matrix'!$G$11,'Risk Range &amp; Risk Matrix'!$H$11,IF(K28='Risk Range &amp; Risk Matrix'!$G$10,'Risk Range &amp; Risk Matrix'!$H$10,IF(K28='Risk Range &amp; Risk Matrix'!$G$9,'Risk Range &amp; Risk Matrix'!$H$9,IF(K28='Risk Range &amp; Risk Matrix'!$G$8,'Risk Range &amp; Risk Matrix'!$H$8,"")))))</f>
        <v/>
      </c>
      <c r="M28" s="37"/>
      <c r="N28" s="37" t="str">
        <f>IF(M28='Risk Range &amp; Risk Matrix'!$I$6,'Risk Range &amp; Risk Matrix'!$I$7,IF(M28='Risk Range &amp; Risk Matrix'!$J$6,'Risk Range &amp; Risk Matrix'!$J$7,IF(M28='Risk Range &amp; Risk Matrix'!$K$6,'Risk Range &amp; Risk Matrix'!$K$7,IF(M28='Risk Range &amp; Risk Matrix'!$L$6,'Risk Range &amp; Risk Matrix'!$L$7,IF(M28='Risk Range &amp; Risk Matrix'!$M$6,'Risk Range &amp; Risk Matrix'!$M$7,"")))))</f>
        <v/>
      </c>
      <c r="O28" s="43" t="str">
        <f t="shared" si="0"/>
        <v>empty</v>
      </c>
      <c r="P28" s="39" t="str">
        <f t="shared" si="1"/>
        <v>empty</v>
      </c>
      <c r="Q28" s="3"/>
      <c r="R28" s="60"/>
      <c r="S28" s="38"/>
      <c r="T28" s="2" t="str">
        <f>IF(S28='Risk Range &amp; Risk Matrix'!$G$12,'Risk Range &amp; Risk Matrix'!$H$12,IF(S28='Risk Range &amp; Risk Matrix'!$G$11,'Risk Range &amp; Risk Matrix'!$H$11,IF(S28='Risk Range &amp; Risk Matrix'!$G$10,'Risk Range &amp; Risk Matrix'!$H$10,IF(S28='Risk Range &amp; Risk Matrix'!$G$9,'Risk Range &amp; Risk Matrix'!$H$9,IF(S28='Risk Range &amp; Risk Matrix'!$G$8,'Risk Range &amp; Risk Matrix'!$H$8,"")))))</f>
        <v/>
      </c>
      <c r="U28" s="37"/>
      <c r="V28" s="37" t="str">
        <f>IF(U28='Risk Range &amp; Risk Matrix'!$I$6,'Risk Range &amp; Risk Matrix'!$I$7,IF(U28='Risk Range &amp; Risk Matrix'!$J$6,'Risk Range &amp; Risk Matrix'!$J$7,IF(U28='Risk Range &amp; Risk Matrix'!$K$6,'Risk Range &amp; Risk Matrix'!$K$7,IF(U28='Risk Range &amp; Risk Matrix'!$L$6,'Risk Range &amp; Risk Matrix'!$L$7,IF(U28='Risk Range &amp; Risk Matrix'!$M$6,'Risk Range &amp; Risk Matrix'!$M$7,"")))))</f>
        <v/>
      </c>
      <c r="W28" s="43" t="str">
        <f t="shared" si="2"/>
        <v>empty</v>
      </c>
      <c r="X28" s="39" t="str">
        <f t="shared" si="3"/>
        <v>empty</v>
      </c>
      <c r="Y28" s="3"/>
      <c r="Z28" s="48"/>
      <c r="AA28" s="8"/>
      <c r="AB28" s="9"/>
      <c r="AC28" s="85"/>
    </row>
    <row r="29" spans="1:29">
      <c r="A29" s="85"/>
      <c r="B29" s="12" t="s">
        <v>92</v>
      </c>
      <c r="C29" s="2"/>
      <c r="D29" s="2"/>
      <c r="E29" s="2"/>
      <c r="F29" s="2"/>
      <c r="G29" s="4"/>
      <c r="H29" s="3"/>
      <c r="I29" s="2"/>
      <c r="J29" s="36"/>
      <c r="K29" s="38"/>
      <c r="L29" s="2" t="str">
        <f>IF(K29='Risk Range &amp; Risk Matrix'!$G$12,'Risk Range &amp; Risk Matrix'!$H$12,IF(K29='Risk Range &amp; Risk Matrix'!$G$11,'Risk Range &amp; Risk Matrix'!$H$11,IF(K29='Risk Range &amp; Risk Matrix'!$G$10,'Risk Range &amp; Risk Matrix'!$H$10,IF(K29='Risk Range &amp; Risk Matrix'!$G$9,'Risk Range &amp; Risk Matrix'!$H$9,IF(K29='Risk Range &amp; Risk Matrix'!$G$8,'Risk Range &amp; Risk Matrix'!$H$8,"")))))</f>
        <v/>
      </c>
      <c r="M29" s="37"/>
      <c r="N29" s="37" t="str">
        <f>IF(M29='Risk Range &amp; Risk Matrix'!$I$6,'Risk Range &amp; Risk Matrix'!$I$7,IF(M29='Risk Range &amp; Risk Matrix'!$J$6,'Risk Range &amp; Risk Matrix'!$J$7,IF(M29='Risk Range &amp; Risk Matrix'!$K$6,'Risk Range &amp; Risk Matrix'!$K$7,IF(M29='Risk Range &amp; Risk Matrix'!$L$6,'Risk Range &amp; Risk Matrix'!$L$7,IF(M29='Risk Range &amp; Risk Matrix'!$M$6,'Risk Range &amp; Risk Matrix'!$M$7,"")))))</f>
        <v/>
      </c>
      <c r="O29" s="43" t="str">
        <f t="shared" si="0"/>
        <v>empty</v>
      </c>
      <c r="P29" s="39" t="str">
        <f t="shared" si="1"/>
        <v>empty</v>
      </c>
      <c r="Q29" s="3"/>
      <c r="R29" s="60"/>
      <c r="S29" s="38"/>
      <c r="T29" s="2" t="str">
        <f>IF(S29='Risk Range &amp; Risk Matrix'!$G$12,'Risk Range &amp; Risk Matrix'!$H$12,IF(S29='Risk Range &amp; Risk Matrix'!$G$11,'Risk Range &amp; Risk Matrix'!$H$11,IF(S29='Risk Range &amp; Risk Matrix'!$G$10,'Risk Range &amp; Risk Matrix'!$H$10,IF(S29='Risk Range &amp; Risk Matrix'!$G$9,'Risk Range &amp; Risk Matrix'!$H$9,IF(S29='Risk Range &amp; Risk Matrix'!$G$8,'Risk Range &amp; Risk Matrix'!$H$8,"")))))</f>
        <v/>
      </c>
      <c r="U29" s="37"/>
      <c r="V29" s="37" t="str">
        <f>IF(U29='Risk Range &amp; Risk Matrix'!$I$6,'Risk Range &amp; Risk Matrix'!$I$7,IF(U29='Risk Range &amp; Risk Matrix'!$J$6,'Risk Range &amp; Risk Matrix'!$J$7,IF(U29='Risk Range &amp; Risk Matrix'!$K$6,'Risk Range &amp; Risk Matrix'!$K$7,IF(U29='Risk Range &amp; Risk Matrix'!$L$6,'Risk Range &amp; Risk Matrix'!$L$7,IF(U29='Risk Range &amp; Risk Matrix'!$M$6,'Risk Range &amp; Risk Matrix'!$M$7,"")))))</f>
        <v/>
      </c>
      <c r="W29" s="43" t="str">
        <f t="shared" si="2"/>
        <v>empty</v>
      </c>
      <c r="X29" s="39" t="str">
        <f t="shared" si="3"/>
        <v>empty</v>
      </c>
      <c r="Y29" s="3"/>
      <c r="Z29" s="48"/>
      <c r="AA29" s="8"/>
      <c r="AB29" s="9"/>
      <c r="AC29" s="85"/>
    </row>
    <row r="30" spans="1:29">
      <c r="A30" s="85"/>
      <c r="B30" s="4" t="s">
        <v>93</v>
      </c>
      <c r="C30" s="2"/>
      <c r="D30" s="2"/>
      <c r="E30" s="2"/>
      <c r="F30" s="2"/>
      <c r="G30" s="4"/>
      <c r="H30" s="3"/>
      <c r="I30" s="2"/>
      <c r="J30" s="36"/>
      <c r="K30" s="38"/>
      <c r="L30" s="2" t="str">
        <f>IF(K30='Risk Range &amp; Risk Matrix'!$G$12,'Risk Range &amp; Risk Matrix'!$H$12,IF(K30='Risk Range &amp; Risk Matrix'!$G$11,'Risk Range &amp; Risk Matrix'!$H$11,IF(K30='Risk Range &amp; Risk Matrix'!$G$10,'Risk Range &amp; Risk Matrix'!$H$10,IF(K30='Risk Range &amp; Risk Matrix'!$G$9,'Risk Range &amp; Risk Matrix'!$H$9,IF(K30='Risk Range &amp; Risk Matrix'!$G$8,'Risk Range &amp; Risk Matrix'!$H$8,"")))))</f>
        <v/>
      </c>
      <c r="M30" s="37"/>
      <c r="N30" s="37" t="str">
        <f>IF(M30='Risk Range &amp; Risk Matrix'!$I$6,'Risk Range &amp; Risk Matrix'!$I$7,IF(M30='Risk Range &amp; Risk Matrix'!$J$6,'Risk Range &amp; Risk Matrix'!$J$7,IF(M30='Risk Range &amp; Risk Matrix'!$K$6,'Risk Range &amp; Risk Matrix'!$K$7,IF(M30='Risk Range &amp; Risk Matrix'!$L$6,'Risk Range &amp; Risk Matrix'!$L$7,IF(M30='Risk Range &amp; Risk Matrix'!$M$6,'Risk Range &amp; Risk Matrix'!$M$7,"")))))</f>
        <v/>
      </c>
      <c r="O30" s="43" t="str">
        <f t="shared" si="0"/>
        <v>empty</v>
      </c>
      <c r="P30" s="39" t="str">
        <f t="shared" si="1"/>
        <v>empty</v>
      </c>
      <c r="Q30" s="3"/>
      <c r="R30" s="60"/>
      <c r="S30" s="38"/>
      <c r="T30" s="2" t="str">
        <f>IF(S30='Risk Range &amp; Risk Matrix'!$G$12,'Risk Range &amp; Risk Matrix'!$H$12,IF(S30='Risk Range &amp; Risk Matrix'!$G$11,'Risk Range &amp; Risk Matrix'!$H$11,IF(S30='Risk Range &amp; Risk Matrix'!$G$10,'Risk Range &amp; Risk Matrix'!$H$10,IF(S30='Risk Range &amp; Risk Matrix'!$G$9,'Risk Range &amp; Risk Matrix'!$H$9,IF(S30='Risk Range &amp; Risk Matrix'!$G$8,'Risk Range &amp; Risk Matrix'!$H$8,"")))))</f>
        <v/>
      </c>
      <c r="U30" s="37"/>
      <c r="V30" s="37" t="str">
        <f>IF(U30='Risk Range &amp; Risk Matrix'!$I$6,'Risk Range &amp; Risk Matrix'!$I$7,IF(U30='Risk Range &amp; Risk Matrix'!$J$6,'Risk Range &amp; Risk Matrix'!$J$7,IF(U30='Risk Range &amp; Risk Matrix'!$K$6,'Risk Range &amp; Risk Matrix'!$K$7,IF(U30='Risk Range &amp; Risk Matrix'!$L$6,'Risk Range &amp; Risk Matrix'!$L$7,IF(U30='Risk Range &amp; Risk Matrix'!$M$6,'Risk Range &amp; Risk Matrix'!$M$7,"")))))</f>
        <v/>
      </c>
      <c r="W30" s="43" t="str">
        <f t="shared" si="2"/>
        <v>empty</v>
      </c>
      <c r="X30" s="39" t="str">
        <f t="shared" si="3"/>
        <v>empty</v>
      </c>
      <c r="Y30" s="3"/>
      <c r="Z30" s="48"/>
      <c r="AA30" s="8"/>
      <c r="AB30" s="9"/>
      <c r="AC30" s="85"/>
    </row>
    <row r="31" spans="1:29">
      <c r="A31" s="85"/>
      <c r="B31" s="12" t="s">
        <v>94</v>
      </c>
      <c r="C31" s="2"/>
      <c r="D31" s="2"/>
      <c r="E31" s="2"/>
      <c r="F31" s="2"/>
      <c r="G31" s="4"/>
      <c r="H31" s="3"/>
      <c r="I31" s="2"/>
      <c r="J31" s="36"/>
      <c r="K31" s="38"/>
      <c r="L31" s="2" t="str">
        <f>IF(K31='Risk Range &amp; Risk Matrix'!$G$12,'Risk Range &amp; Risk Matrix'!$H$12,IF(K31='Risk Range &amp; Risk Matrix'!$G$11,'Risk Range &amp; Risk Matrix'!$H$11,IF(K31='Risk Range &amp; Risk Matrix'!$G$10,'Risk Range &amp; Risk Matrix'!$H$10,IF(K31='Risk Range &amp; Risk Matrix'!$G$9,'Risk Range &amp; Risk Matrix'!$H$9,IF(K31='Risk Range &amp; Risk Matrix'!$G$8,'Risk Range &amp; Risk Matrix'!$H$8,"")))))</f>
        <v/>
      </c>
      <c r="M31" s="37"/>
      <c r="N31" s="37" t="str">
        <f>IF(M31='Risk Range &amp; Risk Matrix'!$I$6,'Risk Range &amp; Risk Matrix'!$I$7,IF(M31='Risk Range &amp; Risk Matrix'!$J$6,'Risk Range &amp; Risk Matrix'!$J$7,IF(M31='Risk Range &amp; Risk Matrix'!$K$6,'Risk Range &amp; Risk Matrix'!$K$7,IF(M31='Risk Range &amp; Risk Matrix'!$L$6,'Risk Range &amp; Risk Matrix'!$L$7,IF(M31='Risk Range &amp; Risk Matrix'!$M$6,'Risk Range &amp; Risk Matrix'!$M$7,"")))))</f>
        <v/>
      </c>
      <c r="O31" s="43" t="str">
        <f t="shared" si="0"/>
        <v>empty</v>
      </c>
      <c r="P31" s="39" t="str">
        <f t="shared" si="1"/>
        <v>empty</v>
      </c>
      <c r="Q31" s="3"/>
      <c r="R31" s="60"/>
      <c r="S31" s="38"/>
      <c r="T31" s="2" t="str">
        <f>IF(S31='Risk Range &amp; Risk Matrix'!$G$12,'Risk Range &amp; Risk Matrix'!$H$12,IF(S31='Risk Range &amp; Risk Matrix'!$G$11,'Risk Range &amp; Risk Matrix'!$H$11,IF(S31='Risk Range &amp; Risk Matrix'!$G$10,'Risk Range &amp; Risk Matrix'!$H$10,IF(S31='Risk Range &amp; Risk Matrix'!$G$9,'Risk Range &amp; Risk Matrix'!$H$9,IF(S31='Risk Range &amp; Risk Matrix'!$G$8,'Risk Range &amp; Risk Matrix'!$H$8,"")))))</f>
        <v/>
      </c>
      <c r="U31" s="37"/>
      <c r="V31" s="37" t="str">
        <f>IF(U31='Risk Range &amp; Risk Matrix'!$I$6,'Risk Range &amp; Risk Matrix'!$I$7,IF(U31='Risk Range &amp; Risk Matrix'!$J$6,'Risk Range &amp; Risk Matrix'!$J$7,IF(U31='Risk Range &amp; Risk Matrix'!$K$6,'Risk Range &amp; Risk Matrix'!$K$7,IF(U31='Risk Range &amp; Risk Matrix'!$L$6,'Risk Range &amp; Risk Matrix'!$L$7,IF(U31='Risk Range &amp; Risk Matrix'!$M$6,'Risk Range &amp; Risk Matrix'!$M$7,"")))))</f>
        <v/>
      </c>
      <c r="W31" s="43" t="str">
        <f t="shared" si="2"/>
        <v>empty</v>
      </c>
      <c r="X31" s="39" t="str">
        <f t="shared" si="3"/>
        <v>empty</v>
      </c>
      <c r="Y31" s="3"/>
      <c r="Z31" s="48"/>
      <c r="AA31" s="8"/>
      <c r="AB31" s="9"/>
      <c r="AC31" s="85"/>
    </row>
    <row r="32" spans="1:29">
      <c r="A32" s="85"/>
      <c r="B32" s="4" t="s">
        <v>95</v>
      </c>
      <c r="C32" s="2"/>
      <c r="D32" s="2"/>
      <c r="E32" s="2"/>
      <c r="F32" s="2"/>
      <c r="G32" s="4"/>
      <c r="H32" s="3"/>
      <c r="I32" s="2"/>
      <c r="J32" s="36"/>
      <c r="K32" s="38"/>
      <c r="L32" s="2" t="str">
        <f>IF(K32='Risk Range &amp; Risk Matrix'!$G$12,'Risk Range &amp; Risk Matrix'!$H$12,IF(K32='Risk Range &amp; Risk Matrix'!$G$11,'Risk Range &amp; Risk Matrix'!$H$11,IF(K32='Risk Range &amp; Risk Matrix'!$G$10,'Risk Range &amp; Risk Matrix'!$H$10,IF(K32='Risk Range &amp; Risk Matrix'!$G$9,'Risk Range &amp; Risk Matrix'!$H$9,IF(K32='Risk Range &amp; Risk Matrix'!$G$8,'Risk Range &amp; Risk Matrix'!$H$8,"")))))</f>
        <v/>
      </c>
      <c r="M32" s="37"/>
      <c r="N32" s="37" t="str">
        <f>IF(M32='Risk Range &amp; Risk Matrix'!$I$6,'Risk Range &amp; Risk Matrix'!$I$7,IF(M32='Risk Range &amp; Risk Matrix'!$J$6,'Risk Range &amp; Risk Matrix'!$J$7,IF(M32='Risk Range &amp; Risk Matrix'!$K$6,'Risk Range &amp; Risk Matrix'!$K$7,IF(M32='Risk Range &amp; Risk Matrix'!$L$6,'Risk Range &amp; Risk Matrix'!$L$7,IF(M32='Risk Range &amp; Risk Matrix'!$M$6,'Risk Range &amp; Risk Matrix'!$M$7,"")))))</f>
        <v/>
      </c>
      <c r="O32" s="43" t="str">
        <f t="shared" si="0"/>
        <v>empty</v>
      </c>
      <c r="P32" s="39" t="str">
        <f t="shared" si="1"/>
        <v>empty</v>
      </c>
      <c r="Q32" s="3"/>
      <c r="R32" s="60"/>
      <c r="S32" s="38"/>
      <c r="T32" s="2" t="str">
        <f>IF(S32='Risk Range &amp; Risk Matrix'!$G$12,'Risk Range &amp; Risk Matrix'!$H$12,IF(S32='Risk Range &amp; Risk Matrix'!$G$11,'Risk Range &amp; Risk Matrix'!$H$11,IF(S32='Risk Range &amp; Risk Matrix'!$G$10,'Risk Range &amp; Risk Matrix'!$H$10,IF(S32='Risk Range &amp; Risk Matrix'!$G$9,'Risk Range &amp; Risk Matrix'!$H$9,IF(S32='Risk Range &amp; Risk Matrix'!$G$8,'Risk Range &amp; Risk Matrix'!$H$8,"")))))</f>
        <v/>
      </c>
      <c r="U32" s="37"/>
      <c r="V32" s="37" t="str">
        <f>IF(U32='Risk Range &amp; Risk Matrix'!$I$6,'Risk Range &amp; Risk Matrix'!$I$7,IF(U32='Risk Range &amp; Risk Matrix'!$J$6,'Risk Range &amp; Risk Matrix'!$J$7,IF(U32='Risk Range &amp; Risk Matrix'!$K$6,'Risk Range &amp; Risk Matrix'!$K$7,IF(U32='Risk Range &amp; Risk Matrix'!$L$6,'Risk Range &amp; Risk Matrix'!$L$7,IF(U32='Risk Range &amp; Risk Matrix'!$M$6,'Risk Range &amp; Risk Matrix'!$M$7,"")))))</f>
        <v/>
      </c>
      <c r="W32" s="43" t="str">
        <f t="shared" si="2"/>
        <v>empty</v>
      </c>
      <c r="X32" s="39" t="str">
        <f t="shared" si="3"/>
        <v>empty</v>
      </c>
      <c r="Y32" s="3"/>
      <c r="Z32" s="48"/>
      <c r="AA32" s="8"/>
      <c r="AB32" s="9"/>
      <c r="AC32" s="85"/>
    </row>
    <row r="33" spans="1:29">
      <c r="A33" s="85"/>
      <c r="B33" s="12" t="s">
        <v>96</v>
      </c>
      <c r="C33" s="2"/>
      <c r="D33" s="2"/>
      <c r="E33" s="2"/>
      <c r="F33" s="2"/>
      <c r="G33" s="4"/>
      <c r="H33" s="3"/>
      <c r="I33" s="2"/>
      <c r="J33" s="36"/>
      <c r="K33" s="38"/>
      <c r="L33" s="2" t="str">
        <f>IF(K33='Risk Range &amp; Risk Matrix'!$G$12,'Risk Range &amp; Risk Matrix'!$H$12,IF(K33='Risk Range &amp; Risk Matrix'!$G$11,'Risk Range &amp; Risk Matrix'!$H$11,IF(K33='Risk Range &amp; Risk Matrix'!$G$10,'Risk Range &amp; Risk Matrix'!$H$10,IF(K33='Risk Range &amp; Risk Matrix'!$G$9,'Risk Range &amp; Risk Matrix'!$H$9,IF(K33='Risk Range &amp; Risk Matrix'!$G$8,'Risk Range &amp; Risk Matrix'!$H$8,"")))))</f>
        <v/>
      </c>
      <c r="M33" s="37"/>
      <c r="N33" s="37" t="str">
        <f>IF(M33='Risk Range &amp; Risk Matrix'!$I$6,'Risk Range &amp; Risk Matrix'!$I$7,IF(M33='Risk Range &amp; Risk Matrix'!$J$6,'Risk Range &amp; Risk Matrix'!$J$7,IF(M33='Risk Range &amp; Risk Matrix'!$K$6,'Risk Range &amp; Risk Matrix'!$K$7,IF(M33='Risk Range &amp; Risk Matrix'!$L$6,'Risk Range &amp; Risk Matrix'!$L$7,IF(M33='Risk Range &amp; Risk Matrix'!$M$6,'Risk Range &amp; Risk Matrix'!$M$7,"")))))</f>
        <v/>
      </c>
      <c r="O33" s="43" t="str">
        <f t="shared" si="0"/>
        <v>empty</v>
      </c>
      <c r="P33" s="39" t="str">
        <f t="shared" si="1"/>
        <v>empty</v>
      </c>
      <c r="Q33" s="3"/>
      <c r="R33" s="60"/>
      <c r="S33" s="38"/>
      <c r="T33" s="2" t="str">
        <f>IF(S33='Risk Range &amp; Risk Matrix'!$G$12,'Risk Range &amp; Risk Matrix'!$H$12,IF(S33='Risk Range &amp; Risk Matrix'!$G$11,'Risk Range &amp; Risk Matrix'!$H$11,IF(S33='Risk Range &amp; Risk Matrix'!$G$10,'Risk Range &amp; Risk Matrix'!$H$10,IF(S33='Risk Range &amp; Risk Matrix'!$G$9,'Risk Range &amp; Risk Matrix'!$H$9,IF(S33='Risk Range &amp; Risk Matrix'!$G$8,'Risk Range &amp; Risk Matrix'!$H$8,"")))))</f>
        <v/>
      </c>
      <c r="U33" s="37"/>
      <c r="V33" s="37" t="str">
        <f>IF(U33='Risk Range &amp; Risk Matrix'!$I$6,'Risk Range &amp; Risk Matrix'!$I$7,IF(U33='Risk Range &amp; Risk Matrix'!$J$6,'Risk Range &amp; Risk Matrix'!$J$7,IF(U33='Risk Range &amp; Risk Matrix'!$K$6,'Risk Range &amp; Risk Matrix'!$K$7,IF(U33='Risk Range &amp; Risk Matrix'!$L$6,'Risk Range &amp; Risk Matrix'!$L$7,IF(U33='Risk Range &amp; Risk Matrix'!$M$6,'Risk Range &amp; Risk Matrix'!$M$7,"")))))</f>
        <v/>
      </c>
      <c r="W33" s="43" t="str">
        <f t="shared" si="2"/>
        <v>empty</v>
      </c>
      <c r="X33" s="39" t="str">
        <f t="shared" si="3"/>
        <v>empty</v>
      </c>
      <c r="Y33" s="3"/>
      <c r="Z33" s="48"/>
      <c r="AA33" s="8"/>
      <c r="AB33" s="9"/>
      <c r="AC33" s="85"/>
    </row>
    <row r="34" spans="1:29">
      <c r="A34" s="85"/>
      <c r="B34" s="4" t="s">
        <v>97</v>
      </c>
      <c r="C34" s="2"/>
      <c r="D34" s="2"/>
      <c r="E34" s="2"/>
      <c r="F34" s="2"/>
      <c r="G34" s="4"/>
      <c r="H34" s="3"/>
      <c r="I34" s="2"/>
      <c r="J34" s="36"/>
      <c r="K34" s="38"/>
      <c r="L34" s="2" t="str">
        <f>IF(K34='Risk Range &amp; Risk Matrix'!$G$12,'Risk Range &amp; Risk Matrix'!$H$12,IF(K34='Risk Range &amp; Risk Matrix'!$G$11,'Risk Range &amp; Risk Matrix'!$H$11,IF(K34='Risk Range &amp; Risk Matrix'!$G$10,'Risk Range &amp; Risk Matrix'!$H$10,IF(K34='Risk Range &amp; Risk Matrix'!$G$9,'Risk Range &amp; Risk Matrix'!$H$9,IF(K34='Risk Range &amp; Risk Matrix'!$G$8,'Risk Range &amp; Risk Matrix'!$H$8,"")))))</f>
        <v/>
      </c>
      <c r="M34" s="37"/>
      <c r="N34" s="37" t="str">
        <f>IF(M34='Risk Range &amp; Risk Matrix'!$I$6,'Risk Range &amp; Risk Matrix'!$I$7,IF(M34='Risk Range &amp; Risk Matrix'!$J$6,'Risk Range &amp; Risk Matrix'!$J$7,IF(M34='Risk Range &amp; Risk Matrix'!$K$6,'Risk Range &amp; Risk Matrix'!$K$7,IF(M34='Risk Range &amp; Risk Matrix'!$L$6,'Risk Range &amp; Risk Matrix'!$L$7,IF(M34='Risk Range &amp; Risk Matrix'!$M$6,'Risk Range &amp; Risk Matrix'!$M$7,"")))))</f>
        <v/>
      </c>
      <c r="O34" s="43" t="str">
        <f t="shared" si="0"/>
        <v>empty</v>
      </c>
      <c r="P34" s="39" t="str">
        <f t="shared" si="1"/>
        <v>empty</v>
      </c>
      <c r="Q34" s="3"/>
      <c r="R34" s="60"/>
      <c r="S34" s="38"/>
      <c r="T34" s="2" t="str">
        <f>IF(S34='Risk Range &amp; Risk Matrix'!$G$12,'Risk Range &amp; Risk Matrix'!$H$12,IF(S34='Risk Range &amp; Risk Matrix'!$G$11,'Risk Range &amp; Risk Matrix'!$H$11,IF(S34='Risk Range &amp; Risk Matrix'!$G$10,'Risk Range &amp; Risk Matrix'!$H$10,IF(S34='Risk Range &amp; Risk Matrix'!$G$9,'Risk Range &amp; Risk Matrix'!$H$9,IF(S34='Risk Range &amp; Risk Matrix'!$G$8,'Risk Range &amp; Risk Matrix'!$H$8,"")))))</f>
        <v/>
      </c>
      <c r="U34" s="37"/>
      <c r="V34" s="37" t="str">
        <f>IF(U34='Risk Range &amp; Risk Matrix'!$I$6,'Risk Range &amp; Risk Matrix'!$I$7,IF(U34='Risk Range &amp; Risk Matrix'!$J$6,'Risk Range &amp; Risk Matrix'!$J$7,IF(U34='Risk Range &amp; Risk Matrix'!$K$6,'Risk Range &amp; Risk Matrix'!$K$7,IF(U34='Risk Range &amp; Risk Matrix'!$L$6,'Risk Range &amp; Risk Matrix'!$L$7,IF(U34='Risk Range &amp; Risk Matrix'!$M$6,'Risk Range &amp; Risk Matrix'!$M$7,"")))))</f>
        <v/>
      </c>
      <c r="W34" s="43" t="str">
        <f t="shared" si="2"/>
        <v>empty</v>
      </c>
      <c r="X34" s="39" t="str">
        <f t="shared" si="3"/>
        <v>empty</v>
      </c>
      <c r="Y34" s="3"/>
      <c r="Z34" s="48"/>
      <c r="AA34" s="8"/>
      <c r="AB34" s="9"/>
      <c r="AC34" s="85"/>
    </row>
    <row r="35" spans="1:29">
      <c r="A35" s="85"/>
      <c r="B35" s="12" t="s">
        <v>98</v>
      </c>
      <c r="C35" s="2"/>
      <c r="D35" s="2"/>
      <c r="E35" s="2"/>
      <c r="F35" s="2"/>
      <c r="G35" s="4"/>
      <c r="H35" s="3"/>
      <c r="I35" s="2"/>
      <c r="J35" s="36"/>
      <c r="K35" s="38"/>
      <c r="L35" s="2" t="str">
        <f>IF(K35='Risk Range &amp; Risk Matrix'!$G$12,'Risk Range &amp; Risk Matrix'!$H$12,IF(K35='Risk Range &amp; Risk Matrix'!$G$11,'Risk Range &amp; Risk Matrix'!$H$11,IF(K35='Risk Range &amp; Risk Matrix'!$G$10,'Risk Range &amp; Risk Matrix'!$H$10,IF(K35='Risk Range &amp; Risk Matrix'!$G$9,'Risk Range &amp; Risk Matrix'!$H$9,IF(K35='Risk Range &amp; Risk Matrix'!$G$8,'Risk Range &amp; Risk Matrix'!$H$8,"")))))</f>
        <v/>
      </c>
      <c r="M35" s="37"/>
      <c r="N35" s="37" t="str">
        <f>IF(M35='Risk Range &amp; Risk Matrix'!$I$6,'Risk Range &amp; Risk Matrix'!$I$7,IF(M35='Risk Range &amp; Risk Matrix'!$J$6,'Risk Range &amp; Risk Matrix'!$J$7,IF(M35='Risk Range &amp; Risk Matrix'!$K$6,'Risk Range &amp; Risk Matrix'!$K$7,IF(M35='Risk Range &amp; Risk Matrix'!$L$6,'Risk Range &amp; Risk Matrix'!$L$7,IF(M35='Risk Range &amp; Risk Matrix'!$M$6,'Risk Range &amp; Risk Matrix'!$M$7,"")))))</f>
        <v/>
      </c>
      <c r="O35" s="43" t="str">
        <f t="shared" si="0"/>
        <v>empty</v>
      </c>
      <c r="P35" s="39" t="str">
        <f t="shared" si="1"/>
        <v>empty</v>
      </c>
      <c r="Q35" s="3"/>
      <c r="R35" s="60"/>
      <c r="S35" s="38"/>
      <c r="T35" s="2" t="str">
        <f>IF(S35='Risk Range &amp; Risk Matrix'!$G$12,'Risk Range &amp; Risk Matrix'!$H$12,IF(S35='Risk Range &amp; Risk Matrix'!$G$11,'Risk Range &amp; Risk Matrix'!$H$11,IF(S35='Risk Range &amp; Risk Matrix'!$G$10,'Risk Range &amp; Risk Matrix'!$H$10,IF(S35='Risk Range &amp; Risk Matrix'!$G$9,'Risk Range &amp; Risk Matrix'!$H$9,IF(S35='Risk Range &amp; Risk Matrix'!$G$8,'Risk Range &amp; Risk Matrix'!$H$8,"")))))</f>
        <v/>
      </c>
      <c r="U35" s="37"/>
      <c r="V35" s="37" t="str">
        <f>IF(U35='Risk Range &amp; Risk Matrix'!$I$6,'Risk Range &amp; Risk Matrix'!$I$7,IF(U35='Risk Range &amp; Risk Matrix'!$J$6,'Risk Range &amp; Risk Matrix'!$J$7,IF(U35='Risk Range &amp; Risk Matrix'!$K$6,'Risk Range &amp; Risk Matrix'!$K$7,IF(U35='Risk Range &amp; Risk Matrix'!$L$6,'Risk Range &amp; Risk Matrix'!$L$7,IF(U35='Risk Range &amp; Risk Matrix'!$M$6,'Risk Range &amp; Risk Matrix'!$M$7,"")))))</f>
        <v/>
      </c>
      <c r="W35" s="43" t="str">
        <f t="shared" si="2"/>
        <v>empty</v>
      </c>
      <c r="X35" s="39" t="str">
        <f t="shared" si="3"/>
        <v>empty</v>
      </c>
      <c r="Y35" s="3"/>
      <c r="Z35" s="48"/>
      <c r="AA35" s="8"/>
      <c r="AB35" s="9"/>
      <c r="AC35" s="85"/>
    </row>
    <row r="36" spans="1:29">
      <c r="A36" s="85"/>
      <c r="B36" s="4" t="s">
        <v>99</v>
      </c>
      <c r="C36" s="2"/>
      <c r="D36" s="2"/>
      <c r="E36" s="2"/>
      <c r="F36" s="2"/>
      <c r="G36" s="4"/>
      <c r="H36" s="3"/>
      <c r="I36" s="2"/>
      <c r="J36" s="36"/>
      <c r="K36" s="38"/>
      <c r="L36" s="2" t="str">
        <f>IF(K36='Risk Range &amp; Risk Matrix'!$G$12,'Risk Range &amp; Risk Matrix'!$H$12,IF(K36='Risk Range &amp; Risk Matrix'!$G$11,'Risk Range &amp; Risk Matrix'!$H$11,IF(K36='Risk Range &amp; Risk Matrix'!$G$10,'Risk Range &amp; Risk Matrix'!$H$10,IF(K36='Risk Range &amp; Risk Matrix'!$G$9,'Risk Range &amp; Risk Matrix'!$H$9,IF(K36='Risk Range &amp; Risk Matrix'!$G$8,'Risk Range &amp; Risk Matrix'!$H$8,"")))))</f>
        <v/>
      </c>
      <c r="M36" s="37"/>
      <c r="N36" s="37" t="str">
        <f>IF(M36='Risk Range &amp; Risk Matrix'!$I$6,'Risk Range &amp; Risk Matrix'!$I$7,IF(M36='Risk Range &amp; Risk Matrix'!$J$6,'Risk Range &amp; Risk Matrix'!$J$7,IF(M36='Risk Range &amp; Risk Matrix'!$K$6,'Risk Range &amp; Risk Matrix'!$K$7,IF(M36='Risk Range &amp; Risk Matrix'!$L$6,'Risk Range &amp; Risk Matrix'!$L$7,IF(M36='Risk Range &amp; Risk Matrix'!$M$6,'Risk Range &amp; Risk Matrix'!$M$7,"")))))</f>
        <v/>
      </c>
      <c r="O36" s="43" t="str">
        <f t="shared" si="0"/>
        <v>empty</v>
      </c>
      <c r="P36" s="39" t="str">
        <f t="shared" si="1"/>
        <v>empty</v>
      </c>
      <c r="Q36" s="3"/>
      <c r="R36" s="60"/>
      <c r="S36" s="38"/>
      <c r="T36" s="2" t="str">
        <f>IF(S36='Risk Range &amp; Risk Matrix'!$G$12,'Risk Range &amp; Risk Matrix'!$H$12,IF(S36='Risk Range &amp; Risk Matrix'!$G$11,'Risk Range &amp; Risk Matrix'!$H$11,IF(S36='Risk Range &amp; Risk Matrix'!$G$10,'Risk Range &amp; Risk Matrix'!$H$10,IF(S36='Risk Range &amp; Risk Matrix'!$G$9,'Risk Range &amp; Risk Matrix'!$H$9,IF(S36='Risk Range &amp; Risk Matrix'!$G$8,'Risk Range &amp; Risk Matrix'!$H$8,"")))))</f>
        <v/>
      </c>
      <c r="U36" s="37"/>
      <c r="V36" s="37" t="str">
        <f>IF(U36='Risk Range &amp; Risk Matrix'!$I$6,'Risk Range &amp; Risk Matrix'!$I$7,IF(U36='Risk Range &amp; Risk Matrix'!$J$6,'Risk Range &amp; Risk Matrix'!$J$7,IF(U36='Risk Range &amp; Risk Matrix'!$K$6,'Risk Range &amp; Risk Matrix'!$K$7,IF(U36='Risk Range &amp; Risk Matrix'!$L$6,'Risk Range &amp; Risk Matrix'!$L$7,IF(U36='Risk Range &amp; Risk Matrix'!$M$6,'Risk Range &amp; Risk Matrix'!$M$7,"")))))</f>
        <v/>
      </c>
      <c r="W36" s="43" t="str">
        <f t="shared" si="2"/>
        <v>empty</v>
      </c>
      <c r="X36" s="39" t="str">
        <f t="shared" si="3"/>
        <v>empty</v>
      </c>
      <c r="Y36" s="3"/>
      <c r="Z36" s="48"/>
      <c r="AA36" s="8"/>
      <c r="AB36" s="9"/>
      <c r="AC36" s="85"/>
    </row>
    <row r="37" spans="1:29">
      <c r="A37" s="85"/>
      <c r="B37" s="12" t="s">
        <v>100</v>
      </c>
      <c r="C37" s="2"/>
      <c r="D37" s="2"/>
      <c r="E37" s="2"/>
      <c r="F37" s="2"/>
      <c r="G37" s="4"/>
      <c r="H37" s="3"/>
      <c r="I37" s="2"/>
      <c r="J37" s="36"/>
      <c r="K37" s="38"/>
      <c r="L37" s="2" t="str">
        <f>IF(K37='Risk Range &amp; Risk Matrix'!$G$12,'Risk Range &amp; Risk Matrix'!$H$12,IF(K37='Risk Range &amp; Risk Matrix'!$G$11,'Risk Range &amp; Risk Matrix'!$H$11,IF(K37='Risk Range &amp; Risk Matrix'!$G$10,'Risk Range &amp; Risk Matrix'!$H$10,IF(K37='Risk Range &amp; Risk Matrix'!$G$9,'Risk Range &amp; Risk Matrix'!$H$9,IF(K37='Risk Range &amp; Risk Matrix'!$G$8,'Risk Range &amp; Risk Matrix'!$H$8,"")))))</f>
        <v/>
      </c>
      <c r="M37" s="37"/>
      <c r="N37" s="37" t="str">
        <f>IF(M37='Risk Range &amp; Risk Matrix'!$I$6,'Risk Range &amp; Risk Matrix'!$I$7,IF(M37='Risk Range &amp; Risk Matrix'!$J$6,'Risk Range &amp; Risk Matrix'!$J$7,IF(M37='Risk Range &amp; Risk Matrix'!$K$6,'Risk Range &amp; Risk Matrix'!$K$7,IF(M37='Risk Range &amp; Risk Matrix'!$L$6,'Risk Range &amp; Risk Matrix'!$L$7,IF(M37='Risk Range &amp; Risk Matrix'!$M$6,'Risk Range &amp; Risk Matrix'!$M$7,"")))))</f>
        <v/>
      </c>
      <c r="O37" s="43" t="str">
        <f t="shared" si="0"/>
        <v>empty</v>
      </c>
      <c r="P37" s="39" t="str">
        <f t="shared" si="1"/>
        <v>empty</v>
      </c>
      <c r="Q37" s="3"/>
      <c r="R37" s="60"/>
      <c r="S37" s="38"/>
      <c r="T37" s="2" t="str">
        <f>IF(S37='Risk Range &amp; Risk Matrix'!$G$12,'Risk Range &amp; Risk Matrix'!$H$12,IF(S37='Risk Range &amp; Risk Matrix'!$G$11,'Risk Range &amp; Risk Matrix'!$H$11,IF(S37='Risk Range &amp; Risk Matrix'!$G$10,'Risk Range &amp; Risk Matrix'!$H$10,IF(S37='Risk Range &amp; Risk Matrix'!$G$9,'Risk Range &amp; Risk Matrix'!$H$9,IF(S37='Risk Range &amp; Risk Matrix'!$G$8,'Risk Range &amp; Risk Matrix'!$H$8,"")))))</f>
        <v/>
      </c>
      <c r="U37" s="37"/>
      <c r="V37" s="37" t="str">
        <f>IF(U37='Risk Range &amp; Risk Matrix'!$I$6,'Risk Range &amp; Risk Matrix'!$I$7,IF(U37='Risk Range &amp; Risk Matrix'!$J$6,'Risk Range &amp; Risk Matrix'!$J$7,IF(U37='Risk Range &amp; Risk Matrix'!$K$6,'Risk Range &amp; Risk Matrix'!$K$7,IF(U37='Risk Range &amp; Risk Matrix'!$L$6,'Risk Range &amp; Risk Matrix'!$L$7,IF(U37='Risk Range &amp; Risk Matrix'!$M$6,'Risk Range &amp; Risk Matrix'!$M$7,"")))))</f>
        <v/>
      </c>
      <c r="W37" s="43" t="str">
        <f t="shared" si="2"/>
        <v>empty</v>
      </c>
      <c r="X37" s="39" t="str">
        <f t="shared" si="3"/>
        <v>empty</v>
      </c>
      <c r="Y37" s="3"/>
      <c r="Z37" s="48"/>
      <c r="AA37" s="8"/>
      <c r="AB37" s="9"/>
      <c r="AC37" s="85"/>
    </row>
    <row r="38" spans="1:29">
      <c r="A38" s="85"/>
      <c r="B38" s="4" t="s">
        <v>101</v>
      </c>
      <c r="C38" s="2"/>
      <c r="D38" s="2"/>
      <c r="E38" s="2"/>
      <c r="F38" s="2"/>
      <c r="G38" s="4"/>
      <c r="H38" s="3"/>
      <c r="I38" s="2"/>
      <c r="J38" s="36"/>
      <c r="K38" s="38"/>
      <c r="L38" s="2" t="str">
        <f>IF(K38='Risk Range &amp; Risk Matrix'!$G$12,'Risk Range &amp; Risk Matrix'!$H$12,IF(K38='Risk Range &amp; Risk Matrix'!$G$11,'Risk Range &amp; Risk Matrix'!$H$11,IF(K38='Risk Range &amp; Risk Matrix'!$G$10,'Risk Range &amp; Risk Matrix'!$H$10,IF(K38='Risk Range &amp; Risk Matrix'!$G$9,'Risk Range &amp; Risk Matrix'!$H$9,IF(K38='Risk Range &amp; Risk Matrix'!$G$8,'Risk Range &amp; Risk Matrix'!$H$8,"")))))</f>
        <v/>
      </c>
      <c r="M38" s="37"/>
      <c r="N38" s="37" t="str">
        <f>IF(M38='Risk Range &amp; Risk Matrix'!$I$6,'Risk Range &amp; Risk Matrix'!$I$7,IF(M38='Risk Range &amp; Risk Matrix'!$J$6,'Risk Range &amp; Risk Matrix'!$J$7,IF(M38='Risk Range &amp; Risk Matrix'!$K$6,'Risk Range &amp; Risk Matrix'!$K$7,IF(M38='Risk Range &amp; Risk Matrix'!$L$6,'Risk Range &amp; Risk Matrix'!$L$7,IF(M38='Risk Range &amp; Risk Matrix'!$M$6,'Risk Range &amp; Risk Matrix'!$M$7,"")))))</f>
        <v/>
      </c>
      <c r="O38" s="43" t="str">
        <f t="shared" si="0"/>
        <v>empty</v>
      </c>
      <c r="P38" s="39" t="str">
        <f t="shared" si="1"/>
        <v>empty</v>
      </c>
      <c r="Q38" s="3"/>
      <c r="R38" s="60"/>
      <c r="S38" s="38"/>
      <c r="T38" s="2" t="str">
        <f>IF(S38='Risk Range &amp; Risk Matrix'!$G$12,'Risk Range &amp; Risk Matrix'!$H$12,IF(S38='Risk Range &amp; Risk Matrix'!$G$11,'Risk Range &amp; Risk Matrix'!$H$11,IF(S38='Risk Range &amp; Risk Matrix'!$G$10,'Risk Range &amp; Risk Matrix'!$H$10,IF(S38='Risk Range &amp; Risk Matrix'!$G$9,'Risk Range &amp; Risk Matrix'!$H$9,IF(S38='Risk Range &amp; Risk Matrix'!$G$8,'Risk Range &amp; Risk Matrix'!$H$8,"")))))</f>
        <v/>
      </c>
      <c r="U38" s="37"/>
      <c r="V38" s="37" t="str">
        <f>IF(U38='Risk Range &amp; Risk Matrix'!$I$6,'Risk Range &amp; Risk Matrix'!$I$7,IF(U38='Risk Range &amp; Risk Matrix'!$J$6,'Risk Range &amp; Risk Matrix'!$J$7,IF(U38='Risk Range &amp; Risk Matrix'!$K$6,'Risk Range &amp; Risk Matrix'!$K$7,IF(U38='Risk Range &amp; Risk Matrix'!$L$6,'Risk Range &amp; Risk Matrix'!$L$7,IF(U38='Risk Range &amp; Risk Matrix'!$M$6,'Risk Range &amp; Risk Matrix'!$M$7,"")))))</f>
        <v/>
      </c>
      <c r="W38" s="43" t="str">
        <f t="shared" si="2"/>
        <v>empty</v>
      </c>
      <c r="X38" s="39" t="str">
        <f t="shared" si="3"/>
        <v>empty</v>
      </c>
      <c r="Y38" s="3"/>
      <c r="Z38" s="48"/>
      <c r="AA38" s="8"/>
      <c r="AB38" s="9"/>
      <c r="AC38" s="85"/>
    </row>
    <row r="39" spans="1:29">
      <c r="A39" s="85"/>
      <c r="B39" s="12" t="s">
        <v>102</v>
      </c>
      <c r="C39" s="2"/>
      <c r="D39" s="2"/>
      <c r="E39" s="2"/>
      <c r="F39" s="2"/>
      <c r="G39" s="4"/>
      <c r="H39" s="3"/>
      <c r="I39" s="2"/>
      <c r="J39" s="36"/>
      <c r="K39" s="38"/>
      <c r="L39" s="2" t="str">
        <f>IF(K39='Risk Range &amp; Risk Matrix'!$G$12,'Risk Range &amp; Risk Matrix'!$H$12,IF(K39='Risk Range &amp; Risk Matrix'!$G$11,'Risk Range &amp; Risk Matrix'!$H$11,IF(K39='Risk Range &amp; Risk Matrix'!$G$10,'Risk Range &amp; Risk Matrix'!$H$10,IF(K39='Risk Range &amp; Risk Matrix'!$G$9,'Risk Range &amp; Risk Matrix'!$H$9,IF(K39='Risk Range &amp; Risk Matrix'!$G$8,'Risk Range &amp; Risk Matrix'!$H$8,"")))))</f>
        <v/>
      </c>
      <c r="M39" s="37"/>
      <c r="N39" s="37" t="str">
        <f>IF(M39='Risk Range &amp; Risk Matrix'!$I$6,'Risk Range &amp; Risk Matrix'!$I$7,IF(M39='Risk Range &amp; Risk Matrix'!$J$6,'Risk Range &amp; Risk Matrix'!$J$7,IF(M39='Risk Range &amp; Risk Matrix'!$K$6,'Risk Range &amp; Risk Matrix'!$K$7,IF(M39='Risk Range &amp; Risk Matrix'!$L$6,'Risk Range &amp; Risk Matrix'!$L$7,IF(M39='Risk Range &amp; Risk Matrix'!$M$6,'Risk Range &amp; Risk Matrix'!$M$7,"")))))</f>
        <v/>
      </c>
      <c r="O39" s="43" t="str">
        <f t="shared" si="0"/>
        <v>empty</v>
      </c>
      <c r="P39" s="39" t="str">
        <f t="shared" si="1"/>
        <v>empty</v>
      </c>
      <c r="Q39" s="3"/>
      <c r="R39" s="60"/>
      <c r="S39" s="38"/>
      <c r="T39" s="2" t="str">
        <f>IF(S39='Risk Range &amp; Risk Matrix'!$G$12,'Risk Range &amp; Risk Matrix'!$H$12,IF(S39='Risk Range &amp; Risk Matrix'!$G$11,'Risk Range &amp; Risk Matrix'!$H$11,IF(S39='Risk Range &amp; Risk Matrix'!$G$10,'Risk Range &amp; Risk Matrix'!$H$10,IF(S39='Risk Range &amp; Risk Matrix'!$G$9,'Risk Range &amp; Risk Matrix'!$H$9,IF(S39='Risk Range &amp; Risk Matrix'!$G$8,'Risk Range &amp; Risk Matrix'!$H$8,"")))))</f>
        <v/>
      </c>
      <c r="U39" s="37"/>
      <c r="V39" s="37" t="str">
        <f>IF(U39='Risk Range &amp; Risk Matrix'!$I$6,'Risk Range &amp; Risk Matrix'!$I$7,IF(U39='Risk Range &amp; Risk Matrix'!$J$6,'Risk Range &amp; Risk Matrix'!$J$7,IF(U39='Risk Range &amp; Risk Matrix'!$K$6,'Risk Range &amp; Risk Matrix'!$K$7,IF(U39='Risk Range &amp; Risk Matrix'!$L$6,'Risk Range &amp; Risk Matrix'!$L$7,IF(U39='Risk Range &amp; Risk Matrix'!$M$6,'Risk Range &amp; Risk Matrix'!$M$7,"")))))</f>
        <v/>
      </c>
      <c r="W39" s="43" t="str">
        <f t="shared" si="2"/>
        <v>empty</v>
      </c>
      <c r="X39" s="39" t="str">
        <f t="shared" si="3"/>
        <v>empty</v>
      </c>
      <c r="Y39" s="3"/>
      <c r="Z39" s="48"/>
      <c r="AA39" s="8"/>
      <c r="AB39" s="9"/>
      <c r="AC39" s="85"/>
    </row>
    <row r="40" spans="1:29">
      <c r="A40" s="85"/>
      <c r="B40" s="4" t="s">
        <v>103</v>
      </c>
      <c r="C40" s="2"/>
      <c r="D40" s="2"/>
      <c r="E40" s="2"/>
      <c r="F40" s="2"/>
      <c r="G40" s="4"/>
      <c r="H40" s="3"/>
      <c r="I40" s="2"/>
      <c r="J40" s="36"/>
      <c r="K40" s="38"/>
      <c r="L40" s="2" t="str">
        <f>IF(K40='Risk Range &amp; Risk Matrix'!$G$12,'Risk Range &amp; Risk Matrix'!$H$12,IF(K40='Risk Range &amp; Risk Matrix'!$G$11,'Risk Range &amp; Risk Matrix'!$H$11,IF(K40='Risk Range &amp; Risk Matrix'!$G$10,'Risk Range &amp; Risk Matrix'!$H$10,IF(K40='Risk Range &amp; Risk Matrix'!$G$9,'Risk Range &amp; Risk Matrix'!$H$9,IF(K40='Risk Range &amp; Risk Matrix'!$G$8,'Risk Range &amp; Risk Matrix'!$H$8,"")))))</f>
        <v/>
      </c>
      <c r="M40" s="37"/>
      <c r="N40" s="37" t="str">
        <f>IF(M40='Risk Range &amp; Risk Matrix'!$I$6,'Risk Range &amp; Risk Matrix'!$I$7,IF(M40='Risk Range &amp; Risk Matrix'!$J$6,'Risk Range &amp; Risk Matrix'!$J$7,IF(M40='Risk Range &amp; Risk Matrix'!$K$6,'Risk Range &amp; Risk Matrix'!$K$7,IF(M40='Risk Range &amp; Risk Matrix'!$L$6,'Risk Range &amp; Risk Matrix'!$L$7,IF(M40='Risk Range &amp; Risk Matrix'!$M$6,'Risk Range &amp; Risk Matrix'!$M$7,"")))))</f>
        <v/>
      </c>
      <c r="O40" s="43" t="str">
        <f t="shared" si="0"/>
        <v>empty</v>
      </c>
      <c r="P40" s="39" t="str">
        <f t="shared" si="1"/>
        <v>empty</v>
      </c>
      <c r="Q40" s="3"/>
      <c r="R40" s="60"/>
      <c r="S40" s="38"/>
      <c r="T40" s="2" t="str">
        <f>IF(S40='Risk Range &amp; Risk Matrix'!$G$12,'Risk Range &amp; Risk Matrix'!$H$12,IF(S40='Risk Range &amp; Risk Matrix'!$G$11,'Risk Range &amp; Risk Matrix'!$H$11,IF(S40='Risk Range &amp; Risk Matrix'!$G$10,'Risk Range &amp; Risk Matrix'!$H$10,IF(S40='Risk Range &amp; Risk Matrix'!$G$9,'Risk Range &amp; Risk Matrix'!$H$9,IF(S40='Risk Range &amp; Risk Matrix'!$G$8,'Risk Range &amp; Risk Matrix'!$H$8,"")))))</f>
        <v/>
      </c>
      <c r="U40" s="37"/>
      <c r="V40" s="37" t="str">
        <f>IF(U40='Risk Range &amp; Risk Matrix'!$I$6,'Risk Range &amp; Risk Matrix'!$I$7,IF(U40='Risk Range &amp; Risk Matrix'!$J$6,'Risk Range &amp; Risk Matrix'!$J$7,IF(U40='Risk Range &amp; Risk Matrix'!$K$6,'Risk Range &amp; Risk Matrix'!$K$7,IF(U40='Risk Range &amp; Risk Matrix'!$L$6,'Risk Range &amp; Risk Matrix'!$L$7,IF(U40='Risk Range &amp; Risk Matrix'!$M$6,'Risk Range &amp; Risk Matrix'!$M$7,"")))))</f>
        <v/>
      </c>
      <c r="W40" s="43" t="str">
        <f t="shared" si="2"/>
        <v>empty</v>
      </c>
      <c r="X40" s="39" t="str">
        <f t="shared" si="3"/>
        <v>empty</v>
      </c>
      <c r="Y40" s="3"/>
      <c r="Z40" s="48"/>
      <c r="AA40" s="8"/>
      <c r="AB40" s="9"/>
      <c r="AC40" s="85"/>
    </row>
    <row r="41" spans="1:29">
      <c r="A41" s="85"/>
      <c r="B41" s="12" t="s">
        <v>104</v>
      </c>
      <c r="C41" s="2"/>
      <c r="D41" s="2"/>
      <c r="E41" s="2"/>
      <c r="F41" s="2"/>
      <c r="G41" s="4"/>
      <c r="H41" s="3"/>
      <c r="I41" s="2"/>
      <c r="J41" s="36"/>
      <c r="K41" s="38"/>
      <c r="L41" s="2" t="str">
        <f>IF(K41='Risk Range &amp; Risk Matrix'!$G$12,'Risk Range &amp; Risk Matrix'!$H$12,IF(K41='Risk Range &amp; Risk Matrix'!$G$11,'Risk Range &amp; Risk Matrix'!$H$11,IF(K41='Risk Range &amp; Risk Matrix'!$G$10,'Risk Range &amp; Risk Matrix'!$H$10,IF(K41='Risk Range &amp; Risk Matrix'!$G$9,'Risk Range &amp; Risk Matrix'!$H$9,IF(K41='Risk Range &amp; Risk Matrix'!$G$8,'Risk Range &amp; Risk Matrix'!$H$8,"")))))</f>
        <v/>
      </c>
      <c r="M41" s="37"/>
      <c r="N41" s="37" t="str">
        <f>IF(M41='Risk Range &amp; Risk Matrix'!$I$6,'Risk Range &amp; Risk Matrix'!$I$7,IF(M41='Risk Range &amp; Risk Matrix'!$J$6,'Risk Range &amp; Risk Matrix'!$J$7,IF(M41='Risk Range &amp; Risk Matrix'!$K$6,'Risk Range &amp; Risk Matrix'!$K$7,IF(M41='Risk Range &amp; Risk Matrix'!$L$6,'Risk Range &amp; Risk Matrix'!$L$7,IF(M41='Risk Range &amp; Risk Matrix'!$M$6,'Risk Range &amp; Risk Matrix'!$M$7,"")))))</f>
        <v/>
      </c>
      <c r="O41" s="43" t="str">
        <f t="shared" ref="O41:O72" si="4">IF(OR(L41="",N41=""),"empty",L41*N41)</f>
        <v>empty</v>
      </c>
      <c r="P41" s="39" t="str">
        <f t="shared" ref="P41:P72" si="5">O41</f>
        <v>empty</v>
      </c>
      <c r="Q41" s="3"/>
      <c r="R41" s="60"/>
      <c r="S41" s="38"/>
      <c r="T41" s="2" t="str">
        <f>IF(S41='Risk Range &amp; Risk Matrix'!$G$12,'Risk Range &amp; Risk Matrix'!$H$12,IF(S41='Risk Range &amp; Risk Matrix'!$G$11,'Risk Range &amp; Risk Matrix'!$H$11,IF(S41='Risk Range &amp; Risk Matrix'!$G$10,'Risk Range &amp; Risk Matrix'!$H$10,IF(S41='Risk Range &amp; Risk Matrix'!$G$9,'Risk Range &amp; Risk Matrix'!$H$9,IF(S41='Risk Range &amp; Risk Matrix'!$G$8,'Risk Range &amp; Risk Matrix'!$H$8,"")))))</f>
        <v/>
      </c>
      <c r="U41" s="37"/>
      <c r="V41" s="37" t="str">
        <f>IF(U41='Risk Range &amp; Risk Matrix'!$I$6,'Risk Range &amp; Risk Matrix'!$I$7,IF(U41='Risk Range &amp; Risk Matrix'!$J$6,'Risk Range &amp; Risk Matrix'!$J$7,IF(U41='Risk Range &amp; Risk Matrix'!$K$6,'Risk Range &amp; Risk Matrix'!$K$7,IF(U41='Risk Range &amp; Risk Matrix'!$L$6,'Risk Range &amp; Risk Matrix'!$L$7,IF(U41='Risk Range &amp; Risk Matrix'!$M$6,'Risk Range &amp; Risk Matrix'!$M$7,"")))))</f>
        <v/>
      </c>
      <c r="W41" s="43" t="str">
        <f t="shared" ref="W41:W72" si="6">IF(OR(T41="",V41=""),"empty",T41*V41)</f>
        <v>empty</v>
      </c>
      <c r="X41" s="39" t="str">
        <f t="shared" ref="X41:X72" si="7">W41</f>
        <v>empty</v>
      </c>
      <c r="Y41" s="3"/>
      <c r="Z41" s="48"/>
      <c r="AA41" s="8"/>
      <c r="AB41" s="9"/>
      <c r="AC41" s="85"/>
    </row>
    <row r="42" spans="1:29">
      <c r="A42" s="85"/>
      <c r="B42" s="4" t="s">
        <v>105</v>
      </c>
      <c r="C42" s="2"/>
      <c r="D42" s="2"/>
      <c r="E42" s="2"/>
      <c r="F42" s="2"/>
      <c r="G42" s="4"/>
      <c r="H42" s="3"/>
      <c r="I42" s="2"/>
      <c r="J42" s="36"/>
      <c r="K42" s="38"/>
      <c r="L42" s="2" t="str">
        <f>IF(K42='Risk Range &amp; Risk Matrix'!$G$12,'Risk Range &amp; Risk Matrix'!$H$12,IF(K42='Risk Range &amp; Risk Matrix'!$G$11,'Risk Range &amp; Risk Matrix'!$H$11,IF(K42='Risk Range &amp; Risk Matrix'!$G$10,'Risk Range &amp; Risk Matrix'!$H$10,IF(K42='Risk Range &amp; Risk Matrix'!$G$9,'Risk Range &amp; Risk Matrix'!$H$9,IF(K42='Risk Range &amp; Risk Matrix'!$G$8,'Risk Range &amp; Risk Matrix'!$H$8,"")))))</f>
        <v/>
      </c>
      <c r="M42" s="37"/>
      <c r="N42" s="37" t="str">
        <f>IF(M42='Risk Range &amp; Risk Matrix'!$I$6,'Risk Range &amp; Risk Matrix'!$I$7,IF(M42='Risk Range &amp; Risk Matrix'!$J$6,'Risk Range &amp; Risk Matrix'!$J$7,IF(M42='Risk Range &amp; Risk Matrix'!$K$6,'Risk Range &amp; Risk Matrix'!$K$7,IF(M42='Risk Range &amp; Risk Matrix'!$L$6,'Risk Range &amp; Risk Matrix'!$L$7,IF(M42='Risk Range &amp; Risk Matrix'!$M$6,'Risk Range &amp; Risk Matrix'!$M$7,"")))))</f>
        <v/>
      </c>
      <c r="O42" s="43" t="str">
        <f t="shared" si="4"/>
        <v>empty</v>
      </c>
      <c r="P42" s="39" t="str">
        <f t="shared" si="5"/>
        <v>empty</v>
      </c>
      <c r="Q42" s="3"/>
      <c r="R42" s="60"/>
      <c r="S42" s="38"/>
      <c r="T42" s="2" t="str">
        <f>IF(S42='Risk Range &amp; Risk Matrix'!$G$12,'Risk Range &amp; Risk Matrix'!$H$12,IF(S42='Risk Range &amp; Risk Matrix'!$G$11,'Risk Range &amp; Risk Matrix'!$H$11,IF(S42='Risk Range &amp; Risk Matrix'!$G$10,'Risk Range &amp; Risk Matrix'!$H$10,IF(S42='Risk Range &amp; Risk Matrix'!$G$9,'Risk Range &amp; Risk Matrix'!$H$9,IF(S42='Risk Range &amp; Risk Matrix'!$G$8,'Risk Range &amp; Risk Matrix'!$H$8,"")))))</f>
        <v/>
      </c>
      <c r="U42" s="37"/>
      <c r="V42" s="37" t="str">
        <f>IF(U42='Risk Range &amp; Risk Matrix'!$I$6,'Risk Range &amp; Risk Matrix'!$I$7,IF(U42='Risk Range &amp; Risk Matrix'!$J$6,'Risk Range &amp; Risk Matrix'!$J$7,IF(U42='Risk Range &amp; Risk Matrix'!$K$6,'Risk Range &amp; Risk Matrix'!$K$7,IF(U42='Risk Range &amp; Risk Matrix'!$L$6,'Risk Range &amp; Risk Matrix'!$L$7,IF(U42='Risk Range &amp; Risk Matrix'!$M$6,'Risk Range &amp; Risk Matrix'!$M$7,"")))))</f>
        <v/>
      </c>
      <c r="W42" s="43" t="str">
        <f t="shared" si="6"/>
        <v>empty</v>
      </c>
      <c r="X42" s="39" t="str">
        <f t="shared" si="7"/>
        <v>empty</v>
      </c>
      <c r="Y42" s="3"/>
      <c r="Z42" s="48"/>
      <c r="AA42" s="8"/>
      <c r="AB42" s="9"/>
      <c r="AC42" s="85"/>
    </row>
    <row r="43" spans="1:29">
      <c r="A43" s="85"/>
      <c r="B43" s="12" t="s">
        <v>106</v>
      </c>
      <c r="C43" s="2"/>
      <c r="D43" s="2"/>
      <c r="E43" s="2"/>
      <c r="F43" s="2"/>
      <c r="G43" s="4"/>
      <c r="H43" s="3"/>
      <c r="I43" s="2"/>
      <c r="J43" s="36"/>
      <c r="K43" s="38"/>
      <c r="L43" s="2" t="str">
        <f>IF(K43='Risk Range &amp; Risk Matrix'!$G$12,'Risk Range &amp; Risk Matrix'!$H$12,IF(K43='Risk Range &amp; Risk Matrix'!$G$11,'Risk Range &amp; Risk Matrix'!$H$11,IF(K43='Risk Range &amp; Risk Matrix'!$G$10,'Risk Range &amp; Risk Matrix'!$H$10,IF(K43='Risk Range &amp; Risk Matrix'!$G$9,'Risk Range &amp; Risk Matrix'!$H$9,IF(K43='Risk Range &amp; Risk Matrix'!$G$8,'Risk Range &amp; Risk Matrix'!$H$8,"")))))</f>
        <v/>
      </c>
      <c r="M43" s="37"/>
      <c r="N43" s="37" t="str">
        <f>IF(M43='Risk Range &amp; Risk Matrix'!$I$6,'Risk Range &amp; Risk Matrix'!$I$7,IF(M43='Risk Range &amp; Risk Matrix'!$J$6,'Risk Range &amp; Risk Matrix'!$J$7,IF(M43='Risk Range &amp; Risk Matrix'!$K$6,'Risk Range &amp; Risk Matrix'!$K$7,IF(M43='Risk Range &amp; Risk Matrix'!$L$6,'Risk Range &amp; Risk Matrix'!$L$7,IF(M43='Risk Range &amp; Risk Matrix'!$M$6,'Risk Range &amp; Risk Matrix'!$M$7,"")))))</f>
        <v/>
      </c>
      <c r="O43" s="43" t="str">
        <f t="shared" si="4"/>
        <v>empty</v>
      </c>
      <c r="P43" s="39" t="str">
        <f t="shared" si="5"/>
        <v>empty</v>
      </c>
      <c r="Q43" s="3"/>
      <c r="R43" s="60"/>
      <c r="S43" s="38"/>
      <c r="T43" s="2" t="str">
        <f>IF(S43='Risk Range &amp; Risk Matrix'!$G$12,'Risk Range &amp; Risk Matrix'!$H$12,IF(S43='Risk Range &amp; Risk Matrix'!$G$11,'Risk Range &amp; Risk Matrix'!$H$11,IF(S43='Risk Range &amp; Risk Matrix'!$G$10,'Risk Range &amp; Risk Matrix'!$H$10,IF(S43='Risk Range &amp; Risk Matrix'!$G$9,'Risk Range &amp; Risk Matrix'!$H$9,IF(S43='Risk Range &amp; Risk Matrix'!$G$8,'Risk Range &amp; Risk Matrix'!$H$8,"")))))</f>
        <v/>
      </c>
      <c r="U43" s="37"/>
      <c r="V43" s="37" t="str">
        <f>IF(U43='Risk Range &amp; Risk Matrix'!$I$6,'Risk Range &amp; Risk Matrix'!$I$7,IF(U43='Risk Range &amp; Risk Matrix'!$J$6,'Risk Range &amp; Risk Matrix'!$J$7,IF(U43='Risk Range &amp; Risk Matrix'!$K$6,'Risk Range &amp; Risk Matrix'!$K$7,IF(U43='Risk Range &amp; Risk Matrix'!$L$6,'Risk Range &amp; Risk Matrix'!$L$7,IF(U43='Risk Range &amp; Risk Matrix'!$M$6,'Risk Range &amp; Risk Matrix'!$M$7,"")))))</f>
        <v/>
      </c>
      <c r="W43" s="43" t="str">
        <f t="shared" si="6"/>
        <v>empty</v>
      </c>
      <c r="X43" s="39" t="str">
        <f t="shared" si="7"/>
        <v>empty</v>
      </c>
      <c r="Y43" s="3"/>
      <c r="Z43" s="48"/>
      <c r="AA43" s="8"/>
      <c r="AB43" s="9"/>
      <c r="AC43" s="85"/>
    </row>
    <row r="44" spans="1:29">
      <c r="A44" s="85"/>
      <c r="B44" s="4" t="s">
        <v>107</v>
      </c>
      <c r="C44" s="2"/>
      <c r="D44" s="2"/>
      <c r="E44" s="2"/>
      <c r="F44" s="2"/>
      <c r="G44" s="4"/>
      <c r="H44" s="3"/>
      <c r="I44" s="2"/>
      <c r="J44" s="36"/>
      <c r="K44" s="38"/>
      <c r="L44" s="2" t="str">
        <f>IF(K44='Risk Range &amp; Risk Matrix'!$G$12,'Risk Range &amp; Risk Matrix'!$H$12,IF(K44='Risk Range &amp; Risk Matrix'!$G$11,'Risk Range &amp; Risk Matrix'!$H$11,IF(K44='Risk Range &amp; Risk Matrix'!$G$10,'Risk Range &amp; Risk Matrix'!$H$10,IF(K44='Risk Range &amp; Risk Matrix'!$G$9,'Risk Range &amp; Risk Matrix'!$H$9,IF(K44='Risk Range &amp; Risk Matrix'!$G$8,'Risk Range &amp; Risk Matrix'!$H$8,"")))))</f>
        <v/>
      </c>
      <c r="M44" s="37"/>
      <c r="N44" s="37" t="str">
        <f>IF(M44='Risk Range &amp; Risk Matrix'!$I$6,'Risk Range &amp; Risk Matrix'!$I$7,IF(M44='Risk Range &amp; Risk Matrix'!$J$6,'Risk Range &amp; Risk Matrix'!$J$7,IF(M44='Risk Range &amp; Risk Matrix'!$K$6,'Risk Range &amp; Risk Matrix'!$K$7,IF(M44='Risk Range &amp; Risk Matrix'!$L$6,'Risk Range &amp; Risk Matrix'!$L$7,IF(M44='Risk Range &amp; Risk Matrix'!$M$6,'Risk Range &amp; Risk Matrix'!$M$7,"")))))</f>
        <v/>
      </c>
      <c r="O44" s="43" t="str">
        <f t="shared" si="4"/>
        <v>empty</v>
      </c>
      <c r="P44" s="39" t="str">
        <f t="shared" si="5"/>
        <v>empty</v>
      </c>
      <c r="Q44" s="3"/>
      <c r="R44" s="60"/>
      <c r="S44" s="38"/>
      <c r="T44" s="2" t="str">
        <f>IF(S44='Risk Range &amp; Risk Matrix'!$G$12,'Risk Range &amp; Risk Matrix'!$H$12,IF(S44='Risk Range &amp; Risk Matrix'!$G$11,'Risk Range &amp; Risk Matrix'!$H$11,IF(S44='Risk Range &amp; Risk Matrix'!$G$10,'Risk Range &amp; Risk Matrix'!$H$10,IF(S44='Risk Range &amp; Risk Matrix'!$G$9,'Risk Range &amp; Risk Matrix'!$H$9,IF(S44='Risk Range &amp; Risk Matrix'!$G$8,'Risk Range &amp; Risk Matrix'!$H$8,"")))))</f>
        <v/>
      </c>
      <c r="U44" s="37"/>
      <c r="V44" s="37" t="str">
        <f>IF(U44='Risk Range &amp; Risk Matrix'!$I$6,'Risk Range &amp; Risk Matrix'!$I$7,IF(U44='Risk Range &amp; Risk Matrix'!$J$6,'Risk Range &amp; Risk Matrix'!$J$7,IF(U44='Risk Range &amp; Risk Matrix'!$K$6,'Risk Range &amp; Risk Matrix'!$K$7,IF(U44='Risk Range &amp; Risk Matrix'!$L$6,'Risk Range &amp; Risk Matrix'!$L$7,IF(U44='Risk Range &amp; Risk Matrix'!$M$6,'Risk Range &amp; Risk Matrix'!$M$7,"")))))</f>
        <v/>
      </c>
      <c r="W44" s="43" t="str">
        <f t="shared" si="6"/>
        <v>empty</v>
      </c>
      <c r="X44" s="39" t="str">
        <f t="shared" si="7"/>
        <v>empty</v>
      </c>
      <c r="Y44" s="3"/>
      <c r="Z44" s="48"/>
      <c r="AA44" s="8"/>
      <c r="AB44" s="9"/>
      <c r="AC44" s="85"/>
    </row>
    <row r="45" spans="1:29">
      <c r="A45" s="85"/>
      <c r="B45" s="12" t="s">
        <v>108</v>
      </c>
      <c r="C45" s="2"/>
      <c r="D45" s="2"/>
      <c r="E45" s="2"/>
      <c r="F45" s="2"/>
      <c r="G45" s="4"/>
      <c r="H45" s="3"/>
      <c r="I45" s="2"/>
      <c r="J45" s="36"/>
      <c r="K45" s="38"/>
      <c r="L45" s="2" t="str">
        <f>IF(K45='Risk Range &amp; Risk Matrix'!$G$12,'Risk Range &amp; Risk Matrix'!$H$12,IF(K45='Risk Range &amp; Risk Matrix'!$G$11,'Risk Range &amp; Risk Matrix'!$H$11,IF(K45='Risk Range &amp; Risk Matrix'!$G$10,'Risk Range &amp; Risk Matrix'!$H$10,IF(K45='Risk Range &amp; Risk Matrix'!$G$9,'Risk Range &amp; Risk Matrix'!$H$9,IF(K45='Risk Range &amp; Risk Matrix'!$G$8,'Risk Range &amp; Risk Matrix'!$H$8,"")))))</f>
        <v/>
      </c>
      <c r="M45" s="37"/>
      <c r="N45" s="37" t="str">
        <f>IF(M45='Risk Range &amp; Risk Matrix'!$I$6,'Risk Range &amp; Risk Matrix'!$I$7,IF(M45='Risk Range &amp; Risk Matrix'!$J$6,'Risk Range &amp; Risk Matrix'!$J$7,IF(M45='Risk Range &amp; Risk Matrix'!$K$6,'Risk Range &amp; Risk Matrix'!$K$7,IF(M45='Risk Range &amp; Risk Matrix'!$L$6,'Risk Range &amp; Risk Matrix'!$L$7,IF(M45='Risk Range &amp; Risk Matrix'!$M$6,'Risk Range &amp; Risk Matrix'!$M$7,"")))))</f>
        <v/>
      </c>
      <c r="O45" s="43" t="str">
        <f t="shared" si="4"/>
        <v>empty</v>
      </c>
      <c r="P45" s="39" t="str">
        <f t="shared" si="5"/>
        <v>empty</v>
      </c>
      <c r="Q45" s="3"/>
      <c r="R45" s="60"/>
      <c r="S45" s="38"/>
      <c r="T45" s="2" t="str">
        <f>IF(S45='Risk Range &amp; Risk Matrix'!$G$12,'Risk Range &amp; Risk Matrix'!$H$12,IF(S45='Risk Range &amp; Risk Matrix'!$G$11,'Risk Range &amp; Risk Matrix'!$H$11,IF(S45='Risk Range &amp; Risk Matrix'!$G$10,'Risk Range &amp; Risk Matrix'!$H$10,IF(S45='Risk Range &amp; Risk Matrix'!$G$9,'Risk Range &amp; Risk Matrix'!$H$9,IF(S45='Risk Range &amp; Risk Matrix'!$G$8,'Risk Range &amp; Risk Matrix'!$H$8,"")))))</f>
        <v/>
      </c>
      <c r="U45" s="37"/>
      <c r="V45" s="37" t="str">
        <f>IF(U45='Risk Range &amp; Risk Matrix'!$I$6,'Risk Range &amp; Risk Matrix'!$I$7,IF(U45='Risk Range &amp; Risk Matrix'!$J$6,'Risk Range &amp; Risk Matrix'!$J$7,IF(U45='Risk Range &amp; Risk Matrix'!$K$6,'Risk Range &amp; Risk Matrix'!$K$7,IF(U45='Risk Range &amp; Risk Matrix'!$L$6,'Risk Range &amp; Risk Matrix'!$L$7,IF(U45='Risk Range &amp; Risk Matrix'!$M$6,'Risk Range &amp; Risk Matrix'!$M$7,"")))))</f>
        <v/>
      </c>
      <c r="W45" s="43" t="str">
        <f t="shared" si="6"/>
        <v>empty</v>
      </c>
      <c r="X45" s="39" t="str">
        <f t="shared" si="7"/>
        <v>empty</v>
      </c>
      <c r="Y45" s="3"/>
      <c r="Z45" s="48"/>
      <c r="AA45" s="8"/>
      <c r="AB45" s="9"/>
      <c r="AC45" s="85"/>
    </row>
    <row r="46" spans="1:29">
      <c r="A46" s="85"/>
      <c r="B46" s="4" t="s">
        <v>109</v>
      </c>
      <c r="C46" s="2"/>
      <c r="D46" s="2"/>
      <c r="E46" s="2"/>
      <c r="F46" s="2"/>
      <c r="G46" s="4"/>
      <c r="H46" s="3"/>
      <c r="I46" s="2"/>
      <c r="J46" s="36"/>
      <c r="K46" s="38"/>
      <c r="L46" s="2" t="str">
        <f>IF(K46='Risk Range &amp; Risk Matrix'!$G$12,'Risk Range &amp; Risk Matrix'!$H$12,IF(K46='Risk Range &amp; Risk Matrix'!$G$11,'Risk Range &amp; Risk Matrix'!$H$11,IF(K46='Risk Range &amp; Risk Matrix'!$G$10,'Risk Range &amp; Risk Matrix'!$H$10,IF(K46='Risk Range &amp; Risk Matrix'!$G$9,'Risk Range &amp; Risk Matrix'!$H$9,IF(K46='Risk Range &amp; Risk Matrix'!$G$8,'Risk Range &amp; Risk Matrix'!$H$8,"")))))</f>
        <v/>
      </c>
      <c r="M46" s="37"/>
      <c r="N46" s="37" t="str">
        <f>IF(M46='Risk Range &amp; Risk Matrix'!$I$6,'Risk Range &amp; Risk Matrix'!$I$7,IF(M46='Risk Range &amp; Risk Matrix'!$J$6,'Risk Range &amp; Risk Matrix'!$J$7,IF(M46='Risk Range &amp; Risk Matrix'!$K$6,'Risk Range &amp; Risk Matrix'!$K$7,IF(M46='Risk Range &amp; Risk Matrix'!$L$6,'Risk Range &amp; Risk Matrix'!$L$7,IF(M46='Risk Range &amp; Risk Matrix'!$M$6,'Risk Range &amp; Risk Matrix'!$M$7,"")))))</f>
        <v/>
      </c>
      <c r="O46" s="43" t="str">
        <f t="shared" si="4"/>
        <v>empty</v>
      </c>
      <c r="P46" s="39" t="str">
        <f t="shared" si="5"/>
        <v>empty</v>
      </c>
      <c r="Q46" s="3"/>
      <c r="R46" s="60"/>
      <c r="S46" s="38"/>
      <c r="T46" s="2" t="str">
        <f>IF(S46='Risk Range &amp; Risk Matrix'!$G$12,'Risk Range &amp; Risk Matrix'!$H$12,IF(S46='Risk Range &amp; Risk Matrix'!$G$11,'Risk Range &amp; Risk Matrix'!$H$11,IF(S46='Risk Range &amp; Risk Matrix'!$G$10,'Risk Range &amp; Risk Matrix'!$H$10,IF(S46='Risk Range &amp; Risk Matrix'!$G$9,'Risk Range &amp; Risk Matrix'!$H$9,IF(S46='Risk Range &amp; Risk Matrix'!$G$8,'Risk Range &amp; Risk Matrix'!$H$8,"")))))</f>
        <v/>
      </c>
      <c r="U46" s="37"/>
      <c r="V46" s="37" t="str">
        <f>IF(U46='Risk Range &amp; Risk Matrix'!$I$6,'Risk Range &amp; Risk Matrix'!$I$7,IF(U46='Risk Range &amp; Risk Matrix'!$J$6,'Risk Range &amp; Risk Matrix'!$J$7,IF(U46='Risk Range &amp; Risk Matrix'!$K$6,'Risk Range &amp; Risk Matrix'!$K$7,IF(U46='Risk Range &amp; Risk Matrix'!$L$6,'Risk Range &amp; Risk Matrix'!$L$7,IF(U46='Risk Range &amp; Risk Matrix'!$M$6,'Risk Range &amp; Risk Matrix'!$M$7,"")))))</f>
        <v/>
      </c>
      <c r="W46" s="43" t="str">
        <f t="shared" si="6"/>
        <v>empty</v>
      </c>
      <c r="X46" s="39" t="str">
        <f t="shared" si="7"/>
        <v>empty</v>
      </c>
      <c r="Y46" s="3"/>
      <c r="Z46" s="48"/>
      <c r="AA46" s="8"/>
      <c r="AB46" s="9"/>
      <c r="AC46" s="85"/>
    </row>
    <row r="47" spans="1:29">
      <c r="A47" s="85"/>
      <c r="B47" s="12" t="s">
        <v>110</v>
      </c>
      <c r="C47" s="2"/>
      <c r="D47" s="2"/>
      <c r="E47" s="2"/>
      <c r="F47" s="2"/>
      <c r="G47" s="4"/>
      <c r="H47" s="3"/>
      <c r="I47" s="2"/>
      <c r="J47" s="36"/>
      <c r="K47" s="38"/>
      <c r="L47" s="2" t="str">
        <f>IF(K47='Risk Range &amp; Risk Matrix'!$G$12,'Risk Range &amp; Risk Matrix'!$H$12,IF(K47='Risk Range &amp; Risk Matrix'!$G$11,'Risk Range &amp; Risk Matrix'!$H$11,IF(K47='Risk Range &amp; Risk Matrix'!$G$10,'Risk Range &amp; Risk Matrix'!$H$10,IF(K47='Risk Range &amp; Risk Matrix'!$G$9,'Risk Range &amp; Risk Matrix'!$H$9,IF(K47='Risk Range &amp; Risk Matrix'!$G$8,'Risk Range &amp; Risk Matrix'!$H$8,"")))))</f>
        <v/>
      </c>
      <c r="M47" s="37"/>
      <c r="N47" s="37" t="str">
        <f>IF(M47='Risk Range &amp; Risk Matrix'!$I$6,'Risk Range &amp; Risk Matrix'!$I$7,IF(M47='Risk Range &amp; Risk Matrix'!$J$6,'Risk Range &amp; Risk Matrix'!$J$7,IF(M47='Risk Range &amp; Risk Matrix'!$K$6,'Risk Range &amp; Risk Matrix'!$K$7,IF(M47='Risk Range &amp; Risk Matrix'!$L$6,'Risk Range &amp; Risk Matrix'!$L$7,IF(M47='Risk Range &amp; Risk Matrix'!$M$6,'Risk Range &amp; Risk Matrix'!$M$7,"")))))</f>
        <v/>
      </c>
      <c r="O47" s="43" t="str">
        <f t="shared" si="4"/>
        <v>empty</v>
      </c>
      <c r="P47" s="39" t="str">
        <f t="shared" si="5"/>
        <v>empty</v>
      </c>
      <c r="Q47" s="3"/>
      <c r="R47" s="60"/>
      <c r="S47" s="38"/>
      <c r="T47" s="2" t="str">
        <f>IF(S47='Risk Range &amp; Risk Matrix'!$G$12,'Risk Range &amp; Risk Matrix'!$H$12,IF(S47='Risk Range &amp; Risk Matrix'!$G$11,'Risk Range &amp; Risk Matrix'!$H$11,IF(S47='Risk Range &amp; Risk Matrix'!$G$10,'Risk Range &amp; Risk Matrix'!$H$10,IF(S47='Risk Range &amp; Risk Matrix'!$G$9,'Risk Range &amp; Risk Matrix'!$H$9,IF(S47='Risk Range &amp; Risk Matrix'!$G$8,'Risk Range &amp; Risk Matrix'!$H$8,"")))))</f>
        <v/>
      </c>
      <c r="U47" s="37"/>
      <c r="V47" s="37" t="str">
        <f>IF(U47='Risk Range &amp; Risk Matrix'!$I$6,'Risk Range &amp; Risk Matrix'!$I$7,IF(U47='Risk Range &amp; Risk Matrix'!$J$6,'Risk Range &amp; Risk Matrix'!$J$7,IF(U47='Risk Range &amp; Risk Matrix'!$K$6,'Risk Range &amp; Risk Matrix'!$K$7,IF(U47='Risk Range &amp; Risk Matrix'!$L$6,'Risk Range &amp; Risk Matrix'!$L$7,IF(U47='Risk Range &amp; Risk Matrix'!$M$6,'Risk Range &amp; Risk Matrix'!$M$7,"")))))</f>
        <v/>
      </c>
      <c r="W47" s="43" t="str">
        <f t="shared" si="6"/>
        <v>empty</v>
      </c>
      <c r="X47" s="39" t="str">
        <f t="shared" si="7"/>
        <v>empty</v>
      </c>
      <c r="Y47" s="3"/>
      <c r="Z47" s="48"/>
      <c r="AA47" s="8"/>
      <c r="AB47" s="9"/>
      <c r="AC47" s="85"/>
    </row>
    <row r="48" spans="1:29">
      <c r="A48" s="85"/>
      <c r="B48" s="4" t="s">
        <v>111</v>
      </c>
      <c r="C48" s="2"/>
      <c r="D48" s="2"/>
      <c r="E48" s="2"/>
      <c r="F48" s="2"/>
      <c r="G48" s="4"/>
      <c r="H48" s="3"/>
      <c r="I48" s="2"/>
      <c r="J48" s="36"/>
      <c r="K48" s="38"/>
      <c r="L48" s="2" t="str">
        <f>IF(K48='Risk Range &amp; Risk Matrix'!$G$12,'Risk Range &amp; Risk Matrix'!$H$12,IF(K48='Risk Range &amp; Risk Matrix'!$G$11,'Risk Range &amp; Risk Matrix'!$H$11,IF(K48='Risk Range &amp; Risk Matrix'!$G$10,'Risk Range &amp; Risk Matrix'!$H$10,IF(K48='Risk Range &amp; Risk Matrix'!$G$9,'Risk Range &amp; Risk Matrix'!$H$9,IF(K48='Risk Range &amp; Risk Matrix'!$G$8,'Risk Range &amp; Risk Matrix'!$H$8,"")))))</f>
        <v/>
      </c>
      <c r="M48" s="37"/>
      <c r="N48" s="37" t="str">
        <f>IF(M48='Risk Range &amp; Risk Matrix'!$I$6,'Risk Range &amp; Risk Matrix'!$I$7,IF(M48='Risk Range &amp; Risk Matrix'!$J$6,'Risk Range &amp; Risk Matrix'!$J$7,IF(M48='Risk Range &amp; Risk Matrix'!$K$6,'Risk Range &amp; Risk Matrix'!$K$7,IF(M48='Risk Range &amp; Risk Matrix'!$L$6,'Risk Range &amp; Risk Matrix'!$L$7,IF(M48='Risk Range &amp; Risk Matrix'!$M$6,'Risk Range &amp; Risk Matrix'!$M$7,"")))))</f>
        <v/>
      </c>
      <c r="O48" s="43" t="str">
        <f t="shared" si="4"/>
        <v>empty</v>
      </c>
      <c r="P48" s="39" t="str">
        <f t="shared" si="5"/>
        <v>empty</v>
      </c>
      <c r="Q48" s="3"/>
      <c r="R48" s="60"/>
      <c r="S48" s="38"/>
      <c r="T48" s="2" t="str">
        <f>IF(S48='Risk Range &amp; Risk Matrix'!$G$12,'Risk Range &amp; Risk Matrix'!$H$12,IF(S48='Risk Range &amp; Risk Matrix'!$G$11,'Risk Range &amp; Risk Matrix'!$H$11,IF(S48='Risk Range &amp; Risk Matrix'!$G$10,'Risk Range &amp; Risk Matrix'!$H$10,IF(S48='Risk Range &amp; Risk Matrix'!$G$9,'Risk Range &amp; Risk Matrix'!$H$9,IF(S48='Risk Range &amp; Risk Matrix'!$G$8,'Risk Range &amp; Risk Matrix'!$H$8,"")))))</f>
        <v/>
      </c>
      <c r="U48" s="37"/>
      <c r="V48" s="37" t="str">
        <f>IF(U48='Risk Range &amp; Risk Matrix'!$I$6,'Risk Range &amp; Risk Matrix'!$I$7,IF(U48='Risk Range &amp; Risk Matrix'!$J$6,'Risk Range &amp; Risk Matrix'!$J$7,IF(U48='Risk Range &amp; Risk Matrix'!$K$6,'Risk Range &amp; Risk Matrix'!$K$7,IF(U48='Risk Range &amp; Risk Matrix'!$L$6,'Risk Range &amp; Risk Matrix'!$L$7,IF(U48='Risk Range &amp; Risk Matrix'!$M$6,'Risk Range &amp; Risk Matrix'!$M$7,"")))))</f>
        <v/>
      </c>
      <c r="W48" s="43" t="str">
        <f t="shared" si="6"/>
        <v>empty</v>
      </c>
      <c r="X48" s="39" t="str">
        <f t="shared" si="7"/>
        <v>empty</v>
      </c>
      <c r="Y48" s="3"/>
      <c r="Z48" s="48"/>
      <c r="AA48" s="8"/>
      <c r="AB48" s="9"/>
      <c r="AC48" s="85"/>
    </row>
    <row r="49" spans="1:29">
      <c r="A49" s="85"/>
      <c r="B49" s="12" t="s">
        <v>112</v>
      </c>
      <c r="C49" s="2"/>
      <c r="D49" s="2"/>
      <c r="E49" s="2"/>
      <c r="F49" s="2"/>
      <c r="G49" s="4"/>
      <c r="H49" s="3"/>
      <c r="I49" s="2"/>
      <c r="J49" s="36"/>
      <c r="K49" s="38"/>
      <c r="L49" s="2" t="str">
        <f>IF(K49='Risk Range &amp; Risk Matrix'!$G$12,'Risk Range &amp; Risk Matrix'!$H$12,IF(K49='Risk Range &amp; Risk Matrix'!$G$11,'Risk Range &amp; Risk Matrix'!$H$11,IF(K49='Risk Range &amp; Risk Matrix'!$G$10,'Risk Range &amp; Risk Matrix'!$H$10,IF(K49='Risk Range &amp; Risk Matrix'!$G$9,'Risk Range &amp; Risk Matrix'!$H$9,IF(K49='Risk Range &amp; Risk Matrix'!$G$8,'Risk Range &amp; Risk Matrix'!$H$8,"")))))</f>
        <v/>
      </c>
      <c r="M49" s="37"/>
      <c r="N49" s="37" t="str">
        <f>IF(M49='Risk Range &amp; Risk Matrix'!$I$6,'Risk Range &amp; Risk Matrix'!$I$7,IF(M49='Risk Range &amp; Risk Matrix'!$J$6,'Risk Range &amp; Risk Matrix'!$J$7,IF(M49='Risk Range &amp; Risk Matrix'!$K$6,'Risk Range &amp; Risk Matrix'!$K$7,IF(M49='Risk Range &amp; Risk Matrix'!$L$6,'Risk Range &amp; Risk Matrix'!$L$7,IF(M49='Risk Range &amp; Risk Matrix'!$M$6,'Risk Range &amp; Risk Matrix'!$M$7,"")))))</f>
        <v/>
      </c>
      <c r="O49" s="43" t="str">
        <f t="shared" si="4"/>
        <v>empty</v>
      </c>
      <c r="P49" s="39" t="str">
        <f t="shared" si="5"/>
        <v>empty</v>
      </c>
      <c r="Q49" s="3"/>
      <c r="R49" s="60"/>
      <c r="S49" s="38"/>
      <c r="T49" s="2" t="str">
        <f>IF(S49='Risk Range &amp; Risk Matrix'!$G$12,'Risk Range &amp; Risk Matrix'!$H$12,IF(S49='Risk Range &amp; Risk Matrix'!$G$11,'Risk Range &amp; Risk Matrix'!$H$11,IF(S49='Risk Range &amp; Risk Matrix'!$G$10,'Risk Range &amp; Risk Matrix'!$H$10,IF(S49='Risk Range &amp; Risk Matrix'!$G$9,'Risk Range &amp; Risk Matrix'!$H$9,IF(S49='Risk Range &amp; Risk Matrix'!$G$8,'Risk Range &amp; Risk Matrix'!$H$8,"")))))</f>
        <v/>
      </c>
      <c r="U49" s="37"/>
      <c r="V49" s="37" t="str">
        <f>IF(U49='Risk Range &amp; Risk Matrix'!$I$6,'Risk Range &amp; Risk Matrix'!$I$7,IF(U49='Risk Range &amp; Risk Matrix'!$J$6,'Risk Range &amp; Risk Matrix'!$J$7,IF(U49='Risk Range &amp; Risk Matrix'!$K$6,'Risk Range &amp; Risk Matrix'!$K$7,IF(U49='Risk Range &amp; Risk Matrix'!$L$6,'Risk Range &amp; Risk Matrix'!$L$7,IF(U49='Risk Range &amp; Risk Matrix'!$M$6,'Risk Range &amp; Risk Matrix'!$M$7,"")))))</f>
        <v/>
      </c>
      <c r="W49" s="43" t="str">
        <f t="shared" si="6"/>
        <v>empty</v>
      </c>
      <c r="X49" s="39" t="str">
        <f t="shared" si="7"/>
        <v>empty</v>
      </c>
      <c r="Y49" s="3"/>
      <c r="Z49" s="48"/>
      <c r="AA49" s="8"/>
      <c r="AB49" s="9"/>
      <c r="AC49" s="85"/>
    </row>
    <row r="50" spans="1:29">
      <c r="A50" s="85"/>
      <c r="B50" s="4" t="s">
        <v>113</v>
      </c>
      <c r="C50" s="2"/>
      <c r="D50" s="2"/>
      <c r="E50" s="2"/>
      <c r="F50" s="2"/>
      <c r="G50" s="4"/>
      <c r="H50" s="3"/>
      <c r="I50" s="2"/>
      <c r="J50" s="36"/>
      <c r="K50" s="38"/>
      <c r="L50" s="2" t="str">
        <f>IF(K50='Risk Range &amp; Risk Matrix'!$G$12,'Risk Range &amp; Risk Matrix'!$H$12,IF(K50='Risk Range &amp; Risk Matrix'!$G$11,'Risk Range &amp; Risk Matrix'!$H$11,IF(K50='Risk Range &amp; Risk Matrix'!$G$10,'Risk Range &amp; Risk Matrix'!$H$10,IF(K50='Risk Range &amp; Risk Matrix'!$G$9,'Risk Range &amp; Risk Matrix'!$H$9,IF(K50='Risk Range &amp; Risk Matrix'!$G$8,'Risk Range &amp; Risk Matrix'!$H$8,"")))))</f>
        <v/>
      </c>
      <c r="M50" s="37"/>
      <c r="N50" s="37" t="str">
        <f>IF(M50='Risk Range &amp; Risk Matrix'!$I$6,'Risk Range &amp; Risk Matrix'!$I$7,IF(M50='Risk Range &amp; Risk Matrix'!$J$6,'Risk Range &amp; Risk Matrix'!$J$7,IF(M50='Risk Range &amp; Risk Matrix'!$K$6,'Risk Range &amp; Risk Matrix'!$K$7,IF(M50='Risk Range &amp; Risk Matrix'!$L$6,'Risk Range &amp; Risk Matrix'!$L$7,IF(M50='Risk Range &amp; Risk Matrix'!$M$6,'Risk Range &amp; Risk Matrix'!$M$7,"")))))</f>
        <v/>
      </c>
      <c r="O50" s="43" t="str">
        <f t="shared" si="4"/>
        <v>empty</v>
      </c>
      <c r="P50" s="39" t="str">
        <f t="shared" si="5"/>
        <v>empty</v>
      </c>
      <c r="Q50" s="3"/>
      <c r="R50" s="60"/>
      <c r="S50" s="38"/>
      <c r="T50" s="2" t="str">
        <f>IF(S50='Risk Range &amp; Risk Matrix'!$G$12,'Risk Range &amp; Risk Matrix'!$H$12,IF(S50='Risk Range &amp; Risk Matrix'!$G$11,'Risk Range &amp; Risk Matrix'!$H$11,IF(S50='Risk Range &amp; Risk Matrix'!$G$10,'Risk Range &amp; Risk Matrix'!$H$10,IF(S50='Risk Range &amp; Risk Matrix'!$G$9,'Risk Range &amp; Risk Matrix'!$H$9,IF(S50='Risk Range &amp; Risk Matrix'!$G$8,'Risk Range &amp; Risk Matrix'!$H$8,"")))))</f>
        <v/>
      </c>
      <c r="U50" s="37"/>
      <c r="V50" s="37" t="str">
        <f>IF(U50='Risk Range &amp; Risk Matrix'!$I$6,'Risk Range &amp; Risk Matrix'!$I$7,IF(U50='Risk Range &amp; Risk Matrix'!$J$6,'Risk Range &amp; Risk Matrix'!$J$7,IF(U50='Risk Range &amp; Risk Matrix'!$K$6,'Risk Range &amp; Risk Matrix'!$K$7,IF(U50='Risk Range &amp; Risk Matrix'!$L$6,'Risk Range &amp; Risk Matrix'!$L$7,IF(U50='Risk Range &amp; Risk Matrix'!$M$6,'Risk Range &amp; Risk Matrix'!$M$7,"")))))</f>
        <v/>
      </c>
      <c r="W50" s="43" t="str">
        <f t="shared" si="6"/>
        <v>empty</v>
      </c>
      <c r="X50" s="39" t="str">
        <f t="shared" si="7"/>
        <v>empty</v>
      </c>
      <c r="Y50" s="3"/>
      <c r="Z50" s="48"/>
      <c r="AA50" s="8"/>
      <c r="AB50" s="9"/>
      <c r="AC50" s="85"/>
    </row>
    <row r="51" spans="1:29">
      <c r="A51" s="85"/>
      <c r="B51" s="12" t="s">
        <v>114</v>
      </c>
      <c r="C51" s="2"/>
      <c r="D51" s="2"/>
      <c r="E51" s="2"/>
      <c r="F51" s="2"/>
      <c r="G51" s="4"/>
      <c r="H51" s="3"/>
      <c r="I51" s="2"/>
      <c r="J51" s="36"/>
      <c r="K51" s="38"/>
      <c r="L51" s="2" t="str">
        <f>IF(K51='Risk Range &amp; Risk Matrix'!$G$12,'Risk Range &amp; Risk Matrix'!$H$12,IF(K51='Risk Range &amp; Risk Matrix'!$G$11,'Risk Range &amp; Risk Matrix'!$H$11,IF(K51='Risk Range &amp; Risk Matrix'!$G$10,'Risk Range &amp; Risk Matrix'!$H$10,IF(K51='Risk Range &amp; Risk Matrix'!$G$9,'Risk Range &amp; Risk Matrix'!$H$9,IF(K51='Risk Range &amp; Risk Matrix'!$G$8,'Risk Range &amp; Risk Matrix'!$H$8,"")))))</f>
        <v/>
      </c>
      <c r="M51" s="37"/>
      <c r="N51" s="37" t="str">
        <f>IF(M51='Risk Range &amp; Risk Matrix'!$I$6,'Risk Range &amp; Risk Matrix'!$I$7,IF(M51='Risk Range &amp; Risk Matrix'!$J$6,'Risk Range &amp; Risk Matrix'!$J$7,IF(M51='Risk Range &amp; Risk Matrix'!$K$6,'Risk Range &amp; Risk Matrix'!$K$7,IF(M51='Risk Range &amp; Risk Matrix'!$L$6,'Risk Range &amp; Risk Matrix'!$L$7,IF(M51='Risk Range &amp; Risk Matrix'!$M$6,'Risk Range &amp; Risk Matrix'!$M$7,"")))))</f>
        <v/>
      </c>
      <c r="O51" s="43" t="str">
        <f t="shared" si="4"/>
        <v>empty</v>
      </c>
      <c r="P51" s="39" t="str">
        <f t="shared" si="5"/>
        <v>empty</v>
      </c>
      <c r="Q51" s="3"/>
      <c r="R51" s="60"/>
      <c r="S51" s="38"/>
      <c r="T51" s="2" t="str">
        <f>IF(S51='Risk Range &amp; Risk Matrix'!$G$12,'Risk Range &amp; Risk Matrix'!$H$12,IF(S51='Risk Range &amp; Risk Matrix'!$G$11,'Risk Range &amp; Risk Matrix'!$H$11,IF(S51='Risk Range &amp; Risk Matrix'!$G$10,'Risk Range &amp; Risk Matrix'!$H$10,IF(S51='Risk Range &amp; Risk Matrix'!$G$9,'Risk Range &amp; Risk Matrix'!$H$9,IF(S51='Risk Range &amp; Risk Matrix'!$G$8,'Risk Range &amp; Risk Matrix'!$H$8,"")))))</f>
        <v/>
      </c>
      <c r="U51" s="37"/>
      <c r="V51" s="37" t="str">
        <f>IF(U51='Risk Range &amp; Risk Matrix'!$I$6,'Risk Range &amp; Risk Matrix'!$I$7,IF(U51='Risk Range &amp; Risk Matrix'!$J$6,'Risk Range &amp; Risk Matrix'!$J$7,IF(U51='Risk Range &amp; Risk Matrix'!$K$6,'Risk Range &amp; Risk Matrix'!$K$7,IF(U51='Risk Range &amp; Risk Matrix'!$L$6,'Risk Range &amp; Risk Matrix'!$L$7,IF(U51='Risk Range &amp; Risk Matrix'!$M$6,'Risk Range &amp; Risk Matrix'!$M$7,"")))))</f>
        <v/>
      </c>
      <c r="W51" s="43" t="str">
        <f t="shared" si="6"/>
        <v>empty</v>
      </c>
      <c r="X51" s="39" t="str">
        <f t="shared" si="7"/>
        <v>empty</v>
      </c>
      <c r="Y51" s="3"/>
      <c r="Z51" s="48"/>
      <c r="AA51" s="8"/>
      <c r="AB51" s="9"/>
      <c r="AC51" s="85"/>
    </row>
    <row r="52" spans="1:29">
      <c r="A52" s="85"/>
      <c r="B52" s="4" t="s">
        <v>115</v>
      </c>
      <c r="C52" s="2"/>
      <c r="D52" s="2"/>
      <c r="E52" s="2"/>
      <c r="F52" s="2"/>
      <c r="G52" s="4"/>
      <c r="H52" s="3"/>
      <c r="I52" s="2"/>
      <c r="J52" s="36"/>
      <c r="K52" s="38"/>
      <c r="L52" s="2" t="str">
        <f>IF(K52='Risk Range &amp; Risk Matrix'!$G$12,'Risk Range &amp; Risk Matrix'!$H$12,IF(K52='Risk Range &amp; Risk Matrix'!$G$11,'Risk Range &amp; Risk Matrix'!$H$11,IF(K52='Risk Range &amp; Risk Matrix'!$G$10,'Risk Range &amp; Risk Matrix'!$H$10,IF(K52='Risk Range &amp; Risk Matrix'!$G$9,'Risk Range &amp; Risk Matrix'!$H$9,IF(K52='Risk Range &amp; Risk Matrix'!$G$8,'Risk Range &amp; Risk Matrix'!$H$8,"")))))</f>
        <v/>
      </c>
      <c r="M52" s="37"/>
      <c r="N52" s="37" t="str">
        <f>IF(M52='Risk Range &amp; Risk Matrix'!$I$6,'Risk Range &amp; Risk Matrix'!$I$7,IF(M52='Risk Range &amp; Risk Matrix'!$J$6,'Risk Range &amp; Risk Matrix'!$J$7,IF(M52='Risk Range &amp; Risk Matrix'!$K$6,'Risk Range &amp; Risk Matrix'!$K$7,IF(M52='Risk Range &amp; Risk Matrix'!$L$6,'Risk Range &amp; Risk Matrix'!$L$7,IF(M52='Risk Range &amp; Risk Matrix'!$M$6,'Risk Range &amp; Risk Matrix'!$M$7,"")))))</f>
        <v/>
      </c>
      <c r="O52" s="43" t="str">
        <f t="shared" si="4"/>
        <v>empty</v>
      </c>
      <c r="P52" s="39" t="str">
        <f t="shared" si="5"/>
        <v>empty</v>
      </c>
      <c r="Q52" s="3"/>
      <c r="R52" s="60"/>
      <c r="S52" s="38"/>
      <c r="T52" s="2" t="str">
        <f>IF(S52='Risk Range &amp; Risk Matrix'!$G$12,'Risk Range &amp; Risk Matrix'!$H$12,IF(S52='Risk Range &amp; Risk Matrix'!$G$11,'Risk Range &amp; Risk Matrix'!$H$11,IF(S52='Risk Range &amp; Risk Matrix'!$G$10,'Risk Range &amp; Risk Matrix'!$H$10,IF(S52='Risk Range &amp; Risk Matrix'!$G$9,'Risk Range &amp; Risk Matrix'!$H$9,IF(S52='Risk Range &amp; Risk Matrix'!$G$8,'Risk Range &amp; Risk Matrix'!$H$8,"")))))</f>
        <v/>
      </c>
      <c r="U52" s="37"/>
      <c r="V52" s="37" t="str">
        <f>IF(U52='Risk Range &amp; Risk Matrix'!$I$6,'Risk Range &amp; Risk Matrix'!$I$7,IF(U52='Risk Range &amp; Risk Matrix'!$J$6,'Risk Range &amp; Risk Matrix'!$J$7,IF(U52='Risk Range &amp; Risk Matrix'!$K$6,'Risk Range &amp; Risk Matrix'!$K$7,IF(U52='Risk Range &amp; Risk Matrix'!$L$6,'Risk Range &amp; Risk Matrix'!$L$7,IF(U52='Risk Range &amp; Risk Matrix'!$M$6,'Risk Range &amp; Risk Matrix'!$M$7,"")))))</f>
        <v/>
      </c>
      <c r="W52" s="43" t="str">
        <f t="shared" si="6"/>
        <v>empty</v>
      </c>
      <c r="X52" s="39" t="str">
        <f t="shared" si="7"/>
        <v>empty</v>
      </c>
      <c r="Y52" s="3"/>
      <c r="Z52" s="48"/>
      <c r="AA52" s="8"/>
      <c r="AB52" s="9"/>
      <c r="AC52" s="85"/>
    </row>
    <row r="53" spans="1:29">
      <c r="A53" s="85"/>
      <c r="B53" s="12" t="s">
        <v>116</v>
      </c>
      <c r="C53" s="2"/>
      <c r="D53" s="2"/>
      <c r="E53" s="2"/>
      <c r="F53" s="2"/>
      <c r="G53" s="4"/>
      <c r="H53" s="3"/>
      <c r="I53" s="2"/>
      <c r="J53" s="36"/>
      <c r="K53" s="38"/>
      <c r="L53" s="2" t="str">
        <f>IF(K53='Risk Range &amp; Risk Matrix'!$G$12,'Risk Range &amp; Risk Matrix'!$H$12,IF(K53='Risk Range &amp; Risk Matrix'!$G$11,'Risk Range &amp; Risk Matrix'!$H$11,IF(K53='Risk Range &amp; Risk Matrix'!$G$10,'Risk Range &amp; Risk Matrix'!$H$10,IF(K53='Risk Range &amp; Risk Matrix'!$G$9,'Risk Range &amp; Risk Matrix'!$H$9,IF(K53='Risk Range &amp; Risk Matrix'!$G$8,'Risk Range &amp; Risk Matrix'!$H$8,"")))))</f>
        <v/>
      </c>
      <c r="M53" s="37"/>
      <c r="N53" s="37" t="str">
        <f>IF(M53='Risk Range &amp; Risk Matrix'!$I$6,'Risk Range &amp; Risk Matrix'!$I$7,IF(M53='Risk Range &amp; Risk Matrix'!$J$6,'Risk Range &amp; Risk Matrix'!$J$7,IF(M53='Risk Range &amp; Risk Matrix'!$K$6,'Risk Range &amp; Risk Matrix'!$K$7,IF(M53='Risk Range &amp; Risk Matrix'!$L$6,'Risk Range &amp; Risk Matrix'!$L$7,IF(M53='Risk Range &amp; Risk Matrix'!$M$6,'Risk Range &amp; Risk Matrix'!$M$7,"")))))</f>
        <v/>
      </c>
      <c r="O53" s="43" t="str">
        <f t="shared" si="4"/>
        <v>empty</v>
      </c>
      <c r="P53" s="39" t="str">
        <f t="shared" si="5"/>
        <v>empty</v>
      </c>
      <c r="Q53" s="3"/>
      <c r="R53" s="60"/>
      <c r="S53" s="38"/>
      <c r="T53" s="2" t="str">
        <f>IF(S53='Risk Range &amp; Risk Matrix'!$G$12,'Risk Range &amp; Risk Matrix'!$H$12,IF(S53='Risk Range &amp; Risk Matrix'!$G$11,'Risk Range &amp; Risk Matrix'!$H$11,IF(S53='Risk Range &amp; Risk Matrix'!$G$10,'Risk Range &amp; Risk Matrix'!$H$10,IF(S53='Risk Range &amp; Risk Matrix'!$G$9,'Risk Range &amp; Risk Matrix'!$H$9,IF(S53='Risk Range &amp; Risk Matrix'!$G$8,'Risk Range &amp; Risk Matrix'!$H$8,"")))))</f>
        <v/>
      </c>
      <c r="U53" s="37"/>
      <c r="V53" s="37" t="str">
        <f>IF(U53='Risk Range &amp; Risk Matrix'!$I$6,'Risk Range &amp; Risk Matrix'!$I$7,IF(U53='Risk Range &amp; Risk Matrix'!$J$6,'Risk Range &amp; Risk Matrix'!$J$7,IF(U53='Risk Range &amp; Risk Matrix'!$K$6,'Risk Range &amp; Risk Matrix'!$K$7,IF(U53='Risk Range &amp; Risk Matrix'!$L$6,'Risk Range &amp; Risk Matrix'!$L$7,IF(U53='Risk Range &amp; Risk Matrix'!$M$6,'Risk Range &amp; Risk Matrix'!$M$7,"")))))</f>
        <v/>
      </c>
      <c r="W53" s="43" t="str">
        <f t="shared" si="6"/>
        <v>empty</v>
      </c>
      <c r="X53" s="39" t="str">
        <f t="shared" si="7"/>
        <v>empty</v>
      </c>
      <c r="Y53" s="3"/>
      <c r="Z53" s="48"/>
      <c r="AA53" s="8"/>
      <c r="AB53" s="9"/>
      <c r="AC53" s="85"/>
    </row>
    <row r="54" spans="1:29">
      <c r="A54" s="85"/>
      <c r="B54" s="4" t="s">
        <v>117</v>
      </c>
      <c r="C54" s="2"/>
      <c r="D54" s="2"/>
      <c r="E54" s="2"/>
      <c r="F54" s="2"/>
      <c r="G54" s="4"/>
      <c r="H54" s="3"/>
      <c r="I54" s="2"/>
      <c r="J54" s="36"/>
      <c r="K54" s="38"/>
      <c r="L54" s="2" t="str">
        <f>IF(K54='Risk Range &amp; Risk Matrix'!$G$12,'Risk Range &amp; Risk Matrix'!$H$12,IF(K54='Risk Range &amp; Risk Matrix'!$G$11,'Risk Range &amp; Risk Matrix'!$H$11,IF(K54='Risk Range &amp; Risk Matrix'!$G$10,'Risk Range &amp; Risk Matrix'!$H$10,IF(K54='Risk Range &amp; Risk Matrix'!$G$9,'Risk Range &amp; Risk Matrix'!$H$9,IF(K54='Risk Range &amp; Risk Matrix'!$G$8,'Risk Range &amp; Risk Matrix'!$H$8,"")))))</f>
        <v/>
      </c>
      <c r="M54" s="37"/>
      <c r="N54" s="37" t="str">
        <f>IF(M54='Risk Range &amp; Risk Matrix'!$I$6,'Risk Range &amp; Risk Matrix'!$I$7,IF(M54='Risk Range &amp; Risk Matrix'!$J$6,'Risk Range &amp; Risk Matrix'!$J$7,IF(M54='Risk Range &amp; Risk Matrix'!$K$6,'Risk Range &amp; Risk Matrix'!$K$7,IF(M54='Risk Range &amp; Risk Matrix'!$L$6,'Risk Range &amp; Risk Matrix'!$L$7,IF(M54='Risk Range &amp; Risk Matrix'!$M$6,'Risk Range &amp; Risk Matrix'!$M$7,"")))))</f>
        <v/>
      </c>
      <c r="O54" s="43" t="str">
        <f t="shared" si="4"/>
        <v>empty</v>
      </c>
      <c r="P54" s="39" t="str">
        <f t="shared" si="5"/>
        <v>empty</v>
      </c>
      <c r="Q54" s="3"/>
      <c r="R54" s="60"/>
      <c r="S54" s="38"/>
      <c r="T54" s="2" t="str">
        <f>IF(S54='Risk Range &amp; Risk Matrix'!$G$12,'Risk Range &amp; Risk Matrix'!$H$12,IF(S54='Risk Range &amp; Risk Matrix'!$G$11,'Risk Range &amp; Risk Matrix'!$H$11,IF(S54='Risk Range &amp; Risk Matrix'!$G$10,'Risk Range &amp; Risk Matrix'!$H$10,IF(S54='Risk Range &amp; Risk Matrix'!$G$9,'Risk Range &amp; Risk Matrix'!$H$9,IF(S54='Risk Range &amp; Risk Matrix'!$G$8,'Risk Range &amp; Risk Matrix'!$H$8,"")))))</f>
        <v/>
      </c>
      <c r="U54" s="37"/>
      <c r="V54" s="37" t="str">
        <f>IF(U54='Risk Range &amp; Risk Matrix'!$I$6,'Risk Range &amp; Risk Matrix'!$I$7,IF(U54='Risk Range &amp; Risk Matrix'!$J$6,'Risk Range &amp; Risk Matrix'!$J$7,IF(U54='Risk Range &amp; Risk Matrix'!$K$6,'Risk Range &amp; Risk Matrix'!$K$7,IF(U54='Risk Range &amp; Risk Matrix'!$L$6,'Risk Range &amp; Risk Matrix'!$L$7,IF(U54='Risk Range &amp; Risk Matrix'!$M$6,'Risk Range &amp; Risk Matrix'!$M$7,"")))))</f>
        <v/>
      </c>
      <c r="W54" s="43" t="str">
        <f t="shared" si="6"/>
        <v>empty</v>
      </c>
      <c r="X54" s="39" t="str">
        <f t="shared" si="7"/>
        <v>empty</v>
      </c>
      <c r="Y54" s="3"/>
      <c r="Z54" s="48"/>
      <c r="AA54" s="8"/>
      <c r="AB54" s="9"/>
      <c r="AC54" s="85"/>
    </row>
    <row r="55" spans="1:29">
      <c r="A55" s="85"/>
      <c r="B55" s="12" t="s">
        <v>118</v>
      </c>
      <c r="C55" s="2"/>
      <c r="D55" s="2"/>
      <c r="E55" s="2"/>
      <c r="F55" s="2"/>
      <c r="G55" s="4"/>
      <c r="H55" s="3"/>
      <c r="I55" s="2"/>
      <c r="J55" s="36"/>
      <c r="K55" s="38"/>
      <c r="L55" s="2" t="str">
        <f>IF(K55='Risk Range &amp; Risk Matrix'!$G$12,'Risk Range &amp; Risk Matrix'!$H$12,IF(K55='Risk Range &amp; Risk Matrix'!$G$11,'Risk Range &amp; Risk Matrix'!$H$11,IF(K55='Risk Range &amp; Risk Matrix'!$G$10,'Risk Range &amp; Risk Matrix'!$H$10,IF(K55='Risk Range &amp; Risk Matrix'!$G$9,'Risk Range &amp; Risk Matrix'!$H$9,IF(K55='Risk Range &amp; Risk Matrix'!$G$8,'Risk Range &amp; Risk Matrix'!$H$8,"")))))</f>
        <v/>
      </c>
      <c r="M55" s="37"/>
      <c r="N55" s="37" t="str">
        <f>IF(M55='Risk Range &amp; Risk Matrix'!$I$6,'Risk Range &amp; Risk Matrix'!$I$7,IF(M55='Risk Range &amp; Risk Matrix'!$J$6,'Risk Range &amp; Risk Matrix'!$J$7,IF(M55='Risk Range &amp; Risk Matrix'!$K$6,'Risk Range &amp; Risk Matrix'!$K$7,IF(M55='Risk Range &amp; Risk Matrix'!$L$6,'Risk Range &amp; Risk Matrix'!$L$7,IF(M55='Risk Range &amp; Risk Matrix'!$M$6,'Risk Range &amp; Risk Matrix'!$M$7,"")))))</f>
        <v/>
      </c>
      <c r="O55" s="43" t="str">
        <f t="shared" si="4"/>
        <v>empty</v>
      </c>
      <c r="P55" s="39" t="str">
        <f t="shared" si="5"/>
        <v>empty</v>
      </c>
      <c r="Q55" s="3"/>
      <c r="R55" s="60"/>
      <c r="S55" s="38"/>
      <c r="T55" s="2" t="str">
        <f>IF(S55='Risk Range &amp; Risk Matrix'!$G$12,'Risk Range &amp; Risk Matrix'!$H$12,IF(S55='Risk Range &amp; Risk Matrix'!$G$11,'Risk Range &amp; Risk Matrix'!$H$11,IF(S55='Risk Range &amp; Risk Matrix'!$G$10,'Risk Range &amp; Risk Matrix'!$H$10,IF(S55='Risk Range &amp; Risk Matrix'!$G$9,'Risk Range &amp; Risk Matrix'!$H$9,IF(S55='Risk Range &amp; Risk Matrix'!$G$8,'Risk Range &amp; Risk Matrix'!$H$8,"")))))</f>
        <v/>
      </c>
      <c r="U55" s="37"/>
      <c r="V55" s="37" t="str">
        <f>IF(U55='Risk Range &amp; Risk Matrix'!$I$6,'Risk Range &amp; Risk Matrix'!$I$7,IF(U55='Risk Range &amp; Risk Matrix'!$J$6,'Risk Range &amp; Risk Matrix'!$J$7,IF(U55='Risk Range &amp; Risk Matrix'!$K$6,'Risk Range &amp; Risk Matrix'!$K$7,IF(U55='Risk Range &amp; Risk Matrix'!$L$6,'Risk Range &amp; Risk Matrix'!$L$7,IF(U55='Risk Range &amp; Risk Matrix'!$M$6,'Risk Range &amp; Risk Matrix'!$M$7,"")))))</f>
        <v/>
      </c>
      <c r="W55" s="43" t="str">
        <f t="shared" si="6"/>
        <v>empty</v>
      </c>
      <c r="X55" s="39" t="str">
        <f t="shared" si="7"/>
        <v>empty</v>
      </c>
      <c r="Y55" s="3"/>
      <c r="Z55" s="48"/>
      <c r="AA55" s="8"/>
      <c r="AB55" s="9"/>
      <c r="AC55" s="85"/>
    </row>
    <row r="56" spans="1:29">
      <c r="A56" s="85"/>
      <c r="B56" s="4" t="s">
        <v>119</v>
      </c>
      <c r="C56" s="2"/>
      <c r="D56" s="2"/>
      <c r="E56" s="2"/>
      <c r="F56" s="2"/>
      <c r="G56" s="4"/>
      <c r="H56" s="3"/>
      <c r="I56" s="2"/>
      <c r="J56" s="36"/>
      <c r="K56" s="38"/>
      <c r="L56" s="2" t="str">
        <f>IF(K56='Risk Range &amp; Risk Matrix'!$G$12,'Risk Range &amp; Risk Matrix'!$H$12,IF(K56='Risk Range &amp; Risk Matrix'!$G$11,'Risk Range &amp; Risk Matrix'!$H$11,IF(K56='Risk Range &amp; Risk Matrix'!$G$10,'Risk Range &amp; Risk Matrix'!$H$10,IF(K56='Risk Range &amp; Risk Matrix'!$G$9,'Risk Range &amp; Risk Matrix'!$H$9,IF(K56='Risk Range &amp; Risk Matrix'!$G$8,'Risk Range &amp; Risk Matrix'!$H$8,"")))))</f>
        <v/>
      </c>
      <c r="M56" s="37"/>
      <c r="N56" s="37" t="str">
        <f>IF(M56='Risk Range &amp; Risk Matrix'!$I$6,'Risk Range &amp; Risk Matrix'!$I$7,IF(M56='Risk Range &amp; Risk Matrix'!$J$6,'Risk Range &amp; Risk Matrix'!$J$7,IF(M56='Risk Range &amp; Risk Matrix'!$K$6,'Risk Range &amp; Risk Matrix'!$K$7,IF(M56='Risk Range &amp; Risk Matrix'!$L$6,'Risk Range &amp; Risk Matrix'!$L$7,IF(M56='Risk Range &amp; Risk Matrix'!$M$6,'Risk Range &amp; Risk Matrix'!$M$7,"")))))</f>
        <v/>
      </c>
      <c r="O56" s="43" t="str">
        <f t="shared" si="4"/>
        <v>empty</v>
      </c>
      <c r="P56" s="39" t="str">
        <f t="shared" si="5"/>
        <v>empty</v>
      </c>
      <c r="Q56" s="3"/>
      <c r="R56" s="60"/>
      <c r="S56" s="38"/>
      <c r="T56" s="2" t="str">
        <f>IF(S56='Risk Range &amp; Risk Matrix'!$G$12,'Risk Range &amp; Risk Matrix'!$H$12,IF(S56='Risk Range &amp; Risk Matrix'!$G$11,'Risk Range &amp; Risk Matrix'!$H$11,IF(S56='Risk Range &amp; Risk Matrix'!$G$10,'Risk Range &amp; Risk Matrix'!$H$10,IF(S56='Risk Range &amp; Risk Matrix'!$G$9,'Risk Range &amp; Risk Matrix'!$H$9,IF(S56='Risk Range &amp; Risk Matrix'!$G$8,'Risk Range &amp; Risk Matrix'!$H$8,"")))))</f>
        <v/>
      </c>
      <c r="U56" s="37"/>
      <c r="V56" s="37" t="str">
        <f>IF(U56='Risk Range &amp; Risk Matrix'!$I$6,'Risk Range &amp; Risk Matrix'!$I$7,IF(U56='Risk Range &amp; Risk Matrix'!$J$6,'Risk Range &amp; Risk Matrix'!$J$7,IF(U56='Risk Range &amp; Risk Matrix'!$K$6,'Risk Range &amp; Risk Matrix'!$K$7,IF(U56='Risk Range &amp; Risk Matrix'!$L$6,'Risk Range &amp; Risk Matrix'!$L$7,IF(U56='Risk Range &amp; Risk Matrix'!$M$6,'Risk Range &amp; Risk Matrix'!$M$7,"")))))</f>
        <v/>
      </c>
      <c r="W56" s="43" t="str">
        <f t="shared" si="6"/>
        <v>empty</v>
      </c>
      <c r="X56" s="39" t="str">
        <f t="shared" si="7"/>
        <v>empty</v>
      </c>
      <c r="Y56" s="3"/>
      <c r="Z56" s="48"/>
      <c r="AA56" s="8"/>
      <c r="AB56" s="9"/>
      <c r="AC56" s="85"/>
    </row>
    <row r="57" spans="1:29">
      <c r="A57" s="85"/>
      <c r="B57" s="12" t="s">
        <v>120</v>
      </c>
      <c r="C57" s="2"/>
      <c r="D57" s="2"/>
      <c r="E57" s="2"/>
      <c r="F57" s="2"/>
      <c r="G57" s="4"/>
      <c r="H57" s="3"/>
      <c r="I57" s="2"/>
      <c r="J57" s="36"/>
      <c r="K57" s="38"/>
      <c r="L57" s="2" t="str">
        <f>IF(K57='Risk Range &amp; Risk Matrix'!$G$12,'Risk Range &amp; Risk Matrix'!$H$12,IF(K57='Risk Range &amp; Risk Matrix'!$G$11,'Risk Range &amp; Risk Matrix'!$H$11,IF(K57='Risk Range &amp; Risk Matrix'!$G$10,'Risk Range &amp; Risk Matrix'!$H$10,IF(K57='Risk Range &amp; Risk Matrix'!$G$9,'Risk Range &amp; Risk Matrix'!$H$9,IF(K57='Risk Range &amp; Risk Matrix'!$G$8,'Risk Range &amp; Risk Matrix'!$H$8,"")))))</f>
        <v/>
      </c>
      <c r="M57" s="37"/>
      <c r="N57" s="37" t="str">
        <f>IF(M57='Risk Range &amp; Risk Matrix'!$I$6,'Risk Range &amp; Risk Matrix'!$I$7,IF(M57='Risk Range &amp; Risk Matrix'!$J$6,'Risk Range &amp; Risk Matrix'!$J$7,IF(M57='Risk Range &amp; Risk Matrix'!$K$6,'Risk Range &amp; Risk Matrix'!$K$7,IF(M57='Risk Range &amp; Risk Matrix'!$L$6,'Risk Range &amp; Risk Matrix'!$L$7,IF(M57='Risk Range &amp; Risk Matrix'!$M$6,'Risk Range &amp; Risk Matrix'!$M$7,"")))))</f>
        <v/>
      </c>
      <c r="O57" s="43" t="str">
        <f t="shared" si="4"/>
        <v>empty</v>
      </c>
      <c r="P57" s="39" t="str">
        <f t="shared" si="5"/>
        <v>empty</v>
      </c>
      <c r="Q57" s="3"/>
      <c r="R57" s="60"/>
      <c r="S57" s="38"/>
      <c r="T57" s="2" t="str">
        <f>IF(S57='Risk Range &amp; Risk Matrix'!$G$12,'Risk Range &amp; Risk Matrix'!$H$12,IF(S57='Risk Range &amp; Risk Matrix'!$G$11,'Risk Range &amp; Risk Matrix'!$H$11,IF(S57='Risk Range &amp; Risk Matrix'!$G$10,'Risk Range &amp; Risk Matrix'!$H$10,IF(S57='Risk Range &amp; Risk Matrix'!$G$9,'Risk Range &amp; Risk Matrix'!$H$9,IF(S57='Risk Range &amp; Risk Matrix'!$G$8,'Risk Range &amp; Risk Matrix'!$H$8,"")))))</f>
        <v/>
      </c>
      <c r="U57" s="37"/>
      <c r="V57" s="37" t="str">
        <f>IF(U57='Risk Range &amp; Risk Matrix'!$I$6,'Risk Range &amp; Risk Matrix'!$I$7,IF(U57='Risk Range &amp; Risk Matrix'!$J$6,'Risk Range &amp; Risk Matrix'!$J$7,IF(U57='Risk Range &amp; Risk Matrix'!$K$6,'Risk Range &amp; Risk Matrix'!$K$7,IF(U57='Risk Range &amp; Risk Matrix'!$L$6,'Risk Range &amp; Risk Matrix'!$L$7,IF(U57='Risk Range &amp; Risk Matrix'!$M$6,'Risk Range &amp; Risk Matrix'!$M$7,"")))))</f>
        <v/>
      </c>
      <c r="W57" s="43" t="str">
        <f t="shared" si="6"/>
        <v>empty</v>
      </c>
      <c r="X57" s="39" t="str">
        <f t="shared" si="7"/>
        <v>empty</v>
      </c>
      <c r="Y57" s="3"/>
      <c r="Z57" s="48"/>
      <c r="AA57" s="8"/>
      <c r="AB57" s="9"/>
      <c r="AC57" s="85"/>
    </row>
    <row r="58" spans="1:29">
      <c r="A58" s="85"/>
      <c r="B58" s="4" t="s">
        <v>121</v>
      </c>
      <c r="C58" s="2"/>
      <c r="D58" s="2"/>
      <c r="E58" s="2"/>
      <c r="F58" s="2"/>
      <c r="G58" s="4"/>
      <c r="H58" s="3"/>
      <c r="I58" s="2"/>
      <c r="J58" s="36"/>
      <c r="K58" s="38"/>
      <c r="L58" s="2" t="str">
        <f>IF(K58='Risk Range &amp; Risk Matrix'!$G$12,'Risk Range &amp; Risk Matrix'!$H$12,IF(K58='Risk Range &amp; Risk Matrix'!$G$11,'Risk Range &amp; Risk Matrix'!$H$11,IF(K58='Risk Range &amp; Risk Matrix'!$G$10,'Risk Range &amp; Risk Matrix'!$H$10,IF(K58='Risk Range &amp; Risk Matrix'!$G$9,'Risk Range &amp; Risk Matrix'!$H$9,IF(K58='Risk Range &amp; Risk Matrix'!$G$8,'Risk Range &amp; Risk Matrix'!$H$8,"")))))</f>
        <v/>
      </c>
      <c r="M58" s="37"/>
      <c r="N58" s="37" t="str">
        <f>IF(M58='Risk Range &amp; Risk Matrix'!$I$6,'Risk Range &amp; Risk Matrix'!$I$7,IF(M58='Risk Range &amp; Risk Matrix'!$J$6,'Risk Range &amp; Risk Matrix'!$J$7,IF(M58='Risk Range &amp; Risk Matrix'!$K$6,'Risk Range &amp; Risk Matrix'!$K$7,IF(M58='Risk Range &amp; Risk Matrix'!$L$6,'Risk Range &amp; Risk Matrix'!$L$7,IF(M58='Risk Range &amp; Risk Matrix'!$M$6,'Risk Range &amp; Risk Matrix'!$M$7,"")))))</f>
        <v/>
      </c>
      <c r="O58" s="43" t="str">
        <f t="shared" si="4"/>
        <v>empty</v>
      </c>
      <c r="P58" s="39" t="str">
        <f t="shared" si="5"/>
        <v>empty</v>
      </c>
      <c r="Q58" s="3"/>
      <c r="R58" s="60"/>
      <c r="S58" s="38"/>
      <c r="T58" s="2" t="str">
        <f>IF(S58='Risk Range &amp; Risk Matrix'!$G$12,'Risk Range &amp; Risk Matrix'!$H$12,IF(S58='Risk Range &amp; Risk Matrix'!$G$11,'Risk Range &amp; Risk Matrix'!$H$11,IF(S58='Risk Range &amp; Risk Matrix'!$G$10,'Risk Range &amp; Risk Matrix'!$H$10,IF(S58='Risk Range &amp; Risk Matrix'!$G$9,'Risk Range &amp; Risk Matrix'!$H$9,IF(S58='Risk Range &amp; Risk Matrix'!$G$8,'Risk Range &amp; Risk Matrix'!$H$8,"")))))</f>
        <v/>
      </c>
      <c r="U58" s="37"/>
      <c r="V58" s="37" t="str">
        <f>IF(U58='Risk Range &amp; Risk Matrix'!$I$6,'Risk Range &amp; Risk Matrix'!$I$7,IF(U58='Risk Range &amp; Risk Matrix'!$J$6,'Risk Range &amp; Risk Matrix'!$J$7,IF(U58='Risk Range &amp; Risk Matrix'!$K$6,'Risk Range &amp; Risk Matrix'!$K$7,IF(U58='Risk Range &amp; Risk Matrix'!$L$6,'Risk Range &amp; Risk Matrix'!$L$7,IF(U58='Risk Range &amp; Risk Matrix'!$M$6,'Risk Range &amp; Risk Matrix'!$M$7,"")))))</f>
        <v/>
      </c>
      <c r="W58" s="43" t="str">
        <f t="shared" si="6"/>
        <v>empty</v>
      </c>
      <c r="X58" s="39" t="str">
        <f t="shared" si="7"/>
        <v>empty</v>
      </c>
      <c r="Y58" s="3"/>
      <c r="Z58" s="48"/>
      <c r="AA58" s="8"/>
      <c r="AB58" s="9"/>
      <c r="AC58" s="85"/>
    </row>
    <row r="59" spans="1:29">
      <c r="A59" s="85"/>
      <c r="B59" s="12" t="s">
        <v>122</v>
      </c>
      <c r="C59" s="2"/>
      <c r="D59" s="2"/>
      <c r="E59" s="2"/>
      <c r="F59" s="2"/>
      <c r="G59" s="4"/>
      <c r="H59" s="3"/>
      <c r="I59" s="2"/>
      <c r="J59" s="36"/>
      <c r="K59" s="38"/>
      <c r="L59" s="2" t="str">
        <f>IF(K59='Risk Range &amp; Risk Matrix'!$G$12,'Risk Range &amp; Risk Matrix'!$H$12,IF(K59='Risk Range &amp; Risk Matrix'!$G$11,'Risk Range &amp; Risk Matrix'!$H$11,IF(K59='Risk Range &amp; Risk Matrix'!$G$10,'Risk Range &amp; Risk Matrix'!$H$10,IF(K59='Risk Range &amp; Risk Matrix'!$G$9,'Risk Range &amp; Risk Matrix'!$H$9,IF(K59='Risk Range &amp; Risk Matrix'!$G$8,'Risk Range &amp; Risk Matrix'!$H$8,"")))))</f>
        <v/>
      </c>
      <c r="M59" s="37"/>
      <c r="N59" s="37" t="str">
        <f>IF(M59='Risk Range &amp; Risk Matrix'!$I$6,'Risk Range &amp; Risk Matrix'!$I$7,IF(M59='Risk Range &amp; Risk Matrix'!$J$6,'Risk Range &amp; Risk Matrix'!$J$7,IF(M59='Risk Range &amp; Risk Matrix'!$K$6,'Risk Range &amp; Risk Matrix'!$K$7,IF(M59='Risk Range &amp; Risk Matrix'!$L$6,'Risk Range &amp; Risk Matrix'!$L$7,IF(M59='Risk Range &amp; Risk Matrix'!$M$6,'Risk Range &amp; Risk Matrix'!$M$7,"")))))</f>
        <v/>
      </c>
      <c r="O59" s="43" t="str">
        <f t="shared" si="4"/>
        <v>empty</v>
      </c>
      <c r="P59" s="39" t="str">
        <f t="shared" si="5"/>
        <v>empty</v>
      </c>
      <c r="Q59" s="3"/>
      <c r="R59" s="60"/>
      <c r="S59" s="38"/>
      <c r="T59" s="2" t="str">
        <f>IF(S59='Risk Range &amp; Risk Matrix'!$G$12,'Risk Range &amp; Risk Matrix'!$H$12,IF(S59='Risk Range &amp; Risk Matrix'!$G$11,'Risk Range &amp; Risk Matrix'!$H$11,IF(S59='Risk Range &amp; Risk Matrix'!$G$10,'Risk Range &amp; Risk Matrix'!$H$10,IF(S59='Risk Range &amp; Risk Matrix'!$G$9,'Risk Range &amp; Risk Matrix'!$H$9,IF(S59='Risk Range &amp; Risk Matrix'!$G$8,'Risk Range &amp; Risk Matrix'!$H$8,"")))))</f>
        <v/>
      </c>
      <c r="U59" s="37"/>
      <c r="V59" s="37" t="str">
        <f>IF(U59='Risk Range &amp; Risk Matrix'!$I$6,'Risk Range &amp; Risk Matrix'!$I$7,IF(U59='Risk Range &amp; Risk Matrix'!$J$6,'Risk Range &amp; Risk Matrix'!$J$7,IF(U59='Risk Range &amp; Risk Matrix'!$K$6,'Risk Range &amp; Risk Matrix'!$K$7,IF(U59='Risk Range &amp; Risk Matrix'!$L$6,'Risk Range &amp; Risk Matrix'!$L$7,IF(U59='Risk Range &amp; Risk Matrix'!$M$6,'Risk Range &amp; Risk Matrix'!$M$7,"")))))</f>
        <v/>
      </c>
      <c r="W59" s="43" t="str">
        <f t="shared" si="6"/>
        <v>empty</v>
      </c>
      <c r="X59" s="39" t="str">
        <f t="shared" si="7"/>
        <v>empty</v>
      </c>
      <c r="Y59" s="3"/>
      <c r="Z59" s="48"/>
      <c r="AA59" s="8"/>
      <c r="AB59" s="9"/>
      <c r="AC59" s="85"/>
    </row>
    <row r="60" spans="1:29">
      <c r="A60" s="85"/>
      <c r="B60" s="4" t="s">
        <v>123</v>
      </c>
      <c r="C60" s="2"/>
      <c r="D60" s="2"/>
      <c r="E60" s="2"/>
      <c r="F60" s="2"/>
      <c r="G60" s="4"/>
      <c r="H60" s="3"/>
      <c r="I60" s="2"/>
      <c r="J60" s="36"/>
      <c r="K60" s="38"/>
      <c r="L60" s="2" t="str">
        <f>IF(K60='Risk Range &amp; Risk Matrix'!$G$12,'Risk Range &amp; Risk Matrix'!$H$12,IF(K60='Risk Range &amp; Risk Matrix'!$G$11,'Risk Range &amp; Risk Matrix'!$H$11,IF(K60='Risk Range &amp; Risk Matrix'!$G$10,'Risk Range &amp; Risk Matrix'!$H$10,IF(K60='Risk Range &amp; Risk Matrix'!$G$9,'Risk Range &amp; Risk Matrix'!$H$9,IF(K60='Risk Range &amp; Risk Matrix'!$G$8,'Risk Range &amp; Risk Matrix'!$H$8,"")))))</f>
        <v/>
      </c>
      <c r="M60" s="37"/>
      <c r="N60" s="37" t="str">
        <f>IF(M60='Risk Range &amp; Risk Matrix'!$I$6,'Risk Range &amp; Risk Matrix'!$I$7,IF(M60='Risk Range &amp; Risk Matrix'!$J$6,'Risk Range &amp; Risk Matrix'!$J$7,IF(M60='Risk Range &amp; Risk Matrix'!$K$6,'Risk Range &amp; Risk Matrix'!$K$7,IF(M60='Risk Range &amp; Risk Matrix'!$L$6,'Risk Range &amp; Risk Matrix'!$L$7,IF(M60='Risk Range &amp; Risk Matrix'!$M$6,'Risk Range &amp; Risk Matrix'!$M$7,"")))))</f>
        <v/>
      </c>
      <c r="O60" s="43" t="str">
        <f t="shared" si="4"/>
        <v>empty</v>
      </c>
      <c r="P60" s="39" t="str">
        <f t="shared" si="5"/>
        <v>empty</v>
      </c>
      <c r="Q60" s="3"/>
      <c r="R60" s="60"/>
      <c r="S60" s="38"/>
      <c r="T60" s="2" t="str">
        <f>IF(S60='Risk Range &amp; Risk Matrix'!$G$12,'Risk Range &amp; Risk Matrix'!$H$12,IF(S60='Risk Range &amp; Risk Matrix'!$G$11,'Risk Range &amp; Risk Matrix'!$H$11,IF(S60='Risk Range &amp; Risk Matrix'!$G$10,'Risk Range &amp; Risk Matrix'!$H$10,IF(S60='Risk Range &amp; Risk Matrix'!$G$9,'Risk Range &amp; Risk Matrix'!$H$9,IF(S60='Risk Range &amp; Risk Matrix'!$G$8,'Risk Range &amp; Risk Matrix'!$H$8,"")))))</f>
        <v/>
      </c>
      <c r="U60" s="37"/>
      <c r="V60" s="37" t="str">
        <f>IF(U60='Risk Range &amp; Risk Matrix'!$I$6,'Risk Range &amp; Risk Matrix'!$I$7,IF(U60='Risk Range &amp; Risk Matrix'!$J$6,'Risk Range &amp; Risk Matrix'!$J$7,IF(U60='Risk Range &amp; Risk Matrix'!$K$6,'Risk Range &amp; Risk Matrix'!$K$7,IF(U60='Risk Range &amp; Risk Matrix'!$L$6,'Risk Range &amp; Risk Matrix'!$L$7,IF(U60='Risk Range &amp; Risk Matrix'!$M$6,'Risk Range &amp; Risk Matrix'!$M$7,"")))))</f>
        <v/>
      </c>
      <c r="W60" s="43" t="str">
        <f t="shared" si="6"/>
        <v>empty</v>
      </c>
      <c r="X60" s="39" t="str">
        <f t="shared" si="7"/>
        <v>empty</v>
      </c>
      <c r="Y60" s="3"/>
      <c r="Z60" s="48"/>
      <c r="AA60" s="8"/>
      <c r="AB60" s="9"/>
      <c r="AC60" s="85"/>
    </row>
    <row r="61" spans="1:29">
      <c r="A61" s="85"/>
      <c r="B61" s="12" t="s">
        <v>124</v>
      </c>
      <c r="C61" s="2"/>
      <c r="D61" s="2"/>
      <c r="E61" s="2"/>
      <c r="F61" s="2"/>
      <c r="G61" s="4"/>
      <c r="H61" s="3"/>
      <c r="I61" s="2"/>
      <c r="J61" s="36"/>
      <c r="K61" s="38"/>
      <c r="L61" s="2" t="str">
        <f>IF(K61='Risk Range &amp; Risk Matrix'!$G$12,'Risk Range &amp; Risk Matrix'!$H$12,IF(K61='Risk Range &amp; Risk Matrix'!$G$11,'Risk Range &amp; Risk Matrix'!$H$11,IF(K61='Risk Range &amp; Risk Matrix'!$G$10,'Risk Range &amp; Risk Matrix'!$H$10,IF(K61='Risk Range &amp; Risk Matrix'!$G$9,'Risk Range &amp; Risk Matrix'!$H$9,IF(K61='Risk Range &amp; Risk Matrix'!$G$8,'Risk Range &amp; Risk Matrix'!$H$8,"")))))</f>
        <v/>
      </c>
      <c r="M61" s="37"/>
      <c r="N61" s="37" t="str">
        <f>IF(M61='Risk Range &amp; Risk Matrix'!$I$6,'Risk Range &amp; Risk Matrix'!$I$7,IF(M61='Risk Range &amp; Risk Matrix'!$J$6,'Risk Range &amp; Risk Matrix'!$J$7,IF(M61='Risk Range &amp; Risk Matrix'!$K$6,'Risk Range &amp; Risk Matrix'!$K$7,IF(M61='Risk Range &amp; Risk Matrix'!$L$6,'Risk Range &amp; Risk Matrix'!$L$7,IF(M61='Risk Range &amp; Risk Matrix'!$M$6,'Risk Range &amp; Risk Matrix'!$M$7,"")))))</f>
        <v/>
      </c>
      <c r="O61" s="43" t="str">
        <f t="shared" si="4"/>
        <v>empty</v>
      </c>
      <c r="P61" s="39" t="str">
        <f t="shared" si="5"/>
        <v>empty</v>
      </c>
      <c r="Q61" s="3"/>
      <c r="R61" s="60"/>
      <c r="S61" s="38"/>
      <c r="T61" s="2" t="str">
        <f>IF(S61='Risk Range &amp; Risk Matrix'!$G$12,'Risk Range &amp; Risk Matrix'!$H$12,IF(S61='Risk Range &amp; Risk Matrix'!$G$11,'Risk Range &amp; Risk Matrix'!$H$11,IF(S61='Risk Range &amp; Risk Matrix'!$G$10,'Risk Range &amp; Risk Matrix'!$H$10,IF(S61='Risk Range &amp; Risk Matrix'!$G$9,'Risk Range &amp; Risk Matrix'!$H$9,IF(S61='Risk Range &amp; Risk Matrix'!$G$8,'Risk Range &amp; Risk Matrix'!$H$8,"")))))</f>
        <v/>
      </c>
      <c r="U61" s="37"/>
      <c r="V61" s="37" t="str">
        <f>IF(U61='Risk Range &amp; Risk Matrix'!$I$6,'Risk Range &amp; Risk Matrix'!$I$7,IF(U61='Risk Range &amp; Risk Matrix'!$J$6,'Risk Range &amp; Risk Matrix'!$J$7,IF(U61='Risk Range &amp; Risk Matrix'!$K$6,'Risk Range &amp; Risk Matrix'!$K$7,IF(U61='Risk Range &amp; Risk Matrix'!$L$6,'Risk Range &amp; Risk Matrix'!$L$7,IF(U61='Risk Range &amp; Risk Matrix'!$M$6,'Risk Range &amp; Risk Matrix'!$M$7,"")))))</f>
        <v/>
      </c>
      <c r="W61" s="43" t="str">
        <f t="shared" si="6"/>
        <v>empty</v>
      </c>
      <c r="X61" s="39" t="str">
        <f t="shared" si="7"/>
        <v>empty</v>
      </c>
      <c r="Y61" s="3"/>
      <c r="Z61" s="48"/>
      <c r="AA61" s="8"/>
      <c r="AB61" s="9"/>
      <c r="AC61" s="85"/>
    </row>
    <row r="62" spans="1:29">
      <c r="A62" s="85"/>
      <c r="B62" s="4" t="s">
        <v>125</v>
      </c>
      <c r="C62" s="2"/>
      <c r="D62" s="2"/>
      <c r="E62" s="2"/>
      <c r="F62" s="2"/>
      <c r="G62" s="4"/>
      <c r="H62" s="3"/>
      <c r="I62" s="2"/>
      <c r="J62" s="36"/>
      <c r="K62" s="38"/>
      <c r="L62" s="2" t="str">
        <f>IF(K62='Risk Range &amp; Risk Matrix'!$G$12,'Risk Range &amp; Risk Matrix'!$H$12,IF(K62='Risk Range &amp; Risk Matrix'!$G$11,'Risk Range &amp; Risk Matrix'!$H$11,IF(K62='Risk Range &amp; Risk Matrix'!$G$10,'Risk Range &amp; Risk Matrix'!$H$10,IF(K62='Risk Range &amp; Risk Matrix'!$G$9,'Risk Range &amp; Risk Matrix'!$H$9,IF(K62='Risk Range &amp; Risk Matrix'!$G$8,'Risk Range &amp; Risk Matrix'!$H$8,"")))))</f>
        <v/>
      </c>
      <c r="M62" s="37"/>
      <c r="N62" s="37" t="str">
        <f>IF(M62='Risk Range &amp; Risk Matrix'!$I$6,'Risk Range &amp; Risk Matrix'!$I$7,IF(M62='Risk Range &amp; Risk Matrix'!$J$6,'Risk Range &amp; Risk Matrix'!$J$7,IF(M62='Risk Range &amp; Risk Matrix'!$K$6,'Risk Range &amp; Risk Matrix'!$K$7,IF(M62='Risk Range &amp; Risk Matrix'!$L$6,'Risk Range &amp; Risk Matrix'!$L$7,IF(M62='Risk Range &amp; Risk Matrix'!$M$6,'Risk Range &amp; Risk Matrix'!$M$7,"")))))</f>
        <v/>
      </c>
      <c r="O62" s="43" t="str">
        <f t="shared" si="4"/>
        <v>empty</v>
      </c>
      <c r="P62" s="39" t="str">
        <f t="shared" si="5"/>
        <v>empty</v>
      </c>
      <c r="Q62" s="3"/>
      <c r="R62" s="60"/>
      <c r="S62" s="38"/>
      <c r="T62" s="2" t="str">
        <f>IF(S62='Risk Range &amp; Risk Matrix'!$G$12,'Risk Range &amp; Risk Matrix'!$H$12,IF(S62='Risk Range &amp; Risk Matrix'!$G$11,'Risk Range &amp; Risk Matrix'!$H$11,IF(S62='Risk Range &amp; Risk Matrix'!$G$10,'Risk Range &amp; Risk Matrix'!$H$10,IF(S62='Risk Range &amp; Risk Matrix'!$G$9,'Risk Range &amp; Risk Matrix'!$H$9,IF(S62='Risk Range &amp; Risk Matrix'!$G$8,'Risk Range &amp; Risk Matrix'!$H$8,"")))))</f>
        <v/>
      </c>
      <c r="U62" s="37"/>
      <c r="V62" s="37" t="str">
        <f>IF(U62='Risk Range &amp; Risk Matrix'!$I$6,'Risk Range &amp; Risk Matrix'!$I$7,IF(U62='Risk Range &amp; Risk Matrix'!$J$6,'Risk Range &amp; Risk Matrix'!$J$7,IF(U62='Risk Range &amp; Risk Matrix'!$K$6,'Risk Range &amp; Risk Matrix'!$K$7,IF(U62='Risk Range &amp; Risk Matrix'!$L$6,'Risk Range &amp; Risk Matrix'!$L$7,IF(U62='Risk Range &amp; Risk Matrix'!$M$6,'Risk Range &amp; Risk Matrix'!$M$7,"")))))</f>
        <v/>
      </c>
      <c r="W62" s="43" t="str">
        <f t="shared" si="6"/>
        <v>empty</v>
      </c>
      <c r="X62" s="39" t="str">
        <f t="shared" si="7"/>
        <v>empty</v>
      </c>
      <c r="Y62" s="3"/>
      <c r="Z62" s="48"/>
      <c r="AA62" s="8"/>
      <c r="AB62" s="9"/>
      <c r="AC62" s="85"/>
    </row>
    <row r="63" spans="1:29">
      <c r="A63" s="85"/>
      <c r="B63" s="12" t="s">
        <v>126</v>
      </c>
      <c r="C63" s="2"/>
      <c r="D63" s="2"/>
      <c r="E63" s="2"/>
      <c r="F63" s="2"/>
      <c r="G63" s="4"/>
      <c r="H63" s="3"/>
      <c r="I63" s="2"/>
      <c r="J63" s="36"/>
      <c r="K63" s="38"/>
      <c r="L63" s="2" t="str">
        <f>IF(K63='Risk Range &amp; Risk Matrix'!$G$12,'Risk Range &amp; Risk Matrix'!$H$12,IF(K63='Risk Range &amp; Risk Matrix'!$G$11,'Risk Range &amp; Risk Matrix'!$H$11,IF(K63='Risk Range &amp; Risk Matrix'!$G$10,'Risk Range &amp; Risk Matrix'!$H$10,IF(K63='Risk Range &amp; Risk Matrix'!$G$9,'Risk Range &amp; Risk Matrix'!$H$9,IF(K63='Risk Range &amp; Risk Matrix'!$G$8,'Risk Range &amp; Risk Matrix'!$H$8,"")))))</f>
        <v/>
      </c>
      <c r="M63" s="37"/>
      <c r="N63" s="37" t="str">
        <f>IF(M63='Risk Range &amp; Risk Matrix'!$I$6,'Risk Range &amp; Risk Matrix'!$I$7,IF(M63='Risk Range &amp; Risk Matrix'!$J$6,'Risk Range &amp; Risk Matrix'!$J$7,IF(M63='Risk Range &amp; Risk Matrix'!$K$6,'Risk Range &amp; Risk Matrix'!$K$7,IF(M63='Risk Range &amp; Risk Matrix'!$L$6,'Risk Range &amp; Risk Matrix'!$L$7,IF(M63='Risk Range &amp; Risk Matrix'!$M$6,'Risk Range &amp; Risk Matrix'!$M$7,"")))))</f>
        <v/>
      </c>
      <c r="O63" s="43" t="str">
        <f t="shared" si="4"/>
        <v>empty</v>
      </c>
      <c r="P63" s="39" t="str">
        <f t="shared" si="5"/>
        <v>empty</v>
      </c>
      <c r="Q63" s="3"/>
      <c r="R63" s="60"/>
      <c r="S63" s="38"/>
      <c r="T63" s="2" t="str">
        <f>IF(S63='Risk Range &amp; Risk Matrix'!$G$12,'Risk Range &amp; Risk Matrix'!$H$12,IF(S63='Risk Range &amp; Risk Matrix'!$G$11,'Risk Range &amp; Risk Matrix'!$H$11,IF(S63='Risk Range &amp; Risk Matrix'!$G$10,'Risk Range &amp; Risk Matrix'!$H$10,IF(S63='Risk Range &amp; Risk Matrix'!$G$9,'Risk Range &amp; Risk Matrix'!$H$9,IF(S63='Risk Range &amp; Risk Matrix'!$G$8,'Risk Range &amp; Risk Matrix'!$H$8,"")))))</f>
        <v/>
      </c>
      <c r="U63" s="37"/>
      <c r="V63" s="37" t="str">
        <f>IF(U63='Risk Range &amp; Risk Matrix'!$I$6,'Risk Range &amp; Risk Matrix'!$I$7,IF(U63='Risk Range &amp; Risk Matrix'!$J$6,'Risk Range &amp; Risk Matrix'!$J$7,IF(U63='Risk Range &amp; Risk Matrix'!$K$6,'Risk Range &amp; Risk Matrix'!$K$7,IF(U63='Risk Range &amp; Risk Matrix'!$L$6,'Risk Range &amp; Risk Matrix'!$L$7,IF(U63='Risk Range &amp; Risk Matrix'!$M$6,'Risk Range &amp; Risk Matrix'!$M$7,"")))))</f>
        <v/>
      </c>
      <c r="W63" s="43" t="str">
        <f t="shared" si="6"/>
        <v>empty</v>
      </c>
      <c r="X63" s="39" t="str">
        <f t="shared" si="7"/>
        <v>empty</v>
      </c>
      <c r="Y63" s="3"/>
      <c r="Z63" s="48"/>
      <c r="AA63" s="8"/>
      <c r="AB63" s="9"/>
      <c r="AC63" s="85"/>
    </row>
    <row r="64" spans="1:29">
      <c r="A64" s="85"/>
      <c r="B64" s="4" t="s">
        <v>127</v>
      </c>
      <c r="C64" s="2"/>
      <c r="D64" s="2"/>
      <c r="E64" s="2"/>
      <c r="F64" s="2"/>
      <c r="G64" s="4"/>
      <c r="H64" s="3"/>
      <c r="I64" s="2"/>
      <c r="J64" s="36"/>
      <c r="K64" s="38"/>
      <c r="L64" s="2" t="str">
        <f>IF(K64='Risk Range &amp; Risk Matrix'!$G$12,'Risk Range &amp; Risk Matrix'!$H$12,IF(K64='Risk Range &amp; Risk Matrix'!$G$11,'Risk Range &amp; Risk Matrix'!$H$11,IF(K64='Risk Range &amp; Risk Matrix'!$G$10,'Risk Range &amp; Risk Matrix'!$H$10,IF(K64='Risk Range &amp; Risk Matrix'!$G$9,'Risk Range &amp; Risk Matrix'!$H$9,IF(K64='Risk Range &amp; Risk Matrix'!$G$8,'Risk Range &amp; Risk Matrix'!$H$8,"")))))</f>
        <v/>
      </c>
      <c r="M64" s="37"/>
      <c r="N64" s="37" t="str">
        <f>IF(M64='Risk Range &amp; Risk Matrix'!$I$6,'Risk Range &amp; Risk Matrix'!$I$7,IF(M64='Risk Range &amp; Risk Matrix'!$J$6,'Risk Range &amp; Risk Matrix'!$J$7,IF(M64='Risk Range &amp; Risk Matrix'!$K$6,'Risk Range &amp; Risk Matrix'!$K$7,IF(M64='Risk Range &amp; Risk Matrix'!$L$6,'Risk Range &amp; Risk Matrix'!$L$7,IF(M64='Risk Range &amp; Risk Matrix'!$M$6,'Risk Range &amp; Risk Matrix'!$M$7,"")))))</f>
        <v/>
      </c>
      <c r="O64" s="43" t="str">
        <f t="shared" si="4"/>
        <v>empty</v>
      </c>
      <c r="P64" s="39" t="str">
        <f t="shared" si="5"/>
        <v>empty</v>
      </c>
      <c r="Q64" s="3"/>
      <c r="R64" s="60"/>
      <c r="S64" s="38"/>
      <c r="T64" s="2" t="str">
        <f>IF(S64='Risk Range &amp; Risk Matrix'!$G$12,'Risk Range &amp; Risk Matrix'!$H$12,IF(S64='Risk Range &amp; Risk Matrix'!$G$11,'Risk Range &amp; Risk Matrix'!$H$11,IF(S64='Risk Range &amp; Risk Matrix'!$G$10,'Risk Range &amp; Risk Matrix'!$H$10,IF(S64='Risk Range &amp; Risk Matrix'!$G$9,'Risk Range &amp; Risk Matrix'!$H$9,IF(S64='Risk Range &amp; Risk Matrix'!$G$8,'Risk Range &amp; Risk Matrix'!$H$8,"")))))</f>
        <v/>
      </c>
      <c r="U64" s="37"/>
      <c r="V64" s="37" t="str">
        <f>IF(U64='Risk Range &amp; Risk Matrix'!$I$6,'Risk Range &amp; Risk Matrix'!$I$7,IF(U64='Risk Range &amp; Risk Matrix'!$J$6,'Risk Range &amp; Risk Matrix'!$J$7,IF(U64='Risk Range &amp; Risk Matrix'!$K$6,'Risk Range &amp; Risk Matrix'!$K$7,IF(U64='Risk Range &amp; Risk Matrix'!$L$6,'Risk Range &amp; Risk Matrix'!$L$7,IF(U64='Risk Range &amp; Risk Matrix'!$M$6,'Risk Range &amp; Risk Matrix'!$M$7,"")))))</f>
        <v/>
      </c>
      <c r="W64" s="43" t="str">
        <f t="shared" si="6"/>
        <v>empty</v>
      </c>
      <c r="X64" s="39" t="str">
        <f t="shared" si="7"/>
        <v>empty</v>
      </c>
      <c r="Y64" s="3"/>
      <c r="Z64" s="48"/>
      <c r="AA64" s="8"/>
      <c r="AB64" s="9"/>
      <c r="AC64" s="85"/>
    </row>
    <row r="65" spans="1:29">
      <c r="A65" s="85"/>
      <c r="B65" s="12" t="s">
        <v>128</v>
      </c>
      <c r="C65" s="2"/>
      <c r="D65" s="2"/>
      <c r="E65" s="2"/>
      <c r="F65" s="2"/>
      <c r="G65" s="4"/>
      <c r="H65" s="3"/>
      <c r="I65" s="2"/>
      <c r="J65" s="36"/>
      <c r="K65" s="38"/>
      <c r="L65" s="2" t="str">
        <f>IF(K65='Risk Range &amp; Risk Matrix'!$G$12,'Risk Range &amp; Risk Matrix'!$H$12,IF(K65='Risk Range &amp; Risk Matrix'!$G$11,'Risk Range &amp; Risk Matrix'!$H$11,IF(K65='Risk Range &amp; Risk Matrix'!$G$10,'Risk Range &amp; Risk Matrix'!$H$10,IF(K65='Risk Range &amp; Risk Matrix'!$G$9,'Risk Range &amp; Risk Matrix'!$H$9,IF(K65='Risk Range &amp; Risk Matrix'!$G$8,'Risk Range &amp; Risk Matrix'!$H$8,"")))))</f>
        <v/>
      </c>
      <c r="M65" s="37"/>
      <c r="N65" s="37" t="str">
        <f>IF(M65='Risk Range &amp; Risk Matrix'!$I$6,'Risk Range &amp; Risk Matrix'!$I$7,IF(M65='Risk Range &amp; Risk Matrix'!$J$6,'Risk Range &amp; Risk Matrix'!$J$7,IF(M65='Risk Range &amp; Risk Matrix'!$K$6,'Risk Range &amp; Risk Matrix'!$K$7,IF(M65='Risk Range &amp; Risk Matrix'!$L$6,'Risk Range &amp; Risk Matrix'!$L$7,IF(M65='Risk Range &amp; Risk Matrix'!$M$6,'Risk Range &amp; Risk Matrix'!$M$7,"")))))</f>
        <v/>
      </c>
      <c r="O65" s="43" t="str">
        <f t="shared" si="4"/>
        <v>empty</v>
      </c>
      <c r="P65" s="39" t="str">
        <f t="shared" si="5"/>
        <v>empty</v>
      </c>
      <c r="Q65" s="3"/>
      <c r="R65" s="60"/>
      <c r="S65" s="38"/>
      <c r="T65" s="2" t="str">
        <f>IF(S65='Risk Range &amp; Risk Matrix'!$G$12,'Risk Range &amp; Risk Matrix'!$H$12,IF(S65='Risk Range &amp; Risk Matrix'!$G$11,'Risk Range &amp; Risk Matrix'!$H$11,IF(S65='Risk Range &amp; Risk Matrix'!$G$10,'Risk Range &amp; Risk Matrix'!$H$10,IF(S65='Risk Range &amp; Risk Matrix'!$G$9,'Risk Range &amp; Risk Matrix'!$H$9,IF(S65='Risk Range &amp; Risk Matrix'!$G$8,'Risk Range &amp; Risk Matrix'!$H$8,"")))))</f>
        <v/>
      </c>
      <c r="U65" s="37"/>
      <c r="V65" s="37" t="str">
        <f>IF(U65='Risk Range &amp; Risk Matrix'!$I$6,'Risk Range &amp; Risk Matrix'!$I$7,IF(U65='Risk Range &amp; Risk Matrix'!$J$6,'Risk Range &amp; Risk Matrix'!$J$7,IF(U65='Risk Range &amp; Risk Matrix'!$K$6,'Risk Range &amp; Risk Matrix'!$K$7,IF(U65='Risk Range &amp; Risk Matrix'!$L$6,'Risk Range &amp; Risk Matrix'!$L$7,IF(U65='Risk Range &amp; Risk Matrix'!$M$6,'Risk Range &amp; Risk Matrix'!$M$7,"")))))</f>
        <v/>
      </c>
      <c r="W65" s="43" t="str">
        <f t="shared" si="6"/>
        <v>empty</v>
      </c>
      <c r="X65" s="39" t="str">
        <f t="shared" si="7"/>
        <v>empty</v>
      </c>
      <c r="Y65" s="3"/>
      <c r="Z65" s="48"/>
      <c r="AA65" s="8"/>
      <c r="AB65" s="9"/>
      <c r="AC65" s="85"/>
    </row>
    <row r="66" spans="1:29">
      <c r="A66" s="85"/>
      <c r="B66" s="4" t="s">
        <v>129</v>
      </c>
      <c r="C66" s="2"/>
      <c r="D66" s="2"/>
      <c r="E66" s="2"/>
      <c r="F66" s="2"/>
      <c r="G66" s="4"/>
      <c r="H66" s="3"/>
      <c r="I66" s="2"/>
      <c r="J66" s="36"/>
      <c r="K66" s="38"/>
      <c r="L66" s="2" t="str">
        <f>IF(K66='Risk Range &amp; Risk Matrix'!$G$12,'Risk Range &amp; Risk Matrix'!$H$12,IF(K66='Risk Range &amp; Risk Matrix'!$G$11,'Risk Range &amp; Risk Matrix'!$H$11,IF(K66='Risk Range &amp; Risk Matrix'!$G$10,'Risk Range &amp; Risk Matrix'!$H$10,IF(K66='Risk Range &amp; Risk Matrix'!$G$9,'Risk Range &amp; Risk Matrix'!$H$9,IF(K66='Risk Range &amp; Risk Matrix'!$G$8,'Risk Range &amp; Risk Matrix'!$H$8,"")))))</f>
        <v/>
      </c>
      <c r="M66" s="37"/>
      <c r="N66" s="37" t="str">
        <f>IF(M66='Risk Range &amp; Risk Matrix'!$I$6,'Risk Range &amp; Risk Matrix'!$I$7,IF(M66='Risk Range &amp; Risk Matrix'!$J$6,'Risk Range &amp; Risk Matrix'!$J$7,IF(M66='Risk Range &amp; Risk Matrix'!$K$6,'Risk Range &amp; Risk Matrix'!$K$7,IF(M66='Risk Range &amp; Risk Matrix'!$L$6,'Risk Range &amp; Risk Matrix'!$L$7,IF(M66='Risk Range &amp; Risk Matrix'!$M$6,'Risk Range &amp; Risk Matrix'!$M$7,"")))))</f>
        <v/>
      </c>
      <c r="O66" s="43" t="str">
        <f t="shared" si="4"/>
        <v>empty</v>
      </c>
      <c r="P66" s="39" t="str">
        <f t="shared" si="5"/>
        <v>empty</v>
      </c>
      <c r="Q66" s="3"/>
      <c r="R66" s="60"/>
      <c r="S66" s="38"/>
      <c r="T66" s="2" t="str">
        <f>IF(S66='Risk Range &amp; Risk Matrix'!$G$12,'Risk Range &amp; Risk Matrix'!$H$12,IF(S66='Risk Range &amp; Risk Matrix'!$G$11,'Risk Range &amp; Risk Matrix'!$H$11,IF(S66='Risk Range &amp; Risk Matrix'!$G$10,'Risk Range &amp; Risk Matrix'!$H$10,IF(S66='Risk Range &amp; Risk Matrix'!$G$9,'Risk Range &amp; Risk Matrix'!$H$9,IF(S66='Risk Range &amp; Risk Matrix'!$G$8,'Risk Range &amp; Risk Matrix'!$H$8,"")))))</f>
        <v/>
      </c>
      <c r="U66" s="37"/>
      <c r="V66" s="37" t="str">
        <f>IF(U66='Risk Range &amp; Risk Matrix'!$I$6,'Risk Range &amp; Risk Matrix'!$I$7,IF(U66='Risk Range &amp; Risk Matrix'!$J$6,'Risk Range &amp; Risk Matrix'!$J$7,IF(U66='Risk Range &amp; Risk Matrix'!$K$6,'Risk Range &amp; Risk Matrix'!$K$7,IF(U66='Risk Range &amp; Risk Matrix'!$L$6,'Risk Range &amp; Risk Matrix'!$L$7,IF(U66='Risk Range &amp; Risk Matrix'!$M$6,'Risk Range &amp; Risk Matrix'!$M$7,"")))))</f>
        <v/>
      </c>
      <c r="W66" s="43" t="str">
        <f t="shared" si="6"/>
        <v>empty</v>
      </c>
      <c r="X66" s="39" t="str">
        <f t="shared" si="7"/>
        <v>empty</v>
      </c>
      <c r="Y66" s="3"/>
      <c r="Z66" s="48"/>
      <c r="AA66" s="8"/>
      <c r="AB66" s="9"/>
      <c r="AC66" s="85"/>
    </row>
    <row r="67" spans="1:29">
      <c r="A67" s="85"/>
      <c r="B67" s="12" t="s">
        <v>130</v>
      </c>
      <c r="C67" s="2"/>
      <c r="D67" s="2"/>
      <c r="E67" s="2"/>
      <c r="F67" s="2"/>
      <c r="G67" s="4"/>
      <c r="H67" s="3"/>
      <c r="I67" s="2"/>
      <c r="J67" s="36"/>
      <c r="K67" s="38"/>
      <c r="L67" s="2" t="str">
        <f>IF(K67='Risk Range &amp; Risk Matrix'!$G$12,'Risk Range &amp; Risk Matrix'!$H$12,IF(K67='Risk Range &amp; Risk Matrix'!$G$11,'Risk Range &amp; Risk Matrix'!$H$11,IF(K67='Risk Range &amp; Risk Matrix'!$G$10,'Risk Range &amp; Risk Matrix'!$H$10,IF(K67='Risk Range &amp; Risk Matrix'!$G$9,'Risk Range &amp; Risk Matrix'!$H$9,IF(K67='Risk Range &amp; Risk Matrix'!$G$8,'Risk Range &amp; Risk Matrix'!$H$8,"")))))</f>
        <v/>
      </c>
      <c r="M67" s="37"/>
      <c r="N67" s="37" t="str">
        <f>IF(M67='Risk Range &amp; Risk Matrix'!$I$6,'Risk Range &amp; Risk Matrix'!$I$7,IF(M67='Risk Range &amp; Risk Matrix'!$J$6,'Risk Range &amp; Risk Matrix'!$J$7,IF(M67='Risk Range &amp; Risk Matrix'!$K$6,'Risk Range &amp; Risk Matrix'!$K$7,IF(M67='Risk Range &amp; Risk Matrix'!$L$6,'Risk Range &amp; Risk Matrix'!$L$7,IF(M67='Risk Range &amp; Risk Matrix'!$M$6,'Risk Range &amp; Risk Matrix'!$M$7,"")))))</f>
        <v/>
      </c>
      <c r="O67" s="43" t="str">
        <f t="shared" si="4"/>
        <v>empty</v>
      </c>
      <c r="P67" s="39" t="str">
        <f t="shared" si="5"/>
        <v>empty</v>
      </c>
      <c r="Q67" s="3"/>
      <c r="R67" s="60"/>
      <c r="S67" s="38"/>
      <c r="T67" s="2" t="str">
        <f>IF(S67='Risk Range &amp; Risk Matrix'!$G$12,'Risk Range &amp; Risk Matrix'!$H$12,IF(S67='Risk Range &amp; Risk Matrix'!$G$11,'Risk Range &amp; Risk Matrix'!$H$11,IF(S67='Risk Range &amp; Risk Matrix'!$G$10,'Risk Range &amp; Risk Matrix'!$H$10,IF(S67='Risk Range &amp; Risk Matrix'!$G$9,'Risk Range &amp; Risk Matrix'!$H$9,IF(S67='Risk Range &amp; Risk Matrix'!$G$8,'Risk Range &amp; Risk Matrix'!$H$8,"")))))</f>
        <v/>
      </c>
      <c r="U67" s="37"/>
      <c r="V67" s="37" t="str">
        <f>IF(U67='Risk Range &amp; Risk Matrix'!$I$6,'Risk Range &amp; Risk Matrix'!$I$7,IF(U67='Risk Range &amp; Risk Matrix'!$J$6,'Risk Range &amp; Risk Matrix'!$J$7,IF(U67='Risk Range &amp; Risk Matrix'!$K$6,'Risk Range &amp; Risk Matrix'!$K$7,IF(U67='Risk Range &amp; Risk Matrix'!$L$6,'Risk Range &amp; Risk Matrix'!$L$7,IF(U67='Risk Range &amp; Risk Matrix'!$M$6,'Risk Range &amp; Risk Matrix'!$M$7,"")))))</f>
        <v/>
      </c>
      <c r="W67" s="43" t="str">
        <f t="shared" si="6"/>
        <v>empty</v>
      </c>
      <c r="X67" s="39" t="str">
        <f t="shared" si="7"/>
        <v>empty</v>
      </c>
      <c r="Y67" s="3"/>
      <c r="Z67" s="48"/>
      <c r="AA67" s="8"/>
      <c r="AB67" s="9"/>
      <c r="AC67" s="85"/>
    </row>
    <row r="68" spans="1:29">
      <c r="A68" s="85"/>
      <c r="B68" s="4" t="s">
        <v>131</v>
      </c>
      <c r="C68" s="2"/>
      <c r="D68" s="2"/>
      <c r="E68" s="2"/>
      <c r="F68" s="2"/>
      <c r="G68" s="4"/>
      <c r="H68" s="3"/>
      <c r="I68" s="2"/>
      <c r="J68" s="36"/>
      <c r="K68" s="38"/>
      <c r="L68" s="2" t="str">
        <f>IF(K68='Risk Range &amp; Risk Matrix'!$G$12,'Risk Range &amp; Risk Matrix'!$H$12,IF(K68='Risk Range &amp; Risk Matrix'!$G$11,'Risk Range &amp; Risk Matrix'!$H$11,IF(K68='Risk Range &amp; Risk Matrix'!$G$10,'Risk Range &amp; Risk Matrix'!$H$10,IF(K68='Risk Range &amp; Risk Matrix'!$G$9,'Risk Range &amp; Risk Matrix'!$H$9,IF(K68='Risk Range &amp; Risk Matrix'!$G$8,'Risk Range &amp; Risk Matrix'!$H$8,"")))))</f>
        <v/>
      </c>
      <c r="M68" s="37"/>
      <c r="N68" s="37" t="str">
        <f>IF(M68='Risk Range &amp; Risk Matrix'!$I$6,'Risk Range &amp; Risk Matrix'!$I$7,IF(M68='Risk Range &amp; Risk Matrix'!$J$6,'Risk Range &amp; Risk Matrix'!$J$7,IF(M68='Risk Range &amp; Risk Matrix'!$K$6,'Risk Range &amp; Risk Matrix'!$K$7,IF(M68='Risk Range &amp; Risk Matrix'!$L$6,'Risk Range &amp; Risk Matrix'!$L$7,IF(M68='Risk Range &amp; Risk Matrix'!$M$6,'Risk Range &amp; Risk Matrix'!$M$7,"")))))</f>
        <v/>
      </c>
      <c r="O68" s="43" t="str">
        <f t="shared" si="4"/>
        <v>empty</v>
      </c>
      <c r="P68" s="39" t="str">
        <f t="shared" si="5"/>
        <v>empty</v>
      </c>
      <c r="Q68" s="3"/>
      <c r="R68" s="60"/>
      <c r="S68" s="38"/>
      <c r="T68" s="2" t="str">
        <f>IF(S68='Risk Range &amp; Risk Matrix'!$G$12,'Risk Range &amp; Risk Matrix'!$H$12,IF(S68='Risk Range &amp; Risk Matrix'!$G$11,'Risk Range &amp; Risk Matrix'!$H$11,IF(S68='Risk Range &amp; Risk Matrix'!$G$10,'Risk Range &amp; Risk Matrix'!$H$10,IF(S68='Risk Range &amp; Risk Matrix'!$G$9,'Risk Range &amp; Risk Matrix'!$H$9,IF(S68='Risk Range &amp; Risk Matrix'!$G$8,'Risk Range &amp; Risk Matrix'!$H$8,"")))))</f>
        <v/>
      </c>
      <c r="U68" s="37"/>
      <c r="V68" s="37" t="str">
        <f>IF(U68='Risk Range &amp; Risk Matrix'!$I$6,'Risk Range &amp; Risk Matrix'!$I$7,IF(U68='Risk Range &amp; Risk Matrix'!$J$6,'Risk Range &amp; Risk Matrix'!$J$7,IF(U68='Risk Range &amp; Risk Matrix'!$K$6,'Risk Range &amp; Risk Matrix'!$K$7,IF(U68='Risk Range &amp; Risk Matrix'!$L$6,'Risk Range &amp; Risk Matrix'!$L$7,IF(U68='Risk Range &amp; Risk Matrix'!$M$6,'Risk Range &amp; Risk Matrix'!$M$7,"")))))</f>
        <v/>
      </c>
      <c r="W68" s="43" t="str">
        <f t="shared" si="6"/>
        <v>empty</v>
      </c>
      <c r="X68" s="39" t="str">
        <f t="shared" si="7"/>
        <v>empty</v>
      </c>
      <c r="Y68" s="3"/>
      <c r="Z68" s="48"/>
      <c r="AA68" s="8"/>
      <c r="AB68" s="9"/>
      <c r="AC68" s="85"/>
    </row>
    <row r="69" spans="1:29">
      <c r="A69" s="85"/>
      <c r="B69" s="12" t="s">
        <v>132</v>
      </c>
      <c r="C69" s="2"/>
      <c r="D69" s="2"/>
      <c r="E69" s="2"/>
      <c r="F69" s="2"/>
      <c r="G69" s="4"/>
      <c r="H69" s="3"/>
      <c r="I69" s="2"/>
      <c r="J69" s="36"/>
      <c r="K69" s="38"/>
      <c r="L69" s="2" t="str">
        <f>IF(K69='Risk Range &amp; Risk Matrix'!$G$12,'Risk Range &amp; Risk Matrix'!$H$12,IF(K69='Risk Range &amp; Risk Matrix'!$G$11,'Risk Range &amp; Risk Matrix'!$H$11,IF(K69='Risk Range &amp; Risk Matrix'!$G$10,'Risk Range &amp; Risk Matrix'!$H$10,IF(K69='Risk Range &amp; Risk Matrix'!$G$9,'Risk Range &amp; Risk Matrix'!$H$9,IF(K69='Risk Range &amp; Risk Matrix'!$G$8,'Risk Range &amp; Risk Matrix'!$H$8,"")))))</f>
        <v/>
      </c>
      <c r="M69" s="37"/>
      <c r="N69" s="37" t="str">
        <f>IF(M69='Risk Range &amp; Risk Matrix'!$I$6,'Risk Range &amp; Risk Matrix'!$I$7,IF(M69='Risk Range &amp; Risk Matrix'!$J$6,'Risk Range &amp; Risk Matrix'!$J$7,IF(M69='Risk Range &amp; Risk Matrix'!$K$6,'Risk Range &amp; Risk Matrix'!$K$7,IF(M69='Risk Range &amp; Risk Matrix'!$L$6,'Risk Range &amp; Risk Matrix'!$L$7,IF(M69='Risk Range &amp; Risk Matrix'!$M$6,'Risk Range &amp; Risk Matrix'!$M$7,"")))))</f>
        <v/>
      </c>
      <c r="O69" s="43" t="str">
        <f t="shared" si="4"/>
        <v>empty</v>
      </c>
      <c r="P69" s="39" t="str">
        <f t="shared" si="5"/>
        <v>empty</v>
      </c>
      <c r="Q69" s="3"/>
      <c r="R69" s="60"/>
      <c r="S69" s="38"/>
      <c r="T69" s="2" t="str">
        <f>IF(S69='Risk Range &amp; Risk Matrix'!$G$12,'Risk Range &amp; Risk Matrix'!$H$12,IF(S69='Risk Range &amp; Risk Matrix'!$G$11,'Risk Range &amp; Risk Matrix'!$H$11,IF(S69='Risk Range &amp; Risk Matrix'!$G$10,'Risk Range &amp; Risk Matrix'!$H$10,IF(S69='Risk Range &amp; Risk Matrix'!$G$9,'Risk Range &amp; Risk Matrix'!$H$9,IF(S69='Risk Range &amp; Risk Matrix'!$G$8,'Risk Range &amp; Risk Matrix'!$H$8,"")))))</f>
        <v/>
      </c>
      <c r="U69" s="37"/>
      <c r="V69" s="37" t="str">
        <f>IF(U69='Risk Range &amp; Risk Matrix'!$I$6,'Risk Range &amp; Risk Matrix'!$I$7,IF(U69='Risk Range &amp; Risk Matrix'!$J$6,'Risk Range &amp; Risk Matrix'!$J$7,IF(U69='Risk Range &amp; Risk Matrix'!$K$6,'Risk Range &amp; Risk Matrix'!$K$7,IF(U69='Risk Range &amp; Risk Matrix'!$L$6,'Risk Range &amp; Risk Matrix'!$L$7,IF(U69='Risk Range &amp; Risk Matrix'!$M$6,'Risk Range &amp; Risk Matrix'!$M$7,"")))))</f>
        <v/>
      </c>
      <c r="W69" s="43" t="str">
        <f t="shared" si="6"/>
        <v>empty</v>
      </c>
      <c r="X69" s="39" t="str">
        <f t="shared" si="7"/>
        <v>empty</v>
      </c>
      <c r="Y69" s="3"/>
      <c r="Z69" s="48"/>
      <c r="AA69" s="8"/>
      <c r="AB69" s="9"/>
      <c r="AC69" s="85"/>
    </row>
    <row r="70" spans="1:29">
      <c r="A70" s="85"/>
      <c r="B70" s="4" t="s">
        <v>133</v>
      </c>
      <c r="C70" s="2"/>
      <c r="D70" s="2"/>
      <c r="E70" s="2"/>
      <c r="F70" s="2"/>
      <c r="G70" s="4"/>
      <c r="H70" s="3"/>
      <c r="I70" s="2"/>
      <c r="J70" s="36"/>
      <c r="K70" s="38"/>
      <c r="L70" s="2" t="str">
        <f>IF(K70='Risk Range &amp; Risk Matrix'!$G$12,'Risk Range &amp; Risk Matrix'!$H$12,IF(K70='Risk Range &amp; Risk Matrix'!$G$11,'Risk Range &amp; Risk Matrix'!$H$11,IF(K70='Risk Range &amp; Risk Matrix'!$G$10,'Risk Range &amp; Risk Matrix'!$H$10,IF(K70='Risk Range &amp; Risk Matrix'!$G$9,'Risk Range &amp; Risk Matrix'!$H$9,IF(K70='Risk Range &amp; Risk Matrix'!$G$8,'Risk Range &amp; Risk Matrix'!$H$8,"")))))</f>
        <v/>
      </c>
      <c r="M70" s="37"/>
      <c r="N70" s="37" t="str">
        <f>IF(M70='Risk Range &amp; Risk Matrix'!$I$6,'Risk Range &amp; Risk Matrix'!$I$7,IF(M70='Risk Range &amp; Risk Matrix'!$J$6,'Risk Range &amp; Risk Matrix'!$J$7,IF(M70='Risk Range &amp; Risk Matrix'!$K$6,'Risk Range &amp; Risk Matrix'!$K$7,IF(M70='Risk Range &amp; Risk Matrix'!$L$6,'Risk Range &amp; Risk Matrix'!$L$7,IF(M70='Risk Range &amp; Risk Matrix'!$M$6,'Risk Range &amp; Risk Matrix'!$M$7,"")))))</f>
        <v/>
      </c>
      <c r="O70" s="43" t="str">
        <f t="shared" si="4"/>
        <v>empty</v>
      </c>
      <c r="P70" s="39" t="str">
        <f t="shared" si="5"/>
        <v>empty</v>
      </c>
      <c r="Q70" s="3"/>
      <c r="R70" s="60"/>
      <c r="S70" s="38"/>
      <c r="T70" s="2" t="str">
        <f>IF(S70='Risk Range &amp; Risk Matrix'!$G$12,'Risk Range &amp; Risk Matrix'!$H$12,IF(S70='Risk Range &amp; Risk Matrix'!$G$11,'Risk Range &amp; Risk Matrix'!$H$11,IF(S70='Risk Range &amp; Risk Matrix'!$G$10,'Risk Range &amp; Risk Matrix'!$H$10,IF(S70='Risk Range &amp; Risk Matrix'!$G$9,'Risk Range &amp; Risk Matrix'!$H$9,IF(S70='Risk Range &amp; Risk Matrix'!$G$8,'Risk Range &amp; Risk Matrix'!$H$8,"")))))</f>
        <v/>
      </c>
      <c r="U70" s="37"/>
      <c r="V70" s="37" t="str">
        <f>IF(U70='Risk Range &amp; Risk Matrix'!$I$6,'Risk Range &amp; Risk Matrix'!$I$7,IF(U70='Risk Range &amp; Risk Matrix'!$J$6,'Risk Range &amp; Risk Matrix'!$J$7,IF(U70='Risk Range &amp; Risk Matrix'!$K$6,'Risk Range &amp; Risk Matrix'!$K$7,IF(U70='Risk Range &amp; Risk Matrix'!$L$6,'Risk Range &amp; Risk Matrix'!$L$7,IF(U70='Risk Range &amp; Risk Matrix'!$M$6,'Risk Range &amp; Risk Matrix'!$M$7,"")))))</f>
        <v/>
      </c>
      <c r="W70" s="43" t="str">
        <f t="shared" si="6"/>
        <v>empty</v>
      </c>
      <c r="X70" s="39" t="str">
        <f t="shared" si="7"/>
        <v>empty</v>
      </c>
      <c r="Y70" s="3"/>
      <c r="Z70" s="48"/>
      <c r="AA70" s="8"/>
      <c r="AB70" s="9"/>
      <c r="AC70" s="85"/>
    </row>
    <row r="71" spans="1:29">
      <c r="A71" s="85"/>
      <c r="B71" s="12" t="s">
        <v>134</v>
      </c>
      <c r="C71" s="2"/>
      <c r="D71" s="2"/>
      <c r="E71" s="2"/>
      <c r="F71" s="2"/>
      <c r="G71" s="4"/>
      <c r="H71" s="3"/>
      <c r="I71" s="2"/>
      <c r="J71" s="36"/>
      <c r="K71" s="38"/>
      <c r="L71" s="2" t="str">
        <f>IF(K71='Risk Range &amp; Risk Matrix'!$G$12,'Risk Range &amp; Risk Matrix'!$H$12,IF(K71='Risk Range &amp; Risk Matrix'!$G$11,'Risk Range &amp; Risk Matrix'!$H$11,IF(K71='Risk Range &amp; Risk Matrix'!$G$10,'Risk Range &amp; Risk Matrix'!$H$10,IF(K71='Risk Range &amp; Risk Matrix'!$G$9,'Risk Range &amp; Risk Matrix'!$H$9,IF(K71='Risk Range &amp; Risk Matrix'!$G$8,'Risk Range &amp; Risk Matrix'!$H$8,"")))))</f>
        <v/>
      </c>
      <c r="M71" s="37"/>
      <c r="N71" s="37" t="str">
        <f>IF(M71='Risk Range &amp; Risk Matrix'!$I$6,'Risk Range &amp; Risk Matrix'!$I$7,IF(M71='Risk Range &amp; Risk Matrix'!$J$6,'Risk Range &amp; Risk Matrix'!$J$7,IF(M71='Risk Range &amp; Risk Matrix'!$K$6,'Risk Range &amp; Risk Matrix'!$K$7,IF(M71='Risk Range &amp; Risk Matrix'!$L$6,'Risk Range &amp; Risk Matrix'!$L$7,IF(M71='Risk Range &amp; Risk Matrix'!$M$6,'Risk Range &amp; Risk Matrix'!$M$7,"")))))</f>
        <v/>
      </c>
      <c r="O71" s="43" t="str">
        <f t="shared" si="4"/>
        <v>empty</v>
      </c>
      <c r="P71" s="39" t="str">
        <f t="shared" si="5"/>
        <v>empty</v>
      </c>
      <c r="Q71" s="3"/>
      <c r="R71" s="60"/>
      <c r="S71" s="38"/>
      <c r="T71" s="2" t="str">
        <f>IF(S71='Risk Range &amp; Risk Matrix'!$G$12,'Risk Range &amp; Risk Matrix'!$H$12,IF(S71='Risk Range &amp; Risk Matrix'!$G$11,'Risk Range &amp; Risk Matrix'!$H$11,IF(S71='Risk Range &amp; Risk Matrix'!$G$10,'Risk Range &amp; Risk Matrix'!$H$10,IF(S71='Risk Range &amp; Risk Matrix'!$G$9,'Risk Range &amp; Risk Matrix'!$H$9,IF(S71='Risk Range &amp; Risk Matrix'!$G$8,'Risk Range &amp; Risk Matrix'!$H$8,"")))))</f>
        <v/>
      </c>
      <c r="U71" s="37"/>
      <c r="V71" s="37" t="str">
        <f>IF(U71='Risk Range &amp; Risk Matrix'!$I$6,'Risk Range &amp; Risk Matrix'!$I$7,IF(U71='Risk Range &amp; Risk Matrix'!$J$6,'Risk Range &amp; Risk Matrix'!$J$7,IF(U71='Risk Range &amp; Risk Matrix'!$K$6,'Risk Range &amp; Risk Matrix'!$K$7,IF(U71='Risk Range &amp; Risk Matrix'!$L$6,'Risk Range &amp; Risk Matrix'!$L$7,IF(U71='Risk Range &amp; Risk Matrix'!$M$6,'Risk Range &amp; Risk Matrix'!$M$7,"")))))</f>
        <v/>
      </c>
      <c r="W71" s="43" t="str">
        <f t="shared" si="6"/>
        <v>empty</v>
      </c>
      <c r="X71" s="39" t="str">
        <f t="shared" si="7"/>
        <v>empty</v>
      </c>
      <c r="Y71" s="3"/>
      <c r="Z71" s="48"/>
      <c r="AA71" s="8"/>
      <c r="AB71" s="9"/>
      <c r="AC71" s="85"/>
    </row>
    <row r="72" spans="1:29">
      <c r="A72" s="85"/>
      <c r="B72" s="4" t="s">
        <v>135</v>
      </c>
      <c r="C72" s="2"/>
      <c r="D72" s="2"/>
      <c r="E72" s="2"/>
      <c r="F72" s="2"/>
      <c r="G72" s="4"/>
      <c r="H72" s="3"/>
      <c r="I72" s="2"/>
      <c r="J72" s="36"/>
      <c r="K72" s="38"/>
      <c r="L72" s="2" t="str">
        <f>IF(K72='Risk Range &amp; Risk Matrix'!$G$12,'Risk Range &amp; Risk Matrix'!$H$12,IF(K72='Risk Range &amp; Risk Matrix'!$G$11,'Risk Range &amp; Risk Matrix'!$H$11,IF(K72='Risk Range &amp; Risk Matrix'!$G$10,'Risk Range &amp; Risk Matrix'!$H$10,IF(K72='Risk Range &amp; Risk Matrix'!$G$9,'Risk Range &amp; Risk Matrix'!$H$9,IF(K72='Risk Range &amp; Risk Matrix'!$G$8,'Risk Range &amp; Risk Matrix'!$H$8,"")))))</f>
        <v/>
      </c>
      <c r="M72" s="37"/>
      <c r="N72" s="37" t="str">
        <f>IF(M72='Risk Range &amp; Risk Matrix'!$I$6,'Risk Range &amp; Risk Matrix'!$I$7,IF(M72='Risk Range &amp; Risk Matrix'!$J$6,'Risk Range &amp; Risk Matrix'!$J$7,IF(M72='Risk Range &amp; Risk Matrix'!$K$6,'Risk Range &amp; Risk Matrix'!$K$7,IF(M72='Risk Range &amp; Risk Matrix'!$L$6,'Risk Range &amp; Risk Matrix'!$L$7,IF(M72='Risk Range &amp; Risk Matrix'!$M$6,'Risk Range &amp; Risk Matrix'!$M$7,"")))))</f>
        <v/>
      </c>
      <c r="O72" s="43" t="str">
        <f t="shared" si="4"/>
        <v>empty</v>
      </c>
      <c r="P72" s="39" t="str">
        <f t="shared" si="5"/>
        <v>empty</v>
      </c>
      <c r="Q72" s="3"/>
      <c r="R72" s="60"/>
      <c r="S72" s="38"/>
      <c r="T72" s="2" t="str">
        <f>IF(S72='Risk Range &amp; Risk Matrix'!$G$12,'Risk Range &amp; Risk Matrix'!$H$12,IF(S72='Risk Range &amp; Risk Matrix'!$G$11,'Risk Range &amp; Risk Matrix'!$H$11,IF(S72='Risk Range &amp; Risk Matrix'!$G$10,'Risk Range &amp; Risk Matrix'!$H$10,IF(S72='Risk Range &amp; Risk Matrix'!$G$9,'Risk Range &amp; Risk Matrix'!$H$9,IF(S72='Risk Range &amp; Risk Matrix'!$G$8,'Risk Range &amp; Risk Matrix'!$H$8,"")))))</f>
        <v/>
      </c>
      <c r="U72" s="37"/>
      <c r="V72" s="37" t="str">
        <f>IF(U72='Risk Range &amp; Risk Matrix'!$I$6,'Risk Range &amp; Risk Matrix'!$I$7,IF(U72='Risk Range &amp; Risk Matrix'!$J$6,'Risk Range &amp; Risk Matrix'!$J$7,IF(U72='Risk Range &amp; Risk Matrix'!$K$6,'Risk Range &amp; Risk Matrix'!$K$7,IF(U72='Risk Range &amp; Risk Matrix'!$L$6,'Risk Range &amp; Risk Matrix'!$L$7,IF(U72='Risk Range &amp; Risk Matrix'!$M$6,'Risk Range &amp; Risk Matrix'!$M$7,"")))))</f>
        <v/>
      </c>
      <c r="W72" s="43" t="str">
        <f t="shared" si="6"/>
        <v>empty</v>
      </c>
      <c r="X72" s="39" t="str">
        <f t="shared" si="7"/>
        <v>empty</v>
      </c>
      <c r="Y72" s="3"/>
      <c r="Z72" s="48"/>
      <c r="AA72" s="8"/>
      <c r="AB72" s="9"/>
      <c r="AC72" s="85"/>
    </row>
    <row r="73" spans="1:29">
      <c r="A73" s="85"/>
      <c r="B73" s="12" t="s">
        <v>136</v>
      </c>
      <c r="C73" s="2"/>
      <c r="D73" s="2"/>
      <c r="E73" s="2"/>
      <c r="F73" s="2"/>
      <c r="G73" s="4"/>
      <c r="H73" s="3"/>
      <c r="I73" s="2"/>
      <c r="J73" s="36"/>
      <c r="K73" s="38"/>
      <c r="L73" s="2" t="str">
        <f>IF(K73='Risk Range &amp; Risk Matrix'!$G$12,'Risk Range &amp; Risk Matrix'!$H$12,IF(K73='Risk Range &amp; Risk Matrix'!$G$11,'Risk Range &amp; Risk Matrix'!$H$11,IF(K73='Risk Range &amp; Risk Matrix'!$G$10,'Risk Range &amp; Risk Matrix'!$H$10,IF(K73='Risk Range &amp; Risk Matrix'!$G$9,'Risk Range &amp; Risk Matrix'!$H$9,IF(K73='Risk Range &amp; Risk Matrix'!$G$8,'Risk Range &amp; Risk Matrix'!$H$8,"")))))</f>
        <v/>
      </c>
      <c r="M73" s="37"/>
      <c r="N73" s="37" t="str">
        <f>IF(M73='Risk Range &amp; Risk Matrix'!$I$6,'Risk Range &amp; Risk Matrix'!$I$7,IF(M73='Risk Range &amp; Risk Matrix'!$J$6,'Risk Range &amp; Risk Matrix'!$J$7,IF(M73='Risk Range &amp; Risk Matrix'!$K$6,'Risk Range &amp; Risk Matrix'!$K$7,IF(M73='Risk Range &amp; Risk Matrix'!$L$6,'Risk Range &amp; Risk Matrix'!$L$7,IF(M73='Risk Range &amp; Risk Matrix'!$M$6,'Risk Range &amp; Risk Matrix'!$M$7,"")))))</f>
        <v/>
      </c>
      <c r="O73" s="43" t="str">
        <f t="shared" ref="O73:O104" si="8">IF(OR(L73="",N73=""),"empty",L73*N73)</f>
        <v>empty</v>
      </c>
      <c r="P73" s="39" t="str">
        <f t="shared" ref="P73:P104" si="9">O73</f>
        <v>empty</v>
      </c>
      <c r="Q73" s="3"/>
      <c r="R73" s="60"/>
      <c r="S73" s="38"/>
      <c r="T73" s="2" t="str">
        <f>IF(S73='Risk Range &amp; Risk Matrix'!$G$12,'Risk Range &amp; Risk Matrix'!$H$12,IF(S73='Risk Range &amp; Risk Matrix'!$G$11,'Risk Range &amp; Risk Matrix'!$H$11,IF(S73='Risk Range &amp; Risk Matrix'!$G$10,'Risk Range &amp; Risk Matrix'!$H$10,IF(S73='Risk Range &amp; Risk Matrix'!$G$9,'Risk Range &amp; Risk Matrix'!$H$9,IF(S73='Risk Range &amp; Risk Matrix'!$G$8,'Risk Range &amp; Risk Matrix'!$H$8,"")))))</f>
        <v/>
      </c>
      <c r="U73" s="37"/>
      <c r="V73" s="37" t="str">
        <f>IF(U73='Risk Range &amp; Risk Matrix'!$I$6,'Risk Range &amp; Risk Matrix'!$I$7,IF(U73='Risk Range &amp; Risk Matrix'!$J$6,'Risk Range &amp; Risk Matrix'!$J$7,IF(U73='Risk Range &amp; Risk Matrix'!$K$6,'Risk Range &amp; Risk Matrix'!$K$7,IF(U73='Risk Range &amp; Risk Matrix'!$L$6,'Risk Range &amp; Risk Matrix'!$L$7,IF(U73='Risk Range &amp; Risk Matrix'!$M$6,'Risk Range &amp; Risk Matrix'!$M$7,"")))))</f>
        <v/>
      </c>
      <c r="W73" s="43" t="str">
        <f t="shared" ref="W73:W104" si="10">IF(OR(T73="",V73=""),"empty",T73*V73)</f>
        <v>empty</v>
      </c>
      <c r="X73" s="39" t="str">
        <f t="shared" ref="X73:X104" si="11">W73</f>
        <v>empty</v>
      </c>
      <c r="Y73" s="3"/>
      <c r="Z73" s="48"/>
      <c r="AA73" s="8"/>
      <c r="AB73" s="9"/>
      <c r="AC73" s="85"/>
    </row>
    <row r="74" spans="1:29">
      <c r="A74" s="85"/>
      <c r="B74" s="4" t="s">
        <v>137</v>
      </c>
      <c r="C74" s="2"/>
      <c r="D74" s="2"/>
      <c r="E74" s="2"/>
      <c r="F74" s="2"/>
      <c r="G74" s="4"/>
      <c r="H74" s="3"/>
      <c r="I74" s="2"/>
      <c r="J74" s="36"/>
      <c r="K74" s="38"/>
      <c r="L74" s="2" t="str">
        <f>IF(K74='Risk Range &amp; Risk Matrix'!$G$12,'Risk Range &amp; Risk Matrix'!$H$12,IF(K74='Risk Range &amp; Risk Matrix'!$G$11,'Risk Range &amp; Risk Matrix'!$H$11,IF(K74='Risk Range &amp; Risk Matrix'!$G$10,'Risk Range &amp; Risk Matrix'!$H$10,IF(K74='Risk Range &amp; Risk Matrix'!$G$9,'Risk Range &amp; Risk Matrix'!$H$9,IF(K74='Risk Range &amp; Risk Matrix'!$G$8,'Risk Range &amp; Risk Matrix'!$H$8,"")))))</f>
        <v/>
      </c>
      <c r="M74" s="37"/>
      <c r="N74" s="37" t="str">
        <f>IF(M74='Risk Range &amp; Risk Matrix'!$I$6,'Risk Range &amp; Risk Matrix'!$I$7,IF(M74='Risk Range &amp; Risk Matrix'!$J$6,'Risk Range &amp; Risk Matrix'!$J$7,IF(M74='Risk Range &amp; Risk Matrix'!$K$6,'Risk Range &amp; Risk Matrix'!$K$7,IF(M74='Risk Range &amp; Risk Matrix'!$L$6,'Risk Range &amp; Risk Matrix'!$L$7,IF(M74='Risk Range &amp; Risk Matrix'!$M$6,'Risk Range &amp; Risk Matrix'!$M$7,"")))))</f>
        <v/>
      </c>
      <c r="O74" s="43" t="str">
        <f t="shared" si="8"/>
        <v>empty</v>
      </c>
      <c r="P74" s="39" t="str">
        <f t="shared" si="9"/>
        <v>empty</v>
      </c>
      <c r="Q74" s="3"/>
      <c r="R74" s="60"/>
      <c r="S74" s="38"/>
      <c r="T74" s="2" t="str">
        <f>IF(S74='Risk Range &amp; Risk Matrix'!$G$12,'Risk Range &amp; Risk Matrix'!$H$12,IF(S74='Risk Range &amp; Risk Matrix'!$G$11,'Risk Range &amp; Risk Matrix'!$H$11,IF(S74='Risk Range &amp; Risk Matrix'!$G$10,'Risk Range &amp; Risk Matrix'!$H$10,IF(S74='Risk Range &amp; Risk Matrix'!$G$9,'Risk Range &amp; Risk Matrix'!$H$9,IF(S74='Risk Range &amp; Risk Matrix'!$G$8,'Risk Range &amp; Risk Matrix'!$H$8,"")))))</f>
        <v/>
      </c>
      <c r="U74" s="37"/>
      <c r="V74" s="37" t="str">
        <f>IF(U74='Risk Range &amp; Risk Matrix'!$I$6,'Risk Range &amp; Risk Matrix'!$I$7,IF(U74='Risk Range &amp; Risk Matrix'!$J$6,'Risk Range &amp; Risk Matrix'!$J$7,IF(U74='Risk Range &amp; Risk Matrix'!$K$6,'Risk Range &amp; Risk Matrix'!$K$7,IF(U74='Risk Range &amp; Risk Matrix'!$L$6,'Risk Range &amp; Risk Matrix'!$L$7,IF(U74='Risk Range &amp; Risk Matrix'!$M$6,'Risk Range &amp; Risk Matrix'!$M$7,"")))))</f>
        <v/>
      </c>
      <c r="W74" s="43" t="str">
        <f t="shared" si="10"/>
        <v>empty</v>
      </c>
      <c r="X74" s="39" t="str">
        <f t="shared" si="11"/>
        <v>empty</v>
      </c>
      <c r="Y74" s="3"/>
      <c r="Z74" s="48"/>
      <c r="AA74" s="8"/>
      <c r="AB74" s="9"/>
      <c r="AC74" s="85"/>
    </row>
    <row r="75" spans="1:29">
      <c r="A75" s="85"/>
      <c r="B75" s="12" t="s">
        <v>138</v>
      </c>
      <c r="C75" s="2"/>
      <c r="D75" s="2"/>
      <c r="E75" s="2"/>
      <c r="F75" s="2"/>
      <c r="G75" s="4"/>
      <c r="H75" s="3"/>
      <c r="I75" s="2"/>
      <c r="J75" s="36"/>
      <c r="K75" s="38"/>
      <c r="L75" s="2" t="str">
        <f>IF(K75='Risk Range &amp; Risk Matrix'!$G$12,'Risk Range &amp; Risk Matrix'!$H$12,IF(K75='Risk Range &amp; Risk Matrix'!$G$11,'Risk Range &amp; Risk Matrix'!$H$11,IF(K75='Risk Range &amp; Risk Matrix'!$G$10,'Risk Range &amp; Risk Matrix'!$H$10,IF(K75='Risk Range &amp; Risk Matrix'!$G$9,'Risk Range &amp; Risk Matrix'!$H$9,IF(K75='Risk Range &amp; Risk Matrix'!$G$8,'Risk Range &amp; Risk Matrix'!$H$8,"")))))</f>
        <v/>
      </c>
      <c r="M75" s="37"/>
      <c r="N75" s="37" t="str">
        <f>IF(M75='Risk Range &amp; Risk Matrix'!$I$6,'Risk Range &amp; Risk Matrix'!$I$7,IF(M75='Risk Range &amp; Risk Matrix'!$J$6,'Risk Range &amp; Risk Matrix'!$J$7,IF(M75='Risk Range &amp; Risk Matrix'!$K$6,'Risk Range &amp; Risk Matrix'!$K$7,IF(M75='Risk Range &amp; Risk Matrix'!$L$6,'Risk Range &amp; Risk Matrix'!$L$7,IF(M75='Risk Range &amp; Risk Matrix'!$M$6,'Risk Range &amp; Risk Matrix'!$M$7,"")))))</f>
        <v/>
      </c>
      <c r="O75" s="43" t="str">
        <f t="shared" si="8"/>
        <v>empty</v>
      </c>
      <c r="P75" s="39" t="str">
        <f t="shared" si="9"/>
        <v>empty</v>
      </c>
      <c r="Q75" s="3"/>
      <c r="R75" s="60"/>
      <c r="S75" s="38"/>
      <c r="T75" s="2" t="str">
        <f>IF(S75='Risk Range &amp; Risk Matrix'!$G$12,'Risk Range &amp; Risk Matrix'!$H$12,IF(S75='Risk Range &amp; Risk Matrix'!$G$11,'Risk Range &amp; Risk Matrix'!$H$11,IF(S75='Risk Range &amp; Risk Matrix'!$G$10,'Risk Range &amp; Risk Matrix'!$H$10,IF(S75='Risk Range &amp; Risk Matrix'!$G$9,'Risk Range &amp; Risk Matrix'!$H$9,IF(S75='Risk Range &amp; Risk Matrix'!$G$8,'Risk Range &amp; Risk Matrix'!$H$8,"")))))</f>
        <v/>
      </c>
      <c r="U75" s="37"/>
      <c r="V75" s="37" t="str">
        <f>IF(U75='Risk Range &amp; Risk Matrix'!$I$6,'Risk Range &amp; Risk Matrix'!$I$7,IF(U75='Risk Range &amp; Risk Matrix'!$J$6,'Risk Range &amp; Risk Matrix'!$J$7,IF(U75='Risk Range &amp; Risk Matrix'!$K$6,'Risk Range &amp; Risk Matrix'!$K$7,IF(U75='Risk Range &amp; Risk Matrix'!$L$6,'Risk Range &amp; Risk Matrix'!$L$7,IF(U75='Risk Range &amp; Risk Matrix'!$M$6,'Risk Range &amp; Risk Matrix'!$M$7,"")))))</f>
        <v/>
      </c>
      <c r="W75" s="43" t="str">
        <f t="shared" si="10"/>
        <v>empty</v>
      </c>
      <c r="X75" s="39" t="str">
        <f t="shared" si="11"/>
        <v>empty</v>
      </c>
      <c r="Y75" s="3"/>
      <c r="Z75" s="48"/>
      <c r="AA75" s="8"/>
      <c r="AB75" s="9"/>
      <c r="AC75" s="85"/>
    </row>
    <row r="76" spans="1:29">
      <c r="A76" s="85"/>
      <c r="B76" s="4" t="s">
        <v>139</v>
      </c>
      <c r="C76" s="2"/>
      <c r="D76" s="2"/>
      <c r="E76" s="2"/>
      <c r="F76" s="2"/>
      <c r="G76" s="4"/>
      <c r="H76" s="3"/>
      <c r="I76" s="2"/>
      <c r="J76" s="36"/>
      <c r="K76" s="38"/>
      <c r="L76" s="2" t="str">
        <f>IF(K76='Risk Range &amp; Risk Matrix'!$G$12,'Risk Range &amp; Risk Matrix'!$H$12,IF(K76='Risk Range &amp; Risk Matrix'!$G$11,'Risk Range &amp; Risk Matrix'!$H$11,IF(K76='Risk Range &amp; Risk Matrix'!$G$10,'Risk Range &amp; Risk Matrix'!$H$10,IF(K76='Risk Range &amp; Risk Matrix'!$G$9,'Risk Range &amp; Risk Matrix'!$H$9,IF(K76='Risk Range &amp; Risk Matrix'!$G$8,'Risk Range &amp; Risk Matrix'!$H$8,"")))))</f>
        <v/>
      </c>
      <c r="M76" s="37"/>
      <c r="N76" s="37" t="str">
        <f>IF(M76='Risk Range &amp; Risk Matrix'!$I$6,'Risk Range &amp; Risk Matrix'!$I$7,IF(M76='Risk Range &amp; Risk Matrix'!$J$6,'Risk Range &amp; Risk Matrix'!$J$7,IF(M76='Risk Range &amp; Risk Matrix'!$K$6,'Risk Range &amp; Risk Matrix'!$K$7,IF(M76='Risk Range &amp; Risk Matrix'!$L$6,'Risk Range &amp; Risk Matrix'!$L$7,IF(M76='Risk Range &amp; Risk Matrix'!$M$6,'Risk Range &amp; Risk Matrix'!$M$7,"")))))</f>
        <v/>
      </c>
      <c r="O76" s="43" t="str">
        <f t="shared" si="8"/>
        <v>empty</v>
      </c>
      <c r="P76" s="39" t="str">
        <f t="shared" si="9"/>
        <v>empty</v>
      </c>
      <c r="Q76" s="3"/>
      <c r="R76" s="60"/>
      <c r="S76" s="38"/>
      <c r="T76" s="2" t="str">
        <f>IF(S76='Risk Range &amp; Risk Matrix'!$G$12,'Risk Range &amp; Risk Matrix'!$H$12,IF(S76='Risk Range &amp; Risk Matrix'!$G$11,'Risk Range &amp; Risk Matrix'!$H$11,IF(S76='Risk Range &amp; Risk Matrix'!$G$10,'Risk Range &amp; Risk Matrix'!$H$10,IF(S76='Risk Range &amp; Risk Matrix'!$G$9,'Risk Range &amp; Risk Matrix'!$H$9,IF(S76='Risk Range &amp; Risk Matrix'!$G$8,'Risk Range &amp; Risk Matrix'!$H$8,"")))))</f>
        <v/>
      </c>
      <c r="U76" s="37"/>
      <c r="V76" s="37" t="str">
        <f>IF(U76='Risk Range &amp; Risk Matrix'!$I$6,'Risk Range &amp; Risk Matrix'!$I$7,IF(U76='Risk Range &amp; Risk Matrix'!$J$6,'Risk Range &amp; Risk Matrix'!$J$7,IF(U76='Risk Range &amp; Risk Matrix'!$K$6,'Risk Range &amp; Risk Matrix'!$K$7,IF(U76='Risk Range &amp; Risk Matrix'!$L$6,'Risk Range &amp; Risk Matrix'!$L$7,IF(U76='Risk Range &amp; Risk Matrix'!$M$6,'Risk Range &amp; Risk Matrix'!$M$7,"")))))</f>
        <v/>
      </c>
      <c r="W76" s="43" t="str">
        <f t="shared" si="10"/>
        <v>empty</v>
      </c>
      <c r="X76" s="39" t="str">
        <f t="shared" si="11"/>
        <v>empty</v>
      </c>
      <c r="Y76" s="3"/>
      <c r="Z76" s="48"/>
      <c r="AA76" s="8"/>
      <c r="AB76" s="9"/>
      <c r="AC76" s="85"/>
    </row>
    <row r="77" spans="1:29">
      <c r="A77" s="85"/>
      <c r="B77" s="12" t="s">
        <v>140</v>
      </c>
      <c r="C77" s="2"/>
      <c r="D77" s="2"/>
      <c r="E77" s="2"/>
      <c r="F77" s="2"/>
      <c r="G77" s="4"/>
      <c r="H77" s="3"/>
      <c r="I77" s="2"/>
      <c r="J77" s="36"/>
      <c r="K77" s="38"/>
      <c r="L77" s="2" t="str">
        <f>IF(K77='Risk Range &amp; Risk Matrix'!$G$12,'Risk Range &amp; Risk Matrix'!$H$12,IF(K77='Risk Range &amp; Risk Matrix'!$G$11,'Risk Range &amp; Risk Matrix'!$H$11,IF(K77='Risk Range &amp; Risk Matrix'!$G$10,'Risk Range &amp; Risk Matrix'!$H$10,IF(K77='Risk Range &amp; Risk Matrix'!$G$9,'Risk Range &amp; Risk Matrix'!$H$9,IF(K77='Risk Range &amp; Risk Matrix'!$G$8,'Risk Range &amp; Risk Matrix'!$H$8,"")))))</f>
        <v/>
      </c>
      <c r="M77" s="37"/>
      <c r="N77" s="37" t="str">
        <f>IF(M77='Risk Range &amp; Risk Matrix'!$I$6,'Risk Range &amp; Risk Matrix'!$I$7,IF(M77='Risk Range &amp; Risk Matrix'!$J$6,'Risk Range &amp; Risk Matrix'!$J$7,IF(M77='Risk Range &amp; Risk Matrix'!$K$6,'Risk Range &amp; Risk Matrix'!$K$7,IF(M77='Risk Range &amp; Risk Matrix'!$L$6,'Risk Range &amp; Risk Matrix'!$L$7,IF(M77='Risk Range &amp; Risk Matrix'!$M$6,'Risk Range &amp; Risk Matrix'!$M$7,"")))))</f>
        <v/>
      </c>
      <c r="O77" s="43" t="str">
        <f t="shared" si="8"/>
        <v>empty</v>
      </c>
      <c r="P77" s="39" t="str">
        <f t="shared" si="9"/>
        <v>empty</v>
      </c>
      <c r="Q77" s="3"/>
      <c r="R77" s="60"/>
      <c r="S77" s="38"/>
      <c r="T77" s="2" t="str">
        <f>IF(S77='Risk Range &amp; Risk Matrix'!$G$12,'Risk Range &amp; Risk Matrix'!$H$12,IF(S77='Risk Range &amp; Risk Matrix'!$G$11,'Risk Range &amp; Risk Matrix'!$H$11,IF(S77='Risk Range &amp; Risk Matrix'!$G$10,'Risk Range &amp; Risk Matrix'!$H$10,IF(S77='Risk Range &amp; Risk Matrix'!$G$9,'Risk Range &amp; Risk Matrix'!$H$9,IF(S77='Risk Range &amp; Risk Matrix'!$G$8,'Risk Range &amp; Risk Matrix'!$H$8,"")))))</f>
        <v/>
      </c>
      <c r="U77" s="37"/>
      <c r="V77" s="37" t="str">
        <f>IF(U77='Risk Range &amp; Risk Matrix'!$I$6,'Risk Range &amp; Risk Matrix'!$I$7,IF(U77='Risk Range &amp; Risk Matrix'!$J$6,'Risk Range &amp; Risk Matrix'!$J$7,IF(U77='Risk Range &amp; Risk Matrix'!$K$6,'Risk Range &amp; Risk Matrix'!$K$7,IF(U77='Risk Range &amp; Risk Matrix'!$L$6,'Risk Range &amp; Risk Matrix'!$L$7,IF(U77='Risk Range &amp; Risk Matrix'!$M$6,'Risk Range &amp; Risk Matrix'!$M$7,"")))))</f>
        <v/>
      </c>
      <c r="W77" s="43" t="str">
        <f t="shared" si="10"/>
        <v>empty</v>
      </c>
      <c r="X77" s="39" t="str">
        <f t="shared" si="11"/>
        <v>empty</v>
      </c>
      <c r="Y77" s="3"/>
      <c r="Z77" s="48"/>
      <c r="AA77" s="8"/>
      <c r="AB77" s="9"/>
      <c r="AC77" s="85"/>
    </row>
    <row r="78" spans="1:29">
      <c r="A78" s="85"/>
      <c r="B78" s="4" t="s">
        <v>141</v>
      </c>
      <c r="C78" s="2"/>
      <c r="D78" s="2"/>
      <c r="E78" s="2"/>
      <c r="F78" s="2"/>
      <c r="G78" s="4"/>
      <c r="H78" s="3"/>
      <c r="I78" s="2"/>
      <c r="J78" s="36"/>
      <c r="K78" s="38"/>
      <c r="L78" s="2" t="str">
        <f>IF(K78='Risk Range &amp; Risk Matrix'!$G$12,'Risk Range &amp; Risk Matrix'!$H$12,IF(K78='Risk Range &amp; Risk Matrix'!$G$11,'Risk Range &amp; Risk Matrix'!$H$11,IF(K78='Risk Range &amp; Risk Matrix'!$G$10,'Risk Range &amp; Risk Matrix'!$H$10,IF(K78='Risk Range &amp; Risk Matrix'!$G$9,'Risk Range &amp; Risk Matrix'!$H$9,IF(K78='Risk Range &amp; Risk Matrix'!$G$8,'Risk Range &amp; Risk Matrix'!$H$8,"")))))</f>
        <v/>
      </c>
      <c r="M78" s="37"/>
      <c r="N78" s="37" t="str">
        <f>IF(M78='Risk Range &amp; Risk Matrix'!$I$6,'Risk Range &amp; Risk Matrix'!$I$7,IF(M78='Risk Range &amp; Risk Matrix'!$J$6,'Risk Range &amp; Risk Matrix'!$J$7,IF(M78='Risk Range &amp; Risk Matrix'!$K$6,'Risk Range &amp; Risk Matrix'!$K$7,IF(M78='Risk Range &amp; Risk Matrix'!$L$6,'Risk Range &amp; Risk Matrix'!$L$7,IF(M78='Risk Range &amp; Risk Matrix'!$M$6,'Risk Range &amp; Risk Matrix'!$M$7,"")))))</f>
        <v/>
      </c>
      <c r="O78" s="43" t="str">
        <f t="shared" si="8"/>
        <v>empty</v>
      </c>
      <c r="P78" s="39" t="str">
        <f t="shared" si="9"/>
        <v>empty</v>
      </c>
      <c r="Q78" s="3"/>
      <c r="R78" s="60"/>
      <c r="S78" s="38"/>
      <c r="T78" s="2" t="str">
        <f>IF(S78='Risk Range &amp; Risk Matrix'!$G$12,'Risk Range &amp; Risk Matrix'!$H$12,IF(S78='Risk Range &amp; Risk Matrix'!$G$11,'Risk Range &amp; Risk Matrix'!$H$11,IF(S78='Risk Range &amp; Risk Matrix'!$G$10,'Risk Range &amp; Risk Matrix'!$H$10,IF(S78='Risk Range &amp; Risk Matrix'!$G$9,'Risk Range &amp; Risk Matrix'!$H$9,IF(S78='Risk Range &amp; Risk Matrix'!$G$8,'Risk Range &amp; Risk Matrix'!$H$8,"")))))</f>
        <v/>
      </c>
      <c r="U78" s="37"/>
      <c r="V78" s="37" t="str">
        <f>IF(U78='Risk Range &amp; Risk Matrix'!$I$6,'Risk Range &amp; Risk Matrix'!$I$7,IF(U78='Risk Range &amp; Risk Matrix'!$J$6,'Risk Range &amp; Risk Matrix'!$J$7,IF(U78='Risk Range &amp; Risk Matrix'!$K$6,'Risk Range &amp; Risk Matrix'!$K$7,IF(U78='Risk Range &amp; Risk Matrix'!$L$6,'Risk Range &amp; Risk Matrix'!$L$7,IF(U78='Risk Range &amp; Risk Matrix'!$M$6,'Risk Range &amp; Risk Matrix'!$M$7,"")))))</f>
        <v/>
      </c>
      <c r="W78" s="43" t="str">
        <f t="shared" si="10"/>
        <v>empty</v>
      </c>
      <c r="X78" s="39" t="str">
        <f t="shared" si="11"/>
        <v>empty</v>
      </c>
      <c r="Y78" s="3"/>
      <c r="Z78" s="48"/>
      <c r="AA78" s="8"/>
      <c r="AB78" s="9"/>
      <c r="AC78" s="85"/>
    </row>
    <row r="79" spans="1:29">
      <c r="A79" s="85"/>
      <c r="B79" s="12" t="s">
        <v>142</v>
      </c>
      <c r="C79" s="2"/>
      <c r="D79" s="2"/>
      <c r="E79" s="2"/>
      <c r="F79" s="2"/>
      <c r="G79" s="4"/>
      <c r="H79" s="3"/>
      <c r="I79" s="2"/>
      <c r="J79" s="36"/>
      <c r="K79" s="38"/>
      <c r="L79" s="2" t="str">
        <f>IF(K79='Risk Range &amp; Risk Matrix'!$G$12,'Risk Range &amp; Risk Matrix'!$H$12,IF(K79='Risk Range &amp; Risk Matrix'!$G$11,'Risk Range &amp; Risk Matrix'!$H$11,IF(K79='Risk Range &amp; Risk Matrix'!$G$10,'Risk Range &amp; Risk Matrix'!$H$10,IF(K79='Risk Range &amp; Risk Matrix'!$G$9,'Risk Range &amp; Risk Matrix'!$H$9,IF(K79='Risk Range &amp; Risk Matrix'!$G$8,'Risk Range &amp; Risk Matrix'!$H$8,"")))))</f>
        <v/>
      </c>
      <c r="M79" s="37"/>
      <c r="N79" s="37" t="str">
        <f>IF(M79='Risk Range &amp; Risk Matrix'!$I$6,'Risk Range &amp; Risk Matrix'!$I$7,IF(M79='Risk Range &amp; Risk Matrix'!$J$6,'Risk Range &amp; Risk Matrix'!$J$7,IF(M79='Risk Range &amp; Risk Matrix'!$K$6,'Risk Range &amp; Risk Matrix'!$K$7,IF(M79='Risk Range &amp; Risk Matrix'!$L$6,'Risk Range &amp; Risk Matrix'!$L$7,IF(M79='Risk Range &amp; Risk Matrix'!$M$6,'Risk Range &amp; Risk Matrix'!$M$7,"")))))</f>
        <v/>
      </c>
      <c r="O79" s="43" t="str">
        <f t="shared" si="8"/>
        <v>empty</v>
      </c>
      <c r="P79" s="39" t="str">
        <f t="shared" si="9"/>
        <v>empty</v>
      </c>
      <c r="Q79" s="3"/>
      <c r="R79" s="60"/>
      <c r="S79" s="38"/>
      <c r="T79" s="2" t="str">
        <f>IF(S79='Risk Range &amp; Risk Matrix'!$G$12,'Risk Range &amp; Risk Matrix'!$H$12,IF(S79='Risk Range &amp; Risk Matrix'!$G$11,'Risk Range &amp; Risk Matrix'!$H$11,IF(S79='Risk Range &amp; Risk Matrix'!$G$10,'Risk Range &amp; Risk Matrix'!$H$10,IF(S79='Risk Range &amp; Risk Matrix'!$G$9,'Risk Range &amp; Risk Matrix'!$H$9,IF(S79='Risk Range &amp; Risk Matrix'!$G$8,'Risk Range &amp; Risk Matrix'!$H$8,"")))))</f>
        <v/>
      </c>
      <c r="U79" s="37"/>
      <c r="V79" s="37" t="str">
        <f>IF(U79='Risk Range &amp; Risk Matrix'!$I$6,'Risk Range &amp; Risk Matrix'!$I$7,IF(U79='Risk Range &amp; Risk Matrix'!$J$6,'Risk Range &amp; Risk Matrix'!$J$7,IF(U79='Risk Range &amp; Risk Matrix'!$K$6,'Risk Range &amp; Risk Matrix'!$K$7,IF(U79='Risk Range &amp; Risk Matrix'!$L$6,'Risk Range &amp; Risk Matrix'!$L$7,IF(U79='Risk Range &amp; Risk Matrix'!$M$6,'Risk Range &amp; Risk Matrix'!$M$7,"")))))</f>
        <v/>
      </c>
      <c r="W79" s="43" t="str">
        <f t="shared" si="10"/>
        <v>empty</v>
      </c>
      <c r="X79" s="39" t="str">
        <f t="shared" si="11"/>
        <v>empty</v>
      </c>
      <c r="Y79" s="3"/>
      <c r="Z79" s="48"/>
      <c r="AA79" s="8"/>
      <c r="AB79" s="9"/>
      <c r="AC79" s="85"/>
    </row>
    <row r="80" spans="1:29">
      <c r="A80" s="85"/>
      <c r="B80" s="4" t="s">
        <v>143</v>
      </c>
      <c r="C80" s="2"/>
      <c r="D80" s="2"/>
      <c r="E80" s="2"/>
      <c r="F80" s="2"/>
      <c r="G80" s="4"/>
      <c r="H80" s="3"/>
      <c r="I80" s="2"/>
      <c r="J80" s="36"/>
      <c r="K80" s="38"/>
      <c r="L80" s="2" t="str">
        <f>IF(K80='Risk Range &amp; Risk Matrix'!$G$12,'Risk Range &amp; Risk Matrix'!$H$12,IF(K80='Risk Range &amp; Risk Matrix'!$G$11,'Risk Range &amp; Risk Matrix'!$H$11,IF(K80='Risk Range &amp; Risk Matrix'!$G$10,'Risk Range &amp; Risk Matrix'!$H$10,IF(K80='Risk Range &amp; Risk Matrix'!$G$9,'Risk Range &amp; Risk Matrix'!$H$9,IF(K80='Risk Range &amp; Risk Matrix'!$G$8,'Risk Range &amp; Risk Matrix'!$H$8,"")))))</f>
        <v/>
      </c>
      <c r="M80" s="37"/>
      <c r="N80" s="37" t="str">
        <f>IF(M80='Risk Range &amp; Risk Matrix'!$I$6,'Risk Range &amp; Risk Matrix'!$I$7,IF(M80='Risk Range &amp; Risk Matrix'!$J$6,'Risk Range &amp; Risk Matrix'!$J$7,IF(M80='Risk Range &amp; Risk Matrix'!$K$6,'Risk Range &amp; Risk Matrix'!$K$7,IF(M80='Risk Range &amp; Risk Matrix'!$L$6,'Risk Range &amp; Risk Matrix'!$L$7,IF(M80='Risk Range &amp; Risk Matrix'!$M$6,'Risk Range &amp; Risk Matrix'!$M$7,"")))))</f>
        <v/>
      </c>
      <c r="O80" s="43" t="str">
        <f t="shared" si="8"/>
        <v>empty</v>
      </c>
      <c r="P80" s="39" t="str">
        <f t="shared" si="9"/>
        <v>empty</v>
      </c>
      <c r="Q80" s="3"/>
      <c r="R80" s="60"/>
      <c r="S80" s="38"/>
      <c r="T80" s="2" t="str">
        <f>IF(S80='Risk Range &amp; Risk Matrix'!$G$12,'Risk Range &amp; Risk Matrix'!$H$12,IF(S80='Risk Range &amp; Risk Matrix'!$G$11,'Risk Range &amp; Risk Matrix'!$H$11,IF(S80='Risk Range &amp; Risk Matrix'!$G$10,'Risk Range &amp; Risk Matrix'!$H$10,IF(S80='Risk Range &amp; Risk Matrix'!$G$9,'Risk Range &amp; Risk Matrix'!$H$9,IF(S80='Risk Range &amp; Risk Matrix'!$G$8,'Risk Range &amp; Risk Matrix'!$H$8,"")))))</f>
        <v/>
      </c>
      <c r="U80" s="37"/>
      <c r="V80" s="37" t="str">
        <f>IF(U80='Risk Range &amp; Risk Matrix'!$I$6,'Risk Range &amp; Risk Matrix'!$I$7,IF(U80='Risk Range &amp; Risk Matrix'!$J$6,'Risk Range &amp; Risk Matrix'!$J$7,IF(U80='Risk Range &amp; Risk Matrix'!$K$6,'Risk Range &amp; Risk Matrix'!$K$7,IF(U80='Risk Range &amp; Risk Matrix'!$L$6,'Risk Range &amp; Risk Matrix'!$L$7,IF(U80='Risk Range &amp; Risk Matrix'!$M$6,'Risk Range &amp; Risk Matrix'!$M$7,"")))))</f>
        <v/>
      </c>
      <c r="W80" s="43" t="str">
        <f t="shared" si="10"/>
        <v>empty</v>
      </c>
      <c r="X80" s="39" t="str">
        <f t="shared" si="11"/>
        <v>empty</v>
      </c>
      <c r="Y80" s="3"/>
      <c r="Z80" s="48"/>
      <c r="AA80" s="8"/>
      <c r="AB80" s="9"/>
      <c r="AC80" s="85"/>
    </row>
    <row r="81" spans="1:29">
      <c r="A81" s="85"/>
      <c r="B81" s="12" t="s">
        <v>144</v>
      </c>
      <c r="C81" s="2"/>
      <c r="D81" s="2"/>
      <c r="E81" s="2"/>
      <c r="F81" s="2"/>
      <c r="G81" s="4"/>
      <c r="H81" s="3"/>
      <c r="I81" s="2"/>
      <c r="J81" s="36"/>
      <c r="K81" s="38"/>
      <c r="L81" s="2" t="str">
        <f>IF(K81='Risk Range &amp; Risk Matrix'!$G$12,'Risk Range &amp; Risk Matrix'!$H$12,IF(K81='Risk Range &amp; Risk Matrix'!$G$11,'Risk Range &amp; Risk Matrix'!$H$11,IF(K81='Risk Range &amp; Risk Matrix'!$G$10,'Risk Range &amp; Risk Matrix'!$H$10,IF(K81='Risk Range &amp; Risk Matrix'!$G$9,'Risk Range &amp; Risk Matrix'!$H$9,IF(K81='Risk Range &amp; Risk Matrix'!$G$8,'Risk Range &amp; Risk Matrix'!$H$8,"")))))</f>
        <v/>
      </c>
      <c r="M81" s="37"/>
      <c r="N81" s="37" t="str">
        <f>IF(M81='Risk Range &amp; Risk Matrix'!$I$6,'Risk Range &amp; Risk Matrix'!$I$7,IF(M81='Risk Range &amp; Risk Matrix'!$J$6,'Risk Range &amp; Risk Matrix'!$J$7,IF(M81='Risk Range &amp; Risk Matrix'!$K$6,'Risk Range &amp; Risk Matrix'!$K$7,IF(M81='Risk Range &amp; Risk Matrix'!$L$6,'Risk Range &amp; Risk Matrix'!$L$7,IF(M81='Risk Range &amp; Risk Matrix'!$M$6,'Risk Range &amp; Risk Matrix'!$M$7,"")))))</f>
        <v/>
      </c>
      <c r="O81" s="43" t="str">
        <f t="shared" si="8"/>
        <v>empty</v>
      </c>
      <c r="P81" s="39" t="str">
        <f t="shared" si="9"/>
        <v>empty</v>
      </c>
      <c r="Q81" s="3"/>
      <c r="R81" s="60"/>
      <c r="S81" s="38"/>
      <c r="T81" s="2" t="str">
        <f>IF(S81='Risk Range &amp; Risk Matrix'!$G$12,'Risk Range &amp; Risk Matrix'!$H$12,IF(S81='Risk Range &amp; Risk Matrix'!$G$11,'Risk Range &amp; Risk Matrix'!$H$11,IF(S81='Risk Range &amp; Risk Matrix'!$G$10,'Risk Range &amp; Risk Matrix'!$H$10,IF(S81='Risk Range &amp; Risk Matrix'!$G$9,'Risk Range &amp; Risk Matrix'!$H$9,IF(S81='Risk Range &amp; Risk Matrix'!$G$8,'Risk Range &amp; Risk Matrix'!$H$8,"")))))</f>
        <v/>
      </c>
      <c r="U81" s="37"/>
      <c r="V81" s="37" t="str">
        <f>IF(U81='Risk Range &amp; Risk Matrix'!$I$6,'Risk Range &amp; Risk Matrix'!$I$7,IF(U81='Risk Range &amp; Risk Matrix'!$J$6,'Risk Range &amp; Risk Matrix'!$J$7,IF(U81='Risk Range &amp; Risk Matrix'!$K$6,'Risk Range &amp; Risk Matrix'!$K$7,IF(U81='Risk Range &amp; Risk Matrix'!$L$6,'Risk Range &amp; Risk Matrix'!$L$7,IF(U81='Risk Range &amp; Risk Matrix'!$M$6,'Risk Range &amp; Risk Matrix'!$M$7,"")))))</f>
        <v/>
      </c>
      <c r="W81" s="43" t="str">
        <f t="shared" si="10"/>
        <v>empty</v>
      </c>
      <c r="X81" s="39" t="str">
        <f t="shared" si="11"/>
        <v>empty</v>
      </c>
      <c r="Y81" s="3"/>
      <c r="Z81" s="48"/>
      <c r="AA81" s="8"/>
      <c r="AB81" s="9"/>
      <c r="AC81" s="85"/>
    </row>
    <row r="82" spans="1:29">
      <c r="A82" s="85"/>
      <c r="B82" s="4" t="s">
        <v>145</v>
      </c>
      <c r="C82" s="2"/>
      <c r="D82" s="2"/>
      <c r="E82" s="2"/>
      <c r="F82" s="2"/>
      <c r="G82" s="4"/>
      <c r="H82" s="3"/>
      <c r="I82" s="2"/>
      <c r="J82" s="36"/>
      <c r="K82" s="38"/>
      <c r="L82" s="2" t="str">
        <f>IF(K82='Risk Range &amp; Risk Matrix'!$G$12,'Risk Range &amp; Risk Matrix'!$H$12,IF(K82='Risk Range &amp; Risk Matrix'!$G$11,'Risk Range &amp; Risk Matrix'!$H$11,IF(K82='Risk Range &amp; Risk Matrix'!$G$10,'Risk Range &amp; Risk Matrix'!$H$10,IF(K82='Risk Range &amp; Risk Matrix'!$G$9,'Risk Range &amp; Risk Matrix'!$H$9,IF(K82='Risk Range &amp; Risk Matrix'!$G$8,'Risk Range &amp; Risk Matrix'!$H$8,"")))))</f>
        <v/>
      </c>
      <c r="M82" s="37"/>
      <c r="N82" s="37" t="str">
        <f>IF(M82='Risk Range &amp; Risk Matrix'!$I$6,'Risk Range &amp; Risk Matrix'!$I$7,IF(M82='Risk Range &amp; Risk Matrix'!$J$6,'Risk Range &amp; Risk Matrix'!$J$7,IF(M82='Risk Range &amp; Risk Matrix'!$K$6,'Risk Range &amp; Risk Matrix'!$K$7,IF(M82='Risk Range &amp; Risk Matrix'!$L$6,'Risk Range &amp; Risk Matrix'!$L$7,IF(M82='Risk Range &amp; Risk Matrix'!$M$6,'Risk Range &amp; Risk Matrix'!$M$7,"")))))</f>
        <v/>
      </c>
      <c r="O82" s="43" t="str">
        <f t="shared" si="8"/>
        <v>empty</v>
      </c>
      <c r="P82" s="39" t="str">
        <f t="shared" si="9"/>
        <v>empty</v>
      </c>
      <c r="Q82" s="3"/>
      <c r="R82" s="60"/>
      <c r="S82" s="38"/>
      <c r="T82" s="2" t="str">
        <f>IF(S82='Risk Range &amp; Risk Matrix'!$G$12,'Risk Range &amp; Risk Matrix'!$H$12,IF(S82='Risk Range &amp; Risk Matrix'!$G$11,'Risk Range &amp; Risk Matrix'!$H$11,IF(S82='Risk Range &amp; Risk Matrix'!$G$10,'Risk Range &amp; Risk Matrix'!$H$10,IF(S82='Risk Range &amp; Risk Matrix'!$G$9,'Risk Range &amp; Risk Matrix'!$H$9,IF(S82='Risk Range &amp; Risk Matrix'!$G$8,'Risk Range &amp; Risk Matrix'!$H$8,"")))))</f>
        <v/>
      </c>
      <c r="U82" s="37"/>
      <c r="V82" s="37" t="str">
        <f>IF(U82='Risk Range &amp; Risk Matrix'!$I$6,'Risk Range &amp; Risk Matrix'!$I$7,IF(U82='Risk Range &amp; Risk Matrix'!$J$6,'Risk Range &amp; Risk Matrix'!$J$7,IF(U82='Risk Range &amp; Risk Matrix'!$K$6,'Risk Range &amp; Risk Matrix'!$K$7,IF(U82='Risk Range &amp; Risk Matrix'!$L$6,'Risk Range &amp; Risk Matrix'!$L$7,IF(U82='Risk Range &amp; Risk Matrix'!$M$6,'Risk Range &amp; Risk Matrix'!$M$7,"")))))</f>
        <v/>
      </c>
      <c r="W82" s="43" t="str">
        <f t="shared" si="10"/>
        <v>empty</v>
      </c>
      <c r="X82" s="39" t="str">
        <f t="shared" si="11"/>
        <v>empty</v>
      </c>
      <c r="Y82" s="3"/>
      <c r="Z82" s="48"/>
      <c r="AA82" s="8"/>
      <c r="AB82" s="9"/>
      <c r="AC82" s="85"/>
    </row>
    <row r="83" spans="1:29">
      <c r="A83" s="85"/>
      <c r="B83" s="12" t="s">
        <v>146</v>
      </c>
      <c r="C83" s="2"/>
      <c r="D83" s="2"/>
      <c r="E83" s="2"/>
      <c r="F83" s="2"/>
      <c r="G83" s="4"/>
      <c r="H83" s="3"/>
      <c r="I83" s="2"/>
      <c r="J83" s="36"/>
      <c r="K83" s="38"/>
      <c r="L83" s="2" t="str">
        <f>IF(K83='Risk Range &amp; Risk Matrix'!$G$12,'Risk Range &amp; Risk Matrix'!$H$12,IF(K83='Risk Range &amp; Risk Matrix'!$G$11,'Risk Range &amp; Risk Matrix'!$H$11,IF(K83='Risk Range &amp; Risk Matrix'!$G$10,'Risk Range &amp; Risk Matrix'!$H$10,IF(K83='Risk Range &amp; Risk Matrix'!$G$9,'Risk Range &amp; Risk Matrix'!$H$9,IF(K83='Risk Range &amp; Risk Matrix'!$G$8,'Risk Range &amp; Risk Matrix'!$H$8,"")))))</f>
        <v/>
      </c>
      <c r="M83" s="37"/>
      <c r="N83" s="37" t="str">
        <f>IF(M83='Risk Range &amp; Risk Matrix'!$I$6,'Risk Range &amp; Risk Matrix'!$I$7,IF(M83='Risk Range &amp; Risk Matrix'!$J$6,'Risk Range &amp; Risk Matrix'!$J$7,IF(M83='Risk Range &amp; Risk Matrix'!$K$6,'Risk Range &amp; Risk Matrix'!$K$7,IF(M83='Risk Range &amp; Risk Matrix'!$L$6,'Risk Range &amp; Risk Matrix'!$L$7,IF(M83='Risk Range &amp; Risk Matrix'!$M$6,'Risk Range &amp; Risk Matrix'!$M$7,"")))))</f>
        <v/>
      </c>
      <c r="O83" s="43" t="str">
        <f t="shared" si="8"/>
        <v>empty</v>
      </c>
      <c r="P83" s="39" t="str">
        <f t="shared" si="9"/>
        <v>empty</v>
      </c>
      <c r="Q83" s="3"/>
      <c r="R83" s="60"/>
      <c r="S83" s="38"/>
      <c r="T83" s="2" t="str">
        <f>IF(S83='Risk Range &amp; Risk Matrix'!$G$12,'Risk Range &amp; Risk Matrix'!$H$12,IF(S83='Risk Range &amp; Risk Matrix'!$G$11,'Risk Range &amp; Risk Matrix'!$H$11,IF(S83='Risk Range &amp; Risk Matrix'!$G$10,'Risk Range &amp; Risk Matrix'!$H$10,IF(S83='Risk Range &amp; Risk Matrix'!$G$9,'Risk Range &amp; Risk Matrix'!$H$9,IF(S83='Risk Range &amp; Risk Matrix'!$G$8,'Risk Range &amp; Risk Matrix'!$H$8,"")))))</f>
        <v/>
      </c>
      <c r="U83" s="37"/>
      <c r="V83" s="37" t="str">
        <f>IF(U83='Risk Range &amp; Risk Matrix'!$I$6,'Risk Range &amp; Risk Matrix'!$I$7,IF(U83='Risk Range &amp; Risk Matrix'!$J$6,'Risk Range &amp; Risk Matrix'!$J$7,IF(U83='Risk Range &amp; Risk Matrix'!$K$6,'Risk Range &amp; Risk Matrix'!$K$7,IF(U83='Risk Range &amp; Risk Matrix'!$L$6,'Risk Range &amp; Risk Matrix'!$L$7,IF(U83='Risk Range &amp; Risk Matrix'!$M$6,'Risk Range &amp; Risk Matrix'!$M$7,"")))))</f>
        <v/>
      </c>
      <c r="W83" s="43" t="str">
        <f t="shared" si="10"/>
        <v>empty</v>
      </c>
      <c r="X83" s="39" t="str">
        <f t="shared" si="11"/>
        <v>empty</v>
      </c>
      <c r="Y83" s="3"/>
      <c r="Z83" s="48"/>
      <c r="AA83" s="8"/>
      <c r="AB83" s="9"/>
      <c r="AC83" s="85"/>
    </row>
    <row r="84" spans="1:29">
      <c r="A84" s="85"/>
      <c r="B84" s="4" t="s">
        <v>147</v>
      </c>
      <c r="C84" s="2"/>
      <c r="D84" s="2"/>
      <c r="E84" s="2"/>
      <c r="F84" s="2"/>
      <c r="G84" s="4"/>
      <c r="H84" s="3"/>
      <c r="I84" s="2"/>
      <c r="J84" s="36"/>
      <c r="K84" s="38"/>
      <c r="L84" s="2" t="str">
        <f>IF(K84='Risk Range &amp; Risk Matrix'!$G$12,'Risk Range &amp; Risk Matrix'!$H$12,IF(K84='Risk Range &amp; Risk Matrix'!$G$11,'Risk Range &amp; Risk Matrix'!$H$11,IF(K84='Risk Range &amp; Risk Matrix'!$G$10,'Risk Range &amp; Risk Matrix'!$H$10,IF(K84='Risk Range &amp; Risk Matrix'!$G$9,'Risk Range &amp; Risk Matrix'!$H$9,IF(K84='Risk Range &amp; Risk Matrix'!$G$8,'Risk Range &amp; Risk Matrix'!$H$8,"")))))</f>
        <v/>
      </c>
      <c r="M84" s="37"/>
      <c r="N84" s="37" t="str">
        <f>IF(M84='Risk Range &amp; Risk Matrix'!$I$6,'Risk Range &amp; Risk Matrix'!$I$7,IF(M84='Risk Range &amp; Risk Matrix'!$J$6,'Risk Range &amp; Risk Matrix'!$J$7,IF(M84='Risk Range &amp; Risk Matrix'!$K$6,'Risk Range &amp; Risk Matrix'!$K$7,IF(M84='Risk Range &amp; Risk Matrix'!$L$6,'Risk Range &amp; Risk Matrix'!$L$7,IF(M84='Risk Range &amp; Risk Matrix'!$M$6,'Risk Range &amp; Risk Matrix'!$M$7,"")))))</f>
        <v/>
      </c>
      <c r="O84" s="43" t="str">
        <f t="shared" si="8"/>
        <v>empty</v>
      </c>
      <c r="P84" s="39" t="str">
        <f t="shared" si="9"/>
        <v>empty</v>
      </c>
      <c r="Q84" s="3"/>
      <c r="R84" s="60"/>
      <c r="S84" s="38"/>
      <c r="T84" s="2" t="str">
        <f>IF(S84='Risk Range &amp; Risk Matrix'!$G$12,'Risk Range &amp; Risk Matrix'!$H$12,IF(S84='Risk Range &amp; Risk Matrix'!$G$11,'Risk Range &amp; Risk Matrix'!$H$11,IF(S84='Risk Range &amp; Risk Matrix'!$G$10,'Risk Range &amp; Risk Matrix'!$H$10,IF(S84='Risk Range &amp; Risk Matrix'!$G$9,'Risk Range &amp; Risk Matrix'!$H$9,IF(S84='Risk Range &amp; Risk Matrix'!$G$8,'Risk Range &amp; Risk Matrix'!$H$8,"")))))</f>
        <v/>
      </c>
      <c r="U84" s="37"/>
      <c r="V84" s="37" t="str">
        <f>IF(U84='Risk Range &amp; Risk Matrix'!$I$6,'Risk Range &amp; Risk Matrix'!$I$7,IF(U84='Risk Range &amp; Risk Matrix'!$J$6,'Risk Range &amp; Risk Matrix'!$J$7,IF(U84='Risk Range &amp; Risk Matrix'!$K$6,'Risk Range &amp; Risk Matrix'!$K$7,IF(U84='Risk Range &amp; Risk Matrix'!$L$6,'Risk Range &amp; Risk Matrix'!$L$7,IF(U84='Risk Range &amp; Risk Matrix'!$M$6,'Risk Range &amp; Risk Matrix'!$M$7,"")))))</f>
        <v/>
      </c>
      <c r="W84" s="43" t="str">
        <f t="shared" si="10"/>
        <v>empty</v>
      </c>
      <c r="X84" s="39" t="str">
        <f t="shared" si="11"/>
        <v>empty</v>
      </c>
      <c r="Y84" s="3"/>
      <c r="Z84" s="48"/>
      <c r="AA84" s="8"/>
      <c r="AB84" s="9"/>
      <c r="AC84" s="85"/>
    </row>
    <row r="85" spans="1:29">
      <c r="A85" s="85"/>
      <c r="B85" s="12" t="s">
        <v>148</v>
      </c>
      <c r="C85" s="2"/>
      <c r="D85" s="2"/>
      <c r="E85" s="2"/>
      <c r="F85" s="2"/>
      <c r="G85" s="4"/>
      <c r="H85" s="3"/>
      <c r="I85" s="2"/>
      <c r="J85" s="36"/>
      <c r="K85" s="38"/>
      <c r="L85" s="2" t="str">
        <f>IF(K85='Risk Range &amp; Risk Matrix'!$G$12,'Risk Range &amp; Risk Matrix'!$H$12,IF(K85='Risk Range &amp; Risk Matrix'!$G$11,'Risk Range &amp; Risk Matrix'!$H$11,IF(K85='Risk Range &amp; Risk Matrix'!$G$10,'Risk Range &amp; Risk Matrix'!$H$10,IF(K85='Risk Range &amp; Risk Matrix'!$G$9,'Risk Range &amp; Risk Matrix'!$H$9,IF(K85='Risk Range &amp; Risk Matrix'!$G$8,'Risk Range &amp; Risk Matrix'!$H$8,"")))))</f>
        <v/>
      </c>
      <c r="M85" s="37"/>
      <c r="N85" s="37" t="str">
        <f>IF(M85='Risk Range &amp; Risk Matrix'!$I$6,'Risk Range &amp; Risk Matrix'!$I$7,IF(M85='Risk Range &amp; Risk Matrix'!$J$6,'Risk Range &amp; Risk Matrix'!$J$7,IF(M85='Risk Range &amp; Risk Matrix'!$K$6,'Risk Range &amp; Risk Matrix'!$K$7,IF(M85='Risk Range &amp; Risk Matrix'!$L$6,'Risk Range &amp; Risk Matrix'!$L$7,IF(M85='Risk Range &amp; Risk Matrix'!$M$6,'Risk Range &amp; Risk Matrix'!$M$7,"")))))</f>
        <v/>
      </c>
      <c r="O85" s="43" t="str">
        <f t="shared" si="8"/>
        <v>empty</v>
      </c>
      <c r="P85" s="39" t="str">
        <f t="shared" si="9"/>
        <v>empty</v>
      </c>
      <c r="Q85" s="3"/>
      <c r="R85" s="60"/>
      <c r="S85" s="38"/>
      <c r="T85" s="2" t="str">
        <f>IF(S85='Risk Range &amp; Risk Matrix'!$G$12,'Risk Range &amp; Risk Matrix'!$H$12,IF(S85='Risk Range &amp; Risk Matrix'!$G$11,'Risk Range &amp; Risk Matrix'!$H$11,IF(S85='Risk Range &amp; Risk Matrix'!$G$10,'Risk Range &amp; Risk Matrix'!$H$10,IF(S85='Risk Range &amp; Risk Matrix'!$G$9,'Risk Range &amp; Risk Matrix'!$H$9,IF(S85='Risk Range &amp; Risk Matrix'!$G$8,'Risk Range &amp; Risk Matrix'!$H$8,"")))))</f>
        <v/>
      </c>
      <c r="U85" s="37"/>
      <c r="V85" s="37" t="str">
        <f>IF(U85='Risk Range &amp; Risk Matrix'!$I$6,'Risk Range &amp; Risk Matrix'!$I$7,IF(U85='Risk Range &amp; Risk Matrix'!$J$6,'Risk Range &amp; Risk Matrix'!$J$7,IF(U85='Risk Range &amp; Risk Matrix'!$K$6,'Risk Range &amp; Risk Matrix'!$K$7,IF(U85='Risk Range &amp; Risk Matrix'!$L$6,'Risk Range &amp; Risk Matrix'!$L$7,IF(U85='Risk Range &amp; Risk Matrix'!$M$6,'Risk Range &amp; Risk Matrix'!$M$7,"")))))</f>
        <v/>
      </c>
      <c r="W85" s="43" t="str">
        <f t="shared" si="10"/>
        <v>empty</v>
      </c>
      <c r="X85" s="39" t="str">
        <f t="shared" si="11"/>
        <v>empty</v>
      </c>
      <c r="Y85" s="3"/>
      <c r="Z85" s="48"/>
      <c r="AA85" s="8"/>
      <c r="AB85" s="9"/>
      <c r="AC85" s="85"/>
    </row>
    <row r="86" spans="1:29">
      <c r="A86" s="85"/>
      <c r="B86" s="4" t="s">
        <v>149</v>
      </c>
      <c r="C86" s="2"/>
      <c r="D86" s="2"/>
      <c r="E86" s="2"/>
      <c r="F86" s="2"/>
      <c r="G86" s="4"/>
      <c r="H86" s="3"/>
      <c r="I86" s="2"/>
      <c r="J86" s="36"/>
      <c r="K86" s="38"/>
      <c r="L86" s="2" t="str">
        <f>IF(K86='Risk Range &amp; Risk Matrix'!$G$12,'Risk Range &amp; Risk Matrix'!$H$12,IF(K86='Risk Range &amp; Risk Matrix'!$G$11,'Risk Range &amp; Risk Matrix'!$H$11,IF(K86='Risk Range &amp; Risk Matrix'!$G$10,'Risk Range &amp; Risk Matrix'!$H$10,IF(K86='Risk Range &amp; Risk Matrix'!$G$9,'Risk Range &amp; Risk Matrix'!$H$9,IF(K86='Risk Range &amp; Risk Matrix'!$G$8,'Risk Range &amp; Risk Matrix'!$H$8,"")))))</f>
        <v/>
      </c>
      <c r="M86" s="37"/>
      <c r="N86" s="37" t="str">
        <f>IF(M86='Risk Range &amp; Risk Matrix'!$I$6,'Risk Range &amp; Risk Matrix'!$I$7,IF(M86='Risk Range &amp; Risk Matrix'!$J$6,'Risk Range &amp; Risk Matrix'!$J$7,IF(M86='Risk Range &amp; Risk Matrix'!$K$6,'Risk Range &amp; Risk Matrix'!$K$7,IF(M86='Risk Range &amp; Risk Matrix'!$L$6,'Risk Range &amp; Risk Matrix'!$L$7,IF(M86='Risk Range &amp; Risk Matrix'!$M$6,'Risk Range &amp; Risk Matrix'!$M$7,"")))))</f>
        <v/>
      </c>
      <c r="O86" s="43" t="str">
        <f t="shared" si="8"/>
        <v>empty</v>
      </c>
      <c r="P86" s="39" t="str">
        <f t="shared" si="9"/>
        <v>empty</v>
      </c>
      <c r="Q86" s="3"/>
      <c r="R86" s="60"/>
      <c r="S86" s="38"/>
      <c r="T86" s="2" t="str">
        <f>IF(S86='Risk Range &amp; Risk Matrix'!$G$12,'Risk Range &amp; Risk Matrix'!$H$12,IF(S86='Risk Range &amp; Risk Matrix'!$G$11,'Risk Range &amp; Risk Matrix'!$H$11,IF(S86='Risk Range &amp; Risk Matrix'!$G$10,'Risk Range &amp; Risk Matrix'!$H$10,IF(S86='Risk Range &amp; Risk Matrix'!$G$9,'Risk Range &amp; Risk Matrix'!$H$9,IF(S86='Risk Range &amp; Risk Matrix'!$G$8,'Risk Range &amp; Risk Matrix'!$H$8,"")))))</f>
        <v/>
      </c>
      <c r="U86" s="37"/>
      <c r="V86" s="37" t="str">
        <f>IF(U86='Risk Range &amp; Risk Matrix'!$I$6,'Risk Range &amp; Risk Matrix'!$I$7,IF(U86='Risk Range &amp; Risk Matrix'!$J$6,'Risk Range &amp; Risk Matrix'!$J$7,IF(U86='Risk Range &amp; Risk Matrix'!$K$6,'Risk Range &amp; Risk Matrix'!$K$7,IF(U86='Risk Range &amp; Risk Matrix'!$L$6,'Risk Range &amp; Risk Matrix'!$L$7,IF(U86='Risk Range &amp; Risk Matrix'!$M$6,'Risk Range &amp; Risk Matrix'!$M$7,"")))))</f>
        <v/>
      </c>
      <c r="W86" s="43" t="str">
        <f t="shared" si="10"/>
        <v>empty</v>
      </c>
      <c r="X86" s="39" t="str">
        <f t="shared" si="11"/>
        <v>empty</v>
      </c>
      <c r="Y86" s="3"/>
      <c r="Z86" s="48"/>
      <c r="AA86" s="8"/>
      <c r="AB86" s="9"/>
      <c r="AC86" s="85"/>
    </row>
    <row r="87" spans="1:29">
      <c r="A87" s="85"/>
      <c r="B87" s="12" t="s">
        <v>150</v>
      </c>
      <c r="C87" s="2"/>
      <c r="D87" s="2"/>
      <c r="E87" s="2"/>
      <c r="F87" s="2"/>
      <c r="G87" s="4"/>
      <c r="H87" s="3"/>
      <c r="I87" s="2"/>
      <c r="J87" s="36"/>
      <c r="K87" s="38"/>
      <c r="L87" s="2" t="str">
        <f>IF(K87='Risk Range &amp; Risk Matrix'!$G$12,'Risk Range &amp; Risk Matrix'!$H$12,IF(K87='Risk Range &amp; Risk Matrix'!$G$11,'Risk Range &amp; Risk Matrix'!$H$11,IF(K87='Risk Range &amp; Risk Matrix'!$G$10,'Risk Range &amp; Risk Matrix'!$H$10,IF(K87='Risk Range &amp; Risk Matrix'!$G$9,'Risk Range &amp; Risk Matrix'!$H$9,IF(K87='Risk Range &amp; Risk Matrix'!$G$8,'Risk Range &amp; Risk Matrix'!$H$8,"")))))</f>
        <v/>
      </c>
      <c r="M87" s="37"/>
      <c r="N87" s="37" t="str">
        <f>IF(M87='Risk Range &amp; Risk Matrix'!$I$6,'Risk Range &amp; Risk Matrix'!$I$7,IF(M87='Risk Range &amp; Risk Matrix'!$J$6,'Risk Range &amp; Risk Matrix'!$J$7,IF(M87='Risk Range &amp; Risk Matrix'!$K$6,'Risk Range &amp; Risk Matrix'!$K$7,IF(M87='Risk Range &amp; Risk Matrix'!$L$6,'Risk Range &amp; Risk Matrix'!$L$7,IF(M87='Risk Range &amp; Risk Matrix'!$M$6,'Risk Range &amp; Risk Matrix'!$M$7,"")))))</f>
        <v/>
      </c>
      <c r="O87" s="43" t="str">
        <f t="shared" si="8"/>
        <v>empty</v>
      </c>
      <c r="P87" s="39" t="str">
        <f t="shared" si="9"/>
        <v>empty</v>
      </c>
      <c r="Q87" s="3"/>
      <c r="R87" s="60"/>
      <c r="S87" s="38"/>
      <c r="T87" s="2" t="str">
        <f>IF(S87='Risk Range &amp; Risk Matrix'!$G$12,'Risk Range &amp; Risk Matrix'!$H$12,IF(S87='Risk Range &amp; Risk Matrix'!$G$11,'Risk Range &amp; Risk Matrix'!$H$11,IF(S87='Risk Range &amp; Risk Matrix'!$G$10,'Risk Range &amp; Risk Matrix'!$H$10,IF(S87='Risk Range &amp; Risk Matrix'!$G$9,'Risk Range &amp; Risk Matrix'!$H$9,IF(S87='Risk Range &amp; Risk Matrix'!$G$8,'Risk Range &amp; Risk Matrix'!$H$8,"")))))</f>
        <v/>
      </c>
      <c r="U87" s="37"/>
      <c r="V87" s="37" t="str">
        <f>IF(U87='Risk Range &amp; Risk Matrix'!$I$6,'Risk Range &amp; Risk Matrix'!$I$7,IF(U87='Risk Range &amp; Risk Matrix'!$J$6,'Risk Range &amp; Risk Matrix'!$J$7,IF(U87='Risk Range &amp; Risk Matrix'!$K$6,'Risk Range &amp; Risk Matrix'!$K$7,IF(U87='Risk Range &amp; Risk Matrix'!$L$6,'Risk Range &amp; Risk Matrix'!$L$7,IF(U87='Risk Range &amp; Risk Matrix'!$M$6,'Risk Range &amp; Risk Matrix'!$M$7,"")))))</f>
        <v/>
      </c>
      <c r="W87" s="43" t="str">
        <f t="shared" si="10"/>
        <v>empty</v>
      </c>
      <c r="X87" s="39" t="str">
        <f t="shared" si="11"/>
        <v>empty</v>
      </c>
      <c r="Y87" s="3"/>
      <c r="Z87" s="48"/>
      <c r="AA87" s="8"/>
      <c r="AB87" s="9"/>
      <c r="AC87" s="85"/>
    </row>
    <row r="88" spans="1:29">
      <c r="A88" s="85"/>
      <c r="B88" s="4" t="s">
        <v>151</v>
      </c>
      <c r="C88" s="2"/>
      <c r="D88" s="2"/>
      <c r="E88" s="2"/>
      <c r="F88" s="2"/>
      <c r="G88" s="4"/>
      <c r="H88" s="3"/>
      <c r="I88" s="2"/>
      <c r="J88" s="36"/>
      <c r="K88" s="38"/>
      <c r="L88" s="2" t="str">
        <f>IF(K88='Risk Range &amp; Risk Matrix'!$G$12,'Risk Range &amp; Risk Matrix'!$H$12,IF(K88='Risk Range &amp; Risk Matrix'!$G$11,'Risk Range &amp; Risk Matrix'!$H$11,IF(K88='Risk Range &amp; Risk Matrix'!$G$10,'Risk Range &amp; Risk Matrix'!$H$10,IF(K88='Risk Range &amp; Risk Matrix'!$G$9,'Risk Range &amp; Risk Matrix'!$H$9,IF(K88='Risk Range &amp; Risk Matrix'!$G$8,'Risk Range &amp; Risk Matrix'!$H$8,"")))))</f>
        <v/>
      </c>
      <c r="M88" s="37"/>
      <c r="N88" s="37" t="str">
        <f>IF(M88='Risk Range &amp; Risk Matrix'!$I$6,'Risk Range &amp; Risk Matrix'!$I$7,IF(M88='Risk Range &amp; Risk Matrix'!$J$6,'Risk Range &amp; Risk Matrix'!$J$7,IF(M88='Risk Range &amp; Risk Matrix'!$K$6,'Risk Range &amp; Risk Matrix'!$K$7,IF(M88='Risk Range &amp; Risk Matrix'!$L$6,'Risk Range &amp; Risk Matrix'!$L$7,IF(M88='Risk Range &amp; Risk Matrix'!$M$6,'Risk Range &amp; Risk Matrix'!$M$7,"")))))</f>
        <v/>
      </c>
      <c r="O88" s="43" t="str">
        <f t="shared" si="8"/>
        <v>empty</v>
      </c>
      <c r="P88" s="39" t="str">
        <f t="shared" si="9"/>
        <v>empty</v>
      </c>
      <c r="Q88" s="3"/>
      <c r="R88" s="60"/>
      <c r="S88" s="38"/>
      <c r="T88" s="2" t="str">
        <f>IF(S88='Risk Range &amp; Risk Matrix'!$G$12,'Risk Range &amp; Risk Matrix'!$H$12,IF(S88='Risk Range &amp; Risk Matrix'!$G$11,'Risk Range &amp; Risk Matrix'!$H$11,IF(S88='Risk Range &amp; Risk Matrix'!$G$10,'Risk Range &amp; Risk Matrix'!$H$10,IF(S88='Risk Range &amp; Risk Matrix'!$G$9,'Risk Range &amp; Risk Matrix'!$H$9,IF(S88='Risk Range &amp; Risk Matrix'!$G$8,'Risk Range &amp; Risk Matrix'!$H$8,"")))))</f>
        <v/>
      </c>
      <c r="U88" s="37"/>
      <c r="V88" s="37" t="str">
        <f>IF(U88='Risk Range &amp; Risk Matrix'!$I$6,'Risk Range &amp; Risk Matrix'!$I$7,IF(U88='Risk Range &amp; Risk Matrix'!$J$6,'Risk Range &amp; Risk Matrix'!$J$7,IF(U88='Risk Range &amp; Risk Matrix'!$K$6,'Risk Range &amp; Risk Matrix'!$K$7,IF(U88='Risk Range &amp; Risk Matrix'!$L$6,'Risk Range &amp; Risk Matrix'!$L$7,IF(U88='Risk Range &amp; Risk Matrix'!$M$6,'Risk Range &amp; Risk Matrix'!$M$7,"")))))</f>
        <v/>
      </c>
      <c r="W88" s="43" t="str">
        <f t="shared" si="10"/>
        <v>empty</v>
      </c>
      <c r="X88" s="39" t="str">
        <f t="shared" si="11"/>
        <v>empty</v>
      </c>
      <c r="Y88" s="3"/>
      <c r="Z88" s="48"/>
      <c r="AA88" s="8"/>
      <c r="AB88" s="9"/>
      <c r="AC88" s="85"/>
    </row>
    <row r="89" spans="1:29">
      <c r="A89" s="85"/>
      <c r="B89" s="12" t="s">
        <v>152</v>
      </c>
      <c r="C89" s="2"/>
      <c r="D89" s="2"/>
      <c r="E89" s="2"/>
      <c r="F89" s="2"/>
      <c r="G89" s="4"/>
      <c r="H89" s="3"/>
      <c r="I89" s="2"/>
      <c r="J89" s="36"/>
      <c r="K89" s="38"/>
      <c r="L89" s="2" t="str">
        <f>IF(K89='Risk Range &amp; Risk Matrix'!$G$12,'Risk Range &amp; Risk Matrix'!$H$12,IF(K89='Risk Range &amp; Risk Matrix'!$G$11,'Risk Range &amp; Risk Matrix'!$H$11,IF(K89='Risk Range &amp; Risk Matrix'!$G$10,'Risk Range &amp; Risk Matrix'!$H$10,IF(K89='Risk Range &amp; Risk Matrix'!$G$9,'Risk Range &amp; Risk Matrix'!$H$9,IF(K89='Risk Range &amp; Risk Matrix'!$G$8,'Risk Range &amp; Risk Matrix'!$H$8,"")))))</f>
        <v/>
      </c>
      <c r="M89" s="37"/>
      <c r="N89" s="37" t="str">
        <f>IF(M89='Risk Range &amp; Risk Matrix'!$I$6,'Risk Range &amp; Risk Matrix'!$I$7,IF(M89='Risk Range &amp; Risk Matrix'!$J$6,'Risk Range &amp; Risk Matrix'!$J$7,IF(M89='Risk Range &amp; Risk Matrix'!$K$6,'Risk Range &amp; Risk Matrix'!$K$7,IF(M89='Risk Range &amp; Risk Matrix'!$L$6,'Risk Range &amp; Risk Matrix'!$L$7,IF(M89='Risk Range &amp; Risk Matrix'!$M$6,'Risk Range &amp; Risk Matrix'!$M$7,"")))))</f>
        <v/>
      </c>
      <c r="O89" s="43" t="str">
        <f t="shared" si="8"/>
        <v>empty</v>
      </c>
      <c r="P89" s="39" t="str">
        <f t="shared" si="9"/>
        <v>empty</v>
      </c>
      <c r="Q89" s="3"/>
      <c r="R89" s="60"/>
      <c r="S89" s="38"/>
      <c r="T89" s="2" t="str">
        <f>IF(S89='Risk Range &amp; Risk Matrix'!$G$12,'Risk Range &amp; Risk Matrix'!$H$12,IF(S89='Risk Range &amp; Risk Matrix'!$G$11,'Risk Range &amp; Risk Matrix'!$H$11,IF(S89='Risk Range &amp; Risk Matrix'!$G$10,'Risk Range &amp; Risk Matrix'!$H$10,IF(S89='Risk Range &amp; Risk Matrix'!$G$9,'Risk Range &amp; Risk Matrix'!$H$9,IF(S89='Risk Range &amp; Risk Matrix'!$G$8,'Risk Range &amp; Risk Matrix'!$H$8,"")))))</f>
        <v/>
      </c>
      <c r="U89" s="37"/>
      <c r="V89" s="37" t="str">
        <f>IF(U89='Risk Range &amp; Risk Matrix'!$I$6,'Risk Range &amp; Risk Matrix'!$I$7,IF(U89='Risk Range &amp; Risk Matrix'!$J$6,'Risk Range &amp; Risk Matrix'!$J$7,IF(U89='Risk Range &amp; Risk Matrix'!$K$6,'Risk Range &amp; Risk Matrix'!$K$7,IF(U89='Risk Range &amp; Risk Matrix'!$L$6,'Risk Range &amp; Risk Matrix'!$L$7,IF(U89='Risk Range &amp; Risk Matrix'!$M$6,'Risk Range &amp; Risk Matrix'!$M$7,"")))))</f>
        <v/>
      </c>
      <c r="W89" s="43" t="str">
        <f t="shared" si="10"/>
        <v>empty</v>
      </c>
      <c r="X89" s="39" t="str">
        <f t="shared" si="11"/>
        <v>empty</v>
      </c>
      <c r="Y89" s="3"/>
      <c r="Z89" s="48"/>
      <c r="AA89" s="8"/>
      <c r="AB89" s="9"/>
      <c r="AC89" s="85"/>
    </row>
    <row r="90" spans="1:29">
      <c r="A90" s="85"/>
      <c r="B90" s="4" t="s">
        <v>153</v>
      </c>
      <c r="C90" s="2"/>
      <c r="D90" s="2"/>
      <c r="E90" s="2"/>
      <c r="F90" s="2"/>
      <c r="G90" s="4"/>
      <c r="H90" s="3"/>
      <c r="I90" s="2"/>
      <c r="J90" s="36"/>
      <c r="K90" s="38"/>
      <c r="L90" s="2" t="str">
        <f>IF(K90='Risk Range &amp; Risk Matrix'!$G$12,'Risk Range &amp; Risk Matrix'!$H$12,IF(K90='Risk Range &amp; Risk Matrix'!$G$11,'Risk Range &amp; Risk Matrix'!$H$11,IF(K90='Risk Range &amp; Risk Matrix'!$G$10,'Risk Range &amp; Risk Matrix'!$H$10,IF(K90='Risk Range &amp; Risk Matrix'!$G$9,'Risk Range &amp; Risk Matrix'!$H$9,IF(K90='Risk Range &amp; Risk Matrix'!$G$8,'Risk Range &amp; Risk Matrix'!$H$8,"")))))</f>
        <v/>
      </c>
      <c r="M90" s="37"/>
      <c r="N90" s="37" t="str">
        <f>IF(M90='Risk Range &amp; Risk Matrix'!$I$6,'Risk Range &amp; Risk Matrix'!$I$7,IF(M90='Risk Range &amp; Risk Matrix'!$J$6,'Risk Range &amp; Risk Matrix'!$J$7,IF(M90='Risk Range &amp; Risk Matrix'!$K$6,'Risk Range &amp; Risk Matrix'!$K$7,IF(M90='Risk Range &amp; Risk Matrix'!$L$6,'Risk Range &amp; Risk Matrix'!$L$7,IF(M90='Risk Range &amp; Risk Matrix'!$M$6,'Risk Range &amp; Risk Matrix'!$M$7,"")))))</f>
        <v/>
      </c>
      <c r="O90" s="43" t="str">
        <f t="shared" si="8"/>
        <v>empty</v>
      </c>
      <c r="P90" s="39" t="str">
        <f t="shared" si="9"/>
        <v>empty</v>
      </c>
      <c r="Q90" s="3"/>
      <c r="R90" s="60"/>
      <c r="S90" s="38"/>
      <c r="T90" s="2" t="str">
        <f>IF(S90='Risk Range &amp; Risk Matrix'!$G$12,'Risk Range &amp; Risk Matrix'!$H$12,IF(S90='Risk Range &amp; Risk Matrix'!$G$11,'Risk Range &amp; Risk Matrix'!$H$11,IF(S90='Risk Range &amp; Risk Matrix'!$G$10,'Risk Range &amp; Risk Matrix'!$H$10,IF(S90='Risk Range &amp; Risk Matrix'!$G$9,'Risk Range &amp; Risk Matrix'!$H$9,IF(S90='Risk Range &amp; Risk Matrix'!$G$8,'Risk Range &amp; Risk Matrix'!$H$8,"")))))</f>
        <v/>
      </c>
      <c r="U90" s="37"/>
      <c r="V90" s="37" t="str">
        <f>IF(U90='Risk Range &amp; Risk Matrix'!$I$6,'Risk Range &amp; Risk Matrix'!$I$7,IF(U90='Risk Range &amp; Risk Matrix'!$J$6,'Risk Range &amp; Risk Matrix'!$J$7,IF(U90='Risk Range &amp; Risk Matrix'!$K$6,'Risk Range &amp; Risk Matrix'!$K$7,IF(U90='Risk Range &amp; Risk Matrix'!$L$6,'Risk Range &amp; Risk Matrix'!$L$7,IF(U90='Risk Range &amp; Risk Matrix'!$M$6,'Risk Range &amp; Risk Matrix'!$M$7,"")))))</f>
        <v/>
      </c>
      <c r="W90" s="43" t="str">
        <f t="shared" si="10"/>
        <v>empty</v>
      </c>
      <c r="X90" s="39" t="str">
        <f t="shared" si="11"/>
        <v>empty</v>
      </c>
      <c r="Y90" s="3"/>
      <c r="Z90" s="48"/>
      <c r="AA90" s="8"/>
      <c r="AB90" s="9"/>
      <c r="AC90" s="85"/>
    </row>
    <row r="91" spans="1:29">
      <c r="A91" s="85"/>
      <c r="B91" s="12" t="s">
        <v>154</v>
      </c>
      <c r="C91" s="2"/>
      <c r="D91" s="2"/>
      <c r="E91" s="2"/>
      <c r="F91" s="2"/>
      <c r="G91" s="4"/>
      <c r="H91" s="3"/>
      <c r="I91" s="2"/>
      <c r="J91" s="36"/>
      <c r="K91" s="38"/>
      <c r="L91" s="2" t="str">
        <f>IF(K91='Risk Range &amp; Risk Matrix'!$G$12,'Risk Range &amp; Risk Matrix'!$H$12,IF(K91='Risk Range &amp; Risk Matrix'!$G$11,'Risk Range &amp; Risk Matrix'!$H$11,IF(K91='Risk Range &amp; Risk Matrix'!$G$10,'Risk Range &amp; Risk Matrix'!$H$10,IF(K91='Risk Range &amp; Risk Matrix'!$G$9,'Risk Range &amp; Risk Matrix'!$H$9,IF(K91='Risk Range &amp; Risk Matrix'!$G$8,'Risk Range &amp; Risk Matrix'!$H$8,"")))))</f>
        <v/>
      </c>
      <c r="M91" s="37"/>
      <c r="N91" s="37" t="str">
        <f>IF(M91='Risk Range &amp; Risk Matrix'!$I$6,'Risk Range &amp; Risk Matrix'!$I$7,IF(M91='Risk Range &amp; Risk Matrix'!$J$6,'Risk Range &amp; Risk Matrix'!$J$7,IF(M91='Risk Range &amp; Risk Matrix'!$K$6,'Risk Range &amp; Risk Matrix'!$K$7,IF(M91='Risk Range &amp; Risk Matrix'!$L$6,'Risk Range &amp; Risk Matrix'!$L$7,IF(M91='Risk Range &amp; Risk Matrix'!$M$6,'Risk Range &amp; Risk Matrix'!$M$7,"")))))</f>
        <v/>
      </c>
      <c r="O91" s="43" t="str">
        <f t="shared" si="8"/>
        <v>empty</v>
      </c>
      <c r="P91" s="39" t="str">
        <f t="shared" si="9"/>
        <v>empty</v>
      </c>
      <c r="Q91" s="3"/>
      <c r="R91" s="60"/>
      <c r="S91" s="38"/>
      <c r="T91" s="2" t="str">
        <f>IF(S91='Risk Range &amp; Risk Matrix'!$G$12,'Risk Range &amp; Risk Matrix'!$H$12,IF(S91='Risk Range &amp; Risk Matrix'!$G$11,'Risk Range &amp; Risk Matrix'!$H$11,IF(S91='Risk Range &amp; Risk Matrix'!$G$10,'Risk Range &amp; Risk Matrix'!$H$10,IF(S91='Risk Range &amp; Risk Matrix'!$G$9,'Risk Range &amp; Risk Matrix'!$H$9,IF(S91='Risk Range &amp; Risk Matrix'!$G$8,'Risk Range &amp; Risk Matrix'!$H$8,"")))))</f>
        <v/>
      </c>
      <c r="U91" s="37"/>
      <c r="V91" s="37" t="str">
        <f>IF(U91='Risk Range &amp; Risk Matrix'!$I$6,'Risk Range &amp; Risk Matrix'!$I$7,IF(U91='Risk Range &amp; Risk Matrix'!$J$6,'Risk Range &amp; Risk Matrix'!$J$7,IF(U91='Risk Range &amp; Risk Matrix'!$K$6,'Risk Range &amp; Risk Matrix'!$K$7,IF(U91='Risk Range &amp; Risk Matrix'!$L$6,'Risk Range &amp; Risk Matrix'!$L$7,IF(U91='Risk Range &amp; Risk Matrix'!$M$6,'Risk Range &amp; Risk Matrix'!$M$7,"")))))</f>
        <v/>
      </c>
      <c r="W91" s="43" t="str">
        <f t="shared" si="10"/>
        <v>empty</v>
      </c>
      <c r="X91" s="39" t="str">
        <f t="shared" si="11"/>
        <v>empty</v>
      </c>
      <c r="Y91" s="3"/>
      <c r="Z91" s="48"/>
      <c r="AA91" s="8"/>
      <c r="AB91" s="9"/>
      <c r="AC91" s="85"/>
    </row>
    <row r="92" spans="1:29">
      <c r="A92" s="85"/>
      <c r="B92" s="4" t="s">
        <v>155</v>
      </c>
      <c r="C92" s="2"/>
      <c r="D92" s="2"/>
      <c r="E92" s="2"/>
      <c r="F92" s="2"/>
      <c r="G92" s="4"/>
      <c r="H92" s="3"/>
      <c r="I92" s="2"/>
      <c r="J92" s="36"/>
      <c r="K92" s="38"/>
      <c r="L92" s="2" t="str">
        <f>IF(K92='Risk Range &amp; Risk Matrix'!$G$12,'Risk Range &amp; Risk Matrix'!$H$12,IF(K92='Risk Range &amp; Risk Matrix'!$G$11,'Risk Range &amp; Risk Matrix'!$H$11,IF(K92='Risk Range &amp; Risk Matrix'!$G$10,'Risk Range &amp; Risk Matrix'!$H$10,IF(K92='Risk Range &amp; Risk Matrix'!$G$9,'Risk Range &amp; Risk Matrix'!$H$9,IF(K92='Risk Range &amp; Risk Matrix'!$G$8,'Risk Range &amp; Risk Matrix'!$H$8,"")))))</f>
        <v/>
      </c>
      <c r="M92" s="37"/>
      <c r="N92" s="37" t="str">
        <f>IF(M92='Risk Range &amp; Risk Matrix'!$I$6,'Risk Range &amp; Risk Matrix'!$I$7,IF(M92='Risk Range &amp; Risk Matrix'!$J$6,'Risk Range &amp; Risk Matrix'!$J$7,IF(M92='Risk Range &amp; Risk Matrix'!$K$6,'Risk Range &amp; Risk Matrix'!$K$7,IF(M92='Risk Range &amp; Risk Matrix'!$L$6,'Risk Range &amp; Risk Matrix'!$L$7,IF(M92='Risk Range &amp; Risk Matrix'!$M$6,'Risk Range &amp; Risk Matrix'!$M$7,"")))))</f>
        <v/>
      </c>
      <c r="O92" s="43" t="str">
        <f t="shared" si="8"/>
        <v>empty</v>
      </c>
      <c r="P92" s="39" t="str">
        <f t="shared" si="9"/>
        <v>empty</v>
      </c>
      <c r="Q92" s="3"/>
      <c r="R92" s="60"/>
      <c r="S92" s="38"/>
      <c r="T92" s="2" t="str">
        <f>IF(S92='Risk Range &amp; Risk Matrix'!$G$12,'Risk Range &amp; Risk Matrix'!$H$12,IF(S92='Risk Range &amp; Risk Matrix'!$G$11,'Risk Range &amp; Risk Matrix'!$H$11,IF(S92='Risk Range &amp; Risk Matrix'!$G$10,'Risk Range &amp; Risk Matrix'!$H$10,IF(S92='Risk Range &amp; Risk Matrix'!$G$9,'Risk Range &amp; Risk Matrix'!$H$9,IF(S92='Risk Range &amp; Risk Matrix'!$G$8,'Risk Range &amp; Risk Matrix'!$H$8,"")))))</f>
        <v/>
      </c>
      <c r="U92" s="37"/>
      <c r="V92" s="37" t="str">
        <f>IF(U92='Risk Range &amp; Risk Matrix'!$I$6,'Risk Range &amp; Risk Matrix'!$I$7,IF(U92='Risk Range &amp; Risk Matrix'!$J$6,'Risk Range &amp; Risk Matrix'!$J$7,IF(U92='Risk Range &amp; Risk Matrix'!$K$6,'Risk Range &amp; Risk Matrix'!$K$7,IF(U92='Risk Range &amp; Risk Matrix'!$L$6,'Risk Range &amp; Risk Matrix'!$L$7,IF(U92='Risk Range &amp; Risk Matrix'!$M$6,'Risk Range &amp; Risk Matrix'!$M$7,"")))))</f>
        <v/>
      </c>
      <c r="W92" s="43" t="str">
        <f t="shared" si="10"/>
        <v>empty</v>
      </c>
      <c r="X92" s="39" t="str">
        <f t="shared" si="11"/>
        <v>empty</v>
      </c>
      <c r="Y92" s="3"/>
      <c r="Z92" s="48"/>
      <c r="AA92" s="8"/>
      <c r="AB92" s="9"/>
      <c r="AC92" s="85"/>
    </row>
    <row r="93" spans="1:29">
      <c r="A93" s="85"/>
      <c r="B93" s="12" t="s">
        <v>156</v>
      </c>
      <c r="C93" s="2"/>
      <c r="D93" s="2"/>
      <c r="E93" s="2"/>
      <c r="F93" s="2"/>
      <c r="G93" s="4"/>
      <c r="H93" s="3"/>
      <c r="I93" s="2"/>
      <c r="J93" s="36"/>
      <c r="K93" s="38"/>
      <c r="L93" s="2" t="str">
        <f>IF(K93='Risk Range &amp; Risk Matrix'!$G$12,'Risk Range &amp; Risk Matrix'!$H$12,IF(K93='Risk Range &amp; Risk Matrix'!$G$11,'Risk Range &amp; Risk Matrix'!$H$11,IF(K93='Risk Range &amp; Risk Matrix'!$G$10,'Risk Range &amp; Risk Matrix'!$H$10,IF(K93='Risk Range &amp; Risk Matrix'!$G$9,'Risk Range &amp; Risk Matrix'!$H$9,IF(K93='Risk Range &amp; Risk Matrix'!$G$8,'Risk Range &amp; Risk Matrix'!$H$8,"")))))</f>
        <v/>
      </c>
      <c r="M93" s="37"/>
      <c r="N93" s="37" t="str">
        <f>IF(M93='Risk Range &amp; Risk Matrix'!$I$6,'Risk Range &amp; Risk Matrix'!$I$7,IF(M93='Risk Range &amp; Risk Matrix'!$J$6,'Risk Range &amp; Risk Matrix'!$J$7,IF(M93='Risk Range &amp; Risk Matrix'!$K$6,'Risk Range &amp; Risk Matrix'!$K$7,IF(M93='Risk Range &amp; Risk Matrix'!$L$6,'Risk Range &amp; Risk Matrix'!$L$7,IF(M93='Risk Range &amp; Risk Matrix'!$M$6,'Risk Range &amp; Risk Matrix'!$M$7,"")))))</f>
        <v/>
      </c>
      <c r="O93" s="43" t="str">
        <f t="shared" si="8"/>
        <v>empty</v>
      </c>
      <c r="P93" s="39" t="str">
        <f t="shared" si="9"/>
        <v>empty</v>
      </c>
      <c r="Q93" s="3"/>
      <c r="R93" s="60"/>
      <c r="S93" s="38"/>
      <c r="T93" s="2" t="str">
        <f>IF(S93='Risk Range &amp; Risk Matrix'!$G$12,'Risk Range &amp; Risk Matrix'!$H$12,IF(S93='Risk Range &amp; Risk Matrix'!$G$11,'Risk Range &amp; Risk Matrix'!$H$11,IF(S93='Risk Range &amp; Risk Matrix'!$G$10,'Risk Range &amp; Risk Matrix'!$H$10,IF(S93='Risk Range &amp; Risk Matrix'!$G$9,'Risk Range &amp; Risk Matrix'!$H$9,IF(S93='Risk Range &amp; Risk Matrix'!$G$8,'Risk Range &amp; Risk Matrix'!$H$8,"")))))</f>
        <v/>
      </c>
      <c r="U93" s="37"/>
      <c r="V93" s="37" t="str">
        <f>IF(U93='Risk Range &amp; Risk Matrix'!$I$6,'Risk Range &amp; Risk Matrix'!$I$7,IF(U93='Risk Range &amp; Risk Matrix'!$J$6,'Risk Range &amp; Risk Matrix'!$J$7,IF(U93='Risk Range &amp; Risk Matrix'!$K$6,'Risk Range &amp; Risk Matrix'!$K$7,IF(U93='Risk Range &amp; Risk Matrix'!$L$6,'Risk Range &amp; Risk Matrix'!$L$7,IF(U93='Risk Range &amp; Risk Matrix'!$M$6,'Risk Range &amp; Risk Matrix'!$M$7,"")))))</f>
        <v/>
      </c>
      <c r="W93" s="43" t="str">
        <f t="shared" si="10"/>
        <v>empty</v>
      </c>
      <c r="X93" s="39" t="str">
        <f t="shared" si="11"/>
        <v>empty</v>
      </c>
      <c r="Y93" s="3"/>
      <c r="Z93" s="48"/>
      <c r="AA93" s="8"/>
      <c r="AB93" s="9"/>
      <c r="AC93" s="85"/>
    </row>
    <row r="94" spans="1:29">
      <c r="A94" s="85"/>
      <c r="B94" s="4" t="s">
        <v>157</v>
      </c>
      <c r="C94" s="2"/>
      <c r="D94" s="2"/>
      <c r="E94" s="2"/>
      <c r="F94" s="2"/>
      <c r="G94" s="4"/>
      <c r="H94" s="3"/>
      <c r="I94" s="2"/>
      <c r="J94" s="36"/>
      <c r="K94" s="38"/>
      <c r="L94" s="2" t="str">
        <f>IF(K94='Risk Range &amp; Risk Matrix'!$G$12,'Risk Range &amp; Risk Matrix'!$H$12,IF(K94='Risk Range &amp; Risk Matrix'!$G$11,'Risk Range &amp; Risk Matrix'!$H$11,IF(K94='Risk Range &amp; Risk Matrix'!$G$10,'Risk Range &amp; Risk Matrix'!$H$10,IF(K94='Risk Range &amp; Risk Matrix'!$G$9,'Risk Range &amp; Risk Matrix'!$H$9,IF(K94='Risk Range &amp; Risk Matrix'!$G$8,'Risk Range &amp; Risk Matrix'!$H$8,"")))))</f>
        <v/>
      </c>
      <c r="M94" s="37"/>
      <c r="N94" s="37" t="str">
        <f>IF(M94='Risk Range &amp; Risk Matrix'!$I$6,'Risk Range &amp; Risk Matrix'!$I$7,IF(M94='Risk Range &amp; Risk Matrix'!$J$6,'Risk Range &amp; Risk Matrix'!$J$7,IF(M94='Risk Range &amp; Risk Matrix'!$K$6,'Risk Range &amp; Risk Matrix'!$K$7,IF(M94='Risk Range &amp; Risk Matrix'!$L$6,'Risk Range &amp; Risk Matrix'!$L$7,IF(M94='Risk Range &amp; Risk Matrix'!$M$6,'Risk Range &amp; Risk Matrix'!$M$7,"")))))</f>
        <v/>
      </c>
      <c r="O94" s="43" t="str">
        <f t="shared" si="8"/>
        <v>empty</v>
      </c>
      <c r="P94" s="39" t="str">
        <f t="shared" si="9"/>
        <v>empty</v>
      </c>
      <c r="Q94" s="3"/>
      <c r="R94" s="60"/>
      <c r="S94" s="38"/>
      <c r="T94" s="2" t="str">
        <f>IF(S94='Risk Range &amp; Risk Matrix'!$G$12,'Risk Range &amp; Risk Matrix'!$H$12,IF(S94='Risk Range &amp; Risk Matrix'!$G$11,'Risk Range &amp; Risk Matrix'!$H$11,IF(S94='Risk Range &amp; Risk Matrix'!$G$10,'Risk Range &amp; Risk Matrix'!$H$10,IF(S94='Risk Range &amp; Risk Matrix'!$G$9,'Risk Range &amp; Risk Matrix'!$H$9,IF(S94='Risk Range &amp; Risk Matrix'!$G$8,'Risk Range &amp; Risk Matrix'!$H$8,"")))))</f>
        <v/>
      </c>
      <c r="U94" s="37"/>
      <c r="V94" s="37" t="str">
        <f>IF(U94='Risk Range &amp; Risk Matrix'!$I$6,'Risk Range &amp; Risk Matrix'!$I$7,IF(U94='Risk Range &amp; Risk Matrix'!$J$6,'Risk Range &amp; Risk Matrix'!$J$7,IF(U94='Risk Range &amp; Risk Matrix'!$K$6,'Risk Range &amp; Risk Matrix'!$K$7,IF(U94='Risk Range &amp; Risk Matrix'!$L$6,'Risk Range &amp; Risk Matrix'!$L$7,IF(U94='Risk Range &amp; Risk Matrix'!$M$6,'Risk Range &amp; Risk Matrix'!$M$7,"")))))</f>
        <v/>
      </c>
      <c r="W94" s="43" t="str">
        <f t="shared" si="10"/>
        <v>empty</v>
      </c>
      <c r="X94" s="39" t="str">
        <f t="shared" si="11"/>
        <v>empty</v>
      </c>
      <c r="Y94" s="3"/>
      <c r="Z94" s="48"/>
      <c r="AA94" s="8"/>
      <c r="AB94" s="9"/>
      <c r="AC94" s="85"/>
    </row>
    <row r="95" spans="1:29">
      <c r="A95" s="85"/>
      <c r="B95" s="12" t="s">
        <v>158</v>
      </c>
      <c r="C95" s="2"/>
      <c r="D95" s="2"/>
      <c r="E95" s="2"/>
      <c r="F95" s="2"/>
      <c r="G95" s="4"/>
      <c r="H95" s="3"/>
      <c r="I95" s="2"/>
      <c r="J95" s="36"/>
      <c r="K95" s="38"/>
      <c r="L95" s="2" t="str">
        <f>IF(K95='Risk Range &amp; Risk Matrix'!$G$12,'Risk Range &amp; Risk Matrix'!$H$12,IF(K95='Risk Range &amp; Risk Matrix'!$G$11,'Risk Range &amp; Risk Matrix'!$H$11,IF(K95='Risk Range &amp; Risk Matrix'!$G$10,'Risk Range &amp; Risk Matrix'!$H$10,IF(K95='Risk Range &amp; Risk Matrix'!$G$9,'Risk Range &amp; Risk Matrix'!$H$9,IF(K95='Risk Range &amp; Risk Matrix'!$G$8,'Risk Range &amp; Risk Matrix'!$H$8,"")))))</f>
        <v/>
      </c>
      <c r="M95" s="37"/>
      <c r="N95" s="37" t="str">
        <f>IF(M95='Risk Range &amp; Risk Matrix'!$I$6,'Risk Range &amp; Risk Matrix'!$I$7,IF(M95='Risk Range &amp; Risk Matrix'!$J$6,'Risk Range &amp; Risk Matrix'!$J$7,IF(M95='Risk Range &amp; Risk Matrix'!$K$6,'Risk Range &amp; Risk Matrix'!$K$7,IF(M95='Risk Range &amp; Risk Matrix'!$L$6,'Risk Range &amp; Risk Matrix'!$L$7,IF(M95='Risk Range &amp; Risk Matrix'!$M$6,'Risk Range &amp; Risk Matrix'!$M$7,"")))))</f>
        <v/>
      </c>
      <c r="O95" s="43" t="str">
        <f t="shared" si="8"/>
        <v>empty</v>
      </c>
      <c r="P95" s="39" t="str">
        <f t="shared" si="9"/>
        <v>empty</v>
      </c>
      <c r="Q95" s="3"/>
      <c r="R95" s="60"/>
      <c r="S95" s="38"/>
      <c r="T95" s="2" t="str">
        <f>IF(S95='Risk Range &amp; Risk Matrix'!$G$12,'Risk Range &amp; Risk Matrix'!$H$12,IF(S95='Risk Range &amp; Risk Matrix'!$G$11,'Risk Range &amp; Risk Matrix'!$H$11,IF(S95='Risk Range &amp; Risk Matrix'!$G$10,'Risk Range &amp; Risk Matrix'!$H$10,IF(S95='Risk Range &amp; Risk Matrix'!$G$9,'Risk Range &amp; Risk Matrix'!$H$9,IF(S95='Risk Range &amp; Risk Matrix'!$G$8,'Risk Range &amp; Risk Matrix'!$H$8,"")))))</f>
        <v/>
      </c>
      <c r="U95" s="37"/>
      <c r="V95" s="37" t="str">
        <f>IF(U95='Risk Range &amp; Risk Matrix'!$I$6,'Risk Range &amp; Risk Matrix'!$I$7,IF(U95='Risk Range &amp; Risk Matrix'!$J$6,'Risk Range &amp; Risk Matrix'!$J$7,IF(U95='Risk Range &amp; Risk Matrix'!$K$6,'Risk Range &amp; Risk Matrix'!$K$7,IF(U95='Risk Range &amp; Risk Matrix'!$L$6,'Risk Range &amp; Risk Matrix'!$L$7,IF(U95='Risk Range &amp; Risk Matrix'!$M$6,'Risk Range &amp; Risk Matrix'!$M$7,"")))))</f>
        <v/>
      </c>
      <c r="W95" s="43" t="str">
        <f t="shared" si="10"/>
        <v>empty</v>
      </c>
      <c r="X95" s="39" t="str">
        <f t="shared" si="11"/>
        <v>empty</v>
      </c>
      <c r="Y95" s="3"/>
      <c r="Z95" s="48"/>
      <c r="AA95" s="8"/>
      <c r="AB95" s="9"/>
      <c r="AC95" s="85"/>
    </row>
    <row r="96" spans="1:29">
      <c r="A96" s="85"/>
      <c r="B96" s="4" t="s">
        <v>159</v>
      </c>
      <c r="C96" s="2"/>
      <c r="D96" s="2"/>
      <c r="E96" s="2"/>
      <c r="F96" s="2"/>
      <c r="G96" s="4"/>
      <c r="H96" s="3"/>
      <c r="I96" s="2"/>
      <c r="J96" s="36"/>
      <c r="K96" s="38"/>
      <c r="L96" s="2" t="str">
        <f>IF(K96='Risk Range &amp; Risk Matrix'!$G$12,'Risk Range &amp; Risk Matrix'!$H$12,IF(K96='Risk Range &amp; Risk Matrix'!$G$11,'Risk Range &amp; Risk Matrix'!$H$11,IF(K96='Risk Range &amp; Risk Matrix'!$G$10,'Risk Range &amp; Risk Matrix'!$H$10,IF(K96='Risk Range &amp; Risk Matrix'!$G$9,'Risk Range &amp; Risk Matrix'!$H$9,IF(K96='Risk Range &amp; Risk Matrix'!$G$8,'Risk Range &amp; Risk Matrix'!$H$8,"")))))</f>
        <v/>
      </c>
      <c r="M96" s="37"/>
      <c r="N96" s="37" t="str">
        <f>IF(M96='Risk Range &amp; Risk Matrix'!$I$6,'Risk Range &amp; Risk Matrix'!$I$7,IF(M96='Risk Range &amp; Risk Matrix'!$J$6,'Risk Range &amp; Risk Matrix'!$J$7,IF(M96='Risk Range &amp; Risk Matrix'!$K$6,'Risk Range &amp; Risk Matrix'!$K$7,IF(M96='Risk Range &amp; Risk Matrix'!$L$6,'Risk Range &amp; Risk Matrix'!$L$7,IF(M96='Risk Range &amp; Risk Matrix'!$M$6,'Risk Range &amp; Risk Matrix'!$M$7,"")))))</f>
        <v/>
      </c>
      <c r="O96" s="43" t="str">
        <f t="shared" si="8"/>
        <v>empty</v>
      </c>
      <c r="P96" s="39" t="str">
        <f t="shared" si="9"/>
        <v>empty</v>
      </c>
      <c r="Q96" s="3"/>
      <c r="R96" s="60"/>
      <c r="S96" s="38"/>
      <c r="T96" s="2" t="str">
        <f>IF(S96='Risk Range &amp; Risk Matrix'!$G$12,'Risk Range &amp; Risk Matrix'!$H$12,IF(S96='Risk Range &amp; Risk Matrix'!$G$11,'Risk Range &amp; Risk Matrix'!$H$11,IF(S96='Risk Range &amp; Risk Matrix'!$G$10,'Risk Range &amp; Risk Matrix'!$H$10,IF(S96='Risk Range &amp; Risk Matrix'!$G$9,'Risk Range &amp; Risk Matrix'!$H$9,IF(S96='Risk Range &amp; Risk Matrix'!$G$8,'Risk Range &amp; Risk Matrix'!$H$8,"")))))</f>
        <v/>
      </c>
      <c r="U96" s="37"/>
      <c r="V96" s="37" t="str">
        <f>IF(U96='Risk Range &amp; Risk Matrix'!$I$6,'Risk Range &amp; Risk Matrix'!$I$7,IF(U96='Risk Range &amp; Risk Matrix'!$J$6,'Risk Range &amp; Risk Matrix'!$J$7,IF(U96='Risk Range &amp; Risk Matrix'!$K$6,'Risk Range &amp; Risk Matrix'!$K$7,IF(U96='Risk Range &amp; Risk Matrix'!$L$6,'Risk Range &amp; Risk Matrix'!$L$7,IF(U96='Risk Range &amp; Risk Matrix'!$M$6,'Risk Range &amp; Risk Matrix'!$M$7,"")))))</f>
        <v/>
      </c>
      <c r="W96" s="43" t="str">
        <f t="shared" si="10"/>
        <v>empty</v>
      </c>
      <c r="X96" s="39" t="str">
        <f t="shared" si="11"/>
        <v>empty</v>
      </c>
      <c r="Y96" s="3"/>
      <c r="Z96" s="48"/>
      <c r="AA96" s="8"/>
      <c r="AB96" s="9"/>
      <c r="AC96" s="85"/>
    </row>
    <row r="97" spans="1:29">
      <c r="A97" s="85"/>
      <c r="B97" s="12" t="s">
        <v>160</v>
      </c>
      <c r="C97" s="2"/>
      <c r="D97" s="2"/>
      <c r="E97" s="2"/>
      <c r="F97" s="2"/>
      <c r="G97" s="4"/>
      <c r="H97" s="3"/>
      <c r="I97" s="2"/>
      <c r="J97" s="36"/>
      <c r="K97" s="38"/>
      <c r="L97" s="2" t="str">
        <f>IF(K97='Risk Range &amp; Risk Matrix'!$G$12,'Risk Range &amp; Risk Matrix'!$H$12,IF(K97='Risk Range &amp; Risk Matrix'!$G$11,'Risk Range &amp; Risk Matrix'!$H$11,IF(K97='Risk Range &amp; Risk Matrix'!$G$10,'Risk Range &amp; Risk Matrix'!$H$10,IF(K97='Risk Range &amp; Risk Matrix'!$G$9,'Risk Range &amp; Risk Matrix'!$H$9,IF(K97='Risk Range &amp; Risk Matrix'!$G$8,'Risk Range &amp; Risk Matrix'!$H$8,"")))))</f>
        <v/>
      </c>
      <c r="M97" s="37"/>
      <c r="N97" s="37" t="str">
        <f>IF(M97='Risk Range &amp; Risk Matrix'!$I$6,'Risk Range &amp; Risk Matrix'!$I$7,IF(M97='Risk Range &amp; Risk Matrix'!$J$6,'Risk Range &amp; Risk Matrix'!$J$7,IF(M97='Risk Range &amp; Risk Matrix'!$K$6,'Risk Range &amp; Risk Matrix'!$K$7,IF(M97='Risk Range &amp; Risk Matrix'!$L$6,'Risk Range &amp; Risk Matrix'!$L$7,IF(M97='Risk Range &amp; Risk Matrix'!$M$6,'Risk Range &amp; Risk Matrix'!$M$7,"")))))</f>
        <v/>
      </c>
      <c r="O97" s="43" t="str">
        <f t="shared" si="8"/>
        <v>empty</v>
      </c>
      <c r="P97" s="39" t="str">
        <f t="shared" si="9"/>
        <v>empty</v>
      </c>
      <c r="Q97" s="3"/>
      <c r="R97" s="60"/>
      <c r="S97" s="38"/>
      <c r="T97" s="2" t="str">
        <f>IF(S97='Risk Range &amp; Risk Matrix'!$G$12,'Risk Range &amp; Risk Matrix'!$H$12,IF(S97='Risk Range &amp; Risk Matrix'!$G$11,'Risk Range &amp; Risk Matrix'!$H$11,IF(S97='Risk Range &amp; Risk Matrix'!$G$10,'Risk Range &amp; Risk Matrix'!$H$10,IF(S97='Risk Range &amp; Risk Matrix'!$G$9,'Risk Range &amp; Risk Matrix'!$H$9,IF(S97='Risk Range &amp; Risk Matrix'!$G$8,'Risk Range &amp; Risk Matrix'!$H$8,"")))))</f>
        <v/>
      </c>
      <c r="U97" s="37"/>
      <c r="V97" s="37" t="str">
        <f>IF(U97='Risk Range &amp; Risk Matrix'!$I$6,'Risk Range &amp; Risk Matrix'!$I$7,IF(U97='Risk Range &amp; Risk Matrix'!$J$6,'Risk Range &amp; Risk Matrix'!$J$7,IF(U97='Risk Range &amp; Risk Matrix'!$K$6,'Risk Range &amp; Risk Matrix'!$K$7,IF(U97='Risk Range &amp; Risk Matrix'!$L$6,'Risk Range &amp; Risk Matrix'!$L$7,IF(U97='Risk Range &amp; Risk Matrix'!$M$6,'Risk Range &amp; Risk Matrix'!$M$7,"")))))</f>
        <v/>
      </c>
      <c r="W97" s="43" t="str">
        <f t="shared" si="10"/>
        <v>empty</v>
      </c>
      <c r="X97" s="39" t="str">
        <f t="shared" si="11"/>
        <v>empty</v>
      </c>
      <c r="Y97" s="3"/>
      <c r="Z97" s="48"/>
      <c r="AA97" s="8"/>
      <c r="AB97" s="9"/>
      <c r="AC97" s="85"/>
    </row>
    <row r="98" spans="1:29">
      <c r="A98" s="85"/>
      <c r="B98" s="4" t="s">
        <v>161</v>
      </c>
      <c r="C98" s="2"/>
      <c r="D98" s="2"/>
      <c r="E98" s="2"/>
      <c r="F98" s="2"/>
      <c r="G98" s="4"/>
      <c r="H98" s="3"/>
      <c r="I98" s="2"/>
      <c r="J98" s="36"/>
      <c r="K98" s="38"/>
      <c r="L98" s="2" t="str">
        <f>IF(K98='Risk Range &amp; Risk Matrix'!$G$12,'Risk Range &amp; Risk Matrix'!$H$12,IF(K98='Risk Range &amp; Risk Matrix'!$G$11,'Risk Range &amp; Risk Matrix'!$H$11,IF(K98='Risk Range &amp; Risk Matrix'!$G$10,'Risk Range &amp; Risk Matrix'!$H$10,IF(K98='Risk Range &amp; Risk Matrix'!$G$9,'Risk Range &amp; Risk Matrix'!$H$9,IF(K98='Risk Range &amp; Risk Matrix'!$G$8,'Risk Range &amp; Risk Matrix'!$H$8,"")))))</f>
        <v/>
      </c>
      <c r="M98" s="37"/>
      <c r="N98" s="37" t="str">
        <f>IF(M98='Risk Range &amp; Risk Matrix'!$I$6,'Risk Range &amp; Risk Matrix'!$I$7,IF(M98='Risk Range &amp; Risk Matrix'!$J$6,'Risk Range &amp; Risk Matrix'!$J$7,IF(M98='Risk Range &amp; Risk Matrix'!$K$6,'Risk Range &amp; Risk Matrix'!$K$7,IF(M98='Risk Range &amp; Risk Matrix'!$L$6,'Risk Range &amp; Risk Matrix'!$L$7,IF(M98='Risk Range &amp; Risk Matrix'!$M$6,'Risk Range &amp; Risk Matrix'!$M$7,"")))))</f>
        <v/>
      </c>
      <c r="O98" s="43" t="str">
        <f t="shared" si="8"/>
        <v>empty</v>
      </c>
      <c r="P98" s="39" t="str">
        <f t="shared" si="9"/>
        <v>empty</v>
      </c>
      <c r="Q98" s="3"/>
      <c r="R98" s="60"/>
      <c r="S98" s="38"/>
      <c r="T98" s="2" t="str">
        <f>IF(S98='Risk Range &amp; Risk Matrix'!$G$12,'Risk Range &amp; Risk Matrix'!$H$12,IF(S98='Risk Range &amp; Risk Matrix'!$G$11,'Risk Range &amp; Risk Matrix'!$H$11,IF(S98='Risk Range &amp; Risk Matrix'!$G$10,'Risk Range &amp; Risk Matrix'!$H$10,IF(S98='Risk Range &amp; Risk Matrix'!$G$9,'Risk Range &amp; Risk Matrix'!$H$9,IF(S98='Risk Range &amp; Risk Matrix'!$G$8,'Risk Range &amp; Risk Matrix'!$H$8,"")))))</f>
        <v/>
      </c>
      <c r="U98" s="37"/>
      <c r="V98" s="37" t="str">
        <f>IF(U98='Risk Range &amp; Risk Matrix'!$I$6,'Risk Range &amp; Risk Matrix'!$I$7,IF(U98='Risk Range &amp; Risk Matrix'!$J$6,'Risk Range &amp; Risk Matrix'!$J$7,IF(U98='Risk Range &amp; Risk Matrix'!$K$6,'Risk Range &amp; Risk Matrix'!$K$7,IF(U98='Risk Range &amp; Risk Matrix'!$L$6,'Risk Range &amp; Risk Matrix'!$L$7,IF(U98='Risk Range &amp; Risk Matrix'!$M$6,'Risk Range &amp; Risk Matrix'!$M$7,"")))))</f>
        <v/>
      </c>
      <c r="W98" s="43" t="str">
        <f t="shared" si="10"/>
        <v>empty</v>
      </c>
      <c r="X98" s="39" t="str">
        <f t="shared" si="11"/>
        <v>empty</v>
      </c>
      <c r="Y98" s="3"/>
      <c r="Z98" s="48"/>
      <c r="AA98" s="8"/>
      <c r="AB98" s="9"/>
      <c r="AC98" s="85"/>
    </row>
    <row r="99" spans="1:29">
      <c r="A99" s="85"/>
      <c r="B99" s="12" t="s">
        <v>162</v>
      </c>
      <c r="C99" s="2"/>
      <c r="D99" s="2"/>
      <c r="E99" s="2"/>
      <c r="F99" s="2"/>
      <c r="G99" s="4"/>
      <c r="H99" s="3"/>
      <c r="I99" s="2"/>
      <c r="J99" s="36"/>
      <c r="K99" s="38"/>
      <c r="L99" s="2" t="str">
        <f>IF(K99='Risk Range &amp; Risk Matrix'!$G$12,'Risk Range &amp; Risk Matrix'!$H$12,IF(K99='Risk Range &amp; Risk Matrix'!$G$11,'Risk Range &amp; Risk Matrix'!$H$11,IF(K99='Risk Range &amp; Risk Matrix'!$G$10,'Risk Range &amp; Risk Matrix'!$H$10,IF(K99='Risk Range &amp; Risk Matrix'!$G$9,'Risk Range &amp; Risk Matrix'!$H$9,IF(K99='Risk Range &amp; Risk Matrix'!$G$8,'Risk Range &amp; Risk Matrix'!$H$8,"")))))</f>
        <v/>
      </c>
      <c r="M99" s="37"/>
      <c r="N99" s="37" t="str">
        <f>IF(M99='Risk Range &amp; Risk Matrix'!$I$6,'Risk Range &amp; Risk Matrix'!$I$7,IF(M99='Risk Range &amp; Risk Matrix'!$J$6,'Risk Range &amp; Risk Matrix'!$J$7,IF(M99='Risk Range &amp; Risk Matrix'!$K$6,'Risk Range &amp; Risk Matrix'!$K$7,IF(M99='Risk Range &amp; Risk Matrix'!$L$6,'Risk Range &amp; Risk Matrix'!$L$7,IF(M99='Risk Range &amp; Risk Matrix'!$M$6,'Risk Range &amp; Risk Matrix'!$M$7,"")))))</f>
        <v/>
      </c>
      <c r="O99" s="43" t="str">
        <f t="shared" si="8"/>
        <v>empty</v>
      </c>
      <c r="P99" s="39" t="str">
        <f t="shared" si="9"/>
        <v>empty</v>
      </c>
      <c r="Q99" s="3"/>
      <c r="R99" s="60"/>
      <c r="S99" s="38"/>
      <c r="T99" s="2" t="str">
        <f>IF(S99='Risk Range &amp; Risk Matrix'!$G$12,'Risk Range &amp; Risk Matrix'!$H$12,IF(S99='Risk Range &amp; Risk Matrix'!$G$11,'Risk Range &amp; Risk Matrix'!$H$11,IF(S99='Risk Range &amp; Risk Matrix'!$G$10,'Risk Range &amp; Risk Matrix'!$H$10,IF(S99='Risk Range &amp; Risk Matrix'!$G$9,'Risk Range &amp; Risk Matrix'!$H$9,IF(S99='Risk Range &amp; Risk Matrix'!$G$8,'Risk Range &amp; Risk Matrix'!$H$8,"")))))</f>
        <v/>
      </c>
      <c r="U99" s="37"/>
      <c r="V99" s="37" t="str">
        <f>IF(U99='Risk Range &amp; Risk Matrix'!$I$6,'Risk Range &amp; Risk Matrix'!$I$7,IF(U99='Risk Range &amp; Risk Matrix'!$J$6,'Risk Range &amp; Risk Matrix'!$J$7,IF(U99='Risk Range &amp; Risk Matrix'!$K$6,'Risk Range &amp; Risk Matrix'!$K$7,IF(U99='Risk Range &amp; Risk Matrix'!$L$6,'Risk Range &amp; Risk Matrix'!$L$7,IF(U99='Risk Range &amp; Risk Matrix'!$M$6,'Risk Range &amp; Risk Matrix'!$M$7,"")))))</f>
        <v/>
      </c>
      <c r="W99" s="43" t="str">
        <f t="shared" si="10"/>
        <v>empty</v>
      </c>
      <c r="X99" s="39" t="str">
        <f t="shared" si="11"/>
        <v>empty</v>
      </c>
      <c r="Y99" s="3"/>
      <c r="Z99" s="48"/>
      <c r="AA99" s="8"/>
      <c r="AB99" s="9"/>
      <c r="AC99" s="85"/>
    </row>
    <row r="100" spans="1:29">
      <c r="A100" s="85"/>
      <c r="B100" s="4" t="s">
        <v>163</v>
      </c>
      <c r="C100" s="2"/>
      <c r="D100" s="2"/>
      <c r="E100" s="2"/>
      <c r="F100" s="2"/>
      <c r="G100" s="4"/>
      <c r="H100" s="3"/>
      <c r="I100" s="2"/>
      <c r="J100" s="36"/>
      <c r="K100" s="38"/>
      <c r="L100" s="2" t="str">
        <f>IF(K100='Risk Range &amp; Risk Matrix'!$G$12,'Risk Range &amp; Risk Matrix'!$H$12,IF(K100='Risk Range &amp; Risk Matrix'!$G$11,'Risk Range &amp; Risk Matrix'!$H$11,IF(K100='Risk Range &amp; Risk Matrix'!$G$10,'Risk Range &amp; Risk Matrix'!$H$10,IF(K100='Risk Range &amp; Risk Matrix'!$G$9,'Risk Range &amp; Risk Matrix'!$H$9,IF(K100='Risk Range &amp; Risk Matrix'!$G$8,'Risk Range &amp; Risk Matrix'!$H$8,"")))))</f>
        <v/>
      </c>
      <c r="M100" s="37"/>
      <c r="N100" s="37" t="str">
        <f>IF(M100='Risk Range &amp; Risk Matrix'!$I$6,'Risk Range &amp; Risk Matrix'!$I$7,IF(M100='Risk Range &amp; Risk Matrix'!$J$6,'Risk Range &amp; Risk Matrix'!$J$7,IF(M100='Risk Range &amp; Risk Matrix'!$K$6,'Risk Range &amp; Risk Matrix'!$K$7,IF(M100='Risk Range &amp; Risk Matrix'!$L$6,'Risk Range &amp; Risk Matrix'!$L$7,IF(M100='Risk Range &amp; Risk Matrix'!$M$6,'Risk Range &amp; Risk Matrix'!$M$7,"")))))</f>
        <v/>
      </c>
      <c r="O100" s="43" t="str">
        <f t="shared" si="8"/>
        <v>empty</v>
      </c>
      <c r="P100" s="39" t="str">
        <f t="shared" si="9"/>
        <v>empty</v>
      </c>
      <c r="Q100" s="3"/>
      <c r="R100" s="60"/>
      <c r="S100" s="38"/>
      <c r="T100" s="2" t="str">
        <f>IF(S100='Risk Range &amp; Risk Matrix'!$G$12,'Risk Range &amp; Risk Matrix'!$H$12,IF(S100='Risk Range &amp; Risk Matrix'!$G$11,'Risk Range &amp; Risk Matrix'!$H$11,IF(S100='Risk Range &amp; Risk Matrix'!$G$10,'Risk Range &amp; Risk Matrix'!$H$10,IF(S100='Risk Range &amp; Risk Matrix'!$G$9,'Risk Range &amp; Risk Matrix'!$H$9,IF(S100='Risk Range &amp; Risk Matrix'!$G$8,'Risk Range &amp; Risk Matrix'!$H$8,"")))))</f>
        <v/>
      </c>
      <c r="U100" s="37"/>
      <c r="V100" s="37" t="str">
        <f>IF(U100='Risk Range &amp; Risk Matrix'!$I$6,'Risk Range &amp; Risk Matrix'!$I$7,IF(U100='Risk Range &amp; Risk Matrix'!$J$6,'Risk Range &amp; Risk Matrix'!$J$7,IF(U100='Risk Range &amp; Risk Matrix'!$K$6,'Risk Range &amp; Risk Matrix'!$K$7,IF(U100='Risk Range &amp; Risk Matrix'!$L$6,'Risk Range &amp; Risk Matrix'!$L$7,IF(U100='Risk Range &amp; Risk Matrix'!$M$6,'Risk Range &amp; Risk Matrix'!$M$7,"")))))</f>
        <v/>
      </c>
      <c r="W100" s="43" t="str">
        <f t="shared" si="10"/>
        <v>empty</v>
      </c>
      <c r="X100" s="39" t="str">
        <f t="shared" si="11"/>
        <v>empty</v>
      </c>
      <c r="Y100" s="3"/>
      <c r="Z100" s="48"/>
      <c r="AA100" s="8"/>
      <c r="AB100" s="9"/>
      <c r="AC100" s="85"/>
    </row>
    <row r="101" spans="1:29">
      <c r="A101" s="85"/>
      <c r="B101" s="12" t="s">
        <v>164</v>
      </c>
      <c r="C101" s="2"/>
      <c r="D101" s="2"/>
      <c r="E101" s="2"/>
      <c r="F101" s="2"/>
      <c r="G101" s="4"/>
      <c r="H101" s="3"/>
      <c r="I101" s="2"/>
      <c r="J101" s="36"/>
      <c r="K101" s="38"/>
      <c r="L101" s="2" t="str">
        <f>IF(K101='Risk Range &amp; Risk Matrix'!$G$12,'Risk Range &amp; Risk Matrix'!$H$12,IF(K101='Risk Range &amp; Risk Matrix'!$G$11,'Risk Range &amp; Risk Matrix'!$H$11,IF(K101='Risk Range &amp; Risk Matrix'!$G$10,'Risk Range &amp; Risk Matrix'!$H$10,IF(K101='Risk Range &amp; Risk Matrix'!$G$9,'Risk Range &amp; Risk Matrix'!$H$9,IF(K101='Risk Range &amp; Risk Matrix'!$G$8,'Risk Range &amp; Risk Matrix'!$H$8,"")))))</f>
        <v/>
      </c>
      <c r="M101" s="37"/>
      <c r="N101" s="37" t="str">
        <f>IF(M101='Risk Range &amp; Risk Matrix'!$I$6,'Risk Range &amp; Risk Matrix'!$I$7,IF(M101='Risk Range &amp; Risk Matrix'!$J$6,'Risk Range &amp; Risk Matrix'!$J$7,IF(M101='Risk Range &amp; Risk Matrix'!$K$6,'Risk Range &amp; Risk Matrix'!$K$7,IF(M101='Risk Range &amp; Risk Matrix'!$L$6,'Risk Range &amp; Risk Matrix'!$L$7,IF(M101='Risk Range &amp; Risk Matrix'!$M$6,'Risk Range &amp; Risk Matrix'!$M$7,"")))))</f>
        <v/>
      </c>
      <c r="O101" s="43" t="str">
        <f t="shared" si="8"/>
        <v>empty</v>
      </c>
      <c r="P101" s="39" t="str">
        <f t="shared" si="9"/>
        <v>empty</v>
      </c>
      <c r="Q101" s="3"/>
      <c r="R101" s="60"/>
      <c r="S101" s="38"/>
      <c r="T101" s="2" t="str">
        <f>IF(S101='Risk Range &amp; Risk Matrix'!$G$12,'Risk Range &amp; Risk Matrix'!$H$12,IF(S101='Risk Range &amp; Risk Matrix'!$G$11,'Risk Range &amp; Risk Matrix'!$H$11,IF(S101='Risk Range &amp; Risk Matrix'!$G$10,'Risk Range &amp; Risk Matrix'!$H$10,IF(S101='Risk Range &amp; Risk Matrix'!$G$9,'Risk Range &amp; Risk Matrix'!$H$9,IF(S101='Risk Range &amp; Risk Matrix'!$G$8,'Risk Range &amp; Risk Matrix'!$H$8,"")))))</f>
        <v/>
      </c>
      <c r="U101" s="37"/>
      <c r="V101" s="37" t="str">
        <f>IF(U101='Risk Range &amp; Risk Matrix'!$I$6,'Risk Range &amp; Risk Matrix'!$I$7,IF(U101='Risk Range &amp; Risk Matrix'!$J$6,'Risk Range &amp; Risk Matrix'!$J$7,IF(U101='Risk Range &amp; Risk Matrix'!$K$6,'Risk Range &amp; Risk Matrix'!$K$7,IF(U101='Risk Range &amp; Risk Matrix'!$L$6,'Risk Range &amp; Risk Matrix'!$L$7,IF(U101='Risk Range &amp; Risk Matrix'!$M$6,'Risk Range &amp; Risk Matrix'!$M$7,"")))))</f>
        <v/>
      </c>
      <c r="W101" s="43" t="str">
        <f t="shared" si="10"/>
        <v>empty</v>
      </c>
      <c r="X101" s="39" t="str">
        <f t="shared" si="11"/>
        <v>empty</v>
      </c>
      <c r="Y101" s="3"/>
      <c r="Z101" s="48"/>
      <c r="AA101" s="8"/>
      <c r="AB101" s="9"/>
      <c r="AC101" s="85"/>
    </row>
    <row r="102" spans="1:29">
      <c r="A102" s="85"/>
      <c r="B102" s="4" t="s">
        <v>165</v>
      </c>
      <c r="C102" s="2"/>
      <c r="D102" s="2"/>
      <c r="E102" s="2"/>
      <c r="F102" s="2"/>
      <c r="G102" s="4"/>
      <c r="H102" s="3"/>
      <c r="I102" s="2"/>
      <c r="J102" s="36"/>
      <c r="K102" s="38"/>
      <c r="L102" s="2" t="str">
        <f>IF(K102='Risk Range &amp; Risk Matrix'!$G$12,'Risk Range &amp; Risk Matrix'!$H$12,IF(K102='Risk Range &amp; Risk Matrix'!$G$11,'Risk Range &amp; Risk Matrix'!$H$11,IF(K102='Risk Range &amp; Risk Matrix'!$G$10,'Risk Range &amp; Risk Matrix'!$H$10,IF(K102='Risk Range &amp; Risk Matrix'!$G$9,'Risk Range &amp; Risk Matrix'!$H$9,IF(K102='Risk Range &amp; Risk Matrix'!$G$8,'Risk Range &amp; Risk Matrix'!$H$8,"")))))</f>
        <v/>
      </c>
      <c r="M102" s="37"/>
      <c r="N102" s="37" t="str">
        <f>IF(M102='Risk Range &amp; Risk Matrix'!$I$6,'Risk Range &amp; Risk Matrix'!$I$7,IF(M102='Risk Range &amp; Risk Matrix'!$J$6,'Risk Range &amp; Risk Matrix'!$J$7,IF(M102='Risk Range &amp; Risk Matrix'!$K$6,'Risk Range &amp; Risk Matrix'!$K$7,IF(M102='Risk Range &amp; Risk Matrix'!$L$6,'Risk Range &amp; Risk Matrix'!$L$7,IF(M102='Risk Range &amp; Risk Matrix'!$M$6,'Risk Range &amp; Risk Matrix'!$M$7,"")))))</f>
        <v/>
      </c>
      <c r="O102" s="43" t="str">
        <f t="shared" si="8"/>
        <v>empty</v>
      </c>
      <c r="P102" s="39" t="str">
        <f t="shared" si="9"/>
        <v>empty</v>
      </c>
      <c r="Q102" s="3"/>
      <c r="R102" s="60"/>
      <c r="S102" s="38"/>
      <c r="T102" s="2" t="str">
        <f>IF(S102='Risk Range &amp; Risk Matrix'!$G$12,'Risk Range &amp; Risk Matrix'!$H$12,IF(S102='Risk Range &amp; Risk Matrix'!$G$11,'Risk Range &amp; Risk Matrix'!$H$11,IF(S102='Risk Range &amp; Risk Matrix'!$G$10,'Risk Range &amp; Risk Matrix'!$H$10,IF(S102='Risk Range &amp; Risk Matrix'!$G$9,'Risk Range &amp; Risk Matrix'!$H$9,IF(S102='Risk Range &amp; Risk Matrix'!$G$8,'Risk Range &amp; Risk Matrix'!$H$8,"")))))</f>
        <v/>
      </c>
      <c r="U102" s="37"/>
      <c r="V102" s="37" t="str">
        <f>IF(U102='Risk Range &amp; Risk Matrix'!$I$6,'Risk Range &amp; Risk Matrix'!$I$7,IF(U102='Risk Range &amp; Risk Matrix'!$J$6,'Risk Range &amp; Risk Matrix'!$J$7,IF(U102='Risk Range &amp; Risk Matrix'!$K$6,'Risk Range &amp; Risk Matrix'!$K$7,IF(U102='Risk Range &amp; Risk Matrix'!$L$6,'Risk Range &amp; Risk Matrix'!$L$7,IF(U102='Risk Range &amp; Risk Matrix'!$M$6,'Risk Range &amp; Risk Matrix'!$M$7,"")))))</f>
        <v/>
      </c>
      <c r="W102" s="43" t="str">
        <f t="shared" si="10"/>
        <v>empty</v>
      </c>
      <c r="X102" s="39" t="str">
        <f t="shared" si="11"/>
        <v>empty</v>
      </c>
      <c r="Y102" s="3"/>
      <c r="Z102" s="48"/>
      <c r="AA102" s="8"/>
      <c r="AB102" s="9"/>
      <c r="AC102" s="85"/>
    </row>
    <row r="103" spans="1:29">
      <c r="A103" s="85"/>
      <c r="B103" s="12" t="s">
        <v>166</v>
      </c>
      <c r="C103" s="2"/>
      <c r="D103" s="2"/>
      <c r="E103" s="2"/>
      <c r="F103" s="2"/>
      <c r="G103" s="4"/>
      <c r="H103" s="3"/>
      <c r="I103" s="2"/>
      <c r="J103" s="36"/>
      <c r="K103" s="38"/>
      <c r="L103" s="2" t="str">
        <f>IF(K103='Risk Range &amp; Risk Matrix'!$G$12,'Risk Range &amp; Risk Matrix'!$H$12,IF(K103='Risk Range &amp; Risk Matrix'!$G$11,'Risk Range &amp; Risk Matrix'!$H$11,IF(K103='Risk Range &amp; Risk Matrix'!$G$10,'Risk Range &amp; Risk Matrix'!$H$10,IF(K103='Risk Range &amp; Risk Matrix'!$G$9,'Risk Range &amp; Risk Matrix'!$H$9,IF(K103='Risk Range &amp; Risk Matrix'!$G$8,'Risk Range &amp; Risk Matrix'!$H$8,"")))))</f>
        <v/>
      </c>
      <c r="M103" s="37"/>
      <c r="N103" s="37" t="str">
        <f>IF(M103='Risk Range &amp; Risk Matrix'!$I$6,'Risk Range &amp; Risk Matrix'!$I$7,IF(M103='Risk Range &amp; Risk Matrix'!$J$6,'Risk Range &amp; Risk Matrix'!$J$7,IF(M103='Risk Range &amp; Risk Matrix'!$K$6,'Risk Range &amp; Risk Matrix'!$K$7,IF(M103='Risk Range &amp; Risk Matrix'!$L$6,'Risk Range &amp; Risk Matrix'!$L$7,IF(M103='Risk Range &amp; Risk Matrix'!$M$6,'Risk Range &amp; Risk Matrix'!$M$7,"")))))</f>
        <v/>
      </c>
      <c r="O103" s="43" t="str">
        <f t="shared" si="8"/>
        <v>empty</v>
      </c>
      <c r="P103" s="39" t="str">
        <f t="shared" si="9"/>
        <v>empty</v>
      </c>
      <c r="Q103" s="3"/>
      <c r="R103" s="60"/>
      <c r="S103" s="38"/>
      <c r="T103" s="2" t="str">
        <f>IF(S103='Risk Range &amp; Risk Matrix'!$G$12,'Risk Range &amp; Risk Matrix'!$H$12,IF(S103='Risk Range &amp; Risk Matrix'!$G$11,'Risk Range &amp; Risk Matrix'!$H$11,IF(S103='Risk Range &amp; Risk Matrix'!$G$10,'Risk Range &amp; Risk Matrix'!$H$10,IF(S103='Risk Range &amp; Risk Matrix'!$G$9,'Risk Range &amp; Risk Matrix'!$H$9,IF(S103='Risk Range &amp; Risk Matrix'!$G$8,'Risk Range &amp; Risk Matrix'!$H$8,"")))))</f>
        <v/>
      </c>
      <c r="U103" s="37"/>
      <c r="V103" s="37" t="str">
        <f>IF(U103='Risk Range &amp; Risk Matrix'!$I$6,'Risk Range &amp; Risk Matrix'!$I$7,IF(U103='Risk Range &amp; Risk Matrix'!$J$6,'Risk Range &amp; Risk Matrix'!$J$7,IF(U103='Risk Range &amp; Risk Matrix'!$K$6,'Risk Range &amp; Risk Matrix'!$K$7,IF(U103='Risk Range &amp; Risk Matrix'!$L$6,'Risk Range &amp; Risk Matrix'!$L$7,IF(U103='Risk Range &amp; Risk Matrix'!$M$6,'Risk Range &amp; Risk Matrix'!$M$7,"")))))</f>
        <v/>
      </c>
      <c r="W103" s="43" t="str">
        <f t="shared" si="10"/>
        <v>empty</v>
      </c>
      <c r="X103" s="39" t="str">
        <f t="shared" si="11"/>
        <v>empty</v>
      </c>
      <c r="Y103" s="3"/>
      <c r="Z103" s="48"/>
      <c r="AA103" s="8"/>
      <c r="AB103" s="9"/>
      <c r="AC103" s="85"/>
    </row>
    <row r="104" spans="1:29">
      <c r="A104" s="85"/>
      <c r="B104" s="4" t="s">
        <v>167</v>
      </c>
      <c r="C104" s="2"/>
      <c r="D104" s="2"/>
      <c r="E104" s="2"/>
      <c r="F104" s="2"/>
      <c r="G104" s="4"/>
      <c r="H104" s="3"/>
      <c r="I104" s="2"/>
      <c r="J104" s="36"/>
      <c r="K104" s="38"/>
      <c r="L104" s="2" t="str">
        <f>IF(K104='Risk Range &amp; Risk Matrix'!$G$12,'Risk Range &amp; Risk Matrix'!$H$12,IF(K104='Risk Range &amp; Risk Matrix'!$G$11,'Risk Range &amp; Risk Matrix'!$H$11,IF(K104='Risk Range &amp; Risk Matrix'!$G$10,'Risk Range &amp; Risk Matrix'!$H$10,IF(K104='Risk Range &amp; Risk Matrix'!$G$9,'Risk Range &amp; Risk Matrix'!$H$9,IF(K104='Risk Range &amp; Risk Matrix'!$G$8,'Risk Range &amp; Risk Matrix'!$H$8,"")))))</f>
        <v/>
      </c>
      <c r="M104" s="37"/>
      <c r="N104" s="37" t="str">
        <f>IF(M104='Risk Range &amp; Risk Matrix'!$I$6,'Risk Range &amp; Risk Matrix'!$I$7,IF(M104='Risk Range &amp; Risk Matrix'!$J$6,'Risk Range &amp; Risk Matrix'!$J$7,IF(M104='Risk Range &amp; Risk Matrix'!$K$6,'Risk Range &amp; Risk Matrix'!$K$7,IF(M104='Risk Range &amp; Risk Matrix'!$L$6,'Risk Range &amp; Risk Matrix'!$L$7,IF(M104='Risk Range &amp; Risk Matrix'!$M$6,'Risk Range &amp; Risk Matrix'!$M$7,"")))))</f>
        <v/>
      </c>
      <c r="O104" s="43" t="str">
        <f t="shared" si="8"/>
        <v>empty</v>
      </c>
      <c r="P104" s="39" t="str">
        <f t="shared" si="9"/>
        <v>empty</v>
      </c>
      <c r="Q104" s="3"/>
      <c r="R104" s="60"/>
      <c r="S104" s="38"/>
      <c r="T104" s="2" t="str">
        <f>IF(S104='Risk Range &amp; Risk Matrix'!$G$12,'Risk Range &amp; Risk Matrix'!$H$12,IF(S104='Risk Range &amp; Risk Matrix'!$G$11,'Risk Range &amp; Risk Matrix'!$H$11,IF(S104='Risk Range &amp; Risk Matrix'!$G$10,'Risk Range &amp; Risk Matrix'!$H$10,IF(S104='Risk Range &amp; Risk Matrix'!$G$9,'Risk Range &amp; Risk Matrix'!$H$9,IF(S104='Risk Range &amp; Risk Matrix'!$G$8,'Risk Range &amp; Risk Matrix'!$H$8,"")))))</f>
        <v/>
      </c>
      <c r="U104" s="37"/>
      <c r="V104" s="37" t="str">
        <f>IF(U104='Risk Range &amp; Risk Matrix'!$I$6,'Risk Range &amp; Risk Matrix'!$I$7,IF(U104='Risk Range &amp; Risk Matrix'!$J$6,'Risk Range &amp; Risk Matrix'!$J$7,IF(U104='Risk Range &amp; Risk Matrix'!$K$6,'Risk Range &amp; Risk Matrix'!$K$7,IF(U104='Risk Range &amp; Risk Matrix'!$L$6,'Risk Range &amp; Risk Matrix'!$L$7,IF(U104='Risk Range &amp; Risk Matrix'!$M$6,'Risk Range &amp; Risk Matrix'!$M$7,"")))))</f>
        <v/>
      </c>
      <c r="W104" s="43" t="str">
        <f t="shared" si="10"/>
        <v>empty</v>
      </c>
      <c r="X104" s="39" t="str">
        <f t="shared" si="11"/>
        <v>empty</v>
      </c>
      <c r="Y104" s="3"/>
      <c r="Z104" s="48"/>
      <c r="AA104" s="8"/>
      <c r="AB104" s="9"/>
      <c r="AC104" s="85"/>
    </row>
    <row r="105" spans="1:29">
      <c r="A105" s="85"/>
      <c r="B105" s="12" t="s">
        <v>168</v>
      </c>
      <c r="C105" s="2"/>
      <c r="D105" s="2"/>
      <c r="E105" s="2"/>
      <c r="F105" s="2"/>
      <c r="G105" s="4"/>
      <c r="H105" s="3"/>
      <c r="I105" s="2"/>
      <c r="J105" s="36"/>
      <c r="K105" s="38"/>
      <c r="L105" s="2" t="str">
        <f>IF(K105='Risk Range &amp; Risk Matrix'!$G$12,'Risk Range &amp; Risk Matrix'!$H$12,IF(K105='Risk Range &amp; Risk Matrix'!$G$11,'Risk Range &amp; Risk Matrix'!$H$11,IF(K105='Risk Range &amp; Risk Matrix'!$G$10,'Risk Range &amp; Risk Matrix'!$H$10,IF(K105='Risk Range &amp; Risk Matrix'!$G$9,'Risk Range &amp; Risk Matrix'!$H$9,IF(K105='Risk Range &amp; Risk Matrix'!$G$8,'Risk Range &amp; Risk Matrix'!$H$8,"")))))</f>
        <v/>
      </c>
      <c r="M105" s="37"/>
      <c r="N105" s="37" t="str">
        <f>IF(M105='Risk Range &amp; Risk Matrix'!$I$6,'Risk Range &amp; Risk Matrix'!$I$7,IF(M105='Risk Range &amp; Risk Matrix'!$J$6,'Risk Range &amp; Risk Matrix'!$J$7,IF(M105='Risk Range &amp; Risk Matrix'!$K$6,'Risk Range &amp; Risk Matrix'!$K$7,IF(M105='Risk Range &amp; Risk Matrix'!$L$6,'Risk Range &amp; Risk Matrix'!$L$7,IF(M105='Risk Range &amp; Risk Matrix'!$M$6,'Risk Range &amp; Risk Matrix'!$M$7,"")))))</f>
        <v/>
      </c>
      <c r="O105" s="43" t="str">
        <f t="shared" ref="O105:O109" si="12">IF(OR(L105="",N105=""),"empty",L105*N105)</f>
        <v>empty</v>
      </c>
      <c r="P105" s="39" t="str">
        <f t="shared" ref="P105:P109" si="13">O105</f>
        <v>empty</v>
      </c>
      <c r="Q105" s="3"/>
      <c r="R105" s="60"/>
      <c r="S105" s="38"/>
      <c r="T105" s="2" t="str">
        <f>IF(S105='Risk Range &amp; Risk Matrix'!$G$12,'Risk Range &amp; Risk Matrix'!$H$12,IF(S105='Risk Range &amp; Risk Matrix'!$G$11,'Risk Range &amp; Risk Matrix'!$H$11,IF(S105='Risk Range &amp; Risk Matrix'!$G$10,'Risk Range &amp; Risk Matrix'!$H$10,IF(S105='Risk Range &amp; Risk Matrix'!$G$9,'Risk Range &amp; Risk Matrix'!$H$9,IF(S105='Risk Range &amp; Risk Matrix'!$G$8,'Risk Range &amp; Risk Matrix'!$H$8,"")))))</f>
        <v/>
      </c>
      <c r="U105" s="37"/>
      <c r="V105" s="37" t="str">
        <f>IF(U105='Risk Range &amp; Risk Matrix'!$I$6,'Risk Range &amp; Risk Matrix'!$I$7,IF(U105='Risk Range &amp; Risk Matrix'!$J$6,'Risk Range &amp; Risk Matrix'!$J$7,IF(U105='Risk Range &amp; Risk Matrix'!$K$6,'Risk Range &amp; Risk Matrix'!$K$7,IF(U105='Risk Range &amp; Risk Matrix'!$L$6,'Risk Range &amp; Risk Matrix'!$L$7,IF(U105='Risk Range &amp; Risk Matrix'!$M$6,'Risk Range &amp; Risk Matrix'!$M$7,"")))))</f>
        <v/>
      </c>
      <c r="W105" s="43" t="str">
        <f t="shared" ref="W105:W109" si="14">IF(OR(T105="",V105=""),"empty",T105*V105)</f>
        <v>empty</v>
      </c>
      <c r="X105" s="39" t="str">
        <f t="shared" ref="X105:X109" si="15">W105</f>
        <v>empty</v>
      </c>
      <c r="Y105" s="3"/>
      <c r="Z105" s="48"/>
      <c r="AA105" s="8"/>
      <c r="AB105" s="9"/>
      <c r="AC105" s="85"/>
    </row>
    <row r="106" spans="1:29">
      <c r="A106" s="85"/>
      <c r="B106" s="4" t="s">
        <v>169</v>
      </c>
      <c r="C106" s="2"/>
      <c r="D106" s="2"/>
      <c r="E106" s="2"/>
      <c r="F106" s="2"/>
      <c r="G106" s="4"/>
      <c r="H106" s="3"/>
      <c r="I106" s="2"/>
      <c r="J106" s="36"/>
      <c r="K106" s="38"/>
      <c r="L106" s="2" t="str">
        <f>IF(K106='Risk Range &amp; Risk Matrix'!$G$12,'Risk Range &amp; Risk Matrix'!$H$12,IF(K106='Risk Range &amp; Risk Matrix'!$G$11,'Risk Range &amp; Risk Matrix'!$H$11,IF(K106='Risk Range &amp; Risk Matrix'!$G$10,'Risk Range &amp; Risk Matrix'!$H$10,IF(K106='Risk Range &amp; Risk Matrix'!$G$9,'Risk Range &amp; Risk Matrix'!$H$9,IF(K106='Risk Range &amp; Risk Matrix'!$G$8,'Risk Range &amp; Risk Matrix'!$H$8,"")))))</f>
        <v/>
      </c>
      <c r="M106" s="37"/>
      <c r="N106" s="37" t="str">
        <f>IF(M106='Risk Range &amp; Risk Matrix'!$I$6,'Risk Range &amp; Risk Matrix'!$I$7,IF(M106='Risk Range &amp; Risk Matrix'!$J$6,'Risk Range &amp; Risk Matrix'!$J$7,IF(M106='Risk Range &amp; Risk Matrix'!$K$6,'Risk Range &amp; Risk Matrix'!$K$7,IF(M106='Risk Range &amp; Risk Matrix'!$L$6,'Risk Range &amp; Risk Matrix'!$L$7,IF(M106='Risk Range &amp; Risk Matrix'!$M$6,'Risk Range &amp; Risk Matrix'!$M$7,"")))))</f>
        <v/>
      </c>
      <c r="O106" s="43" t="str">
        <f t="shared" si="12"/>
        <v>empty</v>
      </c>
      <c r="P106" s="39" t="str">
        <f t="shared" si="13"/>
        <v>empty</v>
      </c>
      <c r="Q106" s="3"/>
      <c r="R106" s="60"/>
      <c r="S106" s="38"/>
      <c r="T106" s="2" t="str">
        <f>IF(S106='Risk Range &amp; Risk Matrix'!$G$12,'Risk Range &amp; Risk Matrix'!$H$12,IF(S106='Risk Range &amp; Risk Matrix'!$G$11,'Risk Range &amp; Risk Matrix'!$H$11,IF(S106='Risk Range &amp; Risk Matrix'!$G$10,'Risk Range &amp; Risk Matrix'!$H$10,IF(S106='Risk Range &amp; Risk Matrix'!$G$9,'Risk Range &amp; Risk Matrix'!$H$9,IF(S106='Risk Range &amp; Risk Matrix'!$G$8,'Risk Range &amp; Risk Matrix'!$H$8,"")))))</f>
        <v/>
      </c>
      <c r="U106" s="37"/>
      <c r="V106" s="37" t="str">
        <f>IF(U106='Risk Range &amp; Risk Matrix'!$I$6,'Risk Range &amp; Risk Matrix'!$I$7,IF(U106='Risk Range &amp; Risk Matrix'!$J$6,'Risk Range &amp; Risk Matrix'!$J$7,IF(U106='Risk Range &amp; Risk Matrix'!$K$6,'Risk Range &amp; Risk Matrix'!$K$7,IF(U106='Risk Range &amp; Risk Matrix'!$L$6,'Risk Range &amp; Risk Matrix'!$L$7,IF(U106='Risk Range &amp; Risk Matrix'!$M$6,'Risk Range &amp; Risk Matrix'!$M$7,"")))))</f>
        <v/>
      </c>
      <c r="W106" s="43" t="str">
        <f t="shared" si="14"/>
        <v>empty</v>
      </c>
      <c r="X106" s="39" t="str">
        <f t="shared" si="15"/>
        <v>empty</v>
      </c>
      <c r="Y106" s="3"/>
      <c r="Z106" s="48"/>
      <c r="AA106" s="8"/>
      <c r="AB106" s="9"/>
      <c r="AC106" s="85"/>
    </row>
    <row r="107" spans="1:29">
      <c r="A107" s="85"/>
      <c r="B107" s="12" t="s">
        <v>170</v>
      </c>
      <c r="C107" s="2"/>
      <c r="D107" s="2"/>
      <c r="E107" s="2"/>
      <c r="F107" s="2"/>
      <c r="G107" s="4"/>
      <c r="H107" s="3"/>
      <c r="I107" s="2"/>
      <c r="J107" s="36"/>
      <c r="K107" s="38"/>
      <c r="L107" s="2" t="str">
        <f>IF(K107='Risk Range &amp; Risk Matrix'!$G$12,'Risk Range &amp; Risk Matrix'!$H$12,IF(K107='Risk Range &amp; Risk Matrix'!$G$11,'Risk Range &amp; Risk Matrix'!$H$11,IF(K107='Risk Range &amp; Risk Matrix'!$G$10,'Risk Range &amp; Risk Matrix'!$H$10,IF(K107='Risk Range &amp; Risk Matrix'!$G$9,'Risk Range &amp; Risk Matrix'!$H$9,IF(K107='Risk Range &amp; Risk Matrix'!$G$8,'Risk Range &amp; Risk Matrix'!$H$8,"")))))</f>
        <v/>
      </c>
      <c r="M107" s="37"/>
      <c r="N107" s="37" t="str">
        <f>IF(M107='Risk Range &amp; Risk Matrix'!$I$6,'Risk Range &amp; Risk Matrix'!$I$7,IF(M107='Risk Range &amp; Risk Matrix'!$J$6,'Risk Range &amp; Risk Matrix'!$J$7,IF(M107='Risk Range &amp; Risk Matrix'!$K$6,'Risk Range &amp; Risk Matrix'!$K$7,IF(M107='Risk Range &amp; Risk Matrix'!$L$6,'Risk Range &amp; Risk Matrix'!$L$7,IF(M107='Risk Range &amp; Risk Matrix'!$M$6,'Risk Range &amp; Risk Matrix'!$M$7,"")))))</f>
        <v/>
      </c>
      <c r="O107" s="43" t="str">
        <f t="shared" si="12"/>
        <v>empty</v>
      </c>
      <c r="P107" s="39" t="str">
        <f t="shared" si="13"/>
        <v>empty</v>
      </c>
      <c r="Q107" s="3"/>
      <c r="R107" s="60"/>
      <c r="S107" s="38"/>
      <c r="T107" s="2" t="str">
        <f>IF(S107='Risk Range &amp; Risk Matrix'!$G$12,'Risk Range &amp; Risk Matrix'!$H$12,IF(S107='Risk Range &amp; Risk Matrix'!$G$11,'Risk Range &amp; Risk Matrix'!$H$11,IF(S107='Risk Range &amp; Risk Matrix'!$G$10,'Risk Range &amp; Risk Matrix'!$H$10,IF(S107='Risk Range &amp; Risk Matrix'!$G$9,'Risk Range &amp; Risk Matrix'!$H$9,IF(S107='Risk Range &amp; Risk Matrix'!$G$8,'Risk Range &amp; Risk Matrix'!$H$8,"")))))</f>
        <v/>
      </c>
      <c r="U107" s="37"/>
      <c r="V107" s="37" t="str">
        <f>IF(U107='Risk Range &amp; Risk Matrix'!$I$6,'Risk Range &amp; Risk Matrix'!$I$7,IF(U107='Risk Range &amp; Risk Matrix'!$J$6,'Risk Range &amp; Risk Matrix'!$J$7,IF(U107='Risk Range &amp; Risk Matrix'!$K$6,'Risk Range &amp; Risk Matrix'!$K$7,IF(U107='Risk Range &amp; Risk Matrix'!$L$6,'Risk Range &amp; Risk Matrix'!$L$7,IF(U107='Risk Range &amp; Risk Matrix'!$M$6,'Risk Range &amp; Risk Matrix'!$M$7,"")))))</f>
        <v/>
      </c>
      <c r="W107" s="43" t="str">
        <f t="shared" si="14"/>
        <v>empty</v>
      </c>
      <c r="X107" s="39" t="str">
        <f t="shared" si="15"/>
        <v>empty</v>
      </c>
      <c r="Y107" s="3"/>
      <c r="Z107" s="48"/>
      <c r="AA107" s="8"/>
      <c r="AB107" s="9"/>
      <c r="AC107" s="85"/>
    </row>
    <row r="108" spans="1:29">
      <c r="A108" s="85"/>
      <c r="B108" s="4" t="s">
        <v>171</v>
      </c>
      <c r="C108" s="2"/>
      <c r="D108" s="2"/>
      <c r="E108" s="2"/>
      <c r="F108" s="2"/>
      <c r="G108" s="4"/>
      <c r="H108" s="3"/>
      <c r="I108" s="2"/>
      <c r="J108" s="36"/>
      <c r="K108" s="38"/>
      <c r="L108" s="2" t="str">
        <f>IF(K108='Risk Range &amp; Risk Matrix'!$G$12,'Risk Range &amp; Risk Matrix'!$H$12,IF(K108='Risk Range &amp; Risk Matrix'!$G$11,'Risk Range &amp; Risk Matrix'!$H$11,IF(K108='Risk Range &amp; Risk Matrix'!$G$10,'Risk Range &amp; Risk Matrix'!$H$10,IF(K108='Risk Range &amp; Risk Matrix'!$G$9,'Risk Range &amp; Risk Matrix'!$H$9,IF(K108='Risk Range &amp; Risk Matrix'!$G$8,'Risk Range &amp; Risk Matrix'!$H$8,"")))))</f>
        <v/>
      </c>
      <c r="M108" s="37"/>
      <c r="N108" s="37" t="str">
        <f>IF(M108='Risk Range &amp; Risk Matrix'!$I$6,'Risk Range &amp; Risk Matrix'!$I$7,IF(M108='Risk Range &amp; Risk Matrix'!$J$6,'Risk Range &amp; Risk Matrix'!$J$7,IF(M108='Risk Range &amp; Risk Matrix'!$K$6,'Risk Range &amp; Risk Matrix'!$K$7,IF(M108='Risk Range &amp; Risk Matrix'!$L$6,'Risk Range &amp; Risk Matrix'!$L$7,IF(M108='Risk Range &amp; Risk Matrix'!$M$6,'Risk Range &amp; Risk Matrix'!$M$7,"")))))</f>
        <v/>
      </c>
      <c r="O108" s="43" t="str">
        <f t="shared" si="12"/>
        <v>empty</v>
      </c>
      <c r="P108" s="39" t="str">
        <f t="shared" si="13"/>
        <v>empty</v>
      </c>
      <c r="Q108" s="3"/>
      <c r="R108" s="60"/>
      <c r="S108" s="38"/>
      <c r="T108" s="2" t="str">
        <f>IF(S108='Risk Range &amp; Risk Matrix'!$G$12,'Risk Range &amp; Risk Matrix'!$H$12,IF(S108='Risk Range &amp; Risk Matrix'!$G$11,'Risk Range &amp; Risk Matrix'!$H$11,IF(S108='Risk Range &amp; Risk Matrix'!$G$10,'Risk Range &amp; Risk Matrix'!$H$10,IF(S108='Risk Range &amp; Risk Matrix'!$G$9,'Risk Range &amp; Risk Matrix'!$H$9,IF(S108='Risk Range &amp; Risk Matrix'!$G$8,'Risk Range &amp; Risk Matrix'!$H$8,"")))))</f>
        <v/>
      </c>
      <c r="U108" s="37"/>
      <c r="V108" s="37" t="str">
        <f>IF(U108='Risk Range &amp; Risk Matrix'!$I$6,'Risk Range &amp; Risk Matrix'!$I$7,IF(U108='Risk Range &amp; Risk Matrix'!$J$6,'Risk Range &amp; Risk Matrix'!$J$7,IF(U108='Risk Range &amp; Risk Matrix'!$K$6,'Risk Range &amp; Risk Matrix'!$K$7,IF(U108='Risk Range &amp; Risk Matrix'!$L$6,'Risk Range &amp; Risk Matrix'!$L$7,IF(U108='Risk Range &amp; Risk Matrix'!$M$6,'Risk Range &amp; Risk Matrix'!$M$7,"")))))</f>
        <v/>
      </c>
      <c r="W108" s="43" t="str">
        <f t="shared" si="14"/>
        <v>empty</v>
      </c>
      <c r="X108" s="39" t="str">
        <f t="shared" si="15"/>
        <v>empty</v>
      </c>
      <c r="Y108" s="3"/>
      <c r="Z108" s="48"/>
      <c r="AA108" s="8"/>
      <c r="AB108" s="9"/>
      <c r="AC108" s="85"/>
    </row>
    <row r="109" spans="1:29" ht="15.75" thickBot="1">
      <c r="A109" s="85"/>
      <c r="B109" s="72" t="s">
        <v>172</v>
      </c>
      <c r="C109" s="7"/>
      <c r="D109" s="7"/>
      <c r="E109" s="7"/>
      <c r="F109" s="7"/>
      <c r="G109" s="6"/>
      <c r="H109" s="33"/>
      <c r="I109" s="7"/>
      <c r="J109" s="34"/>
      <c r="K109" s="40"/>
      <c r="L109" s="7" t="str">
        <f>IF(K109='Risk Range &amp; Risk Matrix'!$G$12,'Risk Range &amp; Risk Matrix'!$H$12,IF(K109='Risk Range &amp; Risk Matrix'!$G$11,'Risk Range &amp; Risk Matrix'!$H$11,IF(K109='Risk Range &amp; Risk Matrix'!$G$10,'Risk Range &amp; Risk Matrix'!$H$10,IF(K109='Risk Range &amp; Risk Matrix'!$G$9,'Risk Range &amp; Risk Matrix'!$H$9,IF(K109='Risk Range &amp; Risk Matrix'!$G$8,'Risk Range &amp; Risk Matrix'!$H$8,"")))))</f>
        <v/>
      </c>
      <c r="M109" s="41"/>
      <c r="N109" s="41" t="str">
        <f>IF(M109='Risk Range &amp; Risk Matrix'!$I$6,'Risk Range &amp; Risk Matrix'!$I$7,IF(M109='Risk Range &amp; Risk Matrix'!$J$6,'Risk Range &amp; Risk Matrix'!$J$7,IF(M109='Risk Range &amp; Risk Matrix'!$K$6,'Risk Range &amp; Risk Matrix'!$K$7,IF(M109='Risk Range &amp; Risk Matrix'!$L$6,'Risk Range &amp; Risk Matrix'!$L$7,IF(M109='Risk Range &amp; Risk Matrix'!$M$6,'Risk Range &amp; Risk Matrix'!$M$7,"")))))</f>
        <v/>
      </c>
      <c r="O109" s="50" t="str">
        <f t="shared" si="12"/>
        <v>empty</v>
      </c>
      <c r="P109" s="42" t="str">
        <f t="shared" si="13"/>
        <v>empty</v>
      </c>
      <c r="Q109" s="33"/>
      <c r="R109" s="61"/>
      <c r="S109" s="40"/>
      <c r="T109" s="7" t="str">
        <f>IF(S109='Risk Range &amp; Risk Matrix'!$G$12,'Risk Range &amp; Risk Matrix'!$H$12,IF(S109='Risk Range &amp; Risk Matrix'!$G$11,'Risk Range &amp; Risk Matrix'!$H$11,IF(S109='Risk Range &amp; Risk Matrix'!$G$10,'Risk Range &amp; Risk Matrix'!$H$10,IF(S109='Risk Range &amp; Risk Matrix'!$G$9,'Risk Range &amp; Risk Matrix'!$H$9,IF(S109='Risk Range &amp; Risk Matrix'!$G$8,'Risk Range &amp; Risk Matrix'!$H$8,"")))))</f>
        <v/>
      </c>
      <c r="U109" s="41"/>
      <c r="V109" s="41" t="str">
        <f>IF(U109='Risk Range &amp; Risk Matrix'!$I$6,'Risk Range &amp; Risk Matrix'!$I$7,IF(U109='Risk Range &amp; Risk Matrix'!$J$6,'Risk Range &amp; Risk Matrix'!$J$7,IF(U109='Risk Range &amp; Risk Matrix'!$K$6,'Risk Range &amp; Risk Matrix'!$K$7,IF(U109='Risk Range &amp; Risk Matrix'!$L$6,'Risk Range &amp; Risk Matrix'!$L$7,IF(U109='Risk Range &amp; Risk Matrix'!$M$6,'Risk Range &amp; Risk Matrix'!$M$7,"")))))</f>
        <v/>
      </c>
      <c r="W109" s="50" t="str">
        <f t="shared" si="14"/>
        <v>empty</v>
      </c>
      <c r="X109" s="42" t="str">
        <f t="shared" si="15"/>
        <v>empty</v>
      </c>
      <c r="Y109" s="33"/>
      <c r="Z109" s="49"/>
      <c r="AA109" s="10"/>
      <c r="AB109" s="11"/>
      <c r="AC109" s="85"/>
    </row>
    <row r="110" spans="1:29">
      <c r="A110" s="85"/>
      <c r="B110" s="85"/>
      <c r="C110" s="85"/>
      <c r="D110" s="85"/>
      <c r="E110" s="85"/>
      <c r="F110" s="85"/>
      <c r="G110" s="85"/>
      <c r="H110" s="85"/>
      <c r="I110" s="85"/>
      <c r="J110" s="85"/>
      <c r="K110" s="85"/>
      <c r="L110" s="85"/>
      <c r="M110" s="85"/>
      <c r="N110" s="85"/>
      <c r="O110" s="85"/>
      <c r="P110" s="85"/>
      <c r="Q110" s="85"/>
      <c r="R110" s="87"/>
      <c r="S110" s="85"/>
      <c r="T110" s="85"/>
      <c r="U110" s="85"/>
      <c r="V110" s="85"/>
      <c r="W110" s="85"/>
      <c r="X110" s="85"/>
      <c r="Y110" s="85"/>
      <c r="Z110" s="87"/>
      <c r="AA110" s="85"/>
      <c r="AB110" s="85"/>
      <c r="AC110" s="85"/>
    </row>
  </sheetData>
  <autoFilter ref="B8:AB8" xr:uid="{00000000-0009-0000-0000-000000000000}"/>
  <mergeCells count="8">
    <mergeCell ref="B6:AB6"/>
    <mergeCell ref="AA7:AB7"/>
    <mergeCell ref="K7:P7"/>
    <mergeCell ref="G7:J7"/>
    <mergeCell ref="Q7:R7"/>
    <mergeCell ref="S7:X7"/>
    <mergeCell ref="Y7:Z7"/>
    <mergeCell ref="B7:F7"/>
  </mergeCells>
  <phoneticPr fontId="13" type="noConversion"/>
  <conditionalFormatting sqref="P9:P109">
    <cfRule type="containsText" dxfId="33" priority="26" operator="containsText" text="empty">
      <formula>NOT(ISERROR(SEARCH("empty",P9)))</formula>
    </cfRule>
  </conditionalFormatting>
  <conditionalFormatting sqref="X9:X109">
    <cfRule type="containsText" dxfId="32" priority="21" operator="containsText" text="empty">
      <formula>NOT(ISERROR(SEARCH("empty",X9)))</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ellIs" priority="27" operator="greaterThan" id="{3DF14514-EA3E-4B31-9A3F-BA6CEAB1D3CF}">
            <xm:f>'Risk Range &amp; Risk Matrix'!$D$10</xm:f>
            <x14:dxf>
              <font>
                <color theme="0"/>
              </font>
              <fill>
                <patternFill>
                  <bgColor rgb="FFC00000"/>
                </patternFill>
              </fill>
            </x14:dxf>
          </x14:cfRule>
          <x14:cfRule type="cellIs" priority="28" operator="greaterThan" id="{D36AFB68-A6D0-4FDE-ADDF-98E4DABA232C}">
            <xm:f>'Risk Range &amp; Risk Matrix'!$D$11</xm:f>
            <x14:dxf>
              <font>
                <color auto="1"/>
              </font>
              <fill>
                <patternFill>
                  <bgColor rgb="FFFF0000"/>
                </patternFill>
              </fill>
            </x14:dxf>
          </x14:cfRule>
          <x14:cfRule type="cellIs" priority="29" operator="greaterThan" id="{93E3BAD7-2A94-4D92-A434-1E55266E52F1}">
            <xm:f>'Risk Range &amp; Risk Matrix'!$D$12</xm:f>
            <x14:dxf>
              <fill>
                <patternFill>
                  <bgColor rgb="FFFFC000"/>
                </patternFill>
              </fill>
            </x14:dxf>
          </x14:cfRule>
          <x14:cfRule type="cellIs" priority="37" operator="greaterThanOrEqual" id="{168737F4-711D-496E-826C-DBB9FC46DDB0}">
            <xm:f>'Risk Range &amp; Risk Matrix'!$C$12</xm:f>
            <x14:dxf>
              <fill>
                <patternFill>
                  <bgColor rgb="FF92D050"/>
                </patternFill>
              </fill>
            </x14:dxf>
          </x14:cfRule>
          <xm:sqref>P9:P109</xm:sqref>
        </x14:conditionalFormatting>
        <x14:conditionalFormatting xmlns:xm="http://schemas.microsoft.com/office/excel/2006/main">
          <x14:cfRule type="cellIs" priority="22" operator="greaterThan" id="{82579982-94B7-47AC-9197-3018E1B6F855}">
            <xm:f>'Risk Range &amp; Risk Matrix'!$D$10</xm:f>
            <x14:dxf>
              <font>
                <color theme="0"/>
              </font>
              <fill>
                <patternFill>
                  <bgColor rgb="FFC00000"/>
                </patternFill>
              </fill>
            </x14:dxf>
          </x14:cfRule>
          <x14:cfRule type="cellIs" priority="23" operator="greaterThan" id="{8CDC84BA-64DA-4C87-98C4-CD38D5CFC8ED}">
            <xm:f>'Risk Range &amp; Risk Matrix'!$D$11</xm:f>
            <x14:dxf>
              <font>
                <color auto="1"/>
              </font>
              <fill>
                <patternFill>
                  <bgColor rgb="FFFF0000"/>
                </patternFill>
              </fill>
            </x14:dxf>
          </x14:cfRule>
          <x14:cfRule type="cellIs" priority="24" operator="greaterThan" id="{F4535C27-3203-4516-ACD2-002DE2552A42}">
            <xm:f>'Risk Range &amp; Risk Matrix'!$D$12</xm:f>
            <x14:dxf>
              <fill>
                <patternFill>
                  <bgColor rgb="FFFFC000"/>
                </patternFill>
              </fill>
            </x14:dxf>
          </x14:cfRule>
          <x14:cfRule type="cellIs" priority="25" operator="greaterThanOrEqual" id="{CC400201-3B86-445B-A6D8-2AAEF6A31DA7}">
            <xm:f>'Risk Range &amp; Risk Matrix'!$C$12</xm:f>
            <x14:dxf>
              <fill>
                <patternFill>
                  <bgColor rgb="FF92D050"/>
                </patternFill>
              </fill>
            </x14:dxf>
          </x14:cfRule>
          <xm:sqref>X9:X109</xm:sqref>
        </x14:conditionalFormatting>
        <x14:conditionalFormatting xmlns:xm="http://schemas.microsoft.com/office/excel/2006/main">
          <x14:cfRule type="containsText" priority="16" operator="containsText" id="{69D327D9-C4CB-4C04-B844-997EDCF97609}">
            <xm:f>NOT(ISERROR(SEARCH('Risk Range &amp; Risk Matrix'!$G$8,K9)))</xm:f>
            <xm:f>'Risk Range &amp; Risk Matrix'!$G$8</xm:f>
            <x14:dxf>
              <fill>
                <patternFill>
                  <bgColor rgb="FFFF0000"/>
                </patternFill>
              </fill>
            </x14:dxf>
          </x14:cfRule>
          <x14:cfRule type="containsText" priority="17" operator="containsText" id="{E5132458-B4F9-4F05-BA56-35CF48B56FBE}">
            <xm:f>NOT(ISERROR(SEARCH('Risk Range &amp; Risk Matrix'!$G$9,K9)))</xm:f>
            <xm:f>'Risk Range &amp; Risk Matrix'!$G$9</xm:f>
            <x14:dxf>
              <fill>
                <patternFill>
                  <bgColor rgb="FFFF0000"/>
                </patternFill>
              </fill>
            </x14:dxf>
          </x14:cfRule>
          <x14:cfRule type="containsText" priority="18" operator="containsText" id="{3E6755B7-DC86-49B2-A96D-63CFA491F9D4}">
            <xm:f>NOT(ISERROR(SEARCH('Risk Range &amp; Risk Matrix'!$G$10,K9)))</xm:f>
            <xm:f>'Risk Range &amp; Risk Matrix'!$G$10</xm:f>
            <x14:dxf>
              <fill>
                <patternFill>
                  <bgColor rgb="FFFFC000"/>
                </patternFill>
              </fill>
            </x14:dxf>
          </x14:cfRule>
          <x14:cfRule type="containsText" priority="19" operator="containsText" id="{AE3FE35F-8835-42AC-82EB-791C77B558C2}">
            <xm:f>NOT(ISERROR(SEARCH('Risk Range &amp; Risk Matrix'!$G$12,K9)))</xm:f>
            <xm:f>'Risk Range &amp; Risk Matrix'!$G$12</xm:f>
            <x14:dxf>
              <fill>
                <patternFill>
                  <bgColor rgb="FF92D050"/>
                </patternFill>
              </fill>
            </x14:dxf>
          </x14:cfRule>
          <x14:cfRule type="containsText" priority="20" operator="containsText" id="{5DDF377C-166E-4FED-AD25-FDA967EB6351}">
            <xm:f>NOT(ISERROR(SEARCH('Risk Range &amp; Risk Matrix'!$G$11,K9)))</xm:f>
            <xm:f>'Risk Range &amp; Risk Matrix'!$G$11</xm:f>
            <x14:dxf>
              <fill>
                <patternFill>
                  <bgColor rgb="FFFFFF00"/>
                </patternFill>
              </fill>
            </x14:dxf>
          </x14:cfRule>
          <xm:sqref>K9:K109</xm:sqref>
        </x14:conditionalFormatting>
        <x14:conditionalFormatting xmlns:xm="http://schemas.microsoft.com/office/excel/2006/main">
          <x14:cfRule type="containsText" priority="11" operator="containsText" id="{EDB9A373-23F4-46D9-B54D-BB4C48805053}">
            <xm:f>NOT(ISERROR(SEARCH('Risk Range &amp; Risk Matrix'!$M$6,M9)))</xm:f>
            <xm:f>'Risk Range &amp; Risk Matrix'!$M$6</xm:f>
            <x14:dxf>
              <fill>
                <patternFill>
                  <bgColor rgb="FFFF0000"/>
                </patternFill>
              </fill>
            </x14:dxf>
          </x14:cfRule>
          <x14:cfRule type="containsText" priority="12" operator="containsText" id="{EB9AC50C-BC74-4256-8AC4-F20669C51541}">
            <xm:f>NOT(ISERROR(SEARCH('Risk Range &amp; Risk Matrix'!$L$6,M9)))</xm:f>
            <xm:f>'Risk Range &amp; Risk Matrix'!$L$6</xm:f>
            <x14:dxf>
              <fill>
                <patternFill>
                  <bgColor rgb="FFFF0000"/>
                </patternFill>
              </fill>
            </x14:dxf>
          </x14:cfRule>
          <x14:cfRule type="containsText" priority="13" operator="containsText" id="{3D7854F2-C1AA-4361-BF9F-65585C2E7DA1}">
            <xm:f>NOT(ISERROR(SEARCH('Risk Range &amp; Risk Matrix'!$K$6,M9)))</xm:f>
            <xm:f>'Risk Range &amp; Risk Matrix'!$K$6</xm:f>
            <x14:dxf>
              <fill>
                <patternFill>
                  <bgColor rgb="FFFFC000"/>
                </patternFill>
              </fill>
            </x14:dxf>
          </x14:cfRule>
          <x14:cfRule type="containsText" priority="14" operator="containsText" id="{0A78B171-74B6-4A44-8361-7E2A67A05362}">
            <xm:f>NOT(ISERROR(SEARCH('Risk Range &amp; Risk Matrix'!$J$6,M9)))</xm:f>
            <xm:f>'Risk Range &amp; Risk Matrix'!$J$6</xm:f>
            <x14:dxf>
              <fill>
                <patternFill>
                  <bgColor rgb="FFFFFF00"/>
                </patternFill>
              </fill>
            </x14:dxf>
          </x14:cfRule>
          <x14:cfRule type="containsText" priority="15" operator="containsText" id="{43E67345-33D0-445B-B6FE-9837DA0B43A7}">
            <xm:f>NOT(ISERROR(SEARCH('Risk Range &amp; Risk Matrix'!$I$6,M9)))</xm:f>
            <xm:f>'Risk Range &amp; Risk Matrix'!$I$6</xm:f>
            <x14:dxf>
              <fill>
                <patternFill>
                  <bgColor rgb="FF92D050"/>
                </patternFill>
              </fill>
            </x14:dxf>
          </x14:cfRule>
          <xm:sqref>M9:M109</xm:sqref>
        </x14:conditionalFormatting>
        <x14:conditionalFormatting xmlns:xm="http://schemas.microsoft.com/office/excel/2006/main">
          <x14:cfRule type="containsText" priority="6" operator="containsText" id="{8AEA9F9F-4839-4146-A80B-1328FE04AE83}">
            <xm:f>NOT(ISERROR(SEARCH('Risk Range &amp; Risk Matrix'!$G$8,S9)))</xm:f>
            <xm:f>'Risk Range &amp; Risk Matrix'!$G$8</xm:f>
            <x14:dxf>
              <fill>
                <patternFill>
                  <bgColor rgb="FFFF0000"/>
                </patternFill>
              </fill>
            </x14:dxf>
          </x14:cfRule>
          <x14:cfRule type="containsText" priority="7" operator="containsText" id="{9664106E-11DD-4DCC-8B4A-20A122A68303}">
            <xm:f>NOT(ISERROR(SEARCH('Risk Range &amp; Risk Matrix'!$G$9,S9)))</xm:f>
            <xm:f>'Risk Range &amp; Risk Matrix'!$G$9</xm:f>
            <x14:dxf>
              <fill>
                <patternFill>
                  <bgColor rgb="FFFF0000"/>
                </patternFill>
              </fill>
            </x14:dxf>
          </x14:cfRule>
          <x14:cfRule type="containsText" priority="8" operator="containsText" id="{D086054F-8F05-4DAC-9BA9-A96BC6A048B4}">
            <xm:f>NOT(ISERROR(SEARCH('Risk Range &amp; Risk Matrix'!$G$10,S9)))</xm:f>
            <xm:f>'Risk Range &amp; Risk Matrix'!$G$10</xm:f>
            <x14:dxf>
              <fill>
                <patternFill>
                  <bgColor rgb="FFFFC000"/>
                </patternFill>
              </fill>
            </x14:dxf>
          </x14:cfRule>
          <x14:cfRule type="containsText" priority="9" operator="containsText" id="{B678E6E8-9AAB-49CE-B4C8-728B47C747D2}">
            <xm:f>NOT(ISERROR(SEARCH('Risk Range &amp; Risk Matrix'!$G$12,S9)))</xm:f>
            <xm:f>'Risk Range &amp; Risk Matrix'!$G$12</xm:f>
            <x14:dxf>
              <fill>
                <patternFill>
                  <bgColor rgb="FF92D050"/>
                </patternFill>
              </fill>
            </x14:dxf>
          </x14:cfRule>
          <x14:cfRule type="containsText" priority="10" operator="containsText" id="{12007E6A-9AAD-4999-8ACC-597C52085068}">
            <xm:f>NOT(ISERROR(SEARCH('Risk Range &amp; Risk Matrix'!$G$11,S9)))</xm:f>
            <xm:f>'Risk Range &amp; Risk Matrix'!$G$11</xm:f>
            <x14:dxf>
              <fill>
                <patternFill>
                  <bgColor rgb="FFFFFF00"/>
                </patternFill>
              </fill>
            </x14:dxf>
          </x14:cfRule>
          <xm:sqref>S9:S109</xm:sqref>
        </x14:conditionalFormatting>
        <x14:conditionalFormatting xmlns:xm="http://schemas.microsoft.com/office/excel/2006/main">
          <x14:cfRule type="containsText" priority="1" operator="containsText" id="{FE01D02B-6C64-4723-80C5-C302BEDB0DA7}">
            <xm:f>NOT(ISERROR(SEARCH('Risk Range &amp; Risk Matrix'!$M$6,U9)))</xm:f>
            <xm:f>'Risk Range &amp; Risk Matrix'!$M$6</xm:f>
            <x14:dxf>
              <fill>
                <patternFill>
                  <bgColor rgb="FFFF0000"/>
                </patternFill>
              </fill>
            </x14:dxf>
          </x14:cfRule>
          <x14:cfRule type="containsText" priority="2" operator="containsText" id="{3C51C898-C55E-41E7-9CA5-17F84AADA428}">
            <xm:f>NOT(ISERROR(SEARCH('Risk Range &amp; Risk Matrix'!$L$6,U9)))</xm:f>
            <xm:f>'Risk Range &amp; Risk Matrix'!$L$6</xm:f>
            <x14:dxf>
              <fill>
                <patternFill>
                  <bgColor rgb="FFFF0000"/>
                </patternFill>
              </fill>
            </x14:dxf>
          </x14:cfRule>
          <x14:cfRule type="containsText" priority="3" operator="containsText" id="{AAEEEFD5-3EE0-4F38-B485-1A74D7EFD34F}">
            <xm:f>NOT(ISERROR(SEARCH('Risk Range &amp; Risk Matrix'!$K$6,U9)))</xm:f>
            <xm:f>'Risk Range &amp; Risk Matrix'!$K$6</xm:f>
            <x14:dxf>
              <fill>
                <patternFill>
                  <bgColor rgb="FFFFC000"/>
                </patternFill>
              </fill>
            </x14:dxf>
          </x14:cfRule>
          <x14:cfRule type="containsText" priority="4" operator="containsText" id="{BBF739F4-AA20-43CF-B8D6-74BC334E6148}">
            <xm:f>NOT(ISERROR(SEARCH('Risk Range &amp; Risk Matrix'!$J$6,U9)))</xm:f>
            <xm:f>'Risk Range &amp; Risk Matrix'!$J$6</xm:f>
            <x14:dxf>
              <fill>
                <patternFill>
                  <bgColor rgb="FFFFFF00"/>
                </patternFill>
              </fill>
            </x14:dxf>
          </x14:cfRule>
          <x14:cfRule type="containsText" priority="5" operator="containsText" id="{A68A2C0F-18FD-4FF6-8787-BFCFE635F3C6}">
            <xm:f>NOT(ISERROR(SEARCH('Risk Range &amp; Risk Matrix'!$I$6,U9)))</xm:f>
            <xm:f>'Risk Range &amp; Risk Matrix'!$I$6</xm:f>
            <x14:dxf>
              <fill>
                <patternFill>
                  <bgColor rgb="FF92D050"/>
                </patternFill>
              </fill>
            </x14:dxf>
          </x14:cfRule>
          <xm:sqref>U9:U109</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0000000}">
          <x14:formula1>
            <xm:f>Lists!$F$2:$F$3</xm:f>
          </x14:formula1>
          <xm:sqref>G9:G109</xm:sqref>
        </x14:dataValidation>
        <x14:dataValidation type="list" allowBlank="1" showInputMessage="1" showErrorMessage="1" xr:uid="{00000000-0002-0000-0000-000001000000}">
          <x14:formula1>
            <xm:f>Lists!$A$2:$A$26</xm:f>
          </x14:formula1>
          <xm:sqref>I9:I109</xm:sqref>
        </x14:dataValidation>
        <x14:dataValidation type="list" allowBlank="1" showInputMessage="1" showErrorMessage="1" xr:uid="{00000000-0002-0000-0000-000002000000}">
          <x14:formula1>
            <xm:f>Lists!$E$2:$E$8</xm:f>
          </x14:formula1>
          <xm:sqref>Y9:Y109 Q9:Q109</xm:sqref>
        </x14:dataValidation>
        <x14:dataValidation type="list" allowBlank="1" showInputMessage="1" showErrorMessage="1" xr:uid="{00000000-0002-0000-0000-000003000000}">
          <x14:formula1>
            <xm:f>Lists!$D$2:$D$6</xm:f>
          </x14:formula1>
          <xm:sqref>U9:U109</xm:sqref>
        </x14:dataValidation>
        <x14:dataValidation type="list" allowBlank="1" showInputMessage="1" showErrorMessage="1" xr:uid="{00000000-0002-0000-0000-000004000000}">
          <x14:formula1>
            <xm:f>Lists!$C$2:$C$7</xm:f>
          </x14:formula1>
          <xm:sqref>S9:S109 K9:K109</xm:sqref>
        </x14:dataValidation>
        <x14:dataValidation type="list" allowBlank="1" showInputMessage="1" showErrorMessage="1" xr:uid="{00000000-0002-0000-0000-000005000000}">
          <x14:formula1>
            <xm:f>Lists!$D$2:$D$7</xm:f>
          </x14:formula1>
          <xm:sqref>M9:M109</xm:sqref>
        </x14:dataValidation>
        <x14:dataValidation type="list" allowBlank="1" showInputMessage="1" showErrorMessage="1" xr:uid="{00000000-0002-0000-0000-000006000000}">
          <x14:formula1>
            <xm:f>Lists!$G$2:$G$4</xm:f>
          </x14:formula1>
          <xm:sqref>H9:H109</xm:sqref>
        </x14:dataValidation>
        <x14:dataValidation type="list" allowBlank="1" showInputMessage="1" showErrorMessage="1" xr:uid="{00000000-0002-0000-0000-000007000000}">
          <x14:formula1>
            <xm:f>Lists!$H$2:$H$3</xm:f>
          </x14:formula1>
          <xm:sqref>J9:J109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8"/>
  <sheetViews>
    <sheetView zoomScale="106" zoomScaleNormal="106" workbookViewId="0">
      <selection activeCell="E4" sqref="E4"/>
    </sheetView>
  </sheetViews>
  <sheetFormatPr defaultColWidth="9.85546875" defaultRowHeight="15"/>
  <cols>
    <col min="1" max="1" width="3.7109375" customWidth="1"/>
    <col min="2" max="2" width="15.140625" bestFit="1" customWidth="1"/>
    <col min="3" max="3" width="13.42578125" bestFit="1" customWidth="1"/>
    <col min="4" max="4" width="14" bestFit="1" customWidth="1"/>
    <col min="5" max="5" width="77.7109375" bestFit="1" customWidth="1"/>
    <col min="7" max="7" width="16" bestFit="1" customWidth="1"/>
    <col min="8" max="8" width="4.140625" bestFit="1" customWidth="1"/>
    <col min="9" max="9" width="13" bestFit="1" customWidth="1"/>
    <col min="10" max="10" width="7.42578125" bestFit="1" customWidth="1"/>
    <col min="11" max="11" width="11.140625" bestFit="1" customWidth="1"/>
    <col min="12" max="12" width="7.42578125" bestFit="1" customWidth="1"/>
    <col min="13" max="13" width="14.140625" bestFit="1" customWidth="1"/>
  </cols>
  <sheetData>
    <row r="1" spans="1:14" ht="16.5" customHeight="1">
      <c r="A1" s="85"/>
      <c r="B1" s="85"/>
      <c r="C1" s="85"/>
      <c r="D1" s="85"/>
      <c r="E1" s="85"/>
      <c r="F1" s="85"/>
      <c r="G1" s="85"/>
      <c r="H1" s="85"/>
      <c r="I1" s="85"/>
      <c r="J1" s="85"/>
      <c r="K1" s="85"/>
      <c r="L1" s="85"/>
      <c r="M1" s="85"/>
      <c r="N1" s="85"/>
    </row>
    <row r="2" spans="1:14">
      <c r="A2" s="85"/>
      <c r="B2" s="85"/>
      <c r="C2" s="85"/>
      <c r="D2" s="85"/>
      <c r="E2" s="85"/>
      <c r="F2" s="85"/>
      <c r="G2" s="85"/>
      <c r="H2" s="85"/>
      <c r="I2" s="85"/>
      <c r="J2" s="85"/>
      <c r="K2" s="85"/>
      <c r="L2" s="85"/>
      <c r="M2" s="85"/>
      <c r="N2" s="85"/>
    </row>
    <row r="3" spans="1:14">
      <c r="A3" s="85"/>
      <c r="B3" s="85"/>
      <c r="C3" s="85"/>
      <c r="D3" s="85"/>
      <c r="E3" s="85"/>
      <c r="F3" s="85"/>
      <c r="G3" s="85"/>
      <c r="H3" s="85"/>
      <c r="I3" s="85"/>
      <c r="J3" s="85"/>
      <c r="K3" s="85"/>
      <c r="L3" s="85"/>
      <c r="M3" s="85"/>
      <c r="N3" s="85"/>
    </row>
    <row r="4" spans="1:14">
      <c r="A4" s="85"/>
      <c r="B4" s="85"/>
      <c r="C4" s="85"/>
      <c r="D4" s="85"/>
      <c r="E4" s="85"/>
      <c r="F4" s="85"/>
      <c r="G4" s="85"/>
      <c r="H4" s="85"/>
      <c r="I4" s="85"/>
      <c r="J4" s="85"/>
      <c r="K4" s="85"/>
      <c r="L4" s="85"/>
      <c r="M4" s="85"/>
      <c r="N4" s="85"/>
    </row>
    <row r="5" spans="1:14" ht="16.5" customHeight="1" thickBot="1">
      <c r="A5" s="85"/>
      <c r="B5" s="85"/>
      <c r="C5" s="85"/>
      <c r="D5" s="85"/>
      <c r="E5" s="85"/>
      <c r="F5" s="85"/>
      <c r="G5" s="85"/>
      <c r="H5" s="85"/>
      <c r="I5" s="85"/>
      <c r="J5" s="85"/>
      <c r="K5" s="85"/>
      <c r="L5" s="85"/>
      <c r="M5" s="85"/>
      <c r="N5" s="85"/>
    </row>
    <row r="6" spans="1:14" ht="15.75" thickBot="1">
      <c r="A6" s="85"/>
      <c r="B6" s="84" t="s">
        <v>173</v>
      </c>
      <c r="C6" s="85"/>
      <c r="D6" s="85"/>
      <c r="E6" s="85"/>
      <c r="F6" s="85"/>
      <c r="G6" s="111" t="s">
        <v>174</v>
      </c>
      <c r="H6" s="112"/>
      <c r="I6" s="28" t="s">
        <v>35</v>
      </c>
      <c r="J6" s="28" t="s">
        <v>42</v>
      </c>
      <c r="K6" s="28" t="s">
        <v>48</v>
      </c>
      <c r="L6" s="28" t="s">
        <v>53</v>
      </c>
      <c r="M6" s="29" t="s">
        <v>58</v>
      </c>
      <c r="N6" s="85"/>
    </row>
    <row r="7" spans="1:14" ht="15.75" thickBot="1">
      <c r="A7" s="85"/>
      <c r="B7" s="115" t="s">
        <v>175</v>
      </c>
      <c r="C7" s="116"/>
      <c r="D7" s="116"/>
      <c r="E7" s="117"/>
      <c r="F7" s="85"/>
      <c r="G7" s="113"/>
      <c r="H7" s="114"/>
      <c r="I7" s="57">
        <v>1</v>
      </c>
      <c r="J7" s="57">
        <v>2</v>
      </c>
      <c r="K7" s="57">
        <v>3</v>
      </c>
      <c r="L7" s="57">
        <v>4</v>
      </c>
      <c r="M7" s="57">
        <v>5</v>
      </c>
      <c r="N7" s="85"/>
    </row>
    <row r="8" spans="1:14" ht="15.75" thickBot="1">
      <c r="A8" s="85"/>
      <c r="B8" s="78" t="s">
        <v>175</v>
      </c>
      <c r="C8" s="16" t="s">
        <v>176</v>
      </c>
      <c r="D8" s="17" t="s">
        <v>177</v>
      </c>
      <c r="E8" s="27" t="s">
        <v>15</v>
      </c>
      <c r="F8" s="85"/>
      <c r="G8" s="75" t="s">
        <v>57</v>
      </c>
      <c r="H8" s="56">
        <v>5</v>
      </c>
      <c r="I8" s="18">
        <f>I7*$H$8</f>
        <v>5</v>
      </c>
      <c r="J8" s="19">
        <f>J7*$H$8</f>
        <v>10</v>
      </c>
      <c r="K8" s="19">
        <f>K7*$H$8</f>
        <v>15</v>
      </c>
      <c r="L8" s="19">
        <f>L7*$H$8</f>
        <v>20</v>
      </c>
      <c r="M8" s="20">
        <f>M7*$H$8</f>
        <v>25</v>
      </c>
      <c r="N8" s="85"/>
    </row>
    <row r="9" spans="1:14" ht="15.75" thickBot="1">
      <c r="A9" s="85"/>
      <c r="B9" s="79" t="s">
        <v>178</v>
      </c>
      <c r="C9" s="51">
        <f>D10+1</f>
        <v>23</v>
      </c>
      <c r="D9" s="54">
        <f>H8*M7</f>
        <v>25</v>
      </c>
      <c r="E9" s="30" t="s">
        <v>179</v>
      </c>
      <c r="F9" s="85"/>
      <c r="G9" s="76" t="s">
        <v>52</v>
      </c>
      <c r="H9" s="56">
        <v>4</v>
      </c>
      <c r="I9" s="21">
        <f>I7*$H$9</f>
        <v>4</v>
      </c>
      <c r="J9" s="22">
        <f>J7*$H$9</f>
        <v>8</v>
      </c>
      <c r="K9" s="22">
        <f>K7*$H$9</f>
        <v>12</v>
      </c>
      <c r="L9" s="22">
        <f>L7*$H$9</f>
        <v>16</v>
      </c>
      <c r="M9" s="23">
        <f>M7*$H$9</f>
        <v>20</v>
      </c>
      <c r="N9" s="85"/>
    </row>
    <row r="10" spans="1:14" ht="15" customHeight="1" thickBot="1">
      <c r="A10" s="85"/>
      <c r="B10" s="80" t="s">
        <v>180</v>
      </c>
      <c r="C10" s="52">
        <f>D11+1</f>
        <v>16</v>
      </c>
      <c r="D10" s="55">
        <v>22</v>
      </c>
      <c r="E10" s="31" t="s">
        <v>181</v>
      </c>
      <c r="F10" s="85"/>
      <c r="G10" s="76" t="s">
        <v>47</v>
      </c>
      <c r="H10" s="56">
        <v>2</v>
      </c>
      <c r="I10" s="21">
        <f>I7*$H$10</f>
        <v>2</v>
      </c>
      <c r="J10" s="22">
        <f>J7*$H$10</f>
        <v>4</v>
      </c>
      <c r="K10" s="22">
        <f>K7*$H$10</f>
        <v>6</v>
      </c>
      <c r="L10" s="22">
        <f>L7*$H$10</f>
        <v>8</v>
      </c>
      <c r="M10" s="23">
        <f>M7*$H$10</f>
        <v>10</v>
      </c>
      <c r="N10" s="85"/>
    </row>
    <row r="11" spans="1:14" ht="18" customHeight="1" thickBot="1">
      <c r="A11" s="85"/>
      <c r="B11" s="81" t="s">
        <v>182</v>
      </c>
      <c r="C11" s="52">
        <f>D12+1</f>
        <v>6</v>
      </c>
      <c r="D11" s="55">
        <v>15</v>
      </c>
      <c r="E11" s="31" t="s">
        <v>183</v>
      </c>
      <c r="F11" s="85"/>
      <c r="G11" s="76" t="s">
        <v>41</v>
      </c>
      <c r="H11" s="56">
        <v>2</v>
      </c>
      <c r="I11" s="21">
        <f>I7*$H$11</f>
        <v>2</v>
      </c>
      <c r="J11" s="22">
        <f>J7*$H$11</f>
        <v>4</v>
      </c>
      <c r="K11" s="22">
        <f>K7*$H$11</f>
        <v>6</v>
      </c>
      <c r="L11" s="22">
        <f>L7*$H$11</f>
        <v>8</v>
      </c>
      <c r="M11" s="23">
        <f>M7*$H$11</f>
        <v>10</v>
      </c>
      <c r="N11" s="85"/>
    </row>
    <row r="12" spans="1:14" ht="15.75" customHeight="1" thickBot="1">
      <c r="A12" s="85"/>
      <c r="B12" s="82" t="s">
        <v>184</v>
      </c>
      <c r="C12" s="53">
        <f>I7*H12</f>
        <v>1</v>
      </c>
      <c r="D12" s="55">
        <v>5</v>
      </c>
      <c r="E12" s="32" t="s">
        <v>185</v>
      </c>
      <c r="F12" s="85"/>
      <c r="G12" s="77" t="s">
        <v>34</v>
      </c>
      <c r="H12" s="56">
        <v>1</v>
      </c>
      <c r="I12" s="24">
        <f>I7*$H$12</f>
        <v>1</v>
      </c>
      <c r="J12" s="25">
        <f>J7*$H$12</f>
        <v>2</v>
      </c>
      <c r="K12" s="25">
        <f>K7*$H$12</f>
        <v>3</v>
      </c>
      <c r="L12" s="25">
        <f>L7*$H$12</f>
        <v>4</v>
      </c>
      <c r="M12" s="26">
        <f>M7*$H$12</f>
        <v>5</v>
      </c>
      <c r="N12" s="85"/>
    </row>
    <row r="13" spans="1:14">
      <c r="A13" s="85"/>
      <c r="B13" s="93"/>
      <c r="C13" s="85"/>
      <c r="D13" s="85"/>
      <c r="E13" s="85"/>
      <c r="F13" s="85"/>
      <c r="G13" s="85"/>
      <c r="H13" s="85"/>
      <c r="I13" s="85"/>
      <c r="J13" s="85"/>
      <c r="K13" s="85"/>
      <c r="L13" s="85"/>
      <c r="M13" s="85"/>
      <c r="N13" s="85"/>
    </row>
    <row r="14" spans="1:14">
      <c r="A14" s="85"/>
      <c r="B14" s="85"/>
      <c r="C14" s="85"/>
      <c r="D14" s="85"/>
      <c r="E14" s="85"/>
      <c r="F14" s="85"/>
      <c r="G14" s="85"/>
      <c r="H14" s="85"/>
      <c r="I14" s="85"/>
      <c r="J14" s="85"/>
      <c r="K14" s="85"/>
      <c r="L14" s="85"/>
      <c r="M14" s="85"/>
      <c r="N14" s="85"/>
    </row>
    <row r="18" spans="2:2">
      <c r="B18" s="58"/>
    </row>
    <row r="22" spans="2:2" ht="25.5" customHeight="1"/>
    <row r="27" spans="2:2" ht="15" customHeight="1"/>
    <row r="28" spans="2:2" ht="15" customHeight="1"/>
  </sheetData>
  <mergeCells count="2">
    <mergeCell ref="G6:H7"/>
    <mergeCell ref="B7:E7"/>
  </mergeCells>
  <conditionalFormatting sqref="I8:M12">
    <cfRule type="cellIs" dxfId="3" priority="1" operator="greaterThan">
      <formula>$D$10</formula>
    </cfRule>
    <cfRule type="cellIs" dxfId="2" priority="2" operator="greaterThan">
      <formula>$D$11</formula>
    </cfRule>
    <cfRule type="cellIs" dxfId="1" priority="3" operator="greaterThan">
      <formula>$D$12</formula>
    </cfRule>
    <cfRule type="cellIs" dxfId="0" priority="4" operator="greaterThanOrEqual">
      <formula>$C$12</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heetViews>
  <sheetFormatPr defaultRowHeight="15"/>
  <cols>
    <col min="1" max="1" width="14.140625" bestFit="1" customWidth="1"/>
    <col min="2" max="2" width="2" bestFit="1" customWidth="1"/>
    <col min="3" max="4" width="18" customWidth="1"/>
    <col min="5" max="5" width="10.28515625" bestFit="1" customWidth="1"/>
    <col min="7" max="7" width="13.28515625" bestFit="1" customWidth="1"/>
    <col min="8" max="8" width="13.140625" bestFit="1" customWidth="1"/>
  </cols>
  <sheetData>
    <row r="1" spans="1:8">
      <c r="A1" s="1" t="s">
        <v>19</v>
      </c>
      <c r="B1" s="1"/>
      <c r="C1" s="1" t="s">
        <v>21</v>
      </c>
      <c r="D1" s="1" t="s">
        <v>23</v>
      </c>
      <c r="E1" s="1" t="s">
        <v>9</v>
      </c>
      <c r="F1" s="1" t="s">
        <v>17</v>
      </c>
      <c r="G1" s="1" t="s">
        <v>186</v>
      </c>
      <c r="H1" s="1" t="s">
        <v>20</v>
      </c>
    </row>
    <row r="2" spans="1:8">
      <c r="A2" t="s">
        <v>32</v>
      </c>
      <c r="B2">
        <v>1</v>
      </c>
      <c r="C2" t="s">
        <v>34</v>
      </c>
      <c r="D2" t="s">
        <v>35</v>
      </c>
      <c r="E2" t="s">
        <v>59</v>
      </c>
      <c r="F2" t="s">
        <v>30</v>
      </c>
      <c r="G2" t="s">
        <v>31</v>
      </c>
      <c r="H2" t="s">
        <v>33</v>
      </c>
    </row>
    <row r="3" spans="1:8">
      <c r="A3" t="s">
        <v>39</v>
      </c>
      <c r="B3">
        <v>2</v>
      </c>
      <c r="C3" t="s">
        <v>41</v>
      </c>
      <c r="D3" t="s">
        <v>42</v>
      </c>
      <c r="E3" t="s">
        <v>49</v>
      </c>
      <c r="F3" t="s">
        <v>37</v>
      </c>
      <c r="G3" t="s">
        <v>38</v>
      </c>
      <c r="H3" t="s">
        <v>40</v>
      </c>
    </row>
    <row r="4" spans="1:8">
      <c r="A4" t="s">
        <v>46</v>
      </c>
      <c r="B4">
        <v>3</v>
      </c>
      <c r="C4" t="s">
        <v>47</v>
      </c>
      <c r="D4" t="s">
        <v>48</v>
      </c>
      <c r="E4" t="s">
        <v>54</v>
      </c>
      <c r="G4" t="s">
        <v>45</v>
      </c>
    </row>
    <row r="5" spans="1:8">
      <c r="A5" t="s">
        <v>51</v>
      </c>
      <c r="B5">
        <v>4</v>
      </c>
      <c r="C5" t="s">
        <v>52</v>
      </c>
      <c r="D5" t="s">
        <v>53</v>
      </c>
      <c r="E5" t="s">
        <v>43</v>
      </c>
    </row>
    <row r="6" spans="1:8">
      <c r="A6" t="s">
        <v>56</v>
      </c>
      <c r="B6">
        <v>5</v>
      </c>
      <c r="C6" t="s">
        <v>57</v>
      </c>
      <c r="D6" t="s">
        <v>58</v>
      </c>
      <c r="E6" t="s">
        <v>62</v>
      </c>
    </row>
    <row r="7" spans="1:8">
      <c r="A7" t="s">
        <v>61</v>
      </c>
      <c r="E7" t="s">
        <v>65</v>
      </c>
    </row>
    <row r="8" spans="1:8">
      <c r="A8" t="s">
        <v>64</v>
      </c>
    </row>
    <row r="9" spans="1:8">
      <c r="A9" t="s">
        <v>67</v>
      </c>
    </row>
    <row r="10" spans="1:8">
      <c r="A10" t="s">
        <v>69</v>
      </c>
    </row>
    <row r="11" spans="1:8">
      <c r="A11" t="s">
        <v>71</v>
      </c>
    </row>
    <row r="12" spans="1:8">
      <c r="A12" t="s">
        <v>73</v>
      </c>
    </row>
    <row r="13" spans="1:8">
      <c r="A13" t="s">
        <v>75</v>
      </c>
    </row>
    <row r="14" spans="1:8">
      <c r="A14" t="s">
        <v>77</v>
      </c>
    </row>
    <row r="15" spans="1:8">
      <c r="A15" t="s">
        <v>79</v>
      </c>
    </row>
    <row r="16" spans="1:8">
      <c r="A16" t="s">
        <v>81</v>
      </c>
    </row>
    <row r="17" spans="1:1">
      <c r="A17" t="s">
        <v>83</v>
      </c>
    </row>
    <row r="18" spans="1:1">
      <c r="A18" t="s">
        <v>85</v>
      </c>
    </row>
    <row r="19" spans="1:1">
      <c r="A19" t="s">
        <v>87</v>
      </c>
    </row>
    <row r="20" spans="1:1">
      <c r="A20" t="s">
        <v>89</v>
      </c>
    </row>
    <row r="25" spans="1:1">
      <c r="A25" t="s">
        <v>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e35a21f2-4e4d-4e55-b316-830f13664140">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A0A108017FF0488F77AF220F8E2769" ma:contentTypeVersion="13" ma:contentTypeDescription="Create a new document." ma:contentTypeScope="" ma:versionID="1def7306c3cf6a6cc6ed2f4a8440267b">
  <xsd:schema xmlns:xsd="http://www.w3.org/2001/XMLSchema" xmlns:xs="http://www.w3.org/2001/XMLSchema" xmlns:p="http://schemas.microsoft.com/office/2006/metadata/properties" xmlns:ns2="a11fd71f-e386-4b2a-89e4-a10e79b1a3d8" xmlns:ns3="e35a21f2-4e4d-4e55-b316-830f13664140" targetNamespace="http://schemas.microsoft.com/office/2006/metadata/properties" ma:root="true" ma:fieldsID="cec201c8ddf967daa8f6a4c340cd7066" ns2:_="" ns3:_="">
    <xsd:import namespace="a11fd71f-e386-4b2a-89e4-a10e79b1a3d8"/>
    <xsd:import namespace="e35a21f2-4e4d-4e55-b316-830f1366414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1fd71f-e386-4b2a-89e4-a10e79b1a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35a21f2-4e4d-4e55-b316-830f1366414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4C9E17-0305-4A54-B463-1126E9777E9D}"/>
</file>

<file path=customXml/itemProps2.xml><?xml version="1.0" encoding="utf-8"?>
<ds:datastoreItem xmlns:ds="http://schemas.openxmlformats.org/officeDocument/2006/customXml" ds:itemID="{412763E2-0A75-44C9-B360-16769121C77F}"/>
</file>

<file path=customXml/itemProps3.xml><?xml version="1.0" encoding="utf-8"?>
<ds:datastoreItem xmlns:ds="http://schemas.openxmlformats.org/officeDocument/2006/customXml" ds:itemID="{F472BF44-7E9A-4EDA-A8A1-20A6719CCD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dc:creator>
  <cp:keywords/>
  <dc:description/>
  <cp:lastModifiedBy>Guest User</cp:lastModifiedBy>
  <cp:revision/>
  <dcterms:created xsi:type="dcterms:W3CDTF">2020-10-07T09:25:57Z</dcterms:created>
  <dcterms:modified xsi:type="dcterms:W3CDTF">2022-10-01T06:58:34Z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0x010100F5A0A108017FF0488F77AF220F8E2769</vt:lpwstr>
  </property>
  <property fmtid="{D5CDD505-2E9C-101B-9397-08002B2CF9AE}" pid="3" name="Order">
    <vt:r8>9652100</vt:r8>
  </property>
  <property fmtid="{D5CDD505-2E9C-101B-9397-08002B2CF9AE}" pid="4" name="ComplianceAssetId">
    <vt:lpwstr/>
  </property>
</Properties>
</file>