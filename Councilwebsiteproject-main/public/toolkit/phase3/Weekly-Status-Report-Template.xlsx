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06"/>
  <workbookPr/>
  <mc:AlternateContent xmlns:mc="http://schemas.openxmlformats.org/markup-compatibility/2006">
    <mc:Choice Requires="x15">
      <x15ac:absPath xmlns:x15ac="http://schemas.microsoft.com/office/spreadsheetml/2010/11/ac" url="https://enginge-my.sharepoint.com/personal/nassim_enginge_com/Documents/Companies/Australia/Engineering Ingenuity/IPWEA/2022/PM Toolkit/PM Toolkit - Modified/Module 3 - Delivery/"/>
    </mc:Choice>
  </mc:AlternateContent>
  <xr:revisionPtr revIDLastSave="2" documentId="8_{085E3FC4-6440-4A96-A436-7C7584AAE36E}" xr6:coauthVersionLast="47" xr6:coauthVersionMax="47" xr10:uidLastSave="{F72B98FB-DC67-48CC-9A7C-60D6A55F0B03}"/>
  <bookViews>
    <workbookView xWindow="28680" yWindow="-120" windowWidth="29040" windowHeight="15840" xr2:uid="{00000000-000D-0000-FFFF-FFFF00000000}"/>
  </bookViews>
  <sheets>
    <sheet name="Project Status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E34" i="1"/>
  <c r="I30" i="1"/>
  <c r="I31" i="1"/>
  <c r="I32" i="1"/>
  <c r="I33" i="1"/>
  <c r="I29" i="1"/>
  <c r="I34" i="1" l="1"/>
</calcChain>
</file>

<file path=xl/sharedStrings.xml><?xml version="1.0" encoding="utf-8"?>
<sst xmlns="http://schemas.openxmlformats.org/spreadsheetml/2006/main" count="115" uniqueCount="85">
  <si>
    <t>Weekly Status Report</t>
  </si>
  <si>
    <t>Project Name</t>
  </si>
  <si>
    <t>Children's Playground Upgrade</t>
  </si>
  <si>
    <t>Project Manager</t>
  </si>
  <si>
    <t>Tom Peters</t>
  </si>
  <si>
    <t>Date</t>
  </si>
  <si>
    <t>Project Health Card</t>
  </si>
  <si>
    <t>Green</t>
  </si>
  <si>
    <t>Schedule</t>
  </si>
  <si>
    <t>The project tasks are on track.</t>
  </si>
  <si>
    <t>Budget</t>
  </si>
  <si>
    <t>The budget is on track but some items are a concern but monitored.</t>
  </si>
  <si>
    <t>Resources</t>
  </si>
  <si>
    <t>Amber</t>
  </si>
  <si>
    <t>The project is well resourced. Some resources have delivery delays and some people have taken unplanned leave</t>
  </si>
  <si>
    <t>Quality</t>
  </si>
  <si>
    <t xml:space="preserve">No issues at present </t>
  </si>
  <si>
    <t>Scope</t>
  </si>
  <si>
    <t>The project scope is on track. There are 2 change requests pending.</t>
  </si>
  <si>
    <t>Risks</t>
  </si>
  <si>
    <t>Project Risks are under control.</t>
  </si>
  <si>
    <t>Issues</t>
  </si>
  <si>
    <t>Red</t>
  </si>
  <si>
    <t>There are 4 high issues open.</t>
  </si>
  <si>
    <t>Change Mgt</t>
  </si>
  <si>
    <t>The change management plan for the project is being drafted.</t>
  </si>
  <si>
    <t>Project Schedule</t>
  </si>
  <si>
    <t>No</t>
  </si>
  <si>
    <t>Task</t>
  </si>
  <si>
    <t>Start</t>
  </si>
  <si>
    <t>Finish</t>
  </si>
  <si>
    <t>Progress</t>
  </si>
  <si>
    <t>Worst Date</t>
  </si>
  <si>
    <t>Concerns</t>
  </si>
  <si>
    <t>Detailed Scope and Plan</t>
  </si>
  <si>
    <t xml:space="preserve">Preliminary Earthworks and Drainage </t>
  </si>
  <si>
    <t>Yes</t>
  </si>
  <si>
    <t>Community Consultation</t>
  </si>
  <si>
    <t>Playground Build</t>
  </si>
  <si>
    <t>Quality Assurance</t>
  </si>
  <si>
    <t>Project Close</t>
  </si>
  <si>
    <t>Project Financials</t>
  </si>
  <si>
    <t>Item</t>
  </si>
  <si>
    <t>Planned Spend</t>
  </si>
  <si>
    <t>Actual Spend</t>
  </si>
  <si>
    <t>Variance</t>
  </si>
  <si>
    <t xml:space="preserve">Wage and Contractor </t>
  </si>
  <si>
    <t xml:space="preserve">Playground Furniture </t>
  </si>
  <si>
    <t>Equipment Costs</t>
  </si>
  <si>
    <t>Earthworks Costs</t>
  </si>
  <si>
    <t>Other Expenses</t>
  </si>
  <si>
    <t>Totals</t>
  </si>
  <si>
    <t>Top 5</t>
  </si>
  <si>
    <t>Type</t>
  </si>
  <si>
    <t>Description</t>
  </si>
  <si>
    <t>Status</t>
  </si>
  <si>
    <t>Owner</t>
  </si>
  <si>
    <t>Due</t>
  </si>
  <si>
    <t>Risk</t>
  </si>
  <si>
    <t>There is a technical risk with the project which has not been addressed.</t>
  </si>
  <si>
    <t>Neal</t>
  </si>
  <si>
    <t>Issue</t>
  </si>
  <si>
    <t>Some of the team members have taken unplanned leave.</t>
  </si>
  <si>
    <t>Jim</t>
  </si>
  <si>
    <t>Decision</t>
  </si>
  <si>
    <t>A key decision regarding playground furniture is pending.</t>
  </si>
  <si>
    <t>Sam</t>
  </si>
  <si>
    <t>Dependency</t>
  </si>
  <si>
    <t>The project has a depedency on other project for ground works which has not been resolved yet.</t>
  </si>
  <si>
    <t>Ram</t>
  </si>
  <si>
    <t>Change Request</t>
  </si>
  <si>
    <t>The change requests need be approved at the earliest so that the impact on the project is less.</t>
  </si>
  <si>
    <t>Jam</t>
  </si>
  <si>
    <t>Pending Items</t>
  </si>
  <si>
    <t>Items</t>
  </si>
  <si>
    <t>High</t>
  </si>
  <si>
    <t>Med</t>
  </si>
  <si>
    <t>Low</t>
  </si>
  <si>
    <t>Action</t>
  </si>
  <si>
    <t>Decisions</t>
  </si>
  <si>
    <t>Dependancy</t>
  </si>
  <si>
    <t>Actions</t>
  </si>
  <si>
    <t>Assumption</t>
  </si>
  <si>
    <t>Changes</t>
  </si>
  <si>
    <t>Dependancies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</si>
</sst>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&quot;$&quot;#,##0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1" xfId="0" applyFill="1" applyBorder="1"/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/>
    </xf>
    <xf numFmtId="0" fontId="0" fillId="4" borderId="0" xfId="0" applyFill="1"/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center"/>
    </xf>
    <xf numFmtId="0" fontId="0" fillId="0" borderId="0" xfId="0"/>
    <xf numFmtId="0" fontId="4" fillId="4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6600"/>
        </patternFill>
      </fill>
    </dxf>
    <dxf>
      <font>
        <color theme="0"/>
      </font>
      <fill>
        <patternFill>
          <bgColor rgb="FFFF6600"/>
        </patternFill>
      </fill>
    </dxf>
  </dxfs>
  <tableStyles count="0" defaultTableStyle="TableStyleMedium2" defaultPivotStyle="PivotStyleLight16"/>
  <colors>
    <mruColors>
      <color rgb="FFFF6600"/>
      <color rgb="FFFFFF57"/>
      <color rgb="FFFFFF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533262456117036"/>
          <c:y val="0.455414621672093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56006290352944"/>
          <c:y val="9.9743926014207826E-2"/>
          <c:w val="0.75087943121033907"/>
          <c:h val="0.90025607398579222"/>
        </c:manualLayout>
      </c:layout>
      <c:doughnutChart>
        <c:varyColors val="1"/>
        <c:ser>
          <c:idx val="0"/>
          <c:order val="0"/>
          <c:tx>
            <c:strRef>
              <c:f>Data!$D$2</c:f>
              <c:strCache>
                <c:ptCount val="1"/>
                <c:pt idx="0">
                  <c:v>Risks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90-4110-BE6E-B960EA596A9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90-4110-BE6E-B960EA596A90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90-4110-BE6E-B960EA596A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Data!$E$1:$G$1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Data!$E$2:$G$2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90-4110-BE6E-B960EA596A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087003309347757"/>
          <c:y val="0.4203700787401574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827577234330149"/>
          <c:y val="6.25E-2"/>
          <c:w val="0.61494225045603657"/>
          <c:h val="0.89166666666666672"/>
        </c:manualLayout>
      </c:layout>
      <c:doughnutChart>
        <c:varyColors val="1"/>
        <c:ser>
          <c:idx val="0"/>
          <c:order val="0"/>
          <c:tx>
            <c:strRef>
              <c:f>Data!$D$3</c:f>
              <c:strCache>
                <c:ptCount val="1"/>
                <c:pt idx="0">
                  <c:v>Issues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9D-4BA0-9D2A-C60CE0CB07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9D-4BA0-9D2A-C60CE0CB07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9D-4BA0-9D2A-C60CE0CB07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Data!$E$1:$G$1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Data!$E$3:$G$3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9D-4BA0-9D2A-C60CE0CB07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Data!$D$5:$D$8</c:f>
              <c:strCache>
                <c:ptCount val="4"/>
                <c:pt idx="0">
                  <c:v>Decisions</c:v>
                </c:pt>
                <c:pt idx="1">
                  <c:v>Actions</c:v>
                </c:pt>
                <c:pt idx="2">
                  <c:v>Changes</c:v>
                </c:pt>
                <c:pt idx="3">
                  <c:v>Dependancies</c:v>
                </c:pt>
              </c:strCache>
            </c:strRef>
          </c:cat>
          <c:val>
            <c:numRef>
              <c:f>Data!$E$5:$E$8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A-4256-93CD-745352EEE5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307530520"/>
        <c:axId val="307530904"/>
      </c:barChart>
      <c:catAx>
        <c:axId val="30753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530904"/>
        <c:crosses val="autoZero"/>
        <c:auto val="1"/>
        <c:lblAlgn val="ctr"/>
        <c:lblOffset val="100"/>
        <c:noMultiLvlLbl val="0"/>
      </c:catAx>
      <c:valAx>
        <c:axId val="307530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530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28577</xdr:colOff>
      <xdr:row>42</xdr:row>
      <xdr:rowOff>57151</xdr:rowOff>
    </xdr:from>
    <xdr:to>
      <xdr:col>2</xdr:col>
      <xdr:colOff>962025</xdr:colOff>
      <xdr:row>49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42</xdr:row>
      <xdr:rowOff>57153</xdr:rowOff>
    </xdr:from>
    <xdr:to>
      <xdr:col>5</xdr:col>
      <xdr:colOff>733425</xdr:colOff>
      <xdr:row>49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38099</xdr:colOff>
      <xdr:row>42</xdr:row>
      <xdr:rowOff>57150</xdr:rowOff>
    </xdr:from>
    <xdr:to>
      <xdr:col>9</xdr:col>
      <xdr:colOff>771525</xdr:colOff>
      <xdr:row>49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19050</xdr:colOff>
      <xdr:row>0</xdr:row>
      <xdr:rowOff>152400</xdr:rowOff>
    </xdr:from>
    <xdr:to>
      <xdr:col>16</xdr:col>
      <xdr:colOff>489871</xdr:colOff>
      <xdr:row>4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07AA30-D540-4216-AE95-1F6E4AD6A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5550" y="152400"/>
          <a:ext cx="2299621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Normal="100" workbookViewId="0">
      <selection activeCell="A42" sqref="A42:J42"/>
    </sheetView>
  </sheetViews>
  <sheetFormatPr defaultRowHeight="15"/>
  <cols>
    <col min="1" max="1" width="4.140625" customWidth="1"/>
    <col min="2" max="2" width="9.85546875" customWidth="1"/>
    <col min="3" max="3" width="15.140625" customWidth="1"/>
    <col min="4" max="4" width="11.42578125" customWidth="1"/>
    <col min="5" max="5" width="10.5703125" customWidth="1"/>
    <col min="6" max="6" width="13.5703125" customWidth="1"/>
    <col min="7" max="7" width="9.140625" customWidth="1"/>
    <col min="8" max="8" width="7.42578125" customWidth="1"/>
    <col min="9" max="9" width="6.140625" customWidth="1"/>
    <col min="10" max="10" width="36.5703125" customWidth="1"/>
  </cols>
  <sheetData>
    <row r="1" spans="1:10" s="44" customFormat="1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10" s="44" customFormat="1">
      <c r="A2" s="49"/>
      <c r="B2" s="49"/>
      <c r="C2" s="49"/>
      <c r="D2" s="49"/>
      <c r="E2" s="49"/>
      <c r="F2" s="49"/>
      <c r="G2" s="49"/>
      <c r="H2" s="49"/>
      <c r="I2" s="49"/>
      <c r="J2" s="49"/>
    </row>
    <row r="3" spans="1:10" s="44" customFormat="1">
      <c r="A3" s="49"/>
      <c r="B3" s="49"/>
      <c r="C3" s="49"/>
      <c r="D3" s="49"/>
      <c r="E3" s="49"/>
      <c r="F3" s="49"/>
      <c r="G3" s="49"/>
      <c r="H3" s="49"/>
      <c r="I3" s="49"/>
      <c r="J3" s="49"/>
    </row>
    <row r="4" spans="1:10" s="44" customFormat="1">
      <c r="A4" s="49"/>
      <c r="B4" s="49"/>
      <c r="C4" s="49"/>
      <c r="D4" s="49"/>
      <c r="E4" s="49"/>
      <c r="F4" s="49"/>
      <c r="G4" s="49"/>
      <c r="H4" s="49"/>
      <c r="I4" s="49"/>
      <c r="J4" s="49"/>
    </row>
    <row r="5" spans="1:10" s="44" customFormat="1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0" s="44" customFormat="1">
      <c r="A6" s="49"/>
      <c r="B6" s="49"/>
      <c r="C6" s="49"/>
      <c r="D6" s="49"/>
      <c r="E6" s="49"/>
      <c r="F6" s="49"/>
      <c r="G6" s="49"/>
      <c r="H6" s="49"/>
      <c r="I6" s="49"/>
      <c r="J6" s="49"/>
    </row>
    <row r="7" spans="1:10" s="14" customFormat="1">
      <c r="F7" s="45" t="s">
        <v>0</v>
      </c>
      <c r="G7" s="45"/>
      <c r="H7" s="45"/>
      <c r="I7" s="45"/>
      <c r="J7" s="45"/>
    </row>
    <row r="8" spans="1:10" s="44" customFormat="1">
      <c r="A8" s="49"/>
      <c r="B8" s="49"/>
      <c r="C8" s="49"/>
      <c r="D8" s="49"/>
      <c r="E8" s="49"/>
      <c r="F8" s="49"/>
      <c r="G8" s="49"/>
      <c r="H8" s="49"/>
      <c r="I8" s="49"/>
      <c r="J8" s="49"/>
    </row>
    <row r="9" spans="1:10" ht="18.75" customHeight="1">
      <c r="A9" s="19" t="s">
        <v>1</v>
      </c>
      <c r="B9" s="19"/>
      <c r="C9" s="24" t="s">
        <v>2</v>
      </c>
      <c r="D9" s="25"/>
      <c r="E9" s="19" t="s">
        <v>3</v>
      </c>
      <c r="F9" s="19"/>
      <c r="G9" s="26" t="s">
        <v>4</v>
      </c>
      <c r="H9" s="27"/>
      <c r="I9" s="15" t="s">
        <v>5</v>
      </c>
      <c r="J9" s="9">
        <v>43900</v>
      </c>
    </row>
    <row r="10" spans="1:10" ht="18.75" customHeight="1">
      <c r="A10" s="33" t="s">
        <v>6</v>
      </c>
      <c r="B10" s="34"/>
      <c r="C10" s="34"/>
      <c r="D10" s="34"/>
      <c r="E10" s="34"/>
      <c r="F10" s="34"/>
      <c r="G10" s="34"/>
      <c r="H10" s="35"/>
      <c r="I10" s="36" t="s">
        <v>7</v>
      </c>
      <c r="J10" s="36"/>
    </row>
    <row r="11" spans="1:10">
      <c r="A11" s="20" t="s">
        <v>8</v>
      </c>
      <c r="B11" s="20"/>
      <c r="C11" s="3" t="s">
        <v>7</v>
      </c>
      <c r="D11" s="28" t="s">
        <v>9</v>
      </c>
      <c r="E11" s="28"/>
      <c r="F11" s="28"/>
      <c r="G11" s="28"/>
      <c r="H11" s="28"/>
      <c r="I11" s="28"/>
      <c r="J11" s="28"/>
    </row>
    <row r="12" spans="1:10">
      <c r="A12" s="20" t="s">
        <v>10</v>
      </c>
      <c r="B12" s="20"/>
      <c r="C12" s="3" t="s">
        <v>7</v>
      </c>
      <c r="D12" s="28" t="s">
        <v>11</v>
      </c>
      <c r="E12" s="28"/>
      <c r="F12" s="28"/>
      <c r="G12" s="28"/>
      <c r="H12" s="28"/>
      <c r="I12" s="28"/>
      <c r="J12" s="28"/>
    </row>
    <row r="13" spans="1:10">
      <c r="A13" s="20" t="s">
        <v>12</v>
      </c>
      <c r="B13" s="20"/>
      <c r="C13" s="3" t="s">
        <v>13</v>
      </c>
      <c r="D13" s="28" t="s">
        <v>14</v>
      </c>
      <c r="E13" s="28"/>
      <c r="F13" s="28"/>
      <c r="G13" s="28"/>
      <c r="H13" s="28"/>
      <c r="I13" s="28"/>
      <c r="J13" s="28"/>
    </row>
    <row r="14" spans="1:10">
      <c r="A14" s="20" t="s">
        <v>15</v>
      </c>
      <c r="B14" s="20"/>
      <c r="C14" s="3" t="s">
        <v>7</v>
      </c>
      <c r="D14" s="28" t="s">
        <v>16</v>
      </c>
      <c r="E14" s="28"/>
      <c r="F14" s="28"/>
      <c r="G14" s="28"/>
      <c r="H14" s="28"/>
      <c r="I14" s="28"/>
      <c r="J14" s="28"/>
    </row>
    <row r="15" spans="1:10">
      <c r="A15" s="20" t="s">
        <v>17</v>
      </c>
      <c r="B15" s="20"/>
      <c r="C15" s="3" t="s">
        <v>13</v>
      </c>
      <c r="D15" s="28" t="s">
        <v>18</v>
      </c>
      <c r="E15" s="28"/>
      <c r="F15" s="28"/>
      <c r="G15" s="28"/>
      <c r="H15" s="28"/>
      <c r="I15" s="28"/>
      <c r="J15" s="28"/>
    </row>
    <row r="16" spans="1:10">
      <c r="A16" s="20" t="s">
        <v>19</v>
      </c>
      <c r="B16" s="20"/>
      <c r="C16" s="3" t="s">
        <v>13</v>
      </c>
      <c r="D16" s="28" t="s">
        <v>20</v>
      </c>
      <c r="E16" s="28"/>
      <c r="F16" s="28"/>
      <c r="G16" s="28"/>
      <c r="H16" s="28"/>
      <c r="I16" s="28"/>
      <c r="J16" s="28"/>
    </row>
    <row r="17" spans="1:10">
      <c r="A17" s="20" t="s">
        <v>21</v>
      </c>
      <c r="B17" s="20"/>
      <c r="C17" s="3" t="s">
        <v>22</v>
      </c>
      <c r="D17" s="28" t="s">
        <v>23</v>
      </c>
      <c r="E17" s="28"/>
      <c r="F17" s="28"/>
      <c r="G17" s="28"/>
      <c r="H17" s="28"/>
      <c r="I17" s="28"/>
      <c r="J17" s="28"/>
    </row>
    <row r="18" spans="1:10">
      <c r="A18" s="20" t="s">
        <v>24</v>
      </c>
      <c r="B18" s="20"/>
      <c r="C18" s="3" t="s">
        <v>7</v>
      </c>
      <c r="D18" s="28" t="s">
        <v>25</v>
      </c>
      <c r="E18" s="28"/>
      <c r="F18" s="28"/>
      <c r="G18" s="28"/>
      <c r="H18" s="28"/>
      <c r="I18" s="28"/>
      <c r="J18" s="28"/>
    </row>
    <row r="19" spans="1:10" ht="18" customHeight="1">
      <c r="A19" s="37" t="s">
        <v>26</v>
      </c>
      <c r="B19" s="37"/>
      <c r="C19" s="37"/>
      <c r="D19" s="37"/>
      <c r="E19" s="37"/>
      <c r="F19" s="37"/>
      <c r="G19" s="37"/>
      <c r="H19" s="37"/>
      <c r="I19" s="37"/>
      <c r="J19" s="37"/>
    </row>
    <row r="20" spans="1:10">
      <c r="A20" s="16" t="s">
        <v>27</v>
      </c>
      <c r="B20" s="21" t="s">
        <v>28</v>
      </c>
      <c r="C20" s="21"/>
      <c r="D20" s="21"/>
      <c r="E20" s="16" t="s">
        <v>29</v>
      </c>
      <c r="F20" s="17" t="s">
        <v>30</v>
      </c>
      <c r="G20" s="17" t="s">
        <v>31</v>
      </c>
      <c r="H20" s="21" t="s">
        <v>32</v>
      </c>
      <c r="I20" s="21"/>
      <c r="J20" s="18" t="s">
        <v>33</v>
      </c>
    </row>
    <row r="21" spans="1:10">
      <c r="A21" s="4">
        <v>1</v>
      </c>
      <c r="B21" s="29" t="s">
        <v>34</v>
      </c>
      <c r="C21" s="29"/>
      <c r="D21" s="29"/>
      <c r="E21" s="9">
        <v>43844</v>
      </c>
      <c r="F21" s="10">
        <v>43860</v>
      </c>
      <c r="G21" s="5">
        <v>100</v>
      </c>
      <c r="H21" s="30">
        <v>43860</v>
      </c>
      <c r="I21" s="31"/>
      <c r="J21" s="6" t="s">
        <v>27</v>
      </c>
    </row>
    <row r="22" spans="1:10">
      <c r="A22" s="4">
        <v>2</v>
      </c>
      <c r="B22" s="29" t="s">
        <v>35</v>
      </c>
      <c r="C22" s="29"/>
      <c r="D22" s="29"/>
      <c r="E22" s="9">
        <v>43860</v>
      </c>
      <c r="F22" s="10">
        <v>43910</v>
      </c>
      <c r="G22" s="5">
        <v>60</v>
      </c>
      <c r="H22" s="30">
        <v>42094</v>
      </c>
      <c r="I22" s="31"/>
      <c r="J22" s="6" t="s">
        <v>36</v>
      </c>
    </row>
    <row r="23" spans="1:10">
      <c r="A23" s="4">
        <v>3</v>
      </c>
      <c r="B23" s="29" t="s">
        <v>37</v>
      </c>
      <c r="C23" s="29"/>
      <c r="D23" s="29"/>
      <c r="E23" s="9">
        <v>43891</v>
      </c>
      <c r="F23" s="10">
        <v>43951</v>
      </c>
      <c r="G23" s="5">
        <v>50</v>
      </c>
      <c r="H23" s="30">
        <v>43951</v>
      </c>
      <c r="I23" s="31"/>
      <c r="J23" s="6" t="s">
        <v>27</v>
      </c>
    </row>
    <row r="24" spans="1:10">
      <c r="A24" s="4">
        <v>4</v>
      </c>
      <c r="B24" s="29" t="s">
        <v>38</v>
      </c>
      <c r="C24" s="29"/>
      <c r="D24" s="29"/>
      <c r="E24" s="9">
        <v>43951</v>
      </c>
      <c r="F24" s="10">
        <v>43966</v>
      </c>
      <c r="G24" s="5">
        <v>10</v>
      </c>
      <c r="H24" s="30">
        <v>43981</v>
      </c>
      <c r="I24" s="31"/>
      <c r="J24" s="6" t="s">
        <v>27</v>
      </c>
    </row>
    <row r="25" spans="1:10">
      <c r="A25" s="4">
        <v>5</v>
      </c>
      <c r="B25" s="29" t="s">
        <v>39</v>
      </c>
      <c r="C25" s="29"/>
      <c r="D25" s="29"/>
      <c r="E25" s="9">
        <v>43959</v>
      </c>
      <c r="F25" s="10">
        <v>43971</v>
      </c>
      <c r="G25" s="5">
        <v>0</v>
      </c>
      <c r="H25" s="30">
        <v>43881</v>
      </c>
      <c r="I25" s="31"/>
      <c r="J25" s="6" t="s">
        <v>27</v>
      </c>
    </row>
    <row r="26" spans="1:10">
      <c r="A26" s="4">
        <v>6</v>
      </c>
      <c r="B26" s="29" t="s">
        <v>40</v>
      </c>
      <c r="C26" s="29"/>
      <c r="D26" s="29"/>
      <c r="E26" s="9">
        <v>43971</v>
      </c>
      <c r="F26" s="10">
        <v>42170</v>
      </c>
      <c r="G26" s="5">
        <v>0</v>
      </c>
      <c r="H26" s="30">
        <v>43997</v>
      </c>
      <c r="I26" s="31"/>
      <c r="J26" s="6" t="s">
        <v>27</v>
      </c>
    </row>
    <row r="27" spans="1:10" ht="18" customHeight="1">
      <c r="A27" s="37" t="s">
        <v>41</v>
      </c>
      <c r="B27" s="37"/>
      <c r="C27" s="37"/>
      <c r="D27" s="37"/>
      <c r="E27" s="37"/>
      <c r="F27" s="37"/>
      <c r="G27" s="37"/>
      <c r="H27" s="37"/>
      <c r="I27" s="37"/>
      <c r="J27" s="37"/>
    </row>
    <row r="28" spans="1:10">
      <c r="A28" s="16" t="s">
        <v>27</v>
      </c>
      <c r="B28" s="38" t="s">
        <v>42</v>
      </c>
      <c r="C28" s="38"/>
      <c r="D28" s="38"/>
      <c r="E28" s="38" t="s">
        <v>43</v>
      </c>
      <c r="F28" s="38"/>
      <c r="G28" s="38" t="s">
        <v>44</v>
      </c>
      <c r="H28" s="38"/>
      <c r="I28" s="38" t="s">
        <v>45</v>
      </c>
      <c r="J28" s="38"/>
    </row>
    <row r="29" spans="1:10">
      <c r="A29" s="4">
        <v>1</v>
      </c>
      <c r="B29" s="28" t="s">
        <v>46</v>
      </c>
      <c r="C29" s="28"/>
      <c r="D29" s="28"/>
      <c r="E29" s="39">
        <v>450000</v>
      </c>
      <c r="F29" s="39"/>
      <c r="G29" s="39">
        <v>250000</v>
      </c>
      <c r="H29" s="39"/>
      <c r="I29" s="39">
        <f>E29-G29</f>
        <v>200000</v>
      </c>
      <c r="J29" s="40"/>
    </row>
    <row r="30" spans="1:10">
      <c r="A30" s="4">
        <v>2</v>
      </c>
      <c r="B30" s="28" t="s">
        <v>47</v>
      </c>
      <c r="C30" s="28"/>
      <c r="D30" s="28"/>
      <c r="E30" s="39">
        <v>75000</v>
      </c>
      <c r="F30" s="39"/>
      <c r="G30" s="39">
        <v>34000</v>
      </c>
      <c r="H30" s="39"/>
      <c r="I30" s="39">
        <f t="shared" ref="I30:I34" si="0">E30-G30</f>
        <v>41000</v>
      </c>
      <c r="J30" s="40"/>
    </row>
    <row r="31" spans="1:10">
      <c r="A31" s="4">
        <v>3</v>
      </c>
      <c r="B31" s="28" t="s">
        <v>48</v>
      </c>
      <c r="C31" s="28"/>
      <c r="D31" s="28"/>
      <c r="E31" s="39">
        <v>50000</v>
      </c>
      <c r="F31" s="39"/>
      <c r="G31" s="39">
        <v>23000</v>
      </c>
      <c r="H31" s="39"/>
      <c r="I31" s="39">
        <f t="shared" si="0"/>
        <v>27000</v>
      </c>
      <c r="J31" s="40"/>
    </row>
    <row r="32" spans="1:10">
      <c r="A32" s="4">
        <v>4</v>
      </c>
      <c r="B32" s="28" t="s">
        <v>49</v>
      </c>
      <c r="C32" s="28"/>
      <c r="D32" s="28"/>
      <c r="E32" s="39">
        <v>35000</v>
      </c>
      <c r="F32" s="39"/>
      <c r="G32" s="39">
        <v>40000</v>
      </c>
      <c r="H32" s="39"/>
      <c r="I32" s="39">
        <f t="shared" si="0"/>
        <v>-5000</v>
      </c>
      <c r="J32" s="40"/>
    </row>
    <row r="33" spans="1:10">
      <c r="A33" s="4">
        <v>5</v>
      </c>
      <c r="B33" s="28" t="s">
        <v>50</v>
      </c>
      <c r="C33" s="28"/>
      <c r="D33" s="28"/>
      <c r="E33" s="39">
        <v>5000</v>
      </c>
      <c r="F33" s="39"/>
      <c r="G33" s="39">
        <v>3500</v>
      </c>
      <c r="H33" s="39"/>
      <c r="I33" s="39">
        <f t="shared" si="0"/>
        <v>1500</v>
      </c>
      <c r="J33" s="40"/>
    </row>
    <row r="34" spans="1:10">
      <c r="A34" s="46" t="s">
        <v>51</v>
      </c>
      <c r="B34" s="47"/>
      <c r="C34" s="47"/>
      <c r="D34" s="48"/>
      <c r="E34" s="43">
        <f>SUM(E29:F33)</f>
        <v>615000</v>
      </c>
      <c r="F34" s="43"/>
      <c r="G34" s="43">
        <f>SUM(G29:H33)</f>
        <v>350500</v>
      </c>
      <c r="H34" s="43"/>
      <c r="I34" s="39">
        <f t="shared" si="0"/>
        <v>264500</v>
      </c>
      <c r="J34" s="40"/>
    </row>
    <row r="35" spans="1:10">
      <c r="A35" s="37" t="s">
        <v>52</v>
      </c>
      <c r="B35" s="37"/>
      <c r="C35" s="37"/>
      <c r="D35" s="37"/>
      <c r="E35" s="37"/>
      <c r="F35" s="37"/>
      <c r="G35" s="37"/>
      <c r="H35" s="37"/>
      <c r="I35" s="37"/>
      <c r="J35" s="37"/>
    </row>
    <row r="36" spans="1:10">
      <c r="A36" s="18" t="s">
        <v>27</v>
      </c>
      <c r="B36" s="18" t="s">
        <v>53</v>
      </c>
      <c r="C36" s="38" t="s">
        <v>54</v>
      </c>
      <c r="D36" s="38"/>
      <c r="E36" s="38"/>
      <c r="F36" s="38"/>
      <c r="G36" s="18" t="s">
        <v>55</v>
      </c>
      <c r="H36" s="38" t="s">
        <v>56</v>
      </c>
      <c r="I36" s="38"/>
      <c r="J36" s="18" t="s">
        <v>57</v>
      </c>
    </row>
    <row r="37" spans="1:10" ht="30" customHeight="1">
      <c r="A37" s="4">
        <v>1</v>
      </c>
      <c r="B37" s="12" t="s">
        <v>58</v>
      </c>
      <c r="C37" s="41" t="s">
        <v>59</v>
      </c>
      <c r="D37" s="41"/>
      <c r="E37" s="41"/>
      <c r="F37" s="41"/>
      <c r="G37" s="11" t="s">
        <v>22</v>
      </c>
      <c r="H37" s="42" t="s">
        <v>60</v>
      </c>
      <c r="I37" s="42"/>
      <c r="J37" s="13">
        <v>42016</v>
      </c>
    </row>
    <row r="38" spans="1:10" ht="30" customHeight="1">
      <c r="A38" s="4">
        <v>2</v>
      </c>
      <c r="B38" s="12" t="s">
        <v>61</v>
      </c>
      <c r="C38" s="41" t="s">
        <v>62</v>
      </c>
      <c r="D38" s="41"/>
      <c r="E38" s="41"/>
      <c r="F38" s="41"/>
      <c r="G38" s="11" t="s">
        <v>13</v>
      </c>
      <c r="H38" s="42" t="s">
        <v>63</v>
      </c>
      <c r="I38" s="42"/>
      <c r="J38" s="13">
        <v>44275</v>
      </c>
    </row>
    <row r="39" spans="1:10" ht="30" customHeight="1">
      <c r="A39" s="4">
        <v>3</v>
      </c>
      <c r="B39" s="12" t="s">
        <v>64</v>
      </c>
      <c r="C39" s="41" t="s">
        <v>65</v>
      </c>
      <c r="D39" s="41"/>
      <c r="E39" s="41"/>
      <c r="F39" s="41"/>
      <c r="G39" s="11" t="s">
        <v>13</v>
      </c>
      <c r="H39" s="42" t="s">
        <v>66</v>
      </c>
      <c r="I39" s="42"/>
      <c r="J39" s="13">
        <v>42058</v>
      </c>
    </row>
    <row r="40" spans="1:10" ht="30" customHeight="1">
      <c r="A40" s="4">
        <v>4</v>
      </c>
      <c r="B40" s="12" t="s">
        <v>67</v>
      </c>
      <c r="C40" s="41" t="s">
        <v>68</v>
      </c>
      <c r="D40" s="41"/>
      <c r="E40" s="41"/>
      <c r="F40" s="41"/>
      <c r="G40" s="11" t="s">
        <v>22</v>
      </c>
      <c r="H40" s="42" t="s">
        <v>69</v>
      </c>
      <c r="I40" s="42"/>
      <c r="J40" s="13">
        <v>42120</v>
      </c>
    </row>
    <row r="41" spans="1:10" ht="30" customHeight="1">
      <c r="A41" s="4">
        <v>5</v>
      </c>
      <c r="B41" s="12" t="s">
        <v>70</v>
      </c>
      <c r="C41" s="41" t="s">
        <v>71</v>
      </c>
      <c r="D41" s="41"/>
      <c r="E41" s="41"/>
      <c r="F41" s="41"/>
      <c r="G41" s="11" t="s">
        <v>7</v>
      </c>
      <c r="H41" s="42" t="s">
        <v>72</v>
      </c>
      <c r="I41" s="42"/>
      <c r="J41" s="13">
        <v>44275</v>
      </c>
    </row>
    <row r="42" spans="1:10">
      <c r="A42" s="32" t="s">
        <v>19</v>
      </c>
      <c r="B42" s="32"/>
      <c r="C42" s="32"/>
      <c r="D42" s="32" t="s">
        <v>21</v>
      </c>
      <c r="E42" s="32"/>
      <c r="F42" s="32"/>
      <c r="G42" s="32" t="s">
        <v>73</v>
      </c>
      <c r="H42" s="32"/>
      <c r="I42" s="32"/>
      <c r="J42" s="32"/>
    </row>
    <row r="43" spans="1:10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spans="1:10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spans="1:10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spans="1:10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spans="1:10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>
      <c r="A48" s="23"/>
      <c r="B48" s="23"/>
      <c r="C48" s="23"/>
      <c r="D48" s="23"/>
      <c r="E48" s="23"/>
      <c r="F48" s="23"/>
      <c r="G48" s="23"/>
      <c r="H48" s="23"/>
      <c r="I48" s="23"/>
      <c r="J48" s="23"/>
    </row>
    <row r="49" spans="1:10">
      <c r="A49" s="23"/>
      <c r="B49" s="23"/>
      <c r="C49" s="23"/>
      <c r="D49" s="23"/>
      <c r="E49" s="23"/>
      <c r="F49" s="23"/>
      <c r="G49" s="23"/>
      <c r="H49" s="23"/>
      <c r="I49" s="23"/>
      <c r="J49" s="23"/>
    </row>
    <row r="50" spans="1:10">
      <c r="A50" s="23"/>
      <c r="B50" s="23"/>
      <c r="C50" s="23"/>
      <c r="D50" s="23"/>
      <c r="E50" s="23"/>
      <c r="F50" s="23"/>
      <c r="G50" s="23"/>
      <c r="H50" s="23"/>
      <c r="I50" s="23"/>
      <c r="J50" s="23"/>
    </row>
  </sheetData>
  <mergeCells count="89">
    <mergeCell ref="A8:XFD8"/>
    <mergeCell ref="A1:XFD5"/>
    <mergeCell ref="F7:J7"/>
    <mergeCell ref="A6:XFD6"/>
    <mergeCell ref="C39:F39"/>
    <mergeCell ref="H39:I39"/>
    <mergeCell ref="B30:D30"/>
    <mergeCell ref="E30:F30"/>
    <mergeCell ref="G30:H30"/>
    <mergeCell ref="I30:J30"/>
    <mergeCell ref="A34:D34"/>
    <mergeCell ref="A35:J35"/>
    <mergeCell ref="C36:F36"/>
    <mergeCell ref="H36:I36"/>
    <mergeCell ref="B25:D25"/>
    <mergeCell ref="H25:I25"/>
    <mergeCell ref="C40:F40"/>
    <mergeCell ref="H40:I40"/>
    <mergeCell ref="C41:F41"/>
    <mergeCell ref="H41:I41"/>
    <mergeCell ref="G31:H31"/>
    <mergeCell ref="I31:J31"/>
    <mergeCell ref="B31:D31"/>
    <mergeCell ref="E31:F31"/>
    <mergeCell ref="I32:J32"/>
    <mergeCell ref="C37:F37"/>
    <mergeCell ref="H37:I37"/>
    <mergeCell ref="C38:F38"/>
    <mergeCell ref="H38:I38"/>
    <mergeCell ref="E34:F34"/>
    <mergeCell ref="G34:H34"/>
    <mergeCell ref="I34:J34"/>
    <mergeCell ref="B26:D26"/>
    <mergeCell ref="H26:I26"/>
    <mergeCell ref="G33:H33"/>
    <mergeCell ref="I33:J33"/>
    <mergeCell ref="B33:D33"/>
    <mergeCell ref="E33:F33"/>
    <mergeCell ref="B28:D28"/>
    <mergeCell ref="E29:F29"/>
    <mergeCell ref="G29:H29"/>
    <mergeCell ref="I29:J29"/>
    <mergeCell ref="B29:D29"/>
    <mergeCell ref="B32:D32"/>
    <mergeCell ref="E32:F32"/>
    <mergeCell ref="G32:H32"/>
    <mergeCell ref="H22:I22"/>
    <mergeCell ref="B23:D23"/>
    <mergeCell ref="H23:I23"/>
    <mergeCell ref="B24:D24"/>
    <mergeCell ref="H24:I24"/>
    <mergeCell ref="A42:C42"/>
    <mergeCell ref="D42:F42"/>
    <mergeCell ref="G42:J42"/>
    <mergeCell ref="A10:H10"/>
    <mergeCell ref="I10:J10"/>
    <mergeCell ref="A18:B18"/>
    <mergeCell ref="D18:J18"/>
    <mergeCell ref="A19:J19"/>
    <mergeCell ref="A17:B17"/>
    <mergeCell ref="D17:J17"/>
    <mergeCell ref="D13:J13"/>
    <mergeCell ref="A27:J27"/>
    <mergeCell ref="E28:F28"/>
    <mergeCell ref="G28:H28"/>
    <mergeCell ref="I28:J28"/>
    <mergeCell ref="B22:D22"/>
    <mergeCell ref="A14:B14"/>
    <mergeCell ref="A15:B15"/>
    <mergeCell ref="D11:J11"/>
    <mergeCell ref="D12:J12"/>
    <mergeCell ref="B21:D21"/>
    <mergeCell ref="H21:I21"/>
    <mergeCell ref="A9:B9"/>
    <mergeCell ref="A11:B11"/>
    <mergeCell ref="B20:D20"/>
    <mergeCell ref="H20:I20"/>
    <mergeCell ref="A43:C50"/>
    <mergeCell ref="D43:F50"/>
    <mergeCell ref="G43:J50"/>
    <mergeCell ref="C9:D9"/>
    <mergeCell ref="E9:F9"/>
    <mergeCell ref="G9:H9"/>
    <mergeCell ref="A16:B16"/>
    <mergeCell ref="D16:J16"/>
    <mergeCell ref="D14:J14"/>
    <mergeCell ref="D15:J15"/>
    <mergeCell ref="A12:B12"/>
    <mergeCell ref="A13:B13"/>
  </mergeCells>
  <conditionalFormatting sqref="B37:B41">
    <cfRule type="cellIs" dxfId="17" priority="23" operator="equal">
      <formula>"Issue"</formula>
    </cfRule>
    <cfRule type="cellIs" dxfId="16" priority="24" operator="equal">
      <formula>"Risk"</formula>
    </cfRule>
  </conditionalFormatting>
  <conditionalFormatting sqref="B37:B41">
    <cfRule type="cellIs" dxfId="15" priority="21" operator="equal">
      <formula>"Action"</formula>
    </cfRule>
    <cfRule type="cellIs" dxfId="14" priority="22" operator="equal">
      <formula>"Decision"</formula>
    </cfRule>
  </conditionalFormatting>
  <conditionalFormatting sqref="B37:B41">
    <cfRule type="cellIs" dxfId="13" priority="18" operator="equal">
      <formula>"Change Request"</formula>
    </cfRule>
    <cfRule type="cellIs" dxfId="12" priority="19" operator="equal">
      <formula>"Assumption"</formula>
    </cfRule>
    <cfRule type="cellIs" dxfId="11" priority="20" operator="equal">
      <formula>"Dependency"</formula>
    </cfRule>
  </conditionalFormatting>
  <conditionalFormatting sqref="C11:C18">
    <cfRule type="cellIs" dxfId="10" priority="15" operator="equal">
      <formula>"Green"</formula>
    </cfRule>
    <cfRule type="cellIs" dxfId="9" priority="16" operator="equal">
      <formula>"Amber"</formula>
    </cfRule>
    <cfRule type="cellIs" dxfId="8" priority="17" operator="equal">
      <formula>"Red"</formula>
    </cfRule>
  </conditionalFormatting>
  <conditionalFormatting sqref="I10">
    <cfRule type="cellIs" dxfId="7" priority="12" operator="equal">
      <formula>"Green"</formula>
    </cfRule>
    <cfRule type="cellIs" dxfId="6" priority="13" operator="equal">
      <formula>"Amber"</formula>
    </cfRule>
    <cfRule type="cellIs" dxfId="5" priority="14" operator="equal">
      <formula>"Red"</formula>
    </cfRule>
  </conditionalFormatting>
  <conditionalFormatting sqref="I29:J34">
    <cfRule type="cellIs" dxfId="4" priority="7" operator="greaterThan">
      <formula>0</formula>
    </cfRule>
    <cfRule type="cellIs" dxfId="3" priority="8" operator="lessThan">
      <formula>0</formula>
    </cfRule>
  </conditionalFormatting>
  <conditionalFormatting sqref="G21:G26">
    <cfRule type="dataBar" priority="25">
      <dataBar>
        <cfvo type="min"/>
        <cfvo type="percent" val="100"/>
        <color rgb="FF638EC6"/>
      </dataBar>
      <extLst>
        <ext xmlns:x14="http://schemas.microsoft.com/office/spreadsheetml/2009/9/main" uri="{B025F937-C7B1-47D3-B67F-A62EFF666E3E}">
          <x14:id>{DCE203FA-1ECF-48D3-9694-F36CB0ADD88D}</x14:id>
        </ext>
      </extLst>
    </cfRule>
  </conditionalFormatting>
  <conditionalFormatting sqref="G37:G41">
    <cfRule type="cellIs" dxfId="2" priority="1" operator="equal">
      <formula>"Green"</formula>
    </cfRule>
    <cfRule type="cellIs" dxfId="1" priority="2" operator="equal">
      <formula>"Amber"</formula>
    </cfRule>
    <cfRule type="cellIs" dxfId="0" priority="3" operator="equal">
      <formula>"Red"</formula>
    </cfRule>
  </conditionalFormatting>
  <pageMargins left="0.7" right="0.7" top="0.75" bottom="0.75" header="0.3" footer="0.3"/>
  <pageSetup paperSize="9" scale="83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E203FA-1ECF-48D3-9694-F36CB0ADD88D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G21:G26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Data!$B$2:$B$8</xm:f>
          </x14:formula1>
          <xm:sqref>B37:B41</xm:sqref>
        </x14:dataValidation>
        <x14:dataValidation type="list" allowBlank="1" showInputMessage="1" showErrorMessage="1" xr:uid="{00000000-0002-0000-0000-000001000000}">
          <x14:formula1>
            <xm:f>Data!$A$2:$A$4</xm:f>
          </x14:formula1>
          <xm:sqref>C11:C18 I10 G37:G41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F14" sqref="F14:F15"/>
    </sheetView>
  </sheetViews>
  <sheetFormatPr defaultRowHeight="15"/>
  <cols>
    <col min="1" max="1" width="19.140625" customWidth="1"/>
    <col min="2" max="2" width="19.85546875" customWidth="1"/>
  </cols>
  <sheetData>
    <row r="1" spans="1:7">
      <c r="A1" s="8" t="s">
        <v>55</v>
      </c>
      <c r="B1" s="8" t="s">
        <v>74</v>
      </c>
      <c r="D1" s="7"/>
      <c r="E1" s="7" t="s">
        <v>75</v>
      </c>
      <c r="F1" s="7" t="s">
        <v>76</v>
      </c>
      <c r="G1" s="7" t="s">
        <v>77</v>
      </c>
    </row>
    <row r="2" spans="1:7">
      <c r="A2" s="2" t="s">
        <v>22</v>
      </c>
      <c r="B2" s="2" t="s">
        <v>58</v>
      </c>
      <c r="D2" s="1" t="s">
        <v>19</v>
      </c>
      <c r="E2">
        <v>5</v>
      </c>
      <c r="F2">
        <v>2</v>
      </c>
      <c r="G2">
        <v>2</v>
      </c>
    </row>
    <row r="3" spans="1:7">
      <c r="A3" s="2" t="s">
        <v>7</v>
      </c>
      <c r="B3" s="2" t="s">
        <v>61</v>
      </c>
      <c r="D3" s="1" t="s">
        <v>21</v>
      </c>
      <c r="E3">
        <v>4</v>
      </c>
      <c r="F3">
        <v>2</v>
      </c>
      <c r="G3">
        <v>3</v>
      </c>
    </row>
    <row r="4" spans="1:7">
      <c r="A4" s="2" t="s">
        <v>13</v>
      </c>
      <c r="B4" s="2" t="s">
        <v>64</v>
      </c>
    </row>
    <row r="5" spans="1:7">
      <c r="A5" s="2"/>
      <c r="B5" s="2" t="s">
        <v>78</v>
      </c>
      <c r="D5" s="8" t="s">
        <v>79</v>
      </c>
      <c r="E5" s="2">
        <v>2</v>
      </c>
    </row>
    <row r="6" spans="1:7">
      <c r="A6" s="2"/>
      <c r="B6" s="2" t="s">
        <v>80</v>
      </c>
      <c r="D6" s="8" t="s">
        <v>81</v>
      </c>
      <c r="E6" s="2">
        <v>3</v>
      </c>
    </row>
    <row r="7" spans="1:7">
      <c r="A7" s="2"/>
      <c r="B7" s="2" t="s">
        <v>82</v>
      </c>
      <c r="D7" s="8" t="s">
        <v>83</v>
      </c>
      <c r="E7" s="2">
        <v>2</v>
      </c>
    </row>
    <row r="8" spans="1:7">
      <c r="A8" s="2"/>
      <c r="B8" s="2" t="s">
        <v>70</v>
      </c>
      <c r="D8" s="8" t="s">
        <v>84</v>
      </c>
      <c r="E8" s="2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A0A108017FF0488F77AF220F8E2769" ma:contentTypeVersion="13" ma:contentTypeDescription="Create a new document." ma:contentTypeScope="" ma:versionID="1def7306c3cf6a6cc6ed2f4a8440267b">
  <xsd:schema xmlns:xsd="http://www.w3.org/2001/XMLSchema" xmlns:xs="http://www.w3.org/2001/XMLSchema" xmlns:p="http://schemas.microsoft.com/office/2006/metadata/properties" xmlns:ns2="a11fd71f-e386-4b2a-89e4-a10e79b1a3d8" xmlns:ns3="e35a21f2-4e4d-4e55-b316-830f13664140" targetNamespace="http://schemas.microsoft.com/office/2006/metadata/properties" ma:root="true" ma:fieldsID="cec201c8ddf967daa8f6a4c340cd7066" ns2:_="" ns3:_="">
    <xsd:import namespace="a11fd71f-e386-4b2a-89e4-a10e79b1a3d8"/>
    <xsd:import namespace="e35a21f2-4e4d-4e55-b316-830f13664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fd71f-e386-4b2a-89e4-a10e79b1a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a21f2-4e4d-4e55-b316-830f13664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5a21f2-4e4d-4e55-b316-830f13664140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938CB4-3A66-4D8C-8FF9-B28F1B03C7FC}"/>
</file>

<file path=customXml/itemProps2.xml><?xml version="1.0" encoding="utf-8"?>
<ds:datastoreItem xmlns:ds="http://schemas.openxmlformats.org/officeDocument/2006/customXml" ds:itemID="{69BFD5A1-8BD6-4B5F-9DBA-3C604F387947}"/>
</file>

<file path=customXml/itemProps3.xml><?xml version="1.0" encoding="utf-8"?>
<ds:datastoreItem xmlns:ds="http://schemas.openxmlformats.org/officeDocument/2006/customXml" ds:itemID="{3BDF6679-348D-418C-B78B-3C0D7818D7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putti</dc:creator>
  <cp:keywords/>
  <dc:description/>
  <cp:lastModifiedBy>Guest User</cp:lastModifiedBy>
  <cp:revision/>
  <dcterms:created xsi:type="dcterms:W3CDTF">2015-08-13T09:04:22Z</dcterms:created>
  <dcterms:modified xsi:type="dcterms:W3CDTF">2022-11-11T01:39:39Z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0x010100F5A0A108017FF0488F77AF220F8E2769</vt:lpwstr>
  </property>
  <property fmtid="{D5CDD505-2E9C-101B-9397-08002B2CF9AE}" pid="3" name="Order">
    <vt:r8>9646900</vt:r8>
  </property>
  <property fmtid="{D5CDD505-2E9C-101B-9397-08002B2CF9AE}" pid="4" name="ComplianceAssetId">
    <vt:lpwstr/>
  </property>
</Properties>
</file>