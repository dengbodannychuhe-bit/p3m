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ginge-my.sharepoint.com/personal/nassim_enginge_com/Documents/Companies/Australia/Engineering Ingenuity/IPWEA/2022/PM Toolkit/Project Management Toolkit/Module 1 - Initiation/"/>
    </mc:Choice>
  </mc:AlternateContent>
  <xr:revisionPtr revIDLastSave="2" documentId="8_{5A568EBA-05CE-4C15-BEB7-410BECB60918}" xr6:coauthVersionLast="47" xr6:coauthVersionMax="47" xr10:uidLastSave="{F02985C2-095F-4927-9C47-10AEE22E2799}"/>
  <bookViews>
    <workbookView xWindow="28680" yWindow="-120" windowWidth="29040" windowHeight="15840" xr2:uid="{00000000-000D-0000-FFFF-FFFF00000000}"/>
  </bookViews>
  <sheets>
    <sheet name="Buget - Estimation" sheetId="1" r:id="rId1"/>
    <sheet name="Buget - Actual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K24" i="2"/>
  <c r="M24" i="2" s="1"/>
  <c r="K22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U16" i="2"/>
  <c r="U15" i="2"/>
  <c r="U14" i="2"/>
  <c r="U13" i="2"/>
  <c r="D12" i="2"/>
  <c r="E12" i="2" s="1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U9" i="2"/>
  <c r="U8" i="2"/>
  <c r="U7" i="2"/>
  <c r="U6" i="2"/>
  <c r="U5" i="2"/>
  <c r="U4" i="2"/>
  <c r="U3" i="2"/>
  <c r="U2" i="2"/>
  <c r="D1" i="2"/>
  <c r="E1" i="2" s="1"/>
  <c r="F1" i="2" s="1"/>
  <c r="G1" i="2" s="1"/>
  <c r="H1" i="2" s="1"/>
  <c r="I1" i="2" s="1"/>
  <c r="J1" i="2" s="1"/>
  <c r="K1" i="2" s="1"/>
  <c r="L1" i="2" s="1"/>
  <c r="U3" i="1"/>
  <c r="U4" i="1"/>
  <c r="U5" i="1"/>
  <c r="U6" i="1"/>
  <c r="U7" i="1"/>
  <c r="U8" i="1"/>
  <c r="U9" i="1"/>
  <c r="U14" i="1"/>
  <c r="U15" i="1"/>
  <c r="U16" i="1"/>
  <c r="U17" i="2" l="1"/>
  <c r="M21" i="2" s="1"/>
  <c r="M1" i="2"/>
  <c r="N1" i="2" s="1"/>
  <c r="O1" i="2" s="1"/>
  <c r="P1" i="2" s="1"/>
  <c r="Q1" i="2" s="1"/>
  <c r="R1" i="2" s="1"/>
  <c r="S1" i="2" s="1"/>
  <c r="T1" i="2" s="1"/>
  <c r="U10" i="2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U13" i="1"/>
  <c r="U17" i="1" s="1"/>
  <c r="K21" i="1" s="1"/>
  <c r="K21" i="2" s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M20" i="2" l="1"/>
  <c r="U2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M23" i="2" l="1"/>
  <c r="U10" i="1"/>
  <c r="K20" i="1" s="1"/>
  <c r="K23" i="1" l="1"/>
  <c r="K25" i="1" s="1"/>
  <c r="K26" i="1" s="1"/>
  <c r="K20" i="2"/>
  <c r="K23" i="2" s="1"/>
  <c r="M25" i="2"/>
  <c r="M26" i="2" l="1"/>
  <c r="K25" i="2"/>
  <c r="K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Wale, Swapnil (Genworth)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>Daily Rate.</t>
        </r>
      </text>
    </comment>
    <comment ref="B12" authorId="0" shapeId="0" xr:uid="{00000000-0006-0000-0000-000002000000}">
      <text>
        <r>
          <rPr>
            <sz val="9"/>
            <color indexed="81"/>
            <rFont val="Tahoma"/>
            <family val="2"/>
          </rPr>
          <t>Daily Rate.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Wale, Swapnil (Genworth)</author>
  </authors>
  <commentList>
    <comment ref="B1" authorId="0" shapeId="0" xr:uid="{00000000-0006-0000-0100-000001000000}">
      <text>
        <r>
          <rPr>
            <sz val="9"/>
            <color indexed="81"/>
            <rFont val="Tahoma"/>
            <family val="2"/>
          </rPr>
          <t>Daily Rate.</t>
        </r>
      </text>
    </comment>
    <comment ref="B12" authorId="0" shapeId="0" xr:uid="{00000000-0006-0000-0100-000002000000}">
      <text>
        <r>
          <rPr>
            <sz val="9"/>
            <color indexed="81"/>
            <rFont val="Tahoma"/>
            <family val="2"/>
          </rPr>
          <t>Daily Rate.</t>
        </r>
      </text>
    </comment>
  </commentList>
</comments>
</file>

<file path=xl/sharedStrings.xml><?xml version="1.0" encoding="utf-8"?>
<sst xmlns="http://schemas.openxmlformats.org/spreadsheetml/2006/main" count="52" uniqueCount="26">
  <si>
    <t>Project Team</t>
  </si>
  <si>
    <t xml:space="preserve">
Rate (Daily)</t>
  </si>
  <si>
    <t>Cost</t>
  </si>
  <si>
    <t>John C</t>
  </si>
  <si>
    <t>Richard Gale</t>
  </si>
  <si>
    <t>Neel Wale</t>
  </si>
  <si>
    <t>Sheen John</t>
  </si>
  <si>
    <t>Rachel Rade</t>
  </si>
  <si>
    <t>Rob Roy</t>
  </si>
  <si>
    <t>Clacy Mike</t>
  </si>
  <si>
    <t>John Temper</t>
  </si>
  <si>
    <t>Other Resources</t>
  </si>
  <si>
    <t>Traffic Control</t>
  </si>
  <si>
    <t>Truck Hire</t>
  </si>
  <si>
    <t>Asphalt</t>
  </si>
  <si>
    <t>Total Costs</t>
  </si>
  <si>
    <t>Human Resources</t>
  </si>
  <si>
    <t>Other Expenses</t>
  </si>
  <si>
    <t>Total</t>
  </si>
  <si>
    <t>Contingency (%)</t>
  </si>
  <si>
    <t>Contingency Amount</t>
  </si>
  <si>
    <t>Grand Total</t>
  </si>
  <si>
    <t xml:space="preserve">Traffic Control </t>
  </si>
  <si>
    <t xml:space="preserve">Asphalt </t>
  </si>
  <si>
    <t>Estimated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</si>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</sst>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"/>
  </numFmts>
  <fonts count="8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" fontId="1" fillId="3" borderId="1" xfId="0" applyNumberFormat="1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4" fontId="1" fillId="5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/>
    <xf numFmtId="0" fontId="6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wrapText="1"/>
    </xf>
    <xf numFmtId="0" fontId="6" fillId="8" borderId="1" xfId="0" applyFont="1" applyFill="1" applyBorder="1" applyAlignment="1">
      <alignment horizontal="center" vertical="center"/>
    </xf>
    <xf numFmtId="164" fontId="7" fillId="8" borderId="1" xfId="0" applyNumberFormat="1" applyFont="1" applyFill="1" applyBorder="1"/>
    <xf numFmtId="0" fontId="4" fillId="6" borderId="1" xfId="0" applyFont="1" applyFill="1" applyBorder="1" applyAlignment="1">
      <alignment horizontal="left"/>
    </xf>
    <xf numFmtId="1" fontId="4" fillId="6" borderId="1" xfId="0" applyNumberFormat="1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5" fontId="4" fillId="6" borderId="2" xfId="0" applyNumberFormat="1" applyFont="1" applyFill="1" applyBorder="1" applyAlignment="1">
      <alignment horizontal="center"/>
    </xf>
    <xf numFmtId="165" fontId="4" fillId="6" borderId="3" xfId="0" applyNumberFormat="1" applyFont="1" applyFill="1" applyBorder="1" applyAlignment="1">
      <alignment horizontal="center"/>
    </xf>
    <xf numFmtId="165" fontId="3" fillId="6" borderId="2" xfId="0" applyNumberFormat="1" applyFont="1" applyFill="1" applyBorder="1" applyAlignment="1">
      <alignment horizontal="center"/>
    </xf>
    <xf numFmtId="165" fontId="3" fillId="6" borderId="3" xfId="0" applyNumberFormat="1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4" fillId="6" borderId="2" xfId="0" applyNumberFormat="1" applyFont="1" applyFill="1" applyBorder="1" applyAlignment="1">
      <alignment horizontal="center"/>
    </xf>
    <xf numFmtId="164" fontId="4" fillId="6" borderId="3" xfId="0" applyNumberFormat="1" applyFont="1" applyFill="1" applyBorder="1" applyAlignment="1">
      <alignment horizontal="center"/>
    </xf>
    <xf numFmtId="1" fontId="4" fillId="6" borderId="2" xfId="0" applyNumberFormat="1" applyFont="1" applyFill="1" applyBorder="1" applyAlignment="1">
      <alignment horizontal="center"/>
    </xf>
    <xf numFmtId="1" fontId="4" fillId="6" borderId="3" xfId="0" applyNumberFormat="1" applyFon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165" fontId="7" fillId="7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workbookViewId="0">
      <selection activeCell="O22" sqref="O22"/>
    </sheetView>
  </sheetViews>
  <sheetFormatPr defaultRowHeight="15"/>
  <cols>
    <col min="1" max="1" width="20.140625" customWidth="1"/>
    <col min="2" max="2" width="9.28515625" style="3" customWidth="1"/>
    <col min="3" max="20" width="6.5703125" bestFit="1" customWidth="1"/>
    <col min="21" max="21" width="10" customWidth="1"/>
  </cols>
  <sheetData>
    <row r="1" spans="1:21" ht="15" customHeight="1">
      <c r="A1" s="9" t="s">
        <v>0</v>
      </c>
      <c r="B1" s="10" t="s">
        <v>1</v>
      </c>
      <c r="C1" s="1">
        <v>42156</v>
      </c>
      <c r="D1" s="1">
        <f>C1+7</f>
        <v>42163</v>
      </c>
      <c r="E1" s="1">
        <f>D1+7</f>
        <v>42170</v>
      </c>
      <c r="F1" s="1">
        <f t="shared" ref="F1:T1" si="0">E1+7</f>
        <v>42177</v>
      </c>
      <c r="G1" s="1">
        <f t="shared" si="0"/>
        <v>42184</v>
      </c>
      <c r="H1" s="2">
        <f t="shared" si="0"/>
        <v>42191</v>
      </c>
      <c r="I1" s="2">
        <f t="shared" si="0"/>
        <v>42198</v>
      </c>
      <c r="J1" s="2">
        <f t="shared" si="0"/>
        <v>42205</v>
      </c>
      <c r="K1" s="2">
        <f t="shared" si="0"/>
        <v>42212</v>
      </c>
      <c r="L1" s="1">
        <f t="shared" si="0"/>
        <v>42219</v>
      </c>
      <c r="M1" s="1">
        <f t="shared" si="0"/>
        <v>42226</v>
      </c>
      <c r="N1" s="1">
        <f t="shared" si="0"/>
        <v>42233</v>
      </c>
      <c r="O1" s="1">
        <f t="shared" si="0"/>
        <v>42240</v>
      </c>
      <c r="P1" s="1">
        <f t="shared" si="0"/>
        <v>42247</v>
      </c>
      <c r="Q1" s="2">
        <f t="shared" si="0"/>
        <v>42254</v>
      </c>
      <c r="R1" s="2">
        <f>Q1+7</f>
        <v>42261</v>
      </c>
      <c r="S1" s="2">
        <f t="shared" si="0"/>
        <v>42268</v>
      </c>
      <c r="T1" s="2">
        <f t="shared" si="0"/>
        <v>42275</v>
      </c>
      <c r="U1" s="11" t="s">
        <v>2</v>
      </c>
    </row>
    <row r="2" spans="1:21">
      <c r="A2" s="5" t="s">
        <v>3</v>
      </c>
      <c r="B2" s="8">
        <v>300</v>
      </c>
      <c r="C2" s="6">
        <v>5</v>
      </c>
      <c r="D2" s="6">
        <v>5</v>
      </c>
      <c r="E2" s="6">
        <v>5</v>
      </c>
      <c r="F2" s="6">
        <v>5</v>
      </c>
      <c r="G2" s="6">
        <v>5</v>
      </c>
      <c r="H2" s="6">
        <v>5</v>
      </c>
      <c r="I2" s="6">
        <v>5</v>
      </c>
      <c r="J2" s="6">
        <v>5</v>
      </c>
      <c r="K2" s="6">
        <v>5</v>
      </c>
      <c r="L2" s="6">
        <v>5</v>
      </c>
      <c r="M2" s="6">
        <v>5</v>
      </c>
      <c r="N2" s="6">
        <v>5</v>
      </c>
      <c r="O2" s="6">
        <v>5</v>
      </c>
      <c r="P2" s="6">
        <v>5</v>
      </c>
      <c r="Q2" s="6">
        <v>5</v>
      </c>
      <c r="R2" s="6">
        <v>5</v>
      </c>
      <c r="S2" s="6">
        <v>5</v>
      </c>
      <c r="T2" s="6">
        <v>5</v>
      </c>
      <c r="U2" s="7">
        <f>SUM(C2:T2)*B2</f>
        <v>27000</v>
      </c>
    </row>
    <row r="3" spans="1:21">
      <c r="A3" s="5" t="s">
        <v>4</v>
      </c>
      <c r="B3" s="8">
        <v>300</v>
      </c>
      <c r="C3" s="6">
        <v>5</v>
      </c>
      <c r="D3" s="6">
        <v>5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6">
        <v>5</v>
      </c>
      <c r="K3" s="6">
        <v>5</v>
      </c>
      <c r="L3" s="6">
        <v>5</v>
      </c>
      <c r="M3" s="6">
        <v>5</v>
      </c>
      <c r="N3" s="6">
        <v>5</v>
      </c>
      <c r="O3" s="6">
        <v>5</v>
      </c>
      <c r="P3" s="6">
        <v>5</v>
      </c>
      <c r="Q3" s="6">
        <v>5</v>
      </c>
      <c r="R3" s="6">
        <v>5</v>
      </c>
      <c r="S3" s="6">
        <v>5</v>
      </c>
      <c r="T3" s="6">
        <v>5</v>
      </c>
      <c r="U3" s="7">
        <f t="shared" ref="U3:U9" si="1">SUM(C3:T3)*B3</f>
        <v>27000</v>
      </c>
    </row>
    <row r="4" spans="1:21">
      <c r="A4" s="5" t="s">
        <v>5</v>
      </c>
      <c r="B4" s="8">
        <v>300</v>
      </c>
      <c r="C4" s="6">
        <v>5</v>
      </c>
      <c r="D4" s="6">
        <v>5</v>
      </c>
      <c r="E4" s="6">
        <v>5</v>
      </c>
      <c r="F4" s="6">
        <v>5</v>
      </c>
      <c r="G4" s="6">
        <v>5</v>
      </c>
      <c r="H4" s="6">
        <v>5</v>
      </c>
      <c r="I4" s="6">
        <v>5</v>
      </c>
      <c r="J4" s="6">
        <v>5</v>
      </c>
      <c r="K4" s="6">
        <v>5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7">
        <f t="shared" si="1"/>
        <v>27000</v>
      </c>
    </row>
    <row r="5" spans="1:21">
      <c r="A5" s="5" t="s">
        <v>6</v>
      </c>
      <c r="B5" s="8">
        <v>300</v>
      </c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7">
        <f t="shared" si="1"/>
        <v>27000</v>
      </c>
    </row>
    <row r="6" spans="1:21">
      <c r="A6" s="5" t="s">
        <v>7</v>
      </c>
      <c r="B6" s="8">
        <v>400</v>
      </c>
      <c r="C6" s="6">
        <v>5</v>
      </c>
      <c r="D6" s="6">
        <v>5</v>
      </c>
      <c r="E6" s="6">
        <v>5</v>
      </c>
      <c r="F6" s="6">
        <v>5</v>
      </c>
      <c r="G6" s="6">
        <v>5</v>
      </c>
      <c r="H6" s="6">
        <v>5</v>
      </c>
      <c r="I6" s="6">
        <v>5</v>
      </c>
      <c r="J6" s="6">
        <v>5</v>
      </c>
      <c r="K6" s="6">
        <v>5</v>
      </c>
      <c r="L6" s="6">
        <v>5</v>
      </c>
      <c r="M6" s="6">
        <v>5</v>
      </c>
      <c r="N6" s="6">
        <v>5</v>
      </c>
      <c r="O6" s="6">
        <v>5</v>
      </c>
      <c r="P6" s="6">
        <v>5</v>
      </c>
      <c r="Q6" s="6">
        <v>5</v>
      </c>
      <c r="R6" s="6">
        <v>5</v>
      </c>
      <c r="S6" s="6">
        <v>5</v>
      </c>
      <c r="T6" s="6">
        <v>5</v>
      </c>
      <c r="U6" s="7">
        <f t="shared" si="1"/>
        <v>36000</v>
      </c>
    </row>
    <row r="7" spans="1:21">
      <c r="A7" s="5" t="s">
        <v>8</v>
      </c>
      <c r="B7" s="8">
        <v>300</v>
      </c>
      <c r="C7" s="6">
        <v>5</v>
      </c>
      <c r="D7" s="6">
        <v>5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6">
        <v>5</v>
      </c>
      <c r="K7" s="6">
        <v>5</v>
      </c>
      <c r="L7" s="6">
        <v>5</v>
      </c>
      <c r="M7" s="6">
        <v>5</v>
      </c>
      <c r="N7" s="6">
        <v>5</v>
      </c>
      <c r="O7" s="6">
        <v>5</v>
      </c>
      <c r="P7" s="6">
        <v>5</v>
      </c>
      <c r="Q7" s="6">
        <v>5</v>
      </c>
      <c r="R7" s="6">
        <v>5</v>
      </c>
      <c r="S7" s="6">
        <v>5</v>
      </c>
      <c r="T7" s="6">
        <v>5</v>
      </c>
      <c r="U7" s="7">
        <f t="shared" si="1"/>
        <v>27000</v>
      </c>
    </row>
    <row r="8" spans="1:21">
      <c r="A8" s="5" t="s">
        <v>9</v>
      </c>
      <c r="B8" s="8">
        <v>300</v>
      </c>
      <c r="C8" s="6">
        <v>5</v>
      </c>
      <c r="D8" s="6">
        <v>5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6">
        <v>5</v>
      </c>
      <c r="K8" s="6">
        <v>5</v>
      </c>
      <c r="L8" s="6">
        <v>5</v>
      </c>
      <c r="M8" s="6">
        <v>5</v>
      </c>
      <c r="N8" s="6">
        <v>5</v>
      </c>
      <c r="O8" s="6">
        <v>5</v>
      </c>
      <c r="P8" s="6">
        <v>5</v>
      </c>
      <c r="Q8" s="6">
        <v>5</v>
      </c>
      <c r="R8" s="6">
        <v>5</v>
      </c>
      <c r="S8" s="6">
        <v>5</v>
      </c>
      <c r="T8" s="6">
        <v>5</v>
      </c>
      <c r="U8" s="7">
        <f t="shared" si="1"/>
        <v>27000</v>
      </c>
    </row>
    <row r="9" spans="1:21">
      <c r="A9" s="5" t="s">
        <v>10</v>
      </c>
      <c r="B9" s="8">
        <v>300</v>
      </c>
      <c r="C9" s="6">
        <v>5</v>
      </c>
      <c r="D9" s="6">
        <v>5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6">
        <v>5</v>
      </c>
      <c r="K9" s="6">
        <v>5</v>
      </c>
      <c r="L9" s="6">
        <v>5</v>
      </c>
      <c r="M9" s="6">
        <v>5</v>
      </c>
      <c r="N9" s="6">
        <v>5</v>
      </c>
      <c r="O9" s="6">
        <v>5</v>
      </c>
      <c r="P9" s="6">
        <v>5</v>
      </c>
      <c r="Q9" s="6">
        <v>5</v>
      </c>
      <c r="R9" s="6">
        <v>5</v>
      </c>
      <c r="S9" s="6">
        <v>5</v>
      </c>
      <c r="T9" s="6">
        <v>5</v>
      </c>
      <c r="U9" s="7">
        <f t="shared" si="1"/>
        <v>27000</v>
      </c>
    </row>
    <row r="10" spans="1:21">
      <c r="A10" s="20"/>
      <c r="B10" s="21"/>
      <c r="C10" s="4">
        <f>SUMPRODUCT(B2:B9,C2:C9)</f>
        <v>12500</v>
      </c>
      <c r="D10" s="4">
        <f>SUMPRODUCT(B2:B9,D2:D9)</f>
        <v>12500</v>
      </c>
      <c r="E10" s="4">
        <f>SUMPRODUCT(B2:B9,E2:E9)</f>
        <v>12500</v>
      </c>
      <c r="F10" s="4">
        <f>SUMPRODUCT(B2:B9,F2:F9)</f>
        <v>12500</v>
      </c>
      <c r="G10" s="4">
        <f>SUMPRODUCT(B2:B9,G2:G9)</f>
        <v>12500</v>
      </c>
      <c r="H10" s="4">
        <f>SUMPRODUCT(B2:B9,H2:H9)</f>
        <v>12500</v>
      </c>
      <c r="I10" s="4">
        <f>SUMPRODUCT(B2:B9,I2:I9)</f>
        <v>12500</v>
      </c>
      <c r="J10" s="4">
        <f>SUMPRODUCT(B2:B9,J2:J9)</f>
        <v>12500</v>
      </c>
      <c r="K10" s="4">
        <f>SUMPRODUCT(B2:B9,K2:K9)</f>
        <v>12500</v>
      </c>
      <c r="L10" s="4">
        <f>SUMPRODUCT(B2:B9,L2:L9)</f>
        <v>12500</v>
      </c>
      <c r="M10" s="4">
        <f>SUMPRODUCT(B2:B9,M2:M9)</f>
        <v>12500</v>
      </c>
      <c r="N10" s="4">
        <f>SUMPRODUCT(B2:B9,N2:N9)</f>
        <v>12500</v>
      </c>
      <c r="O10" s="4">
        <f>SUMPRODUCT(B2:B9,O2:O9)</f>
        <v>12500</v>
      </c>
      <c r="P10" s="4">
        <f>SUMPRODUCT(B2:B9,P2:P9)</f>
        <v>12500</v>
      </c>
      <c r="Q10" s="4">
        <f>SUMPRODUCT(B2:B9,Q2:Q9)</f>
        <v>12500</v>
      </c>
      <c r="R10" s="4">
        <f>SUMPRODUCT(B2:B9,R2:R9)</f>
        <v>12500</v>
      </c>
      <c r="S10" s="4">
        <f>SUMPRODUCT(B2:B9,S2:S9)</f>
        <v>12500</v>
      </c>
      <c r="T10" s="4">
        <f>SUMPRODUCT(B2:B9,T2:T9)</f>
        <v>12500</v>
      </c>
      <c r="U10" s="12">
        <f>SUM(U2:U9)</f>
        <v>225000</v>
      </c>
    </row>
    <row r="12" spans="1:21" ht="18.75" customHeight="1">
      <c r="A12" s="13" t="s">
        <v>11</v>
      </c>
      <c r="B12" s="14" t="s">
        <v>1</v>
      </c>
      <c r="C12" s="1">
        <v>42156</v>
      </c>
      <c r="D12" s="1">
        <f>C12+7</f>
        <v>42163</v>
      </c>
      <c r="E12" s="1">
        <f>D12+7</f>
        <v>42170</v>
      </c>
      <c r="F12" s="1">
        <f t="shared" ref="F12" si="2">E12+7</f>
        <v>42177</v>
      </c>
      <c r="G12" s="1">
        <f t="shared" ref="G12" si="3">F12+7</f>
        <v>42184</v>
      </c>
      <c r="H12" s="2">
        <f t="shared" ref="H12" si="4">G12+7</f>
        <v>42191</v>
      </c>
      <c r="I12" s="2">
        <f t="shared" ref="I12" si="5">H12+7</f>
        <v>42198</v>
      </c>
      <c r="J12" s="2">
        <f t="shared" ref="J12" si="6">I12+7</f>
        <v>42205</v>
      </c>
      <c r="K12" s="2">
        <f t="shared" ref="K12" si="7">J12+7</f>
        <v>42212</v>
      </c>
      <c r="L12" s="1">
        <f t="shared" ref="L12" si="8">K12+7</f>
        <v>42219</v>
      </c>
      <c r="M12" s="1">
        <f t="shared" ref="M12" si="9">L12+7</f>
        <v>42226</v>
      </c>
      <c r="N12" s="1">
        <f t="shared" ref="N12" si="10">M12+7</f>
        <v>42233</v>
      </c>
      <c r="O12" s="1">
        <f t="shared" ref="O12" si="11">N12+7</f>
        <v>42240</v>
      </c>
      <c r="P12" s="1">
        <f t="shared" ref="P12" si="12">O12+7</f>
        <v>42247</v>
      </c>
      <c r="Q12" s="2">
        <f t="shared" ref="Q12" si="13">P12+7</f>
        <v>42254</v>
      </c>
      <c r="R12" s="2">
        <f>Q12+7</f>
        <v>42261</v>
      </c>
      <c r="S12" s="2">
        <f t="shared" ref="S12" si="14">R12+7</f>
        <v>42268</v>
      </c>
      <c r="T12" s="2">
        <f t="shared" ref="T12" si="15">S12+7</f>
        <v>42275</v>
      </c>
      <c r="U12" s="15" t="s">
        <v>2</v>
      </c>
    </row>
    <row r="13" spans="1:21">
      <c r="A13" s="5" t="s">
        <v>12</v>
      </c>
      <c r="B13" s="8">
        <v>1200</v>
      </c>
      <c r="C13" s="6">
        <v>5</v>
      </c>
      <c r="D13" s="6">
        <v>5</v>
      </c>
      <c r="E13" s="6">
        <v>5</v>
      </c>
      <c r="F13" s="6">
        <v>5</v>
      </c>
      <c r="G13" s="6">
        <v>5</v>
      </c>
      <c r="H13" s="6">
        <v>5</v>
      </c>
      <c r="I13" s="6">
        <v>5</v>
      </c>
      <c r="J13" s="6">
        <v>5</v>
      </c>
      <c r="K13" s="6">
        <v>5</v>
      </c>
      <c r="L13" s="6">
        <v>5</v>
      </c>
      <c r="M13" s="6">
        <v>5</v>
      </c>
      <c r="N13" s="6">
        <v>5</v>
      </c>
      <c r="O13" s="6">
        <v>5</v>
      </c>
      <c r="P13" s="6">
        <v>5</v>
      </c>
      <c r="Q13" s="6">
        <v>5</v>
      </c>
      <c r="R13" s="6">
        <v>5</v>
      </c>
      <c r="S13" s="6">
        <v>5</v>
      </c>
      <c r="T13" s="6">
        <v>5</v>
      </c>
      <c r="U13" s="7">
        <f>SUM(C13:T13)*B13</f>
        <v>108000</v>
      </c>
    </row>
    <row r="14" spans="1:21">
      <c r="A14" s="5" t="s">
        <v>13</v>
      </c>
      <c r="B14" s="8">
        <v>300</v>
      </c>
      <c r="C14" s="6">
        <v>5</v>
      </c>
      <c r="D14" s="6">
        <v>5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6">
        <v>5</v>
      </c>
      <c r="K14" s="6">
        <v>5</v>
      </c>
      <c r="L14" s="6">
        <v>5</v>
      </c>
      <c r="M14" s="6">
        <v>5</v>
      </c>
      <c r="N14" s="6">
        <v>5</v>
      </c>
      <c r="O14" s="6">
        <v>5</v>
      </c>
      <c r="P14" s="6">
        <v>5</v>
      </c>
      <c r="Q14" s="6">
        <v>5</v>
      </c>
      <c r="R14" s="6">
        <v>5</v>
      </c>
      <c r="S14" s="6">
        <v>5</v>
      </c>
      <c r="T14" s="6">
        <v>5</v>
      </c>
      <c r="U14" s="7">
        <f t="shared" ref="U14:U16" si="16">SUM(C14:T14)*B14</f>
        <v>27000</v>
      </c>
    </row>
    <row r="15" spans="1:21">
      <c r="A15" s="5" t="s">
        <v>14</v>
      </c>
      <c r="B15" s="8">
        <v>15000</v>
      </c>
      <c r="C15" s="6">
        <v>1</v>
      </c>
      <c r="D15" s="6"/>
      <c r="E15" s="6"/>
      <c r="F15" s="6"/>
      <c r="G15" s="6"/>
      <c r="H15" s="6">
        <v>1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7">
        <f t="shared" si="16"/>
        <v>30000</v>
      </c>
    </row>
    <row r="16" spans="1:21">
      <c r="A16" s="5"/>
      <c r="B16" s="8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7">
        <f t="shared" si="16"/>
        <v>0</v>
      </c>
    </row>
    <row r="17" spans="1:21">
      <c r="A17" s="20"/>
      <c r="B17" s="21"/>
      <c r="C17" s="4">
        <f>SUMPRODUCT(B13:B16,C13:C16)</f>
        <v>22500</v>
      </c>
      <c r="D17" s="4">
        <f>SUMPRODUCT(B13:B16,D13:D16)</f>
        <v>7500</v>
      </c>
      <c r="E17" s="4">
        <f>SUMPRODUCT(B13:B16,E13:E16)</f>
        <v>7500</v>
      </c>
      <c r="F17" s="4">
        <f>SUMPRODUCT(B13:B16,F13:F16)</f>
        <v>7500</v>
      </c>
      <c r="G17" s="4">
        <f>SUMPRODUCT(B13:B16,G13:G16)</f>
        <v>7500</v>
      </c>
      <c r="H17" s="4">
        <f>SUMPRODUCT(B13:B16,H13:H16)</f>
        <v>22500</v>
      </c>
      <c r="I17" s="4">
        <f>SUMPRODUCT(B13:B16,I13:I16)</f>
        <v>7500</v>
      </c>
      <c r="J17" s="4">
        <f>SUMPRODUCT(B13:B16,J13:J16)</f>
        <v>7500</v>
      </c>
      <c r="K17" s="4">
        <f>SUMPRODUCT(B13:B16,K13:K16)</f>
        <v>7500</v>
      </c>
      <c r="L17" s="4">
        <f>SUMPRODUCT(B13:B16,L13:L16)</f>
        <v>7500</v>
      </c>
      <c r="M17" s="4">
        <f>SUMPRODUCT(B13:B16,M13:M16)</f>
        <v>7500</v>
      </c>
      <c r="N17" s="4">
        <f>SUMPRODUCT(B13:B16,N13:N16)</f>
        <v>7500</v>
      </c>
      <c r="O17" s="4">
        <f>SUMPRODUCT(B13:B16,O13:O16)</f>
        <v>7500</v>
      </c>
      <c r="P17" s="4">
        <f>SUMPRODUCT(B13:B16,P13:P16)</f>
        <v>7500</v>
      </c>
      <c r="Q17" s="4">
        <f>SUMPRODUCT(B13:B16,Q13:Q16)</f>
        <v>7500</v>
      </c>
      <c r="R17" s="4">
        <f>SUMPRODUCT(B13:B16,R13:R16)</f>
        <v>7500</v>
      </c>
      <c r="S17" s="4">
        <f>SUMPRODUCT(B13:B16,S13:S16)</f>
        <v>7500</v>
      </c>
      <c r="T17" s="4">
        <f>SUMPRODUCT(B13:B16,T13:T16)</f>
        <v>7500</v>
      </c>
      <c r="U17" s="16">
        <f>SUM(U13:U16)</f>
        <v>165000</v>
      </c>
    </row>
    <row r="18" spans="1:21">
      <c r="B18"/>
    </row>
    <row r="19" spans="1:21">
      <c r="B19"/>
      <c r="F19" s="26" t="s">
        <v>15</v>
      </c>
      <c r="G19" s="26"/>
      <c r="H19" s="26"/>
      <c r="I19" s="26"/>
      <c r="J19" s="26"/>
      <c r="K19" s="26"/>
      <c r="L19" s="26"/>
    </row>
    <row r="20" spans="1:21">
      <c r="B20"/>
      <c r="F20" s="22" t="s">
        <v>16</v>
      </c>
      <c r="G20" s="22"/>
      <c r="H20" s="22"/>
      <c r="I20" s="22"/>
      <c r="J20" s="22"/>
      <c r="K20" s="23">
        <f>U10</f>
        <v>225000</v>
      </c>
      <c r="L20" s="24"/>
    </row>
    <row r="21" spans="1:21">
      <c r="B21"/>
      <c r="F21" s="22" t="s">
        <v>11</v>
      </c>
      <c r="G21" s="22"/>
      <c r="H21" s="22"/>
      <c r="I21" s="22"/>
      <c r="J21" s="22"/>
      <c r="K21" s="23">
        <f>U17</f>
        <v>165000</v>
      </c>
      <c r="L21" s="24"/>
    </row>
    <row r="22" spans="1:21">
      <c r="B22"/>
      <c r="F22" s="22" t="s">
        <v>17</v>
      </c>
      <c r="G22" s="22"/>
      <c r="H22" s="22"/>
      <c r="I22" s="22"/>
      <c r="J22" s="22"/>
      <c r="K22" s="23">
        <v>0</v>
      </c>
      <c r="L22" s="24"/>
    </row>
    <row r="23" spans="1:21">
      <c r="B23"/>
      <c r="F23" s="17" t="s">
        <v>18</v>
      </c>
      <c r="G23" s="17"/>
      <c r="H23" s="17"/>
      <c r="I23" s="17"/>
      <c r="J23" s="17"/>
      <c r="K23" s="25">
        <f>SUM(K20:L22)</f>
        <v>390000</v>
      </c>
      <c r="L23" s="26"/>
    </row>
    <row r="24" spans="1:21">
      <c r="B24"/>
      <c r="F24" s="17" t="s">
        <v>19</v>
      </c>
      <c r="G24" s="17"/>
      <c r="H24" s="17"/>
      <c r="I24" s="17"/>
      <c r="J24" s="17"/>
      <c r="K24" s="18">
        <v>10</v>
      </c>
      <c r="L24" s="18"/>
    </row>
    <row r="25" spans="1:21">
      <c r="B25"/>
      <c r="F25" s="17" t="s">
        <v>20</v>
      </c>
      <c r="G25" s="17"/>
      <c r="H25" s="17"/>
      <c r="I25" s="17"/>
      <c r="J25" s="17"/>
      <c r="K25" s="19">
        <f>K23*K24/100</f>
        <v>39000</v>
      </c>
      <c r="L25" s="19"/>
    </row>
    <row r="26" spans="1:21">
      <c r="F26" s="17" t="s">
        <v>21</v>
      </c>
      <c r="G26" s="17"/>
      <c r="H26" s="17"/>
      <c r="I26" s="17"/>
      <c r="J26" s="17"/>
      <c r="K26" s="19">
        <f>SUM(K23+K25)</f>
        <v>429000</v>
      </c>
      <c r="L26" s="19"/>
    </row>
  </sheetData>
  <mergeCells count="17">
    <mergeCell ref="A10:B10"/>
    <mergeCell ref="A17:B17"/>
    <mergeCell ref="F22:J22"/>
    <mergeCell ref="K22:L22"/>
    <mergeCell ref="F23:J23"/>
    <mergeCell ref="K23:L23"/>
    <mergeCell ref="F19:L19"/>
    <mergeCell ref="F20:J20"/>
    <mergeCell ref="K20:L20"/>
    <mergeCell ref="F21:J21"/>
    <mergeCell ref="K21:L21"/>
    <mergeCell ref="F24:J24"/>
    <mergeCell ref="K24:L24"/>
    <mergeCell ref="F25:J25"/>
    <mergeCell ref="K25:L25"/>
    <mergeCell ref="F26:J26"/>
    <mergeCell ref="K26:L2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topLeftCell="B19" workbookViewId="0">
      <selection activeCell="J15" sqref="J15"/>
    </sheetView>
  </sheetViews>
  <sheetFormatPr defaultRowHeight="15"/>
  <cols>
    <col min="1" max="1" width="20.140625" customWidth="1"/>
    <col min="2" max="2" width="9.28515625" style="3" customWidth="1"/>
    <col min="3" max="20" width="6.5703125" bestFit="1" customWidth="1"/>
    <col min="21" max="21" width="10" customWidth="1"/>
  </cols>
  <sheetData>
    <row r="1" spans="1:21" ht="15" customHeight="1">
      <c r="A1" s="9" t="s">
        <v>0</v>
      </c>
      <c r="B1" s="10" t="s">
        <v>1</v>
      </c>
      <c r="C1" s="1">
        <v>42156</v>
      </c>
      <c r="D1" s="1">
        <f>C1+7</f>
        <v>42163</v>
      </c>
      <c r="E1" s="1">
        <f>D1+7</f>
        <v>42170</v>
      </c>
      <c r="F1" s="1">
        <f t="shared" ref="F1:T1" si="0">E1+7</f>
        <v>42177</v>
      </c>
      <c r="G1" s="1">
        <f t="shared" si="0"/>
        <v>42184</v>
      </c>
      <c r="H1" s="2">
        <f t="shared" si="0"/>
        <v>42191</v>
      </c>
      <c r="I1" s="2">
        <f t="shared" si="0"/>
        <v>42198</v>
      </c>
      <c r="J1" s="2">
        <f t="shared" si="0"/>
        <v>42205</v>
      </c>
      <c r="K1" s="2">
        <f t="shared" si="0"/>
        <v>42212</v>
      </c>
      <c r="L1" s="1">
        <f t="shared" si="0"/>
        <v>42219</v>
      </c>
      <c r="M1" s="1">
        <f t="shared" si="0"/>
        <v>42226</v>
      </c>
      <c r="N1" s="1">
        <f t="shared" si="0"/>
        <v>42233</v>
      </c>
      <c r="O1" s="1">
        <f t="shared" si="0"/>
        <v>42240</v>
      </c>
      <c r="P1" s="1">
        <f t="shared" si="0"/>
        <v>42247</v>
      </c>
      <c r="Q1" s="2">
        <f t="shared" si="0"/>
        <v>42254</v>
      </c>
      <c r="R1" s="2">
        <f>Q1+7</f>
        <v>42261</v>
      </c>
      <c r="S1" s="2">
        <f t="shared" si="0"/>
        <v>42268</v>
      </c>
      <c r="T1" s="2">
        <f t="shared" si="0"/>
        <v>42275</v>
      </c>
      <c r="U1" s="11" t="s">
        <v>2</v>
      </c>
    </row>
    <row r="2" spans="1:21">
      <c r="A2" s="5" t="s">
        <v>3</v>
      </c>
      <c r="B2" s="8">
        <v>300</v>
      </c>
      <c r="C2" s="6">
        <v>5</v>
      </c>
      <c r="D2" s="6">
        <v>5</v>
      </c>
      <c r="E2" s="6">
        <v>5</v>
      </c>
      <c r="F2" s="6">
        <v>5</v>
      </c>
      <c r="G2" s="6">
        <v>5</v>
      </c>
      <c r="H2" s="6">
        <v>5</v>
      </c>
      <c r="I2" s="6">
        <v>5</v>
      </c>
      <c r="J2" s="6">
        <v>5</v>
      </c>
      <c r="K2" s="6">
        <v>5</v>
      </c>
      <c r="L2" s="6">
        <v>5</v>
      </c>
      <c r="M2" s="6">
        <v>5</v>
      </c>
      <c r="N2" s="6">
        <v>5</v>
      </c>
      <c r="O2" s="6">
        <v>5</v>
      </c>
      <c r="P2" s="6">
        <v>5</v>
      </c>
      <c r="Q2" s="6">
        <v>5</v>
      </c>
      <c r="R2" s="6">
        <v>5</v>
      </c>
      <c r="S2" s="6">
        <v>5</v>
      </c>
      <c r="T2" s="6">
        <v>5</v>
      </c>
      <c r="U2" s="7">
        <f>SUM(C2:T2)*B2</f>
        <v>27000</v>
      </c>
    </row>
    <row r="3" spans="1:21">
      <c r="A3" s="5" t="s">
        <v>4</v>
      </c>
      <c r="B3" s="8">
        <v>300</v>
      </c>
      <c r="C3" s="6">
        <v>5</v>
      </c>
      <c r="D3" s="6">
        <v>5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6">
        <v>5</v>
      </c>
      <c r="K3" s="6">
        <v>5</v>
      </c>
      <c r="L3" s="6">
        <v>5</v>
      </c>
      <c r="M3" s="6">
        <v>5</v>
      </c>
      <c r="N3" s="6">
        <v>5</v>
      </c>
      <c r="O3" s="6">
        <v>5</v>
      </c>
      <c r="P3" s="6">
        <v>5</v>
      </c>
      <c r="Q3" s="6">
        <v>5</v>
      </c>
      <c r="R3" s="6">
        <v>5</v>
      </c>
      <c r="S3" s="6">
        <v>5</v>
      </c>
      <c r="T3" s="6">
        <v>5</v>
      </c>
      <c r="U3" s="7">
        <f t="shared" ref="U3:U9" si="1">SUM(C3:T3)*B3</f>
        <v>27000</v>
      </c>
    </row>
    <row r="4" spans="1:21">
      <c r="A4" s="5" t="s">
        <v>5</v>
      </c>
      <c r="B4" s="8">
        <v>300</v>
      </c>
      <c r="C4" s="6">
        <v>5</v>
      </c>
      <c r="D4" s="6">
        <v>5</v>
      </c>
      <c r="E4" s="6">
        <v>5</v>
      </c>
      <c r="F4" s="6">
        <v>5</v>
      </c>
      <c r="G4" s="6">
        <v>5</v>
      </c>
      <c r="H4" s="6">
        <v>5</v>
      </c>
      <c r="I4" s="6">
        <v>5</v>
      </c>
      <c r="J4" s="6">
        <v>5</v>
      </c>
      <c r="K4" s="6">
        <v>5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7">
        <f t="shared" si="1"/>
        <v>27000</v>
      </c>
    </row>
    <row r="5" spans="1:21">
      <c r="A5" s="5" t="s">
        <v>6</v>
      </c>
      <c r="B5" s="8">
        <v>300</v>
      </c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7">
        <f t="shared" si="1"/>
        <v>27000</v>
      </c>
    </row>
    <row r="6" spans="1:21">
      <c r="A6" s="5" t="s">
        <v>7</v>
      </c>
      <c r="B6" s="8">
        <v>400</v>
      </c>
      <c r="C6" s="6">
        <v>5</v>
      </c>
      <c r="D6" s="6">
        <v>5</v>
      </c>
      <c r="E6" s="6">
        <v>5</v>
      </c>
      <c r="F6" s="6">
        <v>5</v>
      </c>
      <c r="G6" s="6">
        <v>5</v>
      </c>
      <c r="H6" s="6">
        <v>5</v>
      </c>
      <c r="I6" s="6">
        <v>5</v>
      </c>
      <c r="J6" s="6">
        <v>5</v>
      </c>
      <c r="K6" s="6">
        <v>5</v>
      </c>
      <c r="L6" s="6">
        <v>5</v>
      </c>
      <c r="M6" s="6">
        <v>5</v>
      </c>
      <c r="N6" s="6">
        <v>5</v>
      </c>
      <c r="O6" s="6">
        <v>5</v>
      </c>
      <c r="P6" s="6">
        <v>5</v>
      </c>
      <c r="Q6" s="6">
        <v>5</v>
      </c>
      <c r="R6" s="6">
        <v>5</v>
      </c>
      <c r="S6" s="6">
        <v>5</v>
      </c>
      <c r="T6" s="6">
        <v>5</v>
      </c>
      <c r="U6" s="7">
        <f t="shared" si="1"/>
        <v>36000</v>
      </c>
    </row>
    <row r="7" spans="1:21">
      <c r="A7" s="5" t="s">
        <v>8</v>
      </c>
      <c r="B7" s="8">
        <v>300</v>
      </c>
      <c r="C7" s="6">
        <v>5</v>
      </c>
      <c r="D7" s="6">
        <v>5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6">
        <v>5</v>
      </c>
      <c r="K7" s="6">
        <v>5</v>
      </c>
      <c r="L7" s="6">
        <v>5</v>
      </c>
      <c r="M7" s="6">
        <v>5</v>
      </c>
      <c r="N7" s="6">
        <v>5</v>
      </c>
      <c r="O7" s="6">
        <v>5</v>
      </c>
      <c r="P7" s="6">
        <v>5</v>
      </c>
      <c r="Q7" s="6">
        <v>5</v>
      </c>
      <c r="R7" s="6">
        <v>5</v>
      </c>
      <c r="S7" s="6">
        <v>5</v>
      </c>
      <c r="T7" s="6">
        <v>5</v>
      </c>
      <c r="U7" s="7">
        <f t="shared" si="1"/>
        <v>27000</v>
      </c>
    </row>
    <row r="8" spans="1:21">
      <c r="A8" s="5" t="s">
        <v>9</v>
      </c>
      <c r="B8" s="8">
        <v>300</v>
      </c>
      <c r="C8" s="6">
        <v>5</v>
      </c>
      <c r="D8" s="6">
        <v>5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6">
        <v>5</v>
      </c>
      <c r="K8" s="6">
        <v>5</v>
      </c>
      <c r="L8" s="6">
        <v>5</v>
      </c>
      <c r="M8" s="6">
        <v>5</v>
      </c>
      <c r="N8" s="6">
        <v>5</v>
      </c>
      <c r="O8" s="6">
        <v>5</v>
      </c>
      <c r="P8" s="6">
        <v>5</v>
      </c>
      <c r="Q8" s="6">
        <v>5</v>
      </c>
      <c r="R8" s="6">
        <v>5</v>
      </c>
      <c r="S8" s="6">
        <v>5</v>
      </c>
      <c r="T8" s="6">
        <v>5</v>
      </c>
      <c r="U8" s="7">
        <f t="shared" si="1"/>
        <v>27000</v>
      </c>
    </row>
    <row r="9" spans="1:21">
      <c r="A9" s="5" t="s">
        <v>10</v>
      </c>
      <c r="B9" s="8">
        <v>300</v>
      </c>
      <c r="C9" s="6">
        <v>5</v>
      </c>
      <c r="D9" s="6">
        <v>5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6">
        <v>5</v>
      </c>
      <c r="K9" s="6">
        <v>5</v>
      </c>
      <c r="L9" s="6">
        <v>5</v>
      </c>
      <c r="M9" s="6">
        <v>5</v>
      </c>
      <c r="N9" s="6">
        <v>5</v>
      </c>
      <c r="O9" s="6">
        <v>5</v>
      </c>
      <c r="P9" s="6">
        <v>5</v>
      </c>
      <c r="Q9" s="6">
        <v>5</v>
      </c>
      <c r="R9" s="6">
        <v>5</v>
      </c>
      <c r="S9" s="6">
        <v>5</v>
      </c>
      <c r="T9" s="6">
        <v>5</v>
      </c>
      <c r="U9" s="7">
        <f t="shared" si="1"/>
        <v>27000</v>
      </c>
    </row>
    <row r="10" spans="1:21">
      <c r="A10" s="20"/>
      <c r="B10" s="21"/>
      <c r="C10" s="4">
        <f>SUMPRODUCT(B2:B9,C2:C9)</f>
        <v>12500</v>
      </c>
      <c r="D10" s="4">
        <f>SUMPRODUCT(B2:B9,D2:D9)</f>
        <v>12500</v>
      </c>
      <c r="E10" s="4">
        <f>SUMPRODUCT(B2:B9,E2:E9)</f>
        <v>12500</v>
      </c>
      <c r="F10" s="4">
        <f>SUMPRODUCT(B2:B9,F2:F9)</f>
        <v>12500</v>
      </c>
      <c r="G10" s="4">
        <f>SUMPRODUCT(B2:B9,G2:G9)</f>
        <v>12500</v>
      </c>
      <c r="H10" s="4">
        <f>SUMPRODUCT(B2:B9,H2:H9)</f>
        <v>12500</v>
      </c>
      <c r="I10" s="4">
        <f>SUMPRODUCT(B2:B9,I2:I9)</f>
        <v>12500</v>
      </c>
      <c r="J10" s="4">
        <f>SUMPRODUCT(B2:B9,J2:J9)</f>
        <v>12500</v>
      </c>
      <c r="K10" s="4">
        <f>SUMPRODUCT(B2:B9,K2:K9)</f>
        <v>12500</v>
      </c>
      <c r="L10" s="4">
        <f>SUMPRODUCT(B2:B9,L2:L9)</f>
        <v>12500</v>
      </c>
      <c r="M10" s="4">
        <f>SUMPRODUCT(B2:B9,M2:M9)</f>
        <v>12500</v>
      </c>
      <c r="N10" s="4">
        <f>SUMPRODUCT(B2:B9,N2:N9)</f>
        <v>12500</v>
      </c>
      <c r="O10" s="4">
        <f>SUMPRODUCT(B2:B9,O2:O9)</f>
        <v>12500</v>
      </c>
      <c r="P10" s="4">
        <f>SUMPRODUCT(B2:B9,P2:P9)</f>
        <v>12500</v>
      </c>
      <c r="Q10" s="4">
        <f>SUMPRODUCT(B2:B9,Q2:Q9)</f>
        <v>12500</v>
      </c>
      <c r="R10" s="4">
        <f>SUMPRODUCT(B2:B9,R2:R9)</f>
        <v>12500</v>
      </c>
      <c r="S10" s="4">
        <f>SUMPRODUCT(B2:B9,S2:S9)</f>
        <v>12500</v>
      </c>
      <c r="T10" s="4">
        <f>SUMPRODUCT(B2:B9,T2:T9)</f>
        <v>12500</v>
      </c>
      <c r="U10" s="12">
        <f>SUM(U2:U9)</f>
        <v>225000</v>
      </c>
    </row>
    <row r="12" spans="1:21" ht="18.75" customHeight="1">
      <c r="A12" s="13" t="s">
        <v>11</v>
      </c>
      <c r="B12" s="14" t="s">
        <v>1</v>
      </c>
      <c r="C12" s="1">
        <v>42156</v>
      </c>
      <c r="D12" s="1">
        <f>C12+7</f>
        <v>42163</v>
      </c>
      <c r="E12" s="1">
        <f>D12+7</f>
        <v>42170</v>
      </c>
      <c r="F12" s="1">
        <f t="shared" ref="F12:Q12" si="2">E12+7</f>
        <v>42177</v>
      </c>
      <c r="G12" s="1">
        <f t="shared" si="2"/>
        <v>42184</v>
      </c>
      <c r="H12" s="2">
        <f t="shared" si="2"/>
        <v>42191</v>
      </c>
      <c r="I12" s="2">
        <f t="shared" si="2"/>
        <v>42198</v>
      </c>
      <c r="J12" s="2">
        <f t="shared" si="2"/>
        <v>42205</v>
      </c>
      <c r="K12" s="2">
        <f t="shared" si="2"/>
        <v>42212</v>
      </c>
      <c r="L12" s="1">
        <f t="shared" si="2"/>
        <v>42219</v>
      </c>
      <c r="M12" s="1">
        <f t="shared" si="2"/>
        <v>42226</v>
      </c>
      <c r="N12" s="1">
        <f t="shared" si="2"/>
        <v>42233</v>
      </c>
      <c r="O12" s="1">
        <f t="shared" si="2"/>
        <v>42240</v>
      </c>
      <c r="P12" s="1">
        <f t="shared" si="2"/>
        <v>42247</v>
      </c>
      <c r="Q12" s="2">
        <f t="shared" si="2"/>
        <v>42254</v>
      </c>
      <c r="R12" s="2">
        <f>Q12+7</f>
        <v>42261</v>
      </c>
      <c r="S12" s="2">
        <f t="shared" ref="S12:T12" si="3">R12+7</f>
        <v>42268</v>
      </c>
      <c r="T12" s="2">
        <f t="shared" si="3"/>
        <v>42275</v>
      </c>
      <c r="U12" s="15" t="s">
        <v>2</v>
      </c>
    </row>
    <row r="13" spans="1:21">
      <c r="A13" s="5" t="s">
        <v>22</v>
      </c>
      <c r="B13" s="8">
        <v>1200</v>
      </c>
      <c r="C13" s="6">
        <v>5</v>
      </c>
      <c r="D13" s="6">
        <v>5</v>
      </c>
      <c r="E13" s="6">
        <v>5</v>
      </c>
      <c r="F13" s="6">
        <v>5</v>
      </c>
      <c r="G13" s="6">
        <v>5</v>
      </c>
      <c r="H13" s="6">
        <v>5</v>
      </c>
      <c r="I13" s="6">
        <v>5</v>
      </c>
      <c r="J13" s="6">
        <v>5</v>
      </c>
      <c r="K13" s="6">
        <v>5</v>
      </c>
      <c r="L13" s="6">
        <v>5</v>
      </c>
      <c r="M13" s="6">
        <v>5</v>
      </c>
      <c r="N13" s="6">
        <v>5</v>
      </c>
      <c r="O13" s="6">
        <v>5</v>
      </c>
      <c r="P13" s="6">
        <v>5</v>
      </c>
      <c r="Q13" s="6">
        <v>5</v>
      </c>
      <c r="R13" s="6">
        <v>5</v>
      </c>
      <c r="S13" s="6">
        <v>5</v>
      </c>
      <c r="T13" s="6">
        <v>5</v>
      </c>
      <c r="U13" s="7">
        <f>SUM(C13:T13)*B13</f>
        <v>108000</v>
      </c>
    </row>
    <row r="14" spans="1:21">
      <c r="A14" s="5" t="s">
        <v>13</v>
      </c>
      <c r="B14" s="8">
        <v>2500</v>
      </c>
      <c r="C14" s="6">
        <v>5</v>
      </c>
      <c r="D14" s="6">
        <v>5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6">
        <v>5</v>
      </c>
      <c r="K14" s="6">
        <v>5</v>
      </c>
      <c r="L14" s="6">
        <v>5</v>
      </c>
      <c r="M14" s="6">
        <v>5</v>
      </c>
      <c r="N14" s="6">
        <v>5</v>
      </c>
      <c r="O14" s="6">
        <v>5</v>
      </c>
      <c r="P14" s="6">
        <v>5</v>
      </c>
      <c r="Q14" s="6">
        <v>5</v>
      </c>
      <c r="R14" s="6">
        <v>5</v>
      </c>
      <c r="S14" s="6">
        <v>5</v>
      </c>
      <c r="T14" s="6">
        <v>5</v>
      </c>
      <c r="U14" s="7">
        <f t="shared" ref="U14:U16" si="4">SUM(C14:T14)*B14</f>
        <v>225000</v>
      </c>
    </row>
    <row r="15" spans="1:21">
      <c r="A15" s="5" t="s">
        <v>23</v>
      </c>
      <c r="B15" s="8">
        <v>15000</v>
      </c>
      <c r="C15" s="6"/>
      <c r="D15" s="6"/>
      <c r="E15" s="6"/>
      <c r="F15" s="6"/>
      <c r="G15" s="6"/>
      <c r="H15" s="6"/>
      <c r="I15" s="6"/>
      <c r="J15" s="6">
        <v>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7">
        <f t="shared" si="4"/>
        <v>15000</v>
      </c>
    </row>
    <row r="16" spans="1:21">
      <c r="A16" s="5"/>
      <c r="B16" s="8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7">
        <f t="shared" si="4"/>
        <v>0</v>
      </c>
    </row>
    <row r="17" spans="1:21">
      <c r="A17" s="20"/>
      <c r="B17" s="21"/>
      <c r="C17" s="4">
        <f>SUMPRODUCT(B13:B16,C13:C16)</f>
        <v>18500</v>
      </c>
      <c r="D17" s="4">
        <f>SUMPRODUCT(B13:B16,D13:D16)</f>
        <v>18500</v>
      </c>
      <c r="E17" s="4">
        <f>SUMPRODUCT(B13:B16,E13:E16)</f>
        <v>18500</v>
      </c>
      <c r="F17" s="4">
        <f>SUMPRODUCT(B13:B16,F13:F16)</f>
        <v>18500</v>
      </c>
      <c r="G17" s="4">
        <f>SUMPRODUCT(B13:B16,G13:G16)</f>
        <v>18500</v>
      </c>
      <c r="H17" s="4">
        <f>SUMPRODUCT(B13:B16,H13:H16)</f>
        <v>18500</v>
      </c>
      <c r="I17" s="4">
        <f>SUMPRODUCT(B13:B16,I13:I16)</f>
        <v>18500</v>
      </c>
      <c r="J17" s="4">
        <f>SUMPRODUCT(B13:B16,J13:J16)</f>
        <v>33500</v>
      </c>
      <c r="K17" s="4">
        <f>SUMPRODUCT(B13:B16,K13:K16)</f>
        <v>18500</v>
      </c>
      <c r="L17" s="4">
        <f>SUMPRODUCT(B13:B16,L13:L16)</f>
        <v>18500</v>
      </c>
      <c r="M17" s="4">
        <f>SUMPRODUCT(B13:B16,M13:M16)</f>
        <v>18500</v>
      </c>
      <c r="N17" s="4">
        <f>SUMPRODUCT(B13:B16,N13:N16)</f>
        <v>18500</v>
      </c>
      <c r="O17" s="4">
        <f>SUMPRODUCT(B13:B16,O13:O16)</f>
        <v>18500</v>
      </c>
      <c r="P17" s="4">
        <f>SUMPRODUCT(B13:B16,P13:P16)</f>
        <v>18500</v>
      </c>
      <c r="Q17" s="4">
        <f>SUMPRODUCT(B13:B16,Q13:Q16)</f>
        <v>18500</v>
      </c>
      <c r="R17" s="4">
        <f>SUMPRODUCT(B13:B16,R13:R16)</f>
        <v>18500</v>
      </c>
      <c r="S17" s="4">
        <f>SUMPRODUCT(B13:B16,S13:S16)</f>
        <v>18500</v>
      </c>
      <c r="T17" s="4">
        <f>SUMPRODUCT(B13:B16,T13:T16)</f>
        <v>18500</v>
      </c>
      <c r="U17" s="16">
        <f>SUM(U13:U16)</f>
        <v>348000</v>
      </c>
    </row>
    <row r="18" spans="1:21">
      <c r="B18"/>
    </row>
    <row r="19" spans="1:21">
      <c r="B19"/>
      <c r="F19" s="26" t="s">
        <v>15</v>
      </c>
      <c r="G19" s="26"/>
      <c r="H19" s="26"/>
      <c r="I19" s="26"/>
      <c r="J19" s="26"/>
      <c r="K19" s="39" t="s">
        <v>24</v>
      </c>
      <c r="L19" s="39"/>
      <c r="M19" s="26" t="s">
        <v>25</v>
      </c>
      <c r="N19" s="26"/>
    </row>
    <row r="20" spans="1:21">
      <c r="B20"/>
      <c r="F20" s="22" t="s">
        <v>16</v>
      </c>
      <c r="G20" s="22"/>
      <c r="H20" s="22"/>
      <c r="I20" s="22"/>
      <c r="J20" s="22"/>
      <c r="K20" s="23">
        <f>'Buget - Estimation'!K20:L20</f>
        <v>225000</v>
      </c>
      <c r="L20" s="24"/>
      <c r="M20" s="31">
        <f>U10</f>
        <v>225000</v>
      </c>
      <c r="N20" s="32"/>
    </row>
    <row r="21" spans="1:21">
      <c r="B21"/>
      <c r="F21" s="22" t="s">
        <v>11</v>
      </c>
      <c r="G21" s="22"/>
      <c r="H21" s="22"/>
      <c r="I21" s="22"/>
      <c r="J21" s="22"/>
      <c r="K21" s="23">
        <f>'Buget - Estimation'!K21:L21</f>
        <v>165000</v>
      </c>
      <c r="L21" s="24"/>
      <c r="M21" s="31">
        <f>U17</f>
        <v>348000</v>
      </c>
      <c r="N21" s="32"/>
    </row>
    <row r="22" spans="1:21">
      <c r="B22"/>
      <c r="F22" s="22" t="s">
        <v>17</v>
      </c>
      <c r="G22" s="22"/>
      <c r="H22" s="22"/>
      <c r="I22" s="22"/>
      <c r="J22" s="22"/>
      <c r="K22" s="23">
        <f>'Buget - Estimation'!K22:L22</f>
        <v>0</v>
      </c>
      <c r="L22" s="24"/>
      <c r="M22" s="31">
        <v>0</v>
      </c>
      <c r="N22" s="32"/>
    </row>
    <row r="23" spans="1:21">
      <c r="B23"/>
      <c r="F23" s="17" t="s">
        <v>18</v>
      </c>
      <c r="G23" s="17"/>
      <c r="H23" s="17"/>
      <c r="I23" s="17"/>
      <c r="J23" s="17"/>
      <c r="K23" s="40">
        <f>SUM(K20:L22)</f>
        <v>390000</v>
      </c>
      <c r="L23" s="39"/>
      <c r="M23" s="33">
        <f>SUM(M20:N22)</f>
        <v>573000</v>
      </c>
      <c r="N23" s="34"/>
    </row>
    <row r="24" spans="1:21">
      <c r="B24"/>
      <c r="F24" s="17" t="s">
        <v>19</v>
      </c>
      <c r="G24" s="17"/>
      <c r="H24" s="17"/>
      <c r="I24" s="17"/>
      <c r="J24" s="17"/>
      <c r="K24" s="41">
        <f>'Buget - Estimation'!K24:L24</f>
        <v>10</v>
      </c>
      <c r="L24" s="41"/>
      <c r="M24" s="35">
        <f>K24</f>
        <v>10</v>
      </c>
      <c r="N24" s="36"/>
    </row>
    <row r="25" spans="1:21">
      <c r="B25"/>
      <c r="F25" s="17" t="s">
        <v>20</v>
      </c>
      <c r="G25" s="17"/>
      <c r="H25" s="17"/>
      <c r="I25" s="17"/>
      <c r="J25" s="17"/>
      <c r="K25" s="37">
        <f>K23*K24/100</f>
        <v>39000</v>
      </c>
      <c r="L25" s="37"/>
      <c r="M25" s="27">
        <f>M23*M24/100</f>
        <v>57300</v>
      </c>
      <c r="N25" s="28"/>
    </row>
    <row r="26" spans="1:21">
      <c r="F26" s="17" t="s">
        <v>21</v>
      </c>
      <c r="G26" s="17"/>
      <c r="H26" s="17"/>
      <c r="I26" s="17"/>
      <c r="J26" s="17"/>
      <c r="K26" s="38">
        <f>SUM(K23+K25)</f>
        <v>429000</v>
      </c>
      <c r="L26" s="38"/>
      <c r="M26" s="29">
        <f>SUM(M23+M25)</f>
        <v>630300</v>
      </c>
      <c r="N26" s="30"/>
    </row>
  </sheetData>
  <mergeCells count="26">
    <mergeCell ref="A10:B10"/>
    <mergeCell ref="A17:B17"/>
    <mergeCell ref="F20:J20"/>
    <mergeCell ref="K20:L20"/>
    <mergeCell ref="F21:J21"/>
    <mergeCell ref="K21:L21"/>
    <mergeCell ref="F25:J25"/>
    <mergeCell ref="K25:L25"/>
    <mergeCell ref="F26:J26"/>
    <mergeCell ref="K26:L26"/>
    <mergeCell ref="F19:J19"/>
    <mergeCell ref="K19:L19"/>
    <mergeCell ref="F22:J22"/>
    <mergeCell ref="K22:L22"/>
    <mergeCell ref="F23:J23"/>
    <mergeCell ref="K23:L23"/>
    <mergeCell ref="F24:J24"/>
    <mergeCell ref="K24:L24"/>
    <mergeCell ref="M25:N25"/>
    <mergeCell ref="M26:N26"/>
    <mergeCell ref="M19:N19"/>
    <mergeCell ref="M20:N20"/>
    <mergeCell ref="M21:N21"/>
    <mergeCell ref="M22:N22"/>
    <mergeCell ref="M23:N23"/>
    <mergeCell ref="M24:N24"/>
  </mergeCells>
  <conditionalFormatting sqref="B2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:J20">
    <cfRule type="cellIs" dxfId="6" priority="7" operator="greaterThan">
      <formula>$K$20&gt;$M$20</formula>
    </cfRule>
  </conditionalFormatting>
  <conditionalFormatting sqref="M26:N26">
    <cfRule type="cellIs" dxfId="5" priority="6" operator="greaterThan">
      <formula>$K$26</formula>
    </cfRule>
    <cfRule type="cellIs" dxfId="4" priority="3" operator="lessThan">
      <formula>$K$26</formula>
    </cfRule>
  </conditionalFormatting>
  <conditionalFormatting sqref="M20:N20">
    <cfRule type="cellIs" dxfId="3" priority="5" operator="greaterThan">
      <formula>$K$20</formula>
    </cfRule>
    <cfRule type="cellIs" dxfId="2" priority="4" operator="lessThan">
      <formula>$K$20</formula>
    </cfRule>
  </conditionalFormatting>
  <conditionalFormatting sqref="M21:N21">
    <cfRule type="cellIs" dxfId="1" priority="2" operator="greaterThan">
      <formula>$K$21</formula>
    </cfRule>
    <cfRule type="cellIs" dxfId="0" priority="1" operator="lessThan">
      <formula>$K$21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A0A108017FF0488F77AF220F8E2769" ma:contentTypeVersion="13" ma:contentTypeDescription="Create a new document." ma:contentTypeScope="" ma:versionID="1def7306c3cf6a6cc6ed2f4a8440267b">
  <xsd:schema xmlns:xsd="http://www.w3.org/2001/XMLSchema" xmlns:xs="http://www.w3.org/2001/XMLSchema" xmlns:p="http://schemas.microsoft.com/office/2006/metadata/properties" xmlns:ns2="a11fd71f-e386-4b2a-89e4-a10e79b1a3d8" xmlns:ns3="e35a21f2-4e4d-4e55-b316-830f13664140" targetNamespace="http://schemas.microsoft.com/office/2006/metadata/properties" ma:root="true" ma:fieldsID="cec201c8ddf967daa8f6a4c340cd7066" ns2:_="" ns3:_="">
    <xsd:import namespace="a11fd71f-e386-4b2a-89e4-a10e79b1a3d8"/>
    <xsd:import namespace="e35a21f2-4e4d-4e55-b316-830f13664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fd71f-e386-4b2a-89e4-a10e79b1a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a21f2-4e4d-4e55-b316-830f13664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5a21f2-4e4d-4e55-b316-830f13664140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62489F-2036-4DC3-AEAC-6A8357398C17}"/>
</file>

<file path=customXml/itemProps2.xml><?xml version="1.0" encoding="utf-8"?>
<ds:datastoreItem xmlns:ds="http://schemas.openxmlformats.org/officeDocument/2006/customXml" ds:itemID="{6C4FEB67-CCBC-4355-83BC-D459CF82CB2A}"/>
</file>

<file path=customXml/itemProps3.xml><?xml version="1.0" encoding="utf-8"?>
<ds:datastoreItem xmlns:ds="http://schemas.openxmlformats.org/officeDocument/2006/customXml" ds:itemID="{46CB6BF1-5E46-49AF-B10A-006D951096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Genworth Financial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Wale, Swapnil (Genworth)</dc:creator>
  <cp:keywords/>
  <dc:description/>
  <cp:lastModifiedBy>Guest User</cp:lastModifiedBy>
  <cp:revision/>
  <dcterms:created xsi:type="dcterms:W3CDTF">2015-06-04T04:01:43Z</dcterms:created>
  <dcterms:modified xsi:type="dcterms:W3CDTF">2022-09-30T11:56:23Z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0x010100F5A0A108017FF0488F77AF220F8E2769</vt:lpwstr>
  </property>
  <property fmtid="{D5CDD505-2E9C-101B-9397-08002B2CF9AE}" pid="3" name="Order">
    <vt:r8>9644900</vt:r8>
  </property>
  <property fmtid="{D5CDD505-2E9C-101B-9397-08002B2CF9AE}" pid="4" name="ComplianceAssetId">
    <vt:lpwstr/>
  </property>
</Properties>
</file>